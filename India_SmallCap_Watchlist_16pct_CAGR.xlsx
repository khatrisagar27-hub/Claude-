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· Cover &amp; Risk Notice" sheetId="1" state="visible" r:id="rId1"/>
    <sheet name="02 · Sector Analysis" sheetId="2" state="visible" r:id="rId2"/>
    <sheet name="03 · Stock Deep-Dive" sheetId="3" state="visible" r:id="rId3"/>
    <sheet name="04 · Selection Framework" sheetId="4" state="visible" r:id="rId4"/>
    <sheet name="05 · Watchlist Summary" sheetId="5" state="visible" r:id="rId5"/>
    <sheet name="06 · Risk &amp; Growth Matrix" sheetId="6" state="visible" r:id="rId6"/>
  </sheets>
  <definedNames>
    <definedName name="_xlnm.Print_Titles" localSheetId="0">'01 · Cover &amp; Risk Notice'!$1:$3</definedName>
    <definedName name="_xlnm.Print_Titles" localSheetId="1">'02 · Sector Analysis'!$1:$3</definedName>
    <definedName name="_xlnm.Print_Titles" localSheetId="2">'03 · Stock Deep-Dive'!$1:$3</definedName>
    <definedName name="_xlnm.Print_Titles" localSheetId="3">'04 · Selection Framework'!$1:$3</definedName>
    <definedName name="_xlnm.Print_Titles" localSheetId="4">'05 · Watchlist Summary'!$1:$3</definedName>
    <definedName name="_xlnm.Print_Titles" localSheetId="5">'06 · Risk &amp; Growth Matrix'!$1:$3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C8970A"/>
      <sz val="26"/>
    </font>
    <font>
      <name val="Calibri"/>
      <color rgb="00B8D4C8"/>
      <sz val="13"/>
    </font>
    <font>
      <name val="Calibri"/>
      <color rgb="007FA899"/>
      <sz val="10"/>
    </font>
    <font>
      <name val="Calibri"/>
      <color rgb="00FFB347"/>
      <sz val="9"/>
    </font>
    <font>
      <name val="Calibri"/>
      <b val="1"/>
      <color rgb="00FFFFFF"/>
      <sz val="15"/>
    </font>
    <font>
      <name val="Calibri"/>
      <b val="1"/>
      <color rgb="00C8970A"/>
      <sz val="12"/>
    </font>
    <font>
      <name val="Calibri"/>
      <b val="1"/>
      <color rgb="001A3A8F"/>
      <sz val="10"/>
    </font>
    <font>
      <name val="Calibri"/>
      <b val="1"/>
      <color rgb="00CC4A00"/>
      <sz val="10"/>
    </font>
    <font>
      <name val="Calibri"/>
      <color rgb="00333333"/>
      <sz val="9"/>
    </font>
    <font>
      <name val="Calibri"/>
      <b val="1"/>
      <color rgb="00FFFFFF"/>
      <sz val="11"/>
    </font>
    <font>
      <name val="Calibri"/>
      <b val="1"/>
      <color rgb="000A2E1A"/>
      <sz val="10"/>
    </font>
    <font>
      <name val="Calibri"/>
      <color rgb="00333333"/>
      <sz val="10"/>
    </font>
    <font>
      <name val="Calibri"/>
      <b val="1"/>
      <color rgb="00C8970A"/>
      <sz val="13"/>
    </font>
    <font>
      <name val="Calibri"/>
      <b val="1"/>
      <color rgb="00FFFFFF"/>
      <sz val="10"/>
    </font>
    <font>
      <name val="Calibri"/>
      <color rgb="001C1C2E"/>
      <sz val="9"/>
    </font>
    <font>
      <name val="Calibri"/>
      <b val="1"/>
      <color rgb="00FFFFFF"/>
      <sz val="9"/>
    </font>
    <font>
      <name val="Calibri"/>
      <b val="1"/>
      <color rgb="000A2E1A"/>
      <sz val="9"/>
    </font>
    <font>
      <name val="Calibri"/>
      <color rgb="00555555"/>
      <sz val="9"/>
    </font>
    <font>
      <name val="Calibri"/>
      <b val="1"/>
      <color rgb="001C1C2E"/>
      <sz val="9"/>
    </font>
    <font>
      <name val="Calibri"/>
      <color rgb="00D8E8F0"/>
      <sz val="10"/>
    </font>
    <font>
      <name val="Calibri"/>
      <b val="1"/>
      <color rgb="00C8970A"/>
      <sz val="9"/>
    </font>
    <font>
      <name val="Calibri"/>
      <color rgb="00D8E8F0"/>
      <sz val="9"/>
    </font>
    <font>
      <name val="Calibri"/>
      <color rgb="00FFFFFF"/>
      <sz val="9"/>
    </font>
    <font>
      <name val="Calibri"/>
      <b val="1"/>
      <color rgb="00C8970A"/>
      <sz val="10"/>
    </font>
    <font>
      <name val="Calibri"/>
      <b val="1"/>
      <color rgb="00FFB347"/>
      <sz val="10"/>
    </font>
    <font>
      <b val="1"/>
    </font>
  </fonts>
  <fills count="16">
    <fill>
      <patternFill/>
    </fill>
    <fill>
      <patternFill patternType="gray125"/>
    </fill>
    <fill>
      <patternFill patternType="solid">
        <fgColor rgb="000A2E1A"/>
      </patternFill>
    </fill>
    <fill>
      <patternFill patternType="solid">
        <fgColor rgb="00CC4A00"/>
      </patternFill>
    </fill>
    <fill>
      <patternFill patternType="solid">
        <fgColor rgb="003A1000"/>
      </patternFill>
    </fill>
    <fill>
      <patternFill patternType="solid">
        <fgColor rgb="001A3A8F"/>
      </patternFill>
    </fill>
    <fill>
      <patternFill patternType="solid">
        <fgColor rgb="000C5C5C"/>
      </patternFill>
    </fill>
    <fill>
      <patternFill patternType="solid">
        <fgColor rgb="00EAF5EA"/>
      </patternFill>
    </fill>
    <fill>
      <patternFill patternType="solid">
        <fgColor rgb="00FFFFFF"/>
      </patternFill>
    </fill>
    <fill>
      <patternFill patternType="solid">
        <fgColor rgb="00FFF8EE"/>
      </patternFill>
    </fill>
    <fill>
      <patternFill patternType="solid">
        <fgColor rgb="001E7E34"/>
      </patternFill>
    </fill>
    <fill>
      <patternFill patternType="solid">
        <fgColor rgb="00B8610A"/>
      </patternFill>
    </fill>
    <fill>
      <patternFill patternType="solid">
        <fgColor rgb="00C47A00"/>
      </patternFill>
    </fill>
    <fill>
      <patternFill patternType="solid">
        <fgColor rgb="005DADE2"/>
      </patternFill>
    </fill>
    <fill>
      <patternFill patternType="solid">
        <fgColor rgb="004A1082"/>
      </patternFill>
    </fill>
    <fill>
      <patternFill patternType="solid">
        <fgColor rgb="00B03030"/>
      </patternFill>
    </fill>
  </fills>
  <borders count="7">
    <border>
      <left/>
      <right/>
      <top/>
      <bottom/>
      <diagonal/>
    </border>
    <border>
      <left style="medium">
        <color rgb="00CC4A00"/>
      </left>
      <right style="medium">
        <color rgb="00CC4A00"/>
      </right>
      <top style="medium">
        <color rgb="00CC4A00"/>
      </top>
      <bottom style="medium">
        <color rgb="00CC4A00"/>
      </bottom>
    </border>
    <border>
      <left style="thin">
        <color rgb="00C8D8C8"/>
      </left>
      <right style="thin">
        <color rgb="00C8D8C8"/>
      </right>
      <top style="thin">
        <color rgb="00C8D8C8"/>
      </top>
      <bottom style="thin">
        <color rgb="00C8D8C8"/>
      </bottom>
    </border>
    <border>
      <left/>
      <right/>
      <top style="thin">
        <color rgb="00C8D8C8"/>
      </top>
      <bottom/>
      <diagonal/>
    </border>
    <border>
      <left/>
      <right style="thin">
        <color rgb="00C8D8C8"/>
      </right>
      <top style="thin">
        <color rgb="00C8D8C8"/>
      </top>
      <bottom/>
      <diagonal/>
    </border>
    <border>
      <left/>
      <right style="thin">
        <color rgb="00C8D8C8"/>
      </right>
      <top style="thin">
        <color rgb="00C8D8C8"/>
      </top>
      <bottom style="thin">
        <color rgb="00C8D8C8"/>
      </bottom>
      <diagonal/>
    </border>
    <border>
      <left/>
      <right/>
      <top style="thin">
        <color rgb="00C8D8C8"/>
      </top>
      <bottom style="thin">
        <color rgb="00C8D8C8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9" fillId="7" borderId="2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7" fillId="8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top" wrapText="1" indent="1"/>
    </xf>
    <xf numFmtId="0" fontId="16" fillId="5" borderId="2" applyAlignment="1" pivotButton="0" quotePrefix="0" xfId="0">
      <alignment horizontal="left" vertical="top" wrapText="1" indent="1"/>
    </xf>
    <xf numFmtId="0" fontId="16" fillId="10" borderId="2" applyAlignment="1" pivotButton="0" quotePrefix="0" xfId="0">
      <alignment horizontal="center" vertical="top" wrapText="1" indent="1"/>
    </xf>
    <xf numFmtId="0" fontId="15" fillId="7" borderId="2" applyAlignment="1" pivotButton="0" quotePrefix="0" xfId="0">
      <alignment horizontal="left" vertical="top" wrapText="1" indent="1"/>
    </xf>
    <xf numFmtId="0" fontId="16" fillId="11" borderId="2" applyAlignment="1" pivotButton="0" quotePrefix="0" xfId="0">
      <alignment horizontal="center" vertical="top" wrapText="1" indent="1"/>
    </xf>
    <xf numFmtId="0" fontId="15" fillId="8" borderId="2" applyAlignment="1" pivotButton="0" quotePrefix="0" xfId="0">
      <alignment horizontal="center" vertical="top" wrapText="1" indent="1"/>
    </xf>
    <xf numFmtId="0" fontId="16" fillId="6" borderId="2" applyAlignment="1" pivotButton="0" quotePrefix="0" xfId="0">
      <alignment horizontal="left" vertical="top" wrapText="1" indent="1"/>
    </xf>
    <xf numFmtId="0" fontId="15" fillId="8" borderId="2" applyAlignment="1" pivotButton="0" quotePrefix="0" xfId="0">
      <alignment horizontal="left" vertical="top" wrapText="1" indent="1"/>
    </xf>
    <xf numFmtId="0" fontId="16" fillId="12" borderId="2" applyAlignment="1" pivotButton="0" quotePrefix="0" xfId="0">
      <alignment horizontal="left" vertical="top" wrapText="1" indent="1"/>
    </xf>
    <xf numFmtId="0" fontId="16" fillId="10" borderId="2" applyAlignment="1" pivotButton="0" quotePrefix="0" xfId="0">
      <alignment horizontal="left" vertical="top" wrapText="1" indent="1"/>
    </xf>
    <xf numFmtId="0" fontId="16" fillId="2" borderId="2" applyAlignment="1" pivotButton="0" quotePrefix="0" xfId="0">
      <alignment horizontal="left" vertical="top" wrapText="1" indent="1"/>
    </xf>
    <xf numFmtId="0" fontId="16" fillId="13" borderId="2" applyAlignment="1" pivotButton="0" quotePrefix="0" xfId="0">
      <alignment horizontal="center" vertical="top" wrapText="1" indent="1"/>
    </xf>
    <xf numFmtId="0" fontId="16" fillId="14" borderId="2" applyAlignment="1" pivotButton="0" quotePrefix="0" xfId="0">
      <alignment horizontal="left" vertical="top" wrapText="1" indent="1"/>
    </xf>
    <xf numFmtId="0" fontId="16" fillId="3" borderId="2" applyAlignment="1" pivotButton="0" quotePrefix="0" xfId="0">
      <alignment horizontal="left" vertical="top" wrapText="1" indent="1"/>
    </xf>
    <xf numFmtId="0" fontId="17" fillId="7" borderId="2" applyAlignment="1" pivotButton="0" quotePrefix="0" xfId="0">
      <alignment horizontal="left" vertical="top" wrapText="1" indent="1"/>
    </xf>
    <xf numFmtId="0" fontId="16" fillId="3" borderId="2" applyAlignment="1" pivotButton="0" quotePrefix="0" xfId="0">
      <alignment horizontal="center" vertical="top" wrapText="1" indent="1"/>
    </xf>
    <xf numFmtId="0" fontId="16" fillId="5" borderId="2" applyAlignment="1" pivotButton="0" quotePrefix="0" xfId="0">
      <alignment horizontal="center" vertical="top" wrapText="1" indent="1"/>
    </xf>
    <xf numFmtId="0" fontId="18" fillId="7" borderId="2" applyAlignment="1" pivotButton="0" quotePrefix="0" xfId="0">
      <alignment horizontal="left" vertical="top" wrapText="1" indent="1"/>
    </xf>
    <xf numFmtId="0" fontId="16" fillId="15" borderId="2" applyAlignment="1" pivotButton="0" quotePrefix="0" xfId="0">
      <alignment horizontal="left" vertical="top" wrapText="1" indent="1"/>
    </xf>
    <xf numFmtId="0" fontId="19" fillId="7" borderId="2" applyAlignment="1" pivotButton="0" quotePrefix="0" xfId="0">
      <alignment horizontal="center" vertical="top" wrapText="1" indent="1"/>
    </xf>
    <xf numFmtId="0" fontId="17" fillId="8" borderId="2" applyAlignment="1" pivotButton="0" quotePrefix="0" xfId="0">
      <alignment horizontal="left" vertical="top" wrapText="1" indent="1"/>
    </xf>
    <xf numFmtId="0" fontId="18" fillId="8" borderId="2" applyAlignment="1" pivotButton="0" quotePrefix="0" xfId="0">
      <alignment horizontal="left" vertical="top" wrapText="1" indent="1"/>
    </xf>
    <xf numFmtId="0" fontId="19" fillId="8" borderId="2" applyAlignment="1" pivotButton="0" quotePrefix="0" xfId="0">
      <alignment horizontal="center" vertical="top" wrapText="1" indent="1"/>
    </xf>
    <xf numFmtId="0" fontId="16" fillId="15" borderId="2" applyAlignment="1" pivotButton="0" quotePrefix="0" xfId="0">
      <alignment horizontal="center" vertical="top" wrapText="1" indent="1"/>
    </xf>
    <xf numFmtId="0" fontId="16" fillId="6" borderId="2" applyAlignment="1" pivotButton="0" quotePrefix="0" xfId="0">
      <alignment horizontal="center" vertical="top" wrapText="1" indent="1"/>
    </xf>
    <xf numFmtId="0" fontId="16" fillId="11" borderId="2" applyAlignment="1" pivotButton="0" quotePrefix="0" xfId="0">
      <alignment horizontal="left" vertical="top" wrapText="1" indent="1"/>
    </xf>
    <xf numFmtId="0" fontId="16" fillId="12" borderId="2" applyAlignment="1" pivotButton="0" quotePrefix="0" xfId="0">
      <alignment horizontal="center" vertical="top" wrapText="1" indent="1"/>
    </xf>
    <xf numFmtId="0" fontId="16" fillId="2" borderId="2" applyAlignment="1" pivotButton="0" quotePrefix="0" xfId="0">
      <alignment horizontal="center" vertical="top" wrapText="1" indent="1"/>
    </xf>
    <xf numFmtId="0" fontId="16" fillId="14" borderId="2" applyAlignment="1" pivotButton="0" quotePrefix="0" xfId="0">
      <alignment horizontal="center" vertical="top" wrapText="1" indent="1"/>
    </xf>
    <xf numFmtId="0" fontId="20" fillId="5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 wrapText="1" indent="1"/>
    </xf>
    <xf numFmtId="0" fontId="17" fillId="7" borderId="2" applyAlignment="1" pivotButton="0" quotePrefix="0" xfId="0">
      <alignment horizontal="left" vertical="center" wrapText="1" indent="1"/>
    </xf>
    <xf numFmtId="0" fontId="16" fillId="3" borderId="2" applyAlignment="1" pivotButton="0" quotePrefix="0" xfId="0">
      <alignment horizontal="center" vertical="center" wrapText="1" indent="1"/>
    </xf>
    <xf numFmtId="0" fontId="23" fillId="5" borderId="2" applyAlignment="1" pivotButton="0" quotePrefix="0" xfId="0">
      <alignment horizontal="center" vertical="center" wrapText="1" indent="1"/>
    </xf>
    <xf numFmtId="0" fontId="19" fillId="7" borderId="2" applyAlignment="1" pivotButton="0" quotePrefix="0" xfId="0">
      <alignment horizontal="center" vertical="center" wrapText="1" indent="1"/>
    </xf>
    <xf numFmtId="0" fontId="16" fillId="15" borderId="2" applyAlignment="1" pivotButton="0" quotePrefix="0" xfId="0">
      <alignment horizontal="center" vertical="center" wrapText="1" indent="1"/>
    </xf>
    <xf numFmtId="0" fontId="16" fillId="11" borderId="2" applyAlignment="1" pivotButton="0" quotePrefix="0" xfId="0">
      <alignment horizontal="center" vertical="center" wrapText="1" indent="1"/>
    </xf>
    <xf numFmtId="0" fontId="15" fillId="8" borderId="2" applyAlignment="1" pivotButton="0" quotePrefix="0" xfId="0">
      <alignment horizontal="center" vertical="center" wrapText="1" indent="1"/>
    </xf>
    <xf numFmtId="0" fontId="17" fillId="8" borderId="2" applyAlignment="1" pivotButton="0" quotePrefix="0" xfId="0">
      <alignment horizontal="left" vertical="center" wrapText="1" indent="1"/>
    </xf>
    <xf numFmtId="0" fontId="19" fillId="8" borderId="2" applyAlignment="1" pivotButton="0" quotePrefix="0" xfId="0">
      <alignment horizontal="center" vertical="center" wrapText="1" indent="1"/>
    </xf>
    <xf numFmtId="0" fontId="23" fillId="6" borderId="2" applyAlignment="1" pivotButton="0" quotePrefix="0" xfId="0">
      <alignment horizontal="center" vertical="center" wrapText="1" indent="1"/>
    </xf>
    <xf numFmtId="0" fontId="23" fillId="12" borderId="2" applyAlignment="1" pivotButton="0" quotePrefix="0" xfId="0">
      <alignment horizontal="center" vertical="center" wrapText="1" indent="1"/>
    </xf>
    <xf numFmtId="0" fontId="23" fillId="10" borderId="2" applyAlignment="1" pivotButton="0" quotePrefix="0" xfId="0">
      <alignment horizontal="center" vertical="center" wrapText="1" indent="1"/>
    </xf>
    <xf numFmtId="0" fontId="16" fillId="10" borderId="2" applyAlignment="1" pivotButton="0" quotePrefix="0" xfId="0">
      <alignment horizontal="center" vertical="center" wrapText="1" indent="1"/>
    </xf>
    <xf numFmtId="0" fontId="23" fillId="2" borderId="2" applyAlignment="1" pivotButton="0" quotePrefix="0" xfId="0">
      <alignment horizontal="center" vertical="center" wrapText="1" indent="1"/>
    </xf>
    <xf numFmtId="0" fontId="23" fillId="14" borderId="2" applyAlignment="1" pivotButton="0" quotePrefix="0" xfId="0">
      <alignment horizontal="center" vertical="center" wrapText="1" indent="1"/>
    </xf>
    <xf numFmtId="0" fontId="23" fillId="3" borderId="2" applyAlignment="1" pivotButton="0" quotePrefix="0" xfId="0">
      <alignment horizontal="center" vertical="center" wrapText="1" indent="1"/>
    </xf>
    <xf numFmtId="0" fontId="14" fillId="10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5" fillId="4" borderId="2" applyAlignment="1" pivotButton="0" quotePrefix="0" xfId="0">
      <alignment horizontal="center" vertical="center"/>
    </xf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3-Year PAT CAGR — 12 Small-Cap Candidates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 · Risk &amp; Growth Matrix'!B26</f>
            </strRef>
          </tx>
          <spPr>
            <a:solidFill>
              <a:srgbClr val="0A2E1A"/>
            </a:solidFill>
            <a:ln>
              <a:prstDash val="solid"/>
            </a:ln>
          </spPr>
          <cat>
            <numRef>
              <f>'06 · Risk &amp; Growth Matrix'!$A$27:$A$38</f>
            </numRef>
          </cat>
          <val>
            <numRef>
              <f>'06 · Risk &amp; Growth Matrix'!$B$27:$B$38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Stock (NSE Ticker)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 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A2E1A"/>
    <outlinePr summaryBelow="1" summaryRight="1"/>
    <pageSetUpPr fitToPage="1"/>
  </sheetPr>
  <dimension ref="A1:N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8" customWidth="1" min="3" max="3"/>
    <col width="8" customWidth="1" min="4" max="4"/>
    <col width="44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2" customHeight="1">
      <c r="A3" s="2" t="n"/>
      <c r="B3" s="3" t="inlineStr">
        <is>
          <t>INDIA SMALL-CAP EQUITY WATCHLIST</t>
        </is>
      </c>
    </row>
    <row r="4" ht="22" customHeight="1">
      <c r="A4" s="2" t="n"/>
    </row>
    <row r="5" ht="22" customHeight="1">
      <c r="A5" s="2" t="n"/>
    </row>
    <row r="6" ht="22" customHeight="1">
      <c r="A6" s="2" t="n"/>
      <c r="B6" s="4" t="inlineStr">
        <is>
          <t>Nifty Smallcap 250 / Emerging Mid-Cap | 16%+ CAGR Target | 2–3 Year Horizon | NSE</t>
        </is>
      </c>
    </row>
    <row r="7" ht="22" customHeight="1">
      <c r="A7" s="2" t="n"/>
    </row>
    <row r="8" ht="22" customHeight="1">
      <c r="A8" s="2" t="n"/>
      <c r="B8" s="5" t="inlineStr">
        <is>
          <t>Date: June 13, 2026  ·  12 Research Candidates across 7 High-Growth Themes  ·  All Niche Market Leaders</t>
        </is>
      </c>
    </row>
    <row r="9" ht="22" customHeight="1">
      <c r="A9" s="2" t="n"/>
    </row>
    <row r="10" ht="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6" customHeight="1">
      <c r="A11" s="2" t="n"/>
      <c r="B11" s="6" t="inlineStr">
        <is>
          <t>⚠  IMPORTANT RISK NOTICE: Small-cap stocks are significantly more volatile than large-caps. The Nifty Smallcap 100 has historically fallen 40–60% in bear markets and doubled in bull markets within 18 months. This report is for RESEARCH PURPOSES ONLY and does NOT constitute investment advice. Maximum 5–8% portfolio weight per stock is recommended. Minimum investment horizon: 3 years. Consult a SEBI-registered adviser before investing.</t>
        </is>
      </c>
    </row>
    <row r="12" ht="26" customHeight="1">
      <c r="A12" s="2" t="n"/>
    </row>
    <row r="13" ht="26" customHeight="1">
      <c r="A13" s="2" t="n"/>
    </row>
    <row r="14" ht="26" customHeight="1">
      <c r="A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2" customHeight="1">
      <c r="A19" s="2" t="n"/>
      <c r="B19" s="7" t="inlineStr">
        <is>
          <t>12
Research
Candidates</t>
        </is>
      </c>
      <c r="E19" s="8" t="inlineStr">
        <is>
          <t>7
Niche
Sectors</t>
        </is>
      </c>
      <c r="H19" s="9" t="inlineStr">
        <is>
          <t>16%+
CAGR
Target</t>
        </is>
      </c>
      <c r="K19" s="10" t="inlineStr">
        <is>
          <t>3-Year
Ideal
Horizon</t>
        </is>
      </c>
      <c r="N19" s="2" t="n"/>
    </row>
    <row r="20" ht="22" customHeight="1"/>
    <row r="21" ht="22" customHeight="1"/>
    <row r="22" ht="22" customHeight="1"/>
    <row r="24" ht="28" customHeight="1">
      <c r="B24" s="11" t="inlineStr">
        <is>
          <t>WHY SMALL-CAPS FOR 16%+ CAGR?</t>
        </is>
      </c>
    </row>
    <row r="25" ht="26" customHeight="1">
      <c r="B25" s="12" t="inlineStr">
        <is>
          <t>Higher Growth Ceiling</t>
        </is>
      </c>
      <c r="C25" s="13" t="inlineStr">
        <is>
          <t>~14–16% earnings CAGR</t>
        </is>
      </c>
      <c r="D25" s="14" t="n"/>
      <c r="E25" s="15" t="inlineStr">
        <is>
          <t>Small-caps can deliver 25–40% earnings CAGR vs 12–15% for large-caps, by capturing niche markets, gaining share from unorganised players, and expanding across geographies.</t>
        </is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4" t="n"/>
    </row>
    <row r="26" ht="26" customHeight="1">
      <c r="B26" s="17" t="inlineStr">
        <is>
          <t>Nifty Smallcap 100 PE</t>
        </is>
      </c>
      <c r="C26" s="18" t="inlineStr">
        <is>
          <t>~20x (below 10-yr avg)</t>
        </is>
      </c>
      <c r="D26" s="14" t="n"/>
      <c r="E26" s="19" t="inlineStr">
        <is>
          <t>India's smallcap index trades at a meaningful discount to its long-term average after the 2024–2025 correction. Quality small-caps at fair valuations = strong entry point.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4" t="n"/>
    </row>
    <row r="27" ht="26" customHeight="1">
      <c r="B27" s="12" t="inlineStr">
        <is>
          <t>Structural Themes</t>
        </is>
      </c>
      <c r="C27" s="13" t="inlineStr">
        <is>
          <t>Defence / EMS / CDMO / Chem</t>
        </is>
      </c>
      <c r="D27" s="14" t="n"/>
      <c r="E27" s="15" t="inlineStr">
        <is>
          <t>7 sectors in this report are driven by multi-year policy (PLI, indigenisation, E20, PMAY) and global structural shifts (China+1) — not just economic cycles.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4" t="n"/>
    </row>
    <row r="28" ht="26" customHeight="1">
      <c r="B28" s="17" t="inlineStr">
        <is>
          <t>Size Advantage</t>
        </is>
      </c>
      <c r="C28" s="18" t="inlineStr">
        <is>
          <t>Market cap &lt; ₹20,000 cr</t>
        </is>
      </c>
      <c r="D28" s="14" t="n"/>
      <c r="E28" s="19" t="inlineStr">
        <is>
          <t>FIIs and large domestic funds cannot meaningfully participate in stocks below ₹5,000 cr market cap. When they enter, re-rating is dramatic. Early positions capture this.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4" t="n"/>
    </row>
    <row r="29" ht="26" customHeight="1">
      <c r="B29" s="12" t="inlineStr">
        <is>
          <t>Margin of Safety</t>
        </is>
      </c>
      <c r="C29" s="13" t="inlineStr">
        <is>
          <t>Post-2024 correction</t>
        </is>
      </c>
      <c r="D29" s="14" t="n"/>
      <c r="E29" s="15" t="inlineStr">
        <is>
          <t>Many quality small-caps corrected 40–60% from peak in 2024–2025. Several now trade below their historical average PE, offering better risk-reward than 2021–2022 levels.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4" t="n"/>
    </row>
    <row r="31" ht="26" customHeight="1">
      <c r="B31" s="20" t="inlineStr">
        <is>
          <t>WORKBOOK NAVIGATION</t>
        </is>
      </c>
    </row>
    <row r="32" ht="20" customHeight="1">
      <c r="B32" s="21" t="inlineStr">
        <is>
          <t>01 · Cover &amp; Risk Notice</t>
        </is>
      </c>
      <c r="C32" s="16" t="n"/>
      <c r="D32" s="16" t="n"/>
      <c r="E32" s="14" t="n"/>
      <c r="F32" s="22" t="inlineStr">
        <is>
          <t>This page — rationale, risk warning, why small-caps, navigation guide</t>
        </is>
      </c>
      <c r="G32" s="16" t="n"/>
      <c r="H32" s="16" t="n"/>
      <c r="I32" s="16" t="n"/>
      <c r="J32" s="16" t="n"/>
      <c r="K32" s="16" t="n"/>
      <c r="L32" s="16" t="n"/>
      <c r="M32" s="16" t="n"/>
      <c r="N32" s="14" t="n"/>
    </row>
    <row r="33" ht="20" customHeight="1">
      <c r="B33" s="23" t="inlineStr">
        <is>
          <t>02 · Sector Analysis</t>
        </is>
      </c>
      <c r="C33" s="16" t="n"/>
      <c r="D33" s="16" t="n"/>
      <c r="E33" s="14" t="n"/>
      <c r="F33" s="24" t="inlineStr">
        <is>
          <t>7 niche sectors with structural drivers, valuation, path to 16%+ CAGR</t>
        </is>
      </c>
      <c r="G33" s="16" t="n"/>
      <c r="H33" s="16" t="n"/>
      <c r="I33" s="16" t="n"/>
      <c r="J33" s="16" t="n"/>
      <c r="K33" s="16" t="n"/>
      <c r="L33" s="16" t="n"/>
      <c r="M33" s="16" t="n"/>
      <c r="N33" s="14" t="n"/>
    </row>
    <row r="34" ht="20" customHeight="1">
      <c r="B34" s="21" t="inlineStr">
        <is>
          <t>03 · Stock Deep-Dive</t>
        </is>
      </c>
      <c r="C34" s="16" t="n"/>
      <c r="D34" s="16" t="n"/>
      <c r="E34" s="14" t="n"/>
      <c r="F34" s="22" t="inlineStr">
        <is>
          <t>12 research candidates: full profile — ROE, ROCE, CAGR, D/E, valuation</t>
        </is>
      </c>
      <c r="G34" s="16" t="n"/>
      <c r="H34" s="16" t="n"/>
      <c r="I34" s="16" t="n"/>
      <c r="J34" s="16" t="n"/>
      <c r="K34" s="16" t="n"/>
      <c r="L34" s="16" t="n"/>
      <c r="M34" s="16" t="n"/>
      <c r="N34" s="14" t="n"/>
    </row>
    <row r="35" ht="20" customHeight="1">
      <c r="B35" s="23" t="inlineStr">
        <is>
          <t>04 · Selection Framework</t>
        </is>
      </c>
      <c r="C35" s="16" t="n"/>
      <c r="D35" s="16" t="n"/>
      <c r="E35" s="14" t="n"/>
      <c r="F35" s="24" t="inlineStr">
        <is>
          <t>10 small-cap screening criteria + step-by-step guide (screener.in ready)</t>
        </is>
      </c>
      <c r="G35" s="16" t="n"/>
      <c r="H35" s="16" t="n"/>
      <c r="I35" s="16" t="n"/>
      <c r="J35" s="16" t="n"/>
      <c r="K35" s="16" t="n"/>
      <c r="L35" s="16" t="n"/>
      <c r="M35" s="16" t="n"/>
      <c r="N35" s="14" t="n"/>
    </row>
    <row r="36" ht="20" customHeight="1">
      <c r="B36" s="21" t="inlineStr">
        <is>
          <t>05 · Watchlist Summary</t>
        </is>
      </c>
      <c r="C36" s="16" t="n"/>
      <c r="D36" s="16" t="n"/>
      <c r="E36" s="14" t="n"/>
      <c r="F36" s="22" t="inlineStr">
        <is>
          <t>Colour-coded board-ready table: sector, stock, why, risks, valuation, risk</t>
        </is>
      </c>
      <c r="G36" s="16" t="n"/>
      <c r="H36" s="16" t="n"/>
      <c r="I36" s="16" t="n"/>
      <c r="J36" s="16" t="n"/>
      <c r="K36" s="16" t="n"/>
      <c r="L36" s="16" t="n"/>
      <c r="M36" s="16" t="n"/>
      <c r="N36" s="14" t="n"/>
    </row>
    <row r="37" ht="20" customHeight="1">
      <c r="B37" s="23" t="inlineStr">
        <is>
          <t>06 · Risk &amp; Growth Matrix</t>
        </is>
      </c>
      <c r="C37" s="16" t="n"/>
      <c r="D37" s="16" t="n"/>
      <c r="E37" s="14" t="n"/>
      <c r="F37" s="24" t="inlineStr">
        <is>
          <t>Side-by-side comparison of all 12 stocks + PAT CAGR chart</t>
        </is>
      </c>
      <c r="G37" s="16" t="n"/>
      <c r="H37" s="16" t="n"/>
      <c r="I37" s="16" t="n"/>
      <c r="J37" s="16" t="n"/>
      <c r="K37" s="16" t="n"/>
      <c r="L37" s="16" t="n"/>
      <c r="M37" s="16" t="n"/>
      <c r="N37" s="14" t="n"/>
    </row>
  </sheetData>
  <mergeCells count="37">
    <mergeCell ref="E27:N27"/>
    <mergeCell ref="H19:J22"/>
    <mergeCell ref="F33:N33"/>
    <mergeCell ref="B37:E37"/>
    <mergeCell ref="K19:M22"/>
    <mergeCell ref="E26:N26"/>
    <mergeCell ref="F36:N36"/>
    <mergeCell ref="F32:N32"/>
    <mergeCell ref="B33:E33"/>
    <mergeCell ref="E25:N25"/>
    <mergeCell ref="F35:N35"/>
    <mergeCell ref="C26:D26"/>
    <mergeCell ref="B24:N24"/>
    <mergeCell ref="B8:N9"/>
    <mergeCell ref="B36:E36"/>
    <mergeCell ref="B32:E32"/>
    <mergeCell ref="B11:N14"/>
    <mergeCell ref="B26"/>
    <mergeCell ref="C29:D29"/>
    <mergeCell ref="B35:E35"/>
    <mergeCell ref="C25:D25"/>
    <mergeCell ref="B25"/>
    <mergeCell ref="B27"/>
    <mergeCell ref="B3:N5"/>
    <mergeCell ref="B6:N7"/>
    <mergeCell ref="F37:N37"/>
    <mergeCell ref="B31:N31"/>
    <mergeCell ref="E19:G22"/>
    <mergeCell ref="C27:D27"/>
    <mergeCell ref="E29:N29"/>
    <mergeCell ref="E28:N28"/>
    <mergeCell ref="F34:N34"/>
    <mergeCell ref="B19:D22"/>
    <mergeCell ref="B29"/>
    <mergeCell ref="C28:D28"/>
    <mergeCell ref="B28"/>
    <mergeCell ref="B34:E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A3A8F"/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50" customWidth="1" min="4" max="4"/>
    <col width="34" customWidth="1" min="5" max="5"/>
    <col width="38" customWidth="1" min="6" max="6"/>
    <col width="30" customWidth="1" min="7" max="7"/>
    <col width="13" customWidth="1" min="8" max="8"/>
  </cols>
  <sheetData>
    <row r="1" ht="34" customHeight="1">
      <c r="A1" s="25" t="inlineStr">
        <is>
          <t>SECTOR ANALYSIS — 7 HIGH-GROWTH SMALL-CAP THEMES FOR 16%+ CAGR (2025–2028)</t>
        </is>
      </c>
    </row>
    <row r="2" ht="26" customHeight="1">
      <c r="A2" s="26" t="inlineStr">
        <is>
          <t>#</t>
        </is>
      </c>
      <c r="B2" s="26" t="inlineStr">
        <is>
          <t>Sector / Theme</t>
        </is>
      </c>
      <c r="C2" s="26" t="inlineStr">
        <is>
          <t>Momentum</t>
        </is>
      </c>
      <c r="D2" s="26" t="inlineStr">
        <is>
          <t>Structural Drivers (3-yr view)</t>
        </is>
      </c>
      <c r="E2" s="26" t="inlineStr">
        <is>
          <t>Valuation vs History</t>
        </is>
      </c>
      <c r="F2" s="26" t="inlineStr">
        <is>
          <t>Path to 16%+ CAGR</t>
        </is>
      </c>
      <c r="G2" s="26" t="inlineStr">
        <is>
          <t>Key Risk</t>
        </is>
      </c>
      <c r="H2" s="26" t="inlineStr">
        <is>
          <t>Risk Level</t>
        </is>
      </c>
    </row>
    <row r="3" ht="90" customHeight="1">
      <c r="A3" s="27" t="n">
        <v>1</v>
      </c>
      <c r="B3" s="28" t="inlineStr">
        <is>
          <t>Defence &amp; Aerospace</t>
        </is>
      </c>
      <c r="C3" s="29" t="inlineStr">
        <is>
          <t>Very Strong</t>
        </is>
      </c>
      <c r="D3" s="30" t="inlineStr">
        <is>
          <t>India's defence indigenisation policy: 509-item 'positive indigenisation list' mandates domestic procurement. Defence budget growing 8-10% YoY. Data Patterns order inflows +216% YoY to ₹1,121 cr; order book ₹2,062 cr. ISRO launch cadence doubling (50+ missions by 2030). SpaceX competition forcing India to fast-track domestic space economy.</t>
        </is>
      </c>
      <c r="E3" s="30" t="inlineStr">
        <is>
          <t>Expensive — PE 60–75x; justified by order-book visibility and policy lock-in</t>
        </is>
      </c>
      <c r="F3" s="30" t="inlineStr">
        <is>
          <t>Order book conversion + new programme wins → 25–35% EPS CAGR; PE expansion as sector re-rates</t>
        </is>
      </c>
      <c r="G3" s="30" t="inlineStr">
        <is>
          <t>Lumpy defence contracts cause quarterly revenue volatility; single-customer concentration risk</t>
        </is>
      </c>
      <c r="H3" s="31" t="inlineStr">
        <is>
          <t>Medium-High</t>
        </is>
      </c>
    </row>
    <row r="4" ht="90" customHeight="1">
      <c r="A4" s="32" t="n">
        <v>2</v>
      </c>
      <c r="B4" s="33" t="inlineStr">
        <is>
          <t>Electronics Manufacturing (EMS)</t>
        </is>
      </c>
      <c r="C4" s="29" t="inlineStr">
        <is>
          <t>Strong</t>
        </is>
      </c>
      <c r="D4" s="34" t="inlineStr">
        <is>
          <t>PLI scheme for electronics driving massive capex. India EMS sector CAGR 27% projected FY24–FY29 (HDFC Securities). Jefferies: EPS CAGR 44% FY25–28E. China+1 sourcing driving global contract wins. 5G, IoT, defence electronics adding premium product mix. Syrma SGS: Revenue +27%, PAT +87% FY26.</t>
        </is>
      </c>
      <c r="E4" s="34" t="inlineStr">
        <is>
          <t>Expensive — PE 50–70x; high but next-phase growth requires profitability improvement</t>
        </is>
      </c>
      <c r="F4" s="34" t="inlineStr">
        <is>
          <t>Revenue scale + margin expansion + product mix premiumisation → 30–40% EPS CAGR</t>
        </is>
      </c>
      <c r="G4" s="34" t="inlineStr">
        <is>
          <t>Margin compression on assembly-led revenue; competition from larger EMS players; client concentration</t>
        </is>
      </c>
      <c r="H4" s="31" t="inlineStr">
        <is>
          <t>Medium</t>
        </is>
      </c>
    </row>
    <row r="5" ht="90" customHeight="1">
      <c r="A5" s="27" t="n">
        <v>3</v>
      </c>
      <c r="B5" s="35" t="inlineStr">
        <is>
          <t>Specialty Chemicals</t>
        </is>
      </c>
      <c r="C5" s="31" t="inlineStr">
        <is>
          <t>Strong (Recovery)</t>
        </is>
      </c>
      <c r="D5" s="30" t="inlineStr">
        <is>
          <t>China+1 supply chain diversification. India specialty chemicals targeting $100B by 2030. Navin Fluorine: EBITDA +103% YoY in FY26. Fluorine chemistry for pharma + agrochem; HFO refrigerant phase-in under Montreal Protocol. Vinati Organics' ATBS expansion commissioned Nov 2025 → revenue ramp FY27. Clean Science: high-ROCE green-chemistry moat with pricing power.</t>
        </is>
      </c>
      <c r="E5" s="30" t="inlineStr">
        <is>
          <t>Fair-to-Premium — Navin at ~30x (reasonable post-60% correction); Vinati ~35x; Clean ~42x</t>
        </is>
      </c>
      <c r="F5" s="30" t="inlineStr">
        <is>
          <t>New capacity utilisation + pricing power + export ramp → 20–30% EPS CAGR</t>
        </is>
      </c>
      <c r="G5" s="30" t="inlineStr">
        <is>
          <t>China dumping risk; agrochem demand cycle; customer inventory corrections</t>
        </is>
      </c>
      <c r="H5" s="31" t="inlineStr">
        <is>
          <t>Medium</t>
        </is>
      </c>
    </row>
    <row r="6" ht="90" customHeight="1">
      <c r="A6" s="32" t="n">
        <v>4</v>
      </c>
      <c r="B6" s="36" t="inlineStr">
        <is>
          <t>CDMO &amp; Contract Pharma</t>
        </is>
      </c>
      <c r="C6" s="29" t="inlineStr">
        <is>
          <t>Strong</t>
        </is>
      </c>
      <c r="D6" s="34" t="inlineStr">
        <is>
          <t>India CDMO market: $13.5B → $27.9B by 2033 (8.4% CAGR). Suven Pharma: EBITDA margins 52–56%, 20%+ CAGR 4 years. Macquarie Outperform. Blue Jet Healthcare: FY26 weak year (contrast media cycle); Q4 PAT +60% QoQ signals recovery. Both benefit from China+1 sourcing and NCE outsourcing.</t>
        </is>
      </c>
      <c r="E6" s="34" t="inlineStr">
        <is>
          <t>Reasonable — Blue Jet at 34x (cheap vs sector avg 86x); Suven at 43x; Macquarie Buy both</t>
        </is>
      </c>
      <c r="F6" s="34" t="inlineStr">
        <is>
          <t>Capacity ramp + margin expansion (10–12 ppt per Macquarie) → 20–30% EPS CAGR</t>
        </is>
      </c>
      <c r="G6" s="34" t="inlineStr">
        <is>
          <t>Client programme delays; forex risk (USD revenue); regulated pricing in US market</t>
        </is>
      </c>
      <c r="H6" s="31" t="inlineStr">
        <is>
          <t>Medium</t>
        </is>
      </c>
    </row>
    <row r="7" ht="90" customHeight="1">
      <c r="A7" s="27" t="n">
        <v>5</v>
      </c>
      <c r="B7" s="37" t="inlineStr">
        <is>
          <t>Bio-Energy &amp; Cleantech</t>
        </is>
      </c>
      <c r="C7" s="29" t="inlineStr">
        <is>
          <t>Strong</t>
        </is>
      </c>
      <c r="D7" s="30" t="inlineStr">
        <is>
          <t>India's 20% ethanol blending target (E20 by 2025); currently ~15%. Praj Industries: India's only full-stack bioethanol plant EPC company. New bio-CNG + SAF (sustainable aviation fuel) contracts. Wastewater treatment orders growing. Direct policy beneficiary with captive domestic market and export optionality.</t>
        </is>
      </c>
      <c r="E7" s="30" t="inlineStr">
        <is>
          <t>Attractive — PE ~25–30x; reasonable for policy-backed structural growth</t>
        </is>
      </c>
      <c r="F7" s="30" t="inlineStr">
        <is>
          <t>Ethanol order ramp + bio-CNG + SAF exports → 18–22% EPS CAGR over 3 years</t>
        </is>
      </c>
      <c r="G7" s="30" t="inlineStr">
        <is>
          <t>Policy rollback on ethanol blending; sugarcane/grain supply cycles; commodity input costs</t>
        </is>
      </c>
      <c r="H7" s="38" t="inlineStr">
        <is>
          <t>Low-Med</t>
        </is>
      </c>
    </row>
    <row r="8" ht="90" customHeight="1">
      <c r="A8" s="32" t="n">
        <v>6</v>
      </c>
      <c r="B8" s="39" t="inlineStr">
        <is>
          <t>Pharma Intermediates &amp; New Materials</t>
        </is>
      </c>
      <c r="C8" s="29" t="inlineStr">
        <is>
          <t>Strong</t>
        </is>
      </c>
      <c r="D8" s="34" t="inlineStr">
        <is>
          <t>Ami Organics: Pharma NCE intermediates + electrolyte chemicals for EV batteries. EmPS (electrolytes) segment opening a ₹5,000+ cr addressable market as India scales EV battery manufacturing. FY26 pharma biz growing 20%+ YoY; electrolyte revenues ramp starting FY27. Dual-growth-engine story.</t>
        </is>
      </c>
      <c r="E8" s="34" t="inlineStr">
        <is>
          <t>Fair — PE ~35–40x; EV electrolyte optionality not priced in yet</t>
        </is>
      </c>
      <c r="F8" s="34" t="inlineStr">
        <is>
          <t>Pharma volumes + EV electrolyte ramp → 25–30% revenue CAGR over 3 years</t>
        </is>
      </c>
      <c r="G8" s="34" t="inlineStr">
        <is>
          <t>EV electrolyte scale-up risk; pharma margin pressure; customer concentration</t>
        </is>
      </c>
      <c r="H8" s="31" t="inlineStr">
        <is>
          <t>Medium</t>
        </is>
      </c>
    </row>
    <row r="9" ht="90" customHeight="1">
      <c r="A9" s="27" t="n">
        <v>7</v>
      </c>
      <c r="B9" s="40" t="inlineStr">
        <is>
          <t>Affordable Housing Finance</t>
        </is>
      </c>
      <c r="C9" s="29" t="inlineStr">
        <is>
          <t>Strong</t>
        </is>
      </c>
      <c r="D9" s="30" t="inlineStr">
        <is>
          <t>Aptus Value Housing Finance: AUM +21% to ₹13,107 cr FY26; PAT +26% to ₹943 cr. Serves self-employed Tier 2–4 borrowers in South India (lowest NPAs in sector). ROE 20.1%, ROA 7.9% — among best in HFC sector. PM Awas Yojana (PMAY-U 2.0) target: 1 crore urban houses — direct AUM tailwind. Guidance: 22–24% AUM growth in FY27.</t>
        </is>
      </c>
      <c r="E9" s="30" t="inlineStr">
        <is>
          <t>Fair — PE ~18x FY27E; analyst fair value ₹340–360 (23–27% upside); quality at discount</t>
        </is>
      </c>
      <c r="F9" s="30" t="inlineStr">
        <is>
          <t>AUM compounding 22–24% + ROE 20%+ → 25–28% EPS CAGR; re-rating as sector discovers quality</t>
        </is>
      </c>
      <c r="G9" s="30" t="inlineStr">
        <is>
          <t>Concentration in South India; self-employed borrower stress if rural income slows; competition from large HFCs</t>
        </is>
      </c>
      <c r="H9" s="38" t="inlineStr">
        <is>
          <t>Low-Med</t>
        </is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C5C5C"/>
    <outlinePr summaryBelow="1" summaryRight="1"/>
    <pageSetUpPr fitToPage="1"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24" customWidth="1" min="4" max="4"/>
    <col width="14" customWidth="1" min="5" max="5"/>
    <col width="52" customWidth="1" min="6" max="6"/>
    <col width="32" customWidth="1" min="7" max="7"/>
    <col width="28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 ht="34" customHeight="1">
      <c r="A1" s="25" t="inlineStr">
        <is>
          <t>SMALL-CAP RESEARCH CANDIDATES — 12 STOCKS (NOT Buy/Sell Recommendations) | Minimum 3-Year Horizon</t>
        </is>
      </c>
    </row>
    <row r="2" ht="26" customHeight="1">
      <c r="A2" s="26" t="inlineStr">
        <is>
          <t>#</t>
        </is>
      </c>
      <c r="B2" s="26" t="inlineStr">
        <is>
          <t>Company (NSE)</t>
        </is>
      </c>
      <c r="C2" s="26" t="inlineStr">
        <is>
          <t>Ticker</t>
        </is>
      </c>
      <c r="D2" s="26" t="inlineStr">
        <is>
          <t>Sector</t>
        </is>
      </c>
      <c r="E2" s="26" t="inlineStr">
        <is>
          <t>Market Cap</t>
        </is>
      </c>
      <c r="F2" s="26" t="inlineStr">
        <is>
          <t>Why it fits 16%+ CAGR</t>
        </is>
      </c>
      <c r="G2" s="26" t="inlineStr">
        <is>
          <t>Key Risks</t>
        </is>
      </c>
      <c r="H2" s="26" t="inlineStr">
        <is>
          <t>Valuation</t>
        </is>
      </c>
      <c r="I2" s="26" t="inlineStr">
        <is>
          <t>ROE</t>
        </is>
      </c>
      <c r="J2" s="26" t="inlineStr">
        <is>
          <t>3Y Rev CAGR</t>
        </is>
      </c>
      <c r="K2" s="26" t="inlineStr">
        <is>
          <t>3Y PAT CAGR</t>
        </is>
      </c>
      <c r="L2" s="26" t="inlineStr">
        <is>
          <t>Risk</t>
        </is>
      </c>
    </row>
    <row r="3" ht="88" customHeight="1">
      <c r="A3" s="27" t="n">
        <v>1</v>
      </c>
      <c r="B3" s="41" t="inlineStr">
        <is>
          <t>Data Patterns (India)</t>
        </is>
      </c>
      <c r="C3" s="42" t="inlineStr">
        <is>
          <t>DATAPATTNS</t>
        </is>
      </c>
      <c r="D3" s="43" t="inlineStr">
        <is>
          <t>Defence &amp; Aerospace</t>
        </is>
      </c>
      <c r="E3" s="27" t="inlineStr">
        <is>
          <t>~₹25,000 cr</t>
        </is>
      </c>
      <c r="F3" s="30" t="inlineStr">
        <is>
          <t>India's only vertically integrated defence electronics company. FY26: Revenue ₹925 cr (+31%), EBITDA ₹371 cr (+35%), PAT ₹271 cr. Order book ₹2,062 cr; order inflows +216% YoY to ₹1,121 cr. 90% indigenous content — direct beneficiary of indigenisation push. Stock up 111% from 2026 lows on order momentum.</t>
        </is>
      </c>
      <c r="G3" s="44" t="inlineStr">
        <is>
          <t>Lumpy defence orders cause quarterly volatility; customer concentration; high PE 73x</t>
        </is>
      </c>
      <c r="H3" s="45" t="inlineStr">
        <is>
          <t>Expensive — PE ~73x; order backlog 2.2x annual revenue partially justifies premium</t>
        </is>
      </c>
      <c r="I3" s="46" t="inlineStr">
        <is>
          <t>~15%</t>
        </is>
      </c>
      <c r="J3" s="46" t="inlineStr">
        <is>
          <t>~31% (FY26)</t>
        </is>
      </c>
      <c r="K3" s="46" t="inlineStr">
        <is>
          <t>~28%</t>
        </is>
      </c>
      <c r="L3" s="31" t="inlineStr">
        <is>
          <t>Med-High</t>
        </is>
      </c>
    </row>
    <row r="4" ht="88" customHeight="1">
      <c r="A4" s="32" t="n">
        <v>2</v>
      </c>
      <c r="B4" s="47" t="inlineStr">
        <is>
          <t>MTAR Technologies</t>
        </is>
      </c>
      <c r="C4" s="42" t="inlineStr">
        <is>
          <t>MTARTECH</t>
        </is>
      </c>
      <c r="D4" s="43" t="inlineStr">
        <is>
          <t>Defence &amp; Aerospace</t>
        </is>
      </c>
      <c r="E4" s="32" t="inlineStr">
        <is>
          <t>~₹5,500 cr</t>
        </is>
      </c>
      <c r="F4" s="34" t="inlineStr">
        <is>
          <t>Precision engineering for ISRO (PSLV/GSLV/Gaganyaan), DRDO, HAL, nuclear energy, and Bloom Energy (clean energy). Only Indian company certified to machine nuclear fuel handling equipment. Revenue growing 25–30% CAGR. Expanding into civil aerospace as Space Economy policy opens up. Deep technology moat.</t>
        </is>
      </c>
      <c r="G4" s="48" t="inlineStr">
        <is>
          <t>Very lumpy revenues; small revenue base; delayed ISRO mission schedules</t>
        </is>
      </c>
      <c r="H4" s="45" t="inlineStr">
        <is>
          <t>Expensive — PE ~60–70x; deep-tech moat + ISRO mission ramp justifies</t>
        </is>
      </c>
      <c r="I4" s="49" t="inlineStr">
        <is>
          <t>~18–20%</t>
        </is>
      </c>
      <c r="J4" s="49" t="inlineStr">
        <is>
          <t>~25–30%</t>
        </is>
      </c>
      <c r="K4" s="49" t="inlineStr">
        <is>
          <t>~25%</t>
        </is>
      </c>
      <c r="L4" s="50" t="inlineStr">
        <is>
          <t>High</t>
        </is>
      </c>
    </row>
    <row r="5" ht="88" customHeight="1">
      <c r="A5" s="27" t="n">
        <v>3</v>
      </c>
      <c r="B5" s="41" t="inlineStr">
        <is>
          <t>Syrma SGS Technology</t>
        </is>
      </c>
      <c r="C5" s="42" t="inlineStr">
        <is>
          <t>SYRMA</t>
        </is>
      </c>
      <c r="D5" s="51" t="inlineStr">
        <is>
          <t>Electronics Manufacturing (EMS)</t>
        </is>
      </c>
      <c r="E5" s="27" t="inlineStr">
        <is>
          <t>~₹6,000 cr</t>
        </is>
      </c>
      <c r="F5" s="30" t="inlineStr">
        <is>
          <t>India's cleanest EMS execution story. FY26: Revenue ₹4,857 cr (+27%), PAT ₹346 cr (+87%), EBITDA ₹545 cr (+68%), net cash ₹467 cr. RFID, defence electronics, precision PCBAs. Q4 FY26 revenue +56%, PAT +67%. Targets ₹6,000 cr+ revenue FY27. Standout: profit growing faster than revenue.</t>
        </is>
      </c>
      <c r="G5" s="44" t="inlineStr">
        <is>
          <t>Margin pressure from low-value assembly; client concentration; PLI dependency</t>
        </is>
      </c>
      <c r="H5" s="52" t="inlineStr">
        <is>
          <t>Fair — PE ~50–55x; profit growth 87% makes PEG ratio attractive at ~0.6x</t>
        </is>
      </c>
      <c r="I5" s="46" t="inlineStr">
        <is>
          <t>~16%</t>
        </is>
      </c>
      <c r="J5" s="46" t="inlineStr">
        <is>
          <t>~27% (FY26)</t>
        </is>
      </c>
      <c r="K5" s="46" t="inlineStr">
        <is>
          <t>~87% (FY26); ~35% normalised</t>
        </is>
      </c>
      <c r="L5" s="31" t="inlineStr">
        <is>
          <t>Medium</t>
        </is>
      </c>
    </row>
    <row r="6" ht="88" customHeight="1">
      <c r="A6" s="32" t="n">
        <v>4</v>
      </c>
      <c r="B6" s="47" t="inlineStr">
        <is>
          <t>Kaynes Technology India</t>
        </is>
      </c>
      <c r="C6" s="42" t="inlineStr">
        <is>
          <t>KAYNES</t>
        </is>
      </c>
      <c r="D6" s="51" t="inlineStr">
        <is>
          <t>Electronics Manufacturing (EMS)</t>
        </is>
      </c>
      <c r="E6" s="32" t="inlineStr">
        <is>
          <t>~₹15,000 cr</t>
        </is>
      </c>
      <c r="F6" s="34" t="inlineStr">
        <is>
          <t>IoT-connected, intelligent EMS focusing on medical, industrial, aerospace &amp; defence electronics. Revenue +26.2% in Q4 FY26. High-margin product mix (not commodity assembly) = superior moat. Expanding into Space EMS. Jefferies: 44% EPS CAGR FY25–28E for sector. Order book strong; Airbus, defence clients are long-cycle anchors.</t>
        </is>
      </c>
      <c r="G6" s="48" t="inlineStr">
        <is>
          <t>Q4 FY26 profit fell 21.5% (transitional quarter); PE 65x at full price; small absolute profits</t>
        </is>
      </c>
      <c r="H6" s="45" t="inlineStr">
        <is>
          <t>Expensive — PE ~65x; high-quality product mix (medical/defence) is the differentiator</t>
        </is>
      </c>
      <c r="I6" s="49" t="inlineStr">
        <is>
          <t>~10–12% (scaling)</t>
        </is>
      </c>
      <c r="J6" s="49" t="inlineStr">
        <is>
          <t>~30%</t>
        </is>
      </c>
      <c r="K6" s="49" t="inlineStr">
        <is>
          <t>~35%</t>
        </is>
      </c>
      <c r="L6" s="31" t="inlineStr">
        <is>
          <t>Med-High</t>
        </is>
      </c>
    </row>
    <row r="7" ht="88" customHeight="1">
      <c r="A7" s="27" t="n">
        <v>5</v>
      </c>
      <c r="B7" s="41" t="inlineStr">
        <is>
          <t>Navin Fluorine International</t>
        </is>
      </c>
      <c r="C7" s="42" t="inlineStr">
        <is>
          <t>NAVINFLUOR</t>
        </is>
      </c>
      <c r="D7" s="53" t="inlineStr">
        <is>
          <t>Specialty Chemicals</t>
        </is>
      </c>
      <c r="E7" s="27" t="inlineStr">
        <is>
          <t>~₹18,000 cr</t>
        </is>
      </c>
      <c r="F7" s="30" t="inlineStr">
        <is>
          <t>India's fluorine chemistry powerhouse. FY26: Revenue ₹3,314 cr (+41%), EBITDA ₹1,082 cr (+103%), EBITDA margins 32.6%, net profit +130% to ₹664 cr. HFO refrigerant demand (Montreal Protocol phase-in). Pharma fluorine API pipeline. Stock had corrected 50%+ from peak — entry much better than 2022 levels.</t>
        </is>
      </c>
      <c r="G7" s="44" t="inlineStr">
        <is>
          <t>Agrochem export cycles; customer inventory de-stocking; China competition in commodity fluorine</t>
        </is>
      </c>
      <c r="H7" s="52" t="inlineStr">
        <is>
          <t>Fair — PE ~28–32x; significant re-rating already done from 60x peak; now reasonable</t>
        </is>
      </c>
      <c r="I7" s="46" t="inlineStr">
        <is>
          <t>~18–20%</t>
        </is>
      </c>
      <c r="J7" s="46" t="inlineStr">
        <is>
          <t>~20–25%</t>
        </is>
      </c>
      <c r="K7" s="46" t="inlineStr">
        <is>
          <t>~25–30%</t>
        </is>
      </c>
      <c r="L7" s="31" t="inlineStr">
        <is>
          <t>Medium</t>
        </is>
      </c>
    </row>
    <row r="8" ht="88" customHeight="1">
      <c r="A8" s="32" t="n">
        <v>6</v>
      </c>
      <c r="B8" s="47" t="inlineStr">
        <is>
          <t>Vinati Organics</t>
        </is>
      </c>
      <c r="C8" s="42" t="inlineStr">
        <is>
          <t>VINATIORGA</t>
        </is>
      </c>
      <c r="D8" s="53" t="inlineStr">
        <is>
          <t>Specialty Chemicals</t>
        </is>
      </c>
      <c r="E8" s="32" t="inlineStr">
        <is>
          <t>~₹13,000 cr</t>
        </is>
      </c>
      <c r="F8" s="34" t="inlineStr">
        <is>
          <t>Global leader (65%+ share) in ATBS monomers; #2 globally in IBB. FY26: PAT ₹488 cr (+17.5%), zero debt (cleared ₹63 cr borrowing). ATBS expansion commissioned Nov 2025 → FY27 revenue ramp guided at 15%. EBITDA margins stable at ~27%. Founder-promoter ownership &gt;70%. Pricing power from monopoly-like global positions.</t>
        </is>
      </c>
      <c r="G8" s="48" t="inlineStr">
        <is>
          <t>Revenue was flat FY26; ATBS expansion revenue ramp may lag; single-product revenue risk</t>
        </is>
      </c>
      <c r="H8" s="52" t="inlineStr">
        <is>
          <t>Fair — PE ~33–38x; premium for global monopoly positioning and zero debt</t>
        </is>
      </c>
      <c r="I8" s="49" t="inlineStr">
        <is>
          <t>~22%</t>
        </is>
      </c>
      <c r="J8" s="49" t="inlineStr">
        <is>
          <t>~15% (FY27E)</t>
        </is>
      </c>
      <c r="K8" s="49" t="inlineStr">
        <is>
          <t>~20–25%</t>
        </is>
      </c>
      <c r="L8" s="31" t="inlineStr">
        <is>
          <t>Medium</t>
        </is>
      </c>
    </row>
    <row r="9" ht="88" customHeight="1">
      <c r="A9" s="27" t="n">
        <v>7</v>
      </c>
      <c r="B9" s="41" t="inlineStr">
        <is>
          <t>Clean Science &amp; Technology</t>
        </is>
      </c>
      <c r="C9" s="42" t="inlineStr">
        <is>
          <t>CLEAN</t>
        </is>
      </c>
      <c r="D9" s="53" t="inlineStr">
        <is>
          <t>Specialty Chemicals</t>
        </is>
      </c>
      <c r="E9" s="27" t="inlineStr">
        <is>
          <t>~₹8,000 cr</t>
        </is>
      </c>
      <c r="F9" s="30" t="inlineStr">
        <is>
          <t>World's lowest-cost producer of MEHQ, BHA, and anisole via proprietary green catalytic chemistry. EBITDA margins ~35%+. ROCE: ~30%+ (one of highest in specialty chemicals). Zero debt. Expanding into performance chemicals + agrochemical intermediates. Environmental regulations globally tightening → cleaner chemistry premium.</t>
        </is>
      </c>
      <c r="G9" s="44" t="inlineStr">
        <is>
          <t>Concentrated product portfolio; commodity price pass-through risk; PE 40x not cheap</t>
        </is>
      </c>
      <c r="H9" s="52" t="inlineStr">
        <is>
          <t>Fair — PE ~40–45x; extraordinary ROCE of 30%+ justifies premium; buy on 15%+ corrections</t>
        </is>
      </c>
      <c r="I9" s="46" t="inlineStr">
        <is>
          <t>~25%</t>
        </is>
      </c>
      <c r="J9" s="46" t="inlineStr">
        <is>
          <t>~18–20%</t>
        </is>
      </c>
      <c r="K9" s="46" t="inlineStr">
        <is>
          <t>~22–25%</t>
        </is>
      </c>
      <c r="L9" s="31" t="inlineStr">
        <is>
          <t>Medium</t>
        </is>
      </c>
    </row>
    <row r="10" ht="88" customHeight="1">
      <c r="A10" s="32" t="n">
        <v>8</v>
      </c>
      <c r="B10" s="47" t="inlineStr">
        <is>
          <t>Blue Jet Healthcare</t>
        </is>
      </c>
      <c r="C10" s="42" t="inlineStr">
        <is>
          <t>BLUEJET</t>
        </is>
      </c>
      <c r="D10" s="29" t="inlineStr">
        <is>
          <t>CDMO &amp; Contract Pharma</t>
        </is>
      </c>
      <c r="E10" s="32" t="inlineStr">
        <is>
          <t>~₹9,000 cr</t>
        </is>
      </c>
      <c r="F10" s="34" t="inlineStr">
        <is>
          <t>Niche CDMO for contrast media intermediates (iodine-based imaging agents). FY26 was a weak year (revenue -8%, PAT -19%) due to inventory destocking. But Q4 FY26 PAT jumped 60% QoQ — recovery underway. PE 34x vs pharma sector avg 86x = significant undervaluation. Macquarie: Outperform; EBITDA margin expansion ahead as capacity utilises.</t>
        </is>
      </c>
      <c r="G10" s="48" t="inlineStr">
        <is>
          <t>FY26 was a down year; contrast media market is concentrated (limited clients); pricing risk</t>
        </is>
      </c>
      <c r="H10" s="36" t="inlineStr">
        <is>
          <t>Attractive — PE ~34x; cheapest CDMO in India vs sector avg 86x; buy the dip</t>
        </is>
      </c>
      <c r="I10" s="49" t="inlineStr">
        <is>
          <t>~20%</t>
        </is>
      </c>
      <c r="J10" s="49" t="inlineStr">
        <is>
          <t>~18–20% (FY27E recovery)</t>
        </is>
      </c>
      <c r="K10" s="49" t="inlineStr">
        <is>
          <t>~22–25% (FY27E+)</t>
        </is>
      </c>
      <c r="L10" s="31" t="inlineStr">
        <is>
          <t>Medium</t>
        </is>
      </c>
    </row>
    <row r="11" ht="88" customHeight="1">
      <c r="A11" s="27" t="n">
        <v>9</v>
      </c>
      <c r="B11" s="41" t="inlineStr">
        <is>
          <t>Suven Pharma (Cohance)</t>
        </is>
      </c>
      <c r="C11" s="42" t="inlineStr">
        <is>
          <t>SUVENPHAR</t>
        </is>
      </c>
      <c r="D11" s="29" t="inlineStr">
        <is>
          <t>CDMO &amp; Contract Pharma</t>
        </is>
      </c>
      <c r="E11" s="27" t="inlineStr">
        <is>
          <t>~₹14,000 cr</t>
        </is>
      </c>
      <c r="F11" s="30" t="inlineStr">
        <is>
          <t>India's highest-margin CDMO (EBITDA 52–56%!). Specialises in NCE drug discovery synthesis and early-phase CDMO for global pharma innovators. ROE 26.12%, 20%+ revenue CAGR for 4 consecutive years. Now rebranded Cohance Lifesciences. Macquarie Outperform. Citi: Revenue to expand 3x and EBITDA 4x by FY30 (for sector).</t>
        </is>
      </c>
      <c r="G11" s="44" t="inlineStr">
        <is>
          <t>Dependent on global innovator pipeline; molecule trial failures = order loss; PE 43x elevated</t>
        </is>
      </c>
      <c r="H11" s="52" t="inlineStr">
        <is>
          <t>Fair — PE ~43x; premium justified by 52%+ EBITDA margin and 20%+ growth; few peers globally</t>
        </is>
      </c>
      <c r="I11" s="46" t="inlineStr">
        <is>
          <t>~26%</t>
        </is>
      </c>
      <c r="J11" s="46" t="inlineStr">
        <is>
          <t>~20–25%</t>
        </is>
      </c>
      <c r="K11" s="46" t="inlineStr">
        <is>
          <t>~22–25%</t>
        </is>
      </c>
      <c r="L11" s="31" t="inlineStr">
        <is>
          <t>Medium</t>
        </is>
      </c>
    </row>
    <row r="12" ht="88" customHeight="1">
      <c r="A12" s="32" t="n">
        <v>10</v>
      </c>
      <c r="B12" s="47" t="inlineStr">
        <is>
          <t>Praj Industries</t>
        </is>
      </c>
      <c r="C12" s="42" t="inlineStr">
        <is>
          <t>PRAJIND</t>
        </is>
      </c>
      <c r="D12" s="54" t="inlineStr">
        <is>
          <t>Bio-Energy &amp; Cleantech</t>
        </is>
      </c>
      <c r="E12" s="32" t="inlineStr">
        <is>
          <t>~₹11,000 cr</t>
        </is>
      </c>
      <c r="F12" s="34" t="inlineStr">
        <is>
          <t>India's only full-stack bioethanol plant EPC + technology company. Direct beneficiary of India's E20 (20% ethanol blending) policy. New verticals: bio-CNG, sustainable aviation fuel (SAF), wastewater. ROE ~20%, ROCE ~22%, consistent dividend. Order book driven by sugar mills + grain-based distilleries expanding capacity. Export orders for Africa/ASEAN bioethanol plants growing.</t>
        </is>
      </c>
      <c r="G12" s="48" t="inlineStr">
        <is>
          <t>Ethanol policy rollback risk; sugarcane supply volatility; grain diversion controversy</t>
        </is>
      </c>
      <c r="H12" s="36" t="inlineStr">
        <is>
          <t>Attractive — PE ~25–28x; below capital-goods peers; policy-backed structural story</t>
        </is>
      </c>
      <c r="I12" s="49" t="inlineStr">
        <is>
          <t>~20%</t>
        </is>
      </c>
      <c r="J12" s="49" t="inlineStr">
        <is>
          <t>~18–20%</t>
        </is>
      </c>
      <c r="K12" s="49" t="inlineStr">
        <is>
          <t>~20%</t>
        </is>
      </c>
      <c r="L12" s="29" t="inlineStr">
        <is>
          <t>Low-Med</t>
        </is>
      </c>
    </row>
    <row r="13" ht="88" customHeight="1">
      <c r="A13" s="27" t="n">
        <v>11</v>
      </c>
      <c r="B13" s="41" t="inlineStr">
        <is>
          <t>Ami Organics</t>
        </is>
      </c>
      <c r="C13" s="42" t="inlineStr">
        <is>
          <t>AMIORG</t>
        </is>
      </c>
      <c r="D13" s="55" t="inlineStr">
        <is>
          <t>Pharma Intermediates &amp; New Materials</t>
        </is>
      </c>
      <c r="E13" s="27" t="inlineStr">
        <is>
          <t>~₹5,000 cr</t>
        </is>
      </c>
      <c r="F13" s="30" t="inlineStr">
        <is>
          <t>Two growth engines in one: (1) Pharma NCE intermediates growing 20%+ YoY for innovator drug programmes; (2) EmPS (electrolyte salts for EV batteries) — a potential ₹5,000+ cr market opening as India scales EV manufacturing. ROCE ~22%, ROE ~20%, low debt. Founder-led. Rare combination of cash-generative pharma + high-optionality EV materials in a single small-cap.</t>
        </is>
      </c>
      <c r="G13" s="44" t="inlineStr">
        <is>
          <t>EV electrolyte ramp slower than expected; pharma client concentration; small company risk</t>
        </is>
      </c>
      <c r="H13" s="52" t="inlineStr">
        <is>
          <t>Fair — PE ~35–40x; EV electrolyte optionality not yet priced in = embedded call option</t>
        </is>
      </c>
      <c r="I13" s="46" t="inlineStr">
        <is>
          <t>~20%</t>
        </is>
      </c>
      <c r="J13" s="46" t="inlineStr">
        <is>
          <t>~22–25%</t>
        </is>
      </c>
      <c r="K13" s="46" t="inlineStr">
        <is>
          <t>~25%</t>
        </is>
      </c>
      <c r="L13" s="31" t="inlineStr">
        <is>
          <t>Med-High</t>
        </is>
      </c>
    </row>
    <row r="14" ht="88" customHeight="1">
      <c r="A14" s="32" t="n">
        <v>12</v>
      </c>
      <c r="B14" s="47" t="inlineStr">
        <is>
          <t>Aptus Value Housing Finance</t>
        </is>
      </c>
      <c r="C14" s="42" t="inlineStr">
        <is>
          <t>APTUS</t>
        </is>
      </c>
      <c r="D14" s="42" t="inlineStr">
        <is>
          <t>Affordable Housing Finance</t>
        </is>
      </c>
      <c r="E14" s="32" t="inlineStr">
        <is>
          <t>~₹11,000 cr</t>
        </is>
      </c>
      <c r="F14" s="34" t="inlineStr">
        <is>
          <t>India's best affordable housing NBFC. FY26: AUM ₹13,107 cr (+21%), Revenue ₹2,246 cr (+25%), PAT ₹943 cr (+26%), ROE 20.1%, ROA 7.9%. Serves self-employed Tier 2-4 South India borrowers — near-zero NPA. PMAY-U 2.0 targets 1 crore urban houses — massive tailwind. Analyst fair value ₹340–360 (23–27% upside). FY27 guidance: 22–24% AUM growth.</t>
        </is>
      </c>
      <c r="G14" s="48" t="inlineStr">
        <is>
          <t>South India geographic concentration; self-employed borrower stress risk; rural income dependence</t>
        </is>
      </c>
      <c r="H14" s="52" t="inlineStr">
        <is>
          <t>Fair — PE ~18x FY27E; reasonable for 26% PAT growth + 20% ROE quality</t>
        </is>
      </c>
      <c r="I14" s="49" t="inlineStr">
        <is>
          <t>~20%</t>
        </is>
      </c>
      <c r="J14" s="49" t="inlineStr">
        <is>
          <t>~25% (FY26)</t>
        </is>
      </c>
      <c r="K14" s="49" t="inlineStr">
        <is>
          <t>~26% (FY26)</t>
        </is>
      </c>
      <c r="L14" s="29" t="inlineStr">
        <is>
          <t>Low-Med</t>
        </is>
      </c>
    </row>
  </sheetData>
  <mergeCells count="1">
    <mergeCell ref="A1:L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47A00"/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4" customWidth="1" min="4" max="4"/>
    <col width="18" customWidth="1" min="5" max="5"/>
  </cols>
  <sheetData>
    <row r="1" ht="34" customHeight="1">
      <c r="A1" s="25" t="inlineStr">
        <is>
          <t>SMALL-CAP STOCK SELECTION FRAMEWORK — Higher Standards Required for Higher Risk</t>
        </is>
      </c>
    </row>
    <row r="2" ht="22" customHeight="1">
      <c r="A2" s="56" t="inlineStr">
        <is>
          <t>Small-caps demand stricter fundamental gates than large-caps. Higher growth, lower debt, higher ROCE. Verify on screener.in.</t>
        </is>
      </c>
    </row>
    <row r="3" ht="26" customHeight="1">
      <c r="A3" s="26" t="inlineStr">
        <is>
          <t>#</t>
        </is>
      </c>
      <c r="B3" s="26" t="inlineStr">
        <is>
          <t>Criterion</t>
        </is>
      </c>
      <c r="C3" s="26" t="inlineStr">
        <is>
          <t>Minimum Threshold</t>
        </is>
      </c>
      <c r="D3" s="26" t="inlineStr">
        <is>
          <t>Why It Matters for Small-Caps</t>
        </is>
      </c>
      <c r="E3" s="26" t="inlineStr">
        <is>
          <t>Benchmark</t>
        </is>
      </c>
    </row>
    <row r="4" ht="68" customHeight="1">
      <c r="A4" s="27" t="n">
        <v>1</v>
      </c>
      <c r="B4" s="41" t="inlineStr">
        <is>
          <t>Revenue CAGR (3–5 Year)</t>
        </is>
      </c>
      <c r="C4" s="53" t="inlineStr">
        <is>
          <t>≥ 18% (prefer ≥ 22%)</t>
        </is>
      </c>
      <c r="D4" s="30" t="inlineStr">
        <is>
          <t>Small-caps justify risk premium only with higher revenue growth. Below 15% = insufficient to compensate for illiquidity and volatility. Look at 3-yr CAGR, not just latest year.</t>
        </is>
      </c>
      <c r="E4" s="51" t="inlineStr">
        <is>
          <t>18–25%+</t>
        </is>
      </c>
    </row>
    <row r="5" ht="68" customHeight="1">
      <c r="A5" s="32" t="n">
        <v>2</v>
      </c>
      <c r="B5" s="47" t="inlineStr">
        <is>
          <t>PAT CAGR (3–5 Year)</t>
        </is>
      </c>
      <c r="C5" s="53" t="inlineStr">
        <is>
          <t>≥ 20% (prefer ≥ 25%)</t>
        </is>
      </c>
      <c r="D5" s="34" t="inlineStr">
        <is>
          <t>Profit must grow faster than revenue. For small-caps, operating leverage should kick in at scale. Beware of one-time other income or tax reversals inflating PAT.</t>
        </is>
      </c>
      <c r="E5" s="51" t="inlineStr">
        <is>
          <t>20–25%+</t>
        </is>
      </c>
    </row>
    <row r="6" ht="68" customHeight="1">
      <c r="A6" s="27" t="n">
        <v>3</v>
      </c>
      <c r="B6" s="41" t="inlineStr">
        <is>
          <t>ROCE</t>
        </is>
      </c>
      <c r="C6" s="53" t="inlineStr">
        <is>
          <t>≥ 20% (prefer ≥ 25%)</t>
        </is>
      </c>
      <c r="D6" s="30" t="inlineStr">
        <is>
          <t>This is THE critical metric for small-cap compounders. ROCE &gt; 20% means every rupee reinvested creates more than one rupee of value. Nifty avg ROCE is ~14% — small-cap premium requires &gt;20%.</t>
        </is>
      </c>
      <c r="E6" s="51" t="inlineStr">
        <is>
          <t>≥ 20–30%</t>
        </is>
      </c>
    </row>
    <row r="7" ht="68" customHeight="1">
      <c r="A7" s="32" t="n">
        <v>4</v>
      </c>
      <c r="B7" s="47" t="inlineStr">
        <is>
          <t>ROE</t>
        </is>
      </c>
      <c r="C7" s="53" t="inlineStr">
        <is>
          <t>≥ 18% (without excessive debt)</t>
        </is>
      </c>
      <c r="D7" s="34" t="inlineStr">
        <is>
          <t>High ROE driven by genuine business profitability, not leverage. For small-cap HFCs: ROE ≥ 15% + ROA ≥ 2%. Avoid companies with D/E &gt; 0.5x showing high ROE.</t>
        </is>
      </c>
      <c r="E7" s="51" t="inlineStr">
        <is>
          <t>≥ 18–25%</t>
        </is>
      </c>
    </row>
    <row r="8" ht="68" customHeight="1">
      <c r="A8" s="27" t="n">
        <v>5</v>
      </c>
      <c r="B8" s="41" t="inlineStr">
        <is>
          <t>Debt-to-Equity</t>
        </is>
      </c>
      <c r="C8" s="53" t="inlineStr">
        <is>
          <t>≤ 0.3x for non-financials; ≤ 0.5x for small mfg</t>
        </is>
      </c>
      <c r="D8" s="30" t="inlineStr">
        <is>
          <t>Small-cap companies have limited access to capital in downturns. Zero or minimal debt gives them survivability during bad years and flexibility to grab opportunities. Above 1.0x in a non-infra small-cap = red flag.</t>
        </is>
      </c>
      <c r="E8" s="51" t="inlineStr">
        <is>
          <t>≤ 0.3–0.5x</t>
        </is>
      </c>
    </row>
    <row r="9" ht="68" customHeight="1">
      <c r="A9" s="32" t="n">
        <v>6</v>
      </c>
      <c r="B9" s="47" t="inlineStr">
        <is>
          <t>EBITDA Margin Trend</t>
        </is>
      </c>
      <c r="C9" s="53" t="inlineStr">
        <is>
          <t>Stable or expanding; ≥ 15% for mfg; ≥ 25% for niche</t>
        </is>
      </c>
      <c r="D9" s="34" t="inlineStr">
        <is>
          <t>Contracting EBITDA margins signal pricing power loss or cost pressure. Best small-caps have margins expanding 100–200 bps per year as scale increases.</t>
        </is>
      </c>
      <c r="E9" s="51" t="inlineStr">
        <is>
          <t>Expanding trend</t>
        </is>
      </c>
    </row>
    <row r="10" ht="68" customHeight="1">
      <c r="A10" s="27" t="n">
        <v>7</v>
      </c>
      <c r="B10" s="41" t="inlineStr">
        <is>
          <t>Promoter Holding</t>
        </is>
      </c>
      <c r="C10" s="53" t="inlineStr">
        <is>
          <t>≥ 50%; pledging &lt; 10% of holding</t>
        </is>
      </c>
      <c r="D10" s="30" t="inlineStr">
        <is>
          <t>Founder-promoter skin in the game is critical for small-caps. Promoter shareholding decreasing rapidly = flag. Pledging &gt; 20% of their holding = serious red flag.</t>
        </is>
      </c>
      <c r="E10" s="51" t="inlineStr">
        <is>
          <t>≥ 50% stable</t>
        </is>
      </c>
    </row>
    <row r="11" ht="68" customHeight="1">
      <c r="A11" s="32" t="n">
        <v>8</v>
      </c>
      <c r="B11" s="47" t="inlineStr">
        <is>
          <t>PE vs PEG Ratio</t>
        </is>
      </c>
      <c r="C11" s="53" t="inlineStr">
        <is>
          <t>PEG &lt; 1.5x (PE / 5-yr PAT CAGR)</t>
        </is>
      </c>
      <c r="D11" s="34" t="inlineStr">
        <is>
          <t>For high-growth small-caps, PEG ratio is more relevant than PE alone. A company at PE 50x growing at 40% has PEG 1.25 = reasonable. PE 50x growing at 12% = PEG 4.2 = avoid.</t>
        </is>
      </c>
      <c r="E11" s="51" t="inlineStr">
        <is>
          <t>PEG ≤ 1.5x</t>
        </is>
      </c>
    </row>
    <row r="12" ht="68" customHeight="1">
      <c r="A12" s="27" t="n">
        <v>9</v>
      </c>
      <c r="B12" s="41" t="inlineStr">
        <is>
          <t>Market Cap + Daily Liquidity</t>
        </is>
      </c>
      <c r="C12" s="53" t="inlineStr">
        <is>
          <t>₹1,000–₹20,000 cr; avg daily vol ≥ ₹20 cr</t>
        </is>
      </c>
      <c r="D12" s="30" t="inlineStr">
        <is>
          <t>Below ₹500 cr market cap = micro-cap with significant liquidity risk. Daily traded volume &lt; ₹5 crore means you may struggle to exit in a falling market. Small-caps for 2yr+ horizon — avoid illiquid names.</t>
        </is>
      </c>
      <c r="E12" s="51" t="inlineStr">
        <is>
          <t>₹1,000–20,000 cr</t>
        </is>
      </c>
    </row>
    <row r="13" ht="68" customHeight="1">
      <c r="A13" s="32" t="n">
        <v>10</v>
      </c>
      <c r="B13" s="47" t="inlineStr">
        <is>
          <t>Sector Tailwind Duration</t>
        </is>
      </c>
      <c r="C13" s="53" t="inlineStr">
        <is>
          <t>Policy/structural tailwind ≥ 5 years</t>
        </is>
      </c>
      <c r="D13" s="34" t="inlineStr">
        <is>
          <t>Best small-cap returns come from being early in a multi-year structural theme: defence indigenisation, EMS PLI, CDMO China+1, EV materials, affordable housing. Cyclical small-caps (commodity, agrochem) require different approach.</t>
        </is>
      </c>
      <c r="E13" s="51" t="inlineStr">
        <is>
          <t>≥ 5-yr structural tailwind</t>
        </is>
      </c>
    </row>
    <row r="16" ht="26" customHeight="1">
      <c r="A16" s="57" t="inlineStr">
        <is>
          <t>STEP-BY-STEP GUIDE — How to Screen Small-Caps on Screener.in</t>
        </is>
      </c>
    </row>
    <row r="17" ht="32" customHeight="1">
      <c r="A17" s="58" t="inlineStr">
        <is>
          <t>Step 1</t>
        </is>
      </c>
      <c r="B17" s="59" t="inlineStr">
        <is>
          <t>screener.in → Custom Screen: Revenue growth 3yr &gt; 18, Profit growth 3yr &gt; 20, ROCE &gt; 20, Debt/Equity &lt; 0.5, Market Cap &gt; 1000 Cr.</t>
        </is>
      </c>
      <c r="C17" s="16" t="n"/>
      <c r="D17" s="16" t="n"/>
      <c r="E17" s="16" t="n"/>
      <c r="F17" s="14" t="n"/>
    </row>
    <row r="18" ht="32" customHeight="1">
      <c r="A18" s="58" t="inlineStr">
        <is>
          <t>Step 2</t>
        </is>
      </c>
      <c r="B18" s="60" t="inlineStr">
        <is>
          <t>Filter further: Promoter holding &gt; 50%, No pledge or &lt; 5% pledged, EBITDA margin &gt; 15%.</t>
        </is>
      </c>
      <c r="C18" s="16" t="n"/>
      <c r="D18" s="16" t="n"/>
      <c r="E18" s="16" t="n"/>
      <c r="F18" s="14" t="n"/>
    </row>
    <row r="19" ht="32" customHeight="1">
      <c r="A19" s="58" t="inlineStr">
        <is>
          <t>Step 3</t>
        </is>
      </c>
      <c r="B19" s="59" t="inlineStr">
        <is>
          <t>Check if the company is in a structural sector: defence, EMS, specialty chem, CDMO, bio-energy, new materials, affordable housing.</t>
        </is>
      </c>
      <c r="C19" s="16" t="n"/>
      <c r="D19" s="16" t="n"/>
      <c r="E19" s="16" t="n"/>
      <c r="F19" s="14" t="n"/>
    </row>
    <row r="20" ht="32" customHeight="1">
      <c r="A20" s="58" t="inlineStr">
        <is>
          <t>Step 4</t>
        </is>
      </c>
      <c r="B20" s="60" t="inlineStr">
        <is>
          <t>Calculate PEG Ratio = PE / 3-yr PAT CAGR. PEG &lt; 1.5 = reasonably priced for growth. PEG &gt; 2 = expensive, wait for correction.</t>
        </is>
      </c>
      <c r="C20" s="16" t="n"/>
      <c r="D20" s="16" t="n"/>
      <c r="E20" s="16" t="n"/>
      <c r="F20" s="14" t="n"/>
    </row>
    <row r="21" ht="32" customHeight="1">
      <c r="A21" s="58" t="inlineStr">
        <is>
          <t>Step 5</t>
        </is>
      </c>
      <c r="B21" s="59" t="inlineStr">
        <is>
          <t>Verify 5 years of quarterly revenue trend: consistent growth or cyclical recovery? Revenue should not swing &gt;30% between quarters without reason.</t>
        </is>
      </c>
      <c r="C21" s="16" t="n"/>
      <c r="D21" s="16" t="n"/>
      <c r="E21" s="16" t="n"/>
      <c r="F21" s="14" t="n"/>
    </row>
    <row r="22" ht="32" customHeight="1">
      <c r="A22" s="58" t="inlineStr">
        <is>
          <t>Step 6</t>
        </is>
      </c>
      <c r="B22" s="60" t="inlineStr">
        <is>
          <t>Read at least 2 recent management commentary / earnings call transcripts. Does management have specific targets? Track record of meeting guidance?</t>
        </is>
      </c>
      <c r="C22" s="16" t="n"/>
      <c r="D22" s="16" t="n"/>
      <c r="E22" s="16" t="n"/>
      <c r="F22" s="14" t="n"/>
    </row>
    <row r="23" ht="32" customHeight="1">
      <c r="A23" s="58" t="inlineStr">
        <is>
          <t>Step 7</t>
        </is>
      </c>
      <c r="B23" s="59" t="inlineStr">
        <is>
          <t>Check FII + DII ownership trend: Increasing institutional ownership is a positive signal. Sudden large FII exit = flag.</t>
        </is>
      </c>
      <c r="C23" s="16" t="n"/>
      <c r="D23" s="16" t="n"/>
      <c r="E23" s="16" t="n"/>
      <c r="F23" s="14" t="n"/>
    </row>
    <row r="24" ht="32" customHeight="1">
      <c r="A24" s="58" t="inlineStr">
        <is>
          <t>Step 8</t>
        </is>
      </c>
      <c r="B24" s="60" t="inlineStr">
        <is>
          <t>Position size: Maximum 5–8% of your equity portfolio per small-cap stock. Total small-cap allocation: maximum 30–40% of equity portfolio.</t>
        </is>
      </c>
      <c r="C24" s="16" t="n"/>
      <c r="D24" s="16" t="n"/>
      <c r="E24" s="16" t="n"/>
      <c r="F24" s="14" t="n"/>
    </row>
    <row r="25" ht="32" customHeight="1">
      <c r="A25" s="58" t="inlineStr">
        <is>
          <t>Step 9</t>
        </is>
      </c>
      <c r="B25" s="59" t="inlineStr">
        <is>
          <t>Set a tracking discipline: Review after every quarterly result. If PAT growth drops below 15% for 2 consecutive quarters — reassess thesis.</t>
        </is>
      </c>
      <c r="C25" s="16" t="n"/>
      <c r="D25" s="16" t="n"/>
      <c r="E25" s="16" t="n"/>
      <c r="F25" s="14" t="n"/>
    </row>
  </sheetData>
  <mergeCells count="12">
    <mergeCell ref="B21:F21"/>
    <mergeCell ref="A2:F2"/>
    <mergeCell ref="A16:F16"/>
    <mergeCell ref="B24:F24"/>
    <mergeCell ref="B20:F20"/>
    <mergeCell ref="A1:F1"/>
    <mergeCell ref="B25:F25"/>
    <mergeCell ref="B19:F19"/>
    <mergeCell ref="B23:F23"/>
    <mergeCell ref="B22:F22"/>
    <mergeCell ref="B17:F17"/>
    <mergeCell ref="B18:F1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C4A00"/>
    <outlinePr summaryBelow="1" summaryRight="1"/>
    <pageSetUpPr fitToPage="1"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2" customWidth="1" min="5" max="5"/>
    <col width="32" customWidth="1" min="6" max="6"/>
    <col width="26" customWidth="1" min="7" max="7"/>
    <col width="12" customWidth="1" min="8" max="8"/>
  </cols>
  <sheetData>
    <row r="1" ht="34" customHeight="1">
      <c r="A1" s="25" t="inlineStr">
        <is>
          <t>INDIA SMALL-CAP WATCHLIST — 12 RESEARCH CANDIDATES | 16%+ CAGR | JUNE 2026 | RESEARCH ONLY</t>
        </is>
      </c>
    </row>
    <row r="2" ht="22" customHeight="1">
      <c r="A2" s="61" t="inlineStr">
        <is>
          <t>⚠ Small-caps are HIGH RISK. Max 5–8% per stock. Minimum 3-year hold. Not investment advice. Verify on screener.in before investing.</t>
        </is>
      </c>
    </row>
    <row r="3" ht="26" customHeight="1">
      <c r="A3" s="26" t="inlineStr">
        <is>
          <t>#</t>
        </is>
      </c>
      <c r="B3" s="26" t="inlineStr">
        <is>
          <t>Sector</t>
        </is>
      </c>
      <c r="C3" s="26" t="inlineStr">
        <is>
          <t>Company</t>
        </is>
      </c>
      <c r="D3" s="26" t="inlineStr">
        <is>
          <t>Ticker (NSE)</t>
        </is>
      </c>
      <c r="E3" s="26" t="inlineStr">
        <is>
          <t>Why it fits 16%+ CAGR</t>
        </is>
      </c>
      <c r="F3" s="26" t="inlineStr">
        <is>
          <t>Key Risks</t>
        </is>
      </c>
      <c r="G3" s="26" t="inlineStr">
        <is>
          <t>Valuation</t>
        </is>
      </c>
      <c r="H3" s="26" t="inlineStr">
        <is>
          <t>Risk</t>
        </is>
      </c>
    </row>
    <row r="4" ht="20" customHeight="1">
      <c r="A4" s="62" t="inlineStr">
        <is>
          <t xml:space="preserve">  ── DEFENCE ──</t>
        </is>
      </c>
    </row>
    <row r="5" ht="72" customHeight="1">
      <c r="A5" s="27" t="n">
        <v>1</v>
      </c>
      <c r="B5" s="43" t="inlineStr">
        <is>
          <t>Defence</t>
        </is>
      </c>
      <c r="C5" s="41" t="inlineStr">
        <is>
          <t>Data Patterns</t>
        </is>
      </c>
      <c r="D5" s="42" t="inlineStr">
        <is>
          <t>DATAPATTNS</t>
        </is>
      </c>
      <c r="E5" s="30" t="inlineStr">
        <is>
          <t>Order inflows +216% YoY; order book ₹2,062 cr; 90% indigenous; revenue +31% FY26</t>
        </is>
      </c>
      <c r="F5" s="44" t="inlineStr">
        <is>
          <t>Lumpy revenues; high PE 73x; customer concentration</t>
        </is>
      </c>
      <c r="G5" s="45" t="inlineStr">
        <is>
          <t>Expensive (PE ~73x)</t>
        </is>
      </c>
      <c r="H5" s="31" t="inlineStr">
        <is>
          <t>Med-High</t>
        </is>
      </c>
    </row>
    <row r="6" ht="72" customHeight="1">
      <c r="A6" s="32" t="n">
        <v>2</v>
      </c>
      <c r="B6" s="43" t="inlineStr">
        <is>
          <t>Defence</t>
        </is>
      </c>
      <c r="C6" s="47" t="inlineStr">
        <is>
          <t>MTAR Technologies</t>
        </is>
      </c>
      <c r="D6" s="42" t="inlineStr">
        <is>
          <t>MTARTECH</t>
        </is>
      </c>
      <c r="E6" s="34" t="inlineStr">
        <is>
          <t>Only certified nuclear precision machinist in India; ISRO/DRDO/HAL; 25–30% rev CAGR</t>
        </is>
      </c>
      <c r="F6" s="48" t="inlineStr">
        <is>
          <t>Very lumpy; small base; mission schedule delays</t>
        </is>
      </c>
      <c r="G6" s="45" t="inlineStr">
        <is>
          <t>Expensive (PE ~65x)</t>
        </is>
      </c>
      <c r="H6" s="50" t="inlineStr">
        <is>
          <t>High</t>
        </is>
      </c>
    </row>
    <row r="7" ht="20" customHeight="1">
      <c r="A7" s="62" t="inlineStr">
        <is>
          <t xml:space="preserve">  ── EMS ──</t>
        </is>
      </c>
    </row>
    <row r="8" ht="72" customHeight="1">
      <c r="A8" s="27" t="n">
        <v>3</v>
      </c>
      <c r="B8" s="51" t="inlineStr">
        <is>
          <t>EMS</t>
        </is>
      </c>
      <c r="C8" s="41" t="inlineStr">
        <is>
          <t>Syrma SGS Technology</t>
        </is>
      </c>
      <c r="D8" s="42" t="inlineStr">
        <is>
          <t>SYRMA</t>
        </is>
      </c>
      <c r="E8" s="30" t="inlineStr">
        <is>
          <t>Revenue +27%, PAT +87%, net cash ₹467 cr; RFID+defence EMS; targeting ₹6,000 cr revenue</t>
        </is>
      </c>
      <c r="F8" s="44" t="inlineStr">
        <is>
          <t>Assembly margin pressure; client concentration; PE ~52x</t>
        </is>
      </c>
      <c r="G8" s="52" t="inlineStr">
        <is>
          <t>Fair (PEG ~0.6x)</t>
        </is>
      </c>
      <c r="H8" s="31" t="inlineStr">
        <is>
          <t>Medium</t>
        </is>
      </c>
    </row>
    <row r="9" ht="72" customHeight="1">
      <c r="A9" s="32" t="n">
        <v>4</v>
      </c>
      <c r="B9" s="51" t="inlineStr">
        <is>
          <t>EMS</t>
        </is>
      </c>
      <c r="C9" s="47" t="inlineStr">
        <is>
          <t>Kaynes Technology</t>
        </is>
      </c>
      <c r="D9" s="42" t="inlineStr">
        <is>
          <t>KAYNES</t>
        </is>
      </c>
      <c r="E9" s="34" t="inlineStr">
        <is>
          <t>IoT/medical/defence EMS; high-margin product mix; revenue +26%; Jefferies 44% EPS CAGR sector</t>
        </is>
      </c>
      <c r="F9" s="48" t="inlineStr">
        <is>
          <t>Q4 FY26 profit fell 21.5%; PE 65x; small absolute profit base</t>
        </is>
      </c>
      <c r="G9" s="45" t="inlineStr">
        <is>
          <t>Expensive (PE ~65x)</t>
        </is>
      </c>
      <c r="H9" s="31" t="inlineStr">
        <is>
          <t>Med-High</t>
        </is>
      </c>
    </row>
    <row r="10" ht="20" customHeight="1">
      <c r="A10" s="62" t="inlineStr">
        <is>
          <t xml:space="preserve">  ── SPEC CHEM ──</t>
        </is>
      </c>
    </row>
    <row r="11" ht="72" customHeight="1">
      <c r="A11" s="27" t="n">
        <v>5</v>
      </c>
      <c r="B11" s="53" t="inlineStr">
        <is>
          <t>Spec Chem</t>
        </is>
      </c>
      <c r="C11" s="41" t="inlineStr">
        <is>
          <t>Navin Fluorine</t>
        </is>
      </c>
      <c r="D11" s="42" t="inlineStr">
        <is>
          <t>NAVINFLUOR</t>
        </is>
      </c>
      <c r="E11" s="30" t="inlineStr">
        <is>
          <t>EBITDA +103% FY26; PAT +130%; margins 32.6%; HFO + pharma fluorine pipeline</t>
        </is>
      </c>
      <c r="F11" s="44" t="inlineStr">
        <is>
          <t>Agrochem cycle risk; customer destocking; China competition</t>
        </is>
      </c>
      <c r="G11" s="52" t="inlineStr">
        <is>
          <t>Fair (PE ~30x)</t>
        </is>
      </c>
      <c r="H11" s="31" t="inlineStr">
        <is>
          <t>Medium</t>
        </is>
      </c>
    </row>
    <row r="12" ht="72" customHeight="1">
      <c r="A12" s="32" t="n">
        <v>6</v>
      </c>
      <c r="B12" s="53" t="inlineStr">
        <is>
          <t>Spec Chem</t>
        </is>
      </c>
      <c r="C12" s="47" t="inlineStr">
        <is>
          <t>Vinati Organics</t>
        </is>
      </c>
      <c r="D12" s="42" t="inlineStr">
        <is>
          <t>VINATIORGA</t>
        </is>
      </c>
      <c r="E12" s="34" t="inlineStr">
        <is>
          <t>Global #1 ATBS; zero debt; ATBS expansion commissioned; FY27 rev guide +15%; ROCE 25%</t>
        </is>
      </c>
      <c r="F12" s="48" t="inlineStr">
        <is>
          <t>Revenue was flat FY26; ATBS ramp may lag; single-product risk</t>
        </is>
      </c>
      <c r="G12" s="52" t="inlineStr">
        <is>
          <t>Fair (PE ~35x)</t>
        </is>
      </c>
      <c r="H12" s="31" t="inlineStr">
        <is>
          <t>Medium</t>
        </is>
      </c>
    </row>
    <row r="13" ht="72" customHeight="1">
      <c r="A13" s="27" t="n">
        <v>7</v>
      </c>
      <c r="B13" s="53" t="inlineStr">
        <is>
          <t>Spec Chem</t>
        </is>
      </c>
      <c r="C13" s="41" t="inlineStr">
        <is>
          <t>Clean Science &amp; Tech</t>
        </is>
      </c>
      <c r="D13" s="42" t="inlineStr">
        <is>
          <t>CLEAN</t>
        </is>
      </c>
      <c r="E13" s="30" t="inlineStr">
        <is>
          <t>ROCE 30%+; EBITDA margin 35%+; zero debt; green chemistry monopoly in MEHQ/BHA/anisole</t>
        </is>
      </c>
      <c r="F13" s="44" t="inlineStr">
        <is>
          <t>Concentrated portfolio; commodity pass-through risk; PE ~42x</t>
        </is>
      </c>
      <c r="G13" s="52" t="inlineStr">
        <is>
          <t>Fair (PE ~42x)</t>
        </is>
      </c>
      <c r="H13" s="31" t="inlineStr">
        <is>
          <t>Medium</t>
        </is>
      </c>
    </row>
    <row r="14" ht="20" customHeight="1">
      <c r="A14" s="62" t="inlineStr">
        <is>
          <t xml:space="preserve">  ── CDMO ──</t>
        </is>
      </c>
    </row>
    <row r="15" ht="72" customHeight="1">
      <c r="A15" s="32" t="n">
        <v>8</v>
      </c>
      <c r="B15" s="29" t="inlineStr">
        <is>
          <t>CDMO</t>
        </is>
      </c>
      <c r="C15" s="47" t="inlineStr">
        <is>
          <t>Blue Jet Healthcare</t>
        </is>
      </c>
      <c r="D15" s="42" t="inlineStr">
        <is>
          <t>BLUEJET</t>
        </is>
      </c>
      <c r="E15" s="34" t="inlineStr">
        <is>
          <t>PE 34x vs sector 86x = deeply undervalued; Q4 FY26 PAT +60% QoQ; Macquarie Outperform</t>
        </is>
      </c>
      <c r="F15" s="48" t="inlineStr">
        <is>
          <t>FY26 was a down year; contrast media concentration; order lumpiness</t>
        </is>
      </c>
      <c r="G15" s="36" t="inlineStr">
        <is>
          <t>Attractive (PE ~34x)</t>
        </is>
      </c>
      <c r="H15" s="31" t="inlineStr">
        <is>
          <t>Medium</t>
        </is>
      </c>
    </row>
    <row r="16" ht="72" customHeight="1">
      <c r="A16" s="27" t="n">
        <v>9</v>
      </c>
      <c r="B16" s="29" t="inlineStr">
        <is>
          <t>CDMO</t>
        </is>
      </c>
      <c r="C16" s="41" t="inlineStr">
        <is>
          <t>Suven Pharma (Cohance)</t>
        </is>
      </c>
      <c r="D16" s="42" t="inlineStr">
        <is>
          <t>SUVENPHAR</t>
        </is>
      </c>
      <c r="E16" s="30" t="inlineStr">
        <is>
          <t>EBITDA 52–56%; ROE 26%; 20%+ CAGR 4yrs; Macquarie Outperform; Citi: 4x EBITDA by FY30</t>
        </is>
      </c>
      <c r="F16" s="44" t="inlineStr">
        <is>
          <t>NCE programme risk; PE 43x; molecule trial failure = order loss</t>
        </is>
      </c>
      <c r="G16" s="52" t="inlineStr">
        <is>
          <t>Fair (PE ~43x)</t>
        </is>
      </c>
      <c r="H16" s="31" t="inlineStr">
        <is>
          <t>Medium</t>
        </is>
      </c>
    </row>
    <row r="17" ht="20" customHeight="1">
      <c r="A17" s="62" t="inlineStr">
        <is>
          <t xml:space="preserve">  ── BIO-ENERGY ──</t>
        </is>
      </c>
    </row>
    <row r="18" ht="72" customHeight="1">
      <c r="A18" s="32" t="n">
        <v>10</v>
      </c>
      <c r="B18" s="54" t="inlineStr">
        <is>
          <t>Bio-Energy</t>
        </is>
      </c>
      <c r="C18" s="47" t="inlineStr">
        <is>
          <t>Praj Industries</t>
        </is>
      </c>
      <c r="D18" s="42" t="inlineStr">
        <is>
          <t>PRAJIND</t>
        </is>
      </c>
      <c r="E18" s="34" t="inlineStr">
        <is>
          <t>Only full-stack bioethanol EPC; E20 policy direct beneficiary; bio-CNG+SAF new verticals</t>
        </is>
      </c>
      <c r="F18" s="48" t="inlineStr">
        <is>
          <t>Ethanol policy risk; sugarcane supply cycles; grain diversion controversy</t>
        </is>
      </c>
      <c r="G18" s="36" t="inlineStr">
        <is>
          <t>Attractive (PE ~26x)</t>
        </is>
      </c>
      <c r="H18" s="38" t="inlineStr">
        <is>
          <t>Low-Med</t>
        </is>
      </c>
    </row>
    <row r="19" ht="20" customHeight="1">
      <c r="A19" s="62" t="inlineStr">
        <is>
          <t xml:space="preserve">  ── NEW MATERIALS ──</t>
        </is>
      </c>
    </row>
    <row r="20" ht="72" customHeight="1">
      <c r="A20" s="27" t="n">
        <v>11</v>
      </c>
      <c r="B20" s="55" t="inlineStr">
        <is>
          <t>New Materials</t>
        </is>
      </c>
      <c r="C20" s="41" t="inlineStr">
        <is>
          <t>Ami Organics</t>
        </is>
      </c>
      <c r="D20" s="42" t="inlineStr">
        <is>
          <t>AMIORG</t>
        </is>
      </c>
      <c r="E20" s="30" t="inlineStr">
        <is>
          <t>Pharma NCE intermediates + EV electrolyte salts (EmPS); dual growth engines; ROCE 22%</t>
        </is>
      </c>
      <c r="F20" s="44" t="inlineStr">
        <is>
          <t>EV electrolyte ramp risk; pharma concentration; small company risk</t>
        </is>
      </c>
      <c r="G20" s="52" t="inlineStr">
        <is>
          <t>Fair (PE ~38x)</t>
        </is>
      </c>
      <c r="H20" s="31" t="inlineStr">
        <is>
          <t>Med-High</t>
        </is>
      </c>
    </row>
    <row r="21" ht="20" customHeight="1">
      <c r="A21" s="62" t="inlineStr">
        <is>
          <t xml:space="preserve">  ── HOUSING FINANCE ──</t>
        </is>
      </c>
    </row>
    <row r="22" ht="72" customHeight="1">
      <c r="A22" s="32" t="n">
        <v>12</v>
      </c>
      <c r="B22" s="42" t="inlineStr">
        <is>
          <t>Housing Finance</t>
        </is>
      </c>
      <c r="C22" s="47" t="inlineStr">
        <is>
          <t>Aptus Value Housing</t>
        </is>
      </c>
      <c r="D22" s="42" t="inlineStr">
        <is>
          <t>APTUS</t>
        </is>
      </c>
      <c r="E22" s="34" t="inlineStr">
        <is>
          <t>PAT +26%; AUM +21% to ₹13,107 cr; ROE 20.1%; ROA 7.9%; PMAY-U 2.0 tailwind</t>
        </is>
      </c>
      <c r="F22" s="48" t="inlineStr">
        <is>
          <t>South India concentration; self-employed borrower stress; competition from large HFCs</t>
        </is>
      </c>
      <c r="G22" s="52" t="inlineStr">
        <is>
          <t>Fair (PE ~18x FY27E)</t>
        </is>
      </c>
      <c r="H22" s="38" t="inlineStr">
        <is>
          <t>Low-Med</t>
        </is>
      </c>
    </row>
  </sheetData>
  <mergeCells count="9">
    <mergeCell ref="A4:H4"/>
    <mergeCell ref="A21:H21"/>
    <mergeCell ref="A7:H7"/>
    <mergeCell ref="A2:H2"/>
    <mergeCell ref="A10:H10"/>
    <mergeCell ref="A19:H19"/>
    <mergeCell ref="A14:H14"/>
    <mergeCell ref="A1:H1"/>
    <mergeCell ref="A17:H1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A1082"/>
    <outlinePr summaryBelow="1" summaryRight="1"/>
    <pageSetUpPr fitToPage="1"/>
  </sheetPr>
  <dimension ref="A1:K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22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  <col width="26" customWidth="1" min="10" max="10"/>
    <col width="12" customWidth="1" min="11" max="11"/>
  </cols>
  <sheetData>
    <row r="1" ht="34" customHeight="1">
      <c r="A1" s="25" t="inlineStr">
        <is>
          <t>RISK &amp; GROWTH MATRIX — All 12 Small-Cap Research Candidates</t>
        </is>
      </c>
    </row>
    <row r="2" ht="22" customHeight="1">
      <c r="A2" s="63" t="inlineStr">
        <is>
          <t>Green = Attractive / Lower Risk  ·  Amber = Fair / Medium Risk  ·  Red = Expensive / Higher Risk</t>
        </is>
      </c>
    </row>
    <row r="3" ht="26" customHeight="1">
      <c r="A3" s="26" t="inlineStr">
        <is>
          <t>#</t>
        </is>
      </c>
      <c r="B3" s="26" t="inlineStr">
        <is>
          <t>Company</t>
        </is>
      </c>
      <c r="C3" s="26" t="inlineStr">
        <is>
          <t>Ticker</t>
        </is>
      </c>
      <c r="D3" s="26" t="inlineStr">
        <is>
          <t>Sector</t>
        </is>
      </c>
      <c r="E3" s="26" t="inlineStr">
        <is>
          <t>Mkt Cap</t>
        </is>
      </c>
      <c r="F3" s="26" t="inlineStr">
        <is>
          <t>3Y Rev CAGR</t>
        </is>
      </c>
      <c r="G3" s="26" t="inlineStr">
        <is>
          <t>3Y PAT CAGR</t>
        </is>
      </c>
      <c r="H3" s="26" t="inlineStr">
        <is>
          <t>ROE</t>
        </is>
      </c>
      <c r="I3" s="26" t="inlineStr">
        <is>
          <t>ROCE</t>
        </is>
      </c>
      <c r="J3" s="26" t="inlineStr">
        <is>
          <t>Valuation</t>
        </is>
      </c>
      <c r="K3" s="26" t="inlineStr">
        <is>
          <t>Risk</t>
        </is>
      </c>
    </row>
    <row r="4" ht="28" customHeight="1">
      <c r="A4" s="64" t="n">
        <v>1</v>
      </c>
      <c r="B4" s="65" t="inlineStr">
        <is>
          <t>Data Patterns (India)</t>
        </is>
      </c>
      <c r="C4" s="66" t="inlineStr">
        <is>
          <t>DATAPATTNS</t>
        </is>
      </c>
      <c r="D4" s="67" t="inlineStr">
        <is>
          <t>Defence &amp; Aerospace</t>
        </is>
      </c>
      <c r="E4" s="64" t="inlineStr">
        <is>
          <t>~₹25,000 cr</t>
        </is>
      </c>
      <c r="F4" s="68" t="inlineStr">
        <is>
          <t>~31% (FY26)</t>
        </is>
      </c>
      <c r="G4" s="68" t="inlineStr">
        <is>
          <t>~28%</t>
        </is>
      </c>
      <c r="H4" s="68" t="inlineStr">
        <is>
          <t>~15%</t>
        </is>
      </c>
      <c r="I4" s="68" t="inlineStr">
        <is>
          <t>~18%</t>
        </is>
      </c>
      <c r="J4" s="69" t="inlineStr">
        <is>
          <t>Expensive</t>
        </is>
      </c>
      <c r="K4" s="70" t="inlineStr">
        <is>
          <t>Med-High</t>
        </is>
      </c>
    </row>
    <row r="5" ht="28" customHeight="1">
      <c r="A5" s="71" t="n">
        <v>2</v>
      </c>
      <c r="B5" s="72" t="inlineStr">
        <is>
          <t>MTAR Technologies</t>
        </is>
      </c>
      <c r="C5" s="66" t="inlineStr">
        <is>
          <t>MTARTECH</t>
        </is>
      </c>
      <c r="D5" s="67" t="inlineStr">
        <is>
          <t>Defence &amp; Aerospace</t>
        </is>
      </c>
      <c r="E5" s="71" t="inlineStr">
        <is>
          <t>~₹5,500 cr</t>
        </is>
      </c>
      <c r="F5" s="73" t="inlineStr">
        <is>
          <t>~25–30%</t>
        </is>
      </c>
      <c r="G5" s="73" t="inlineStr">
        <is>
          <t>~25%</t>
        </is>
      </c>
      <c r="H5" s="73" t="inlineStr">
        <is>
          <t>~18–20%</t>
        </is>
      </c>
      <c r="I5" s="73" t="inlineStr">
        <is>
          <t>~20%</t>
        </is>
      </c>
      <c r="J5" s="69" t="inlineStr">
        <is>
          <t>Expensive</t>
        </is>
      </c>
      <c r="K5" s="69" t="inlineStr">
        <is>
          <t>High</t>
        </is>
      </c>
    </row>
    <row r="6" ht="28" customHeight="1">
      <c r="A6" s="64" t="n">
        <v>3</v>
      </c>
      <c r="B6" s="65" t="inlineStr">
        <is>
          <t>Syrma SGS Technology</t>
        </is>
      </c>
      <c r="C6" s="66" t="inlineStr">
        <is>
          <t>SYRMA</t>
        </is>
      </c>
      <c r="D6" s="74" t="inlineStr">
        <is>
          <t>Electronics Manufacturing (EMS)</t>
        </is>
      </c>
      <c r="E6" s="64" t="inlineStr">
        <is>
          <t>~₹6,000 cr</t>
        </is>
      </c>
      <c r="F6" s="68" t="inlineStr">
        <is>
          <t>~27% (FY26)</t>
        </is>
      </c>
      <c r="G6" s="68" t="inlineStr">
        <is>
          <t>~87% (FY26); ~35% normalised</t>
        </is>
      </c>
      <c r="H6" s="68" t="inlineStr">
        <is>
          <t>~16%</t>
        </is>
      </c>
      <c r="I6" s="68" t="inlineStr">
        <is>
          <t>~17%</t>
        </is>
      </c>
      <c r="J6" s="70" t="inlineStr">
        <is>
          <t>Fair</t>
        </is>
      </c>
      <c r="K6" s="70" t="inlineStr">
        <is>
          <t>Medium</t>
        </is>
      </c>
    </row>
    <row r="7" ht="28" customHeight="1">
      <c r="A7" s="71" t="n">
        <v>4</v>
      </c>
      <c r="B7" s="72" t="inlineStr">
        <is>
          <t>Kaynes Technology India</t>
        </is>
      </c>
      <c r="C7" s="66" t="inlineStr">
        <is>
          <t>KAYNES</t>
        </is>
      </c>
      <c r="D7" s="74" t="inlineStr">
        <is>
          <t>Electronics Manufacturing (EMS)</t>
        </is>
      </c>
      <c r="E7" s="71" t="inlineStr">
        <is>
          <t>~₹15,000 cr</t>
        </is>
      </c>
      <c r="F7" s="73" t="inlineStr">
        <is>
          <t>~30%</t>
        </is>
      </c>
      <c r="G7" s="73" t="inlineStr">
        <is>
          <t>~35%</t>
        </is>
      </c>
      <c r="H7" s="73" t="inlineStr">
        <is>
          <t>~10–12% (scaling)</t>
        </is>
      </c>
      <c r="I7" s="73" t="inlineStr">
        <is>
          <t>~12%</t>
        </is>
      </c>
      <c r="J7" s="69" t="inlineStr">
        <is>
          <t>Expensive</t>
        </is>
      </c>
      <c r="K7" s="70" t="inlineStr">
        <is>
          <t>Med-High</t>
        </is>
      </c>
    </row>
    <row r="8" ht="28" customHeight="1">
      <c r="A8" s="64" t="n">
        <v>5</v>
      </c>
      <c r="B8" s="65" t="inlineStr">
        <is>
          <t>Navin Fluorine International</t>
        </is>
      </c>
      <c r="C8" s="66" t="inlineStr">
        <is>
          <t>NAVINFLUOR</t>
        </is>
      </c>
      <c r="D8" s="75" t="inlineStr">
        <is>
          <t>Specialty Chemicals</t>
        </is>
      </c>
      <c r="E8" s="64" t="inlineStr">
        <is>
          <t>~₹18,000 cr</t>
        </is>
      </c>
      <c r="F8" s="68" t="inlineStr">
        <is>
          <t>~20–25%</t>
        </is>
      </c>
      <c r="G8" s="68" t="inlineStr">
        <is>
          <t>~25–30%</t>
        </is>
      </c>
      <c r="H8" s="68" t="inlineStr">
        <is>
          <t>~18–20%</t>
        </is>
      </c>
      <c r="I8" s="68" t="inlineStr">
        <is>
          <t>~20%</t>
        </is>
      </c>
      <c r="J8" s="70" t="inlineStr">
        <is>
          <t>Fair</t>
        </is>
      </c>
      <c r="K8" s="70" t="inlineStr">
        <is>
          <t>Medium</t>
        </is>
      </c>
    </row>
    <row r="9" ht="28" customHeight="1">
      <c r="A9" s="71" t="n">
        <v>6</v>
      </c>
      <c r="B9" s="72" t="inlineStr">
        <is>
          <t>Vinati Organics</t>
        </is>
      </c>
      <c r="C9" s="66" t="inlineStr">
        <is>
          <t>VINATIORGA</t>
        </is>
      </c>
      <c r="D9" s="75" t="inlineStr">
        <is>
          <t>Specialty Chemicals</t>
        </is>
      </c>
      <c r="E9" s="71" t="inlineStr">
        <is>
          <t>~₹13,000 cr</t>
        </is>
      </c>
      <c r="F9" s="73" t="inlineStr">
        <is>
          <t>~15% (FY27E)</t>
        </is>
      </c>
      <c r="G9" s="73" t="inlineStr">
        <is>
          <t>~20–25%</t>
        </is>
      </c>
      <c r="H9" s="73" t="inlineStr">
        <is>
          <t>~22%</t>
        </is>
      </c>
      <c r="I9" s="73" t="inlineStr">
        <is>
          <t>~25%</t>
        </is>
      </c>
      <c r="J9" s="70" t="inlineStr">
        <is>
          <t>Fair</t>
        </is>
      </c>
      <c r="K9" s="70" t="inlineStr">
        <is>
          <t>Medium</t>
        </is>
      </c>
    </row>
    <row r="10" ht="28" customHeight="1">
      <c r="A10" s="64" t="n">
        <v>7</v>
      </c>
      <c r="B10" s="65" t="inlineStr">
        <is>
          <t>Clean Science &amp; Technology</t>
        </is>
      </c>
      <c r="C10" s="66" t="inlineStr">
        <is>
          <t>CLEAN</t>
        </is>
      </c>
      <c r="D10" s="75" t="inlineStr">
        <is>
          <t>Specialty Chemicals</t>
        </is>
      </c>
      <c r="E10" s="64" t="inlineStr">
        <is>
          <t>~₹8,000 cr</t>
        </is>
      </c>
      <c r="F10" s="68" t="inlineStr">
        <is>
          <t>~18–20%</t>
        </is>
      </c>
      <c r="G10" s="68" t="inlineStr">
        <is>
          <t>~22–25%</t>
        </is>
      </c>
      <c r="H10" s="68" t="inlineStr">
        <is>
          <t>~25%</t>
        </is>
      </c>
      <c r="I10" s="68" t="inlineStr">
        <is>
          <t>~30%+</t>
        </is>
      </c>
      <c r="J10" s="70" t="inlineStr">
        <is>
          <t>Fair</t>
        </is>
      </c>
      <c r="K10" s="70" t="inlineStr">
        <is>
          <t>Medium</t>
        </is>
      </c>
    </row>
    <row r="11" ht="28" customHeight="1">
      <c r="A11" s="71" t="n">
        <v>8</v>
      </c>
      <c r="B11" s="72" t="inlineStr">
        <is>
          <t>Blue Jet Healthcare</t>
        </is>
      </c>
      <c r="C11" s="66" t="inlineStr">
        <is>
          <t>BLUEJET</t>
        </is>
      </c>
      <c r="D11" s="76" t="inlineStr">
        <is>
          <t>CDMO &amp; Contract Pharma</t>
        </is>
      </c>
      <c r="E11" s="71" t="inlineStr">
        <is>
          <t>~₹9,000 cr</t>
        </is>
      </c>
      <c r="F11" s="73" t="inlineStr">
        <is>
          <t>~18–20% (FY27E recovery)</t>
        </is>
      </c>
      <c r="G11" s="73" t="inlineStr">
        <is>
          <t>~22–25% (FY27E+)</t>
        </is>
      </c>
      <c r="H11" s="73" t="inlineStr">
        <is>
          <t>~20%</t>
        </is>
      </c>
      <c r="I11" s="73" t="inlineStr">
        <is>
          <t>~22%</t>
        </is>
      </c>
      <c r="J11" s="77" t="inlineStr">
        <is>
          <t>Attractive</t>
        </is>
      </c>
      <c r="K11" s="70" t="inlineStr">
        <is>
          <t>Medium</t>
        </is>
      </c>
    </row>
    <row r="12" ht="28" customHeight="1">
      <c r="A12" s="64" t="n">
        <v>9</v>
      </c>
      <c r="B12" s="65" t="inlineStr">
        <is>
          <t>Suven Pharma (Cohance)</t>
        </is>
      </c>
      <c r="C12" s="66" t="inlineStr">
        <is>
          <t>SUVENPHAR</t>
        </is>
      </c>
      <c r="D12" s="76" t="inlineStr">
        <is>
          <t>CDMO &amp; Contract Pharma</t>
        </is>
      </c>
      <c r="E12" s="64" t="inlineStr">
        <is>
          <t>~₹14,000 cr</t>
        </is>
      </c>
      <c r="F12" s="68" t="inlineStr">
        <is>
          <t>~20–25%</t>
        </is>
      </c>
      <c r="G12" s="68" t="inlineStr">
        <is>
          <t>~22–25%</t>
        </is>
      </c>
      <c r="H12" s="68" t="inlineStr">
        <is>
          <t>~26%</t>
        </is>
      </c>
      <c r="I12" s="68" t="inlineStr">
        <is>
          <t>~28%</t>
        </is>
      </c>
      <c r="J12" s="70" t="inlineStr">
        <is>
          <t>Fair</t>
        </is>
      </c>
      <c r="K12" s="70" t="inlineStr">
        <is>
          <t>Medium</t>
        </is>
      </c>
    </row>
    <row r="13" ht="28" customHeight="1">
      <c r="A13" s="71" t="n">
        <v>10</v>
      </c>
      <c r="B13" s="72" t="inlineStr">
        <is>
          <t>Praj Industries</t>
        </is>
      </c>
      <c r="C13" s="66" t="inlineStr">
        <is>
          <t>PRAJIND</t>
        </is>
      </c>
      <c r="D13" s="78" t="inlineStr">
        <is>
          <t>Bio-Energy &amp; Cleantech</t>
        </is>
      </c>
      <c r="E13" s="71" t="inlineStr">
        <is>
          <t>~₹11,000 cr</t>
        </is>
      </c>
      <c r="F13" s="73" t="inlineStr">
        <is>
          <t>~18–20%</t>
        </is>
      </c>
      <c r="G13" s="73" t="inlineStr">
        <is>
          <t>~20%</t>
        </is>
      </c>
      <c r="H13" s="73" t="inlineStr">
        <is>
          <t>~20%</t>
        </is>
      </c>
      <c r="I13" s="73" t="inlineStr">
        <is>
          <t>~22%</t>
        </is>
      </c>
      <c r="J13" s="77" t="inlineStr">
        <is>
          <t>Attractive</t>
        </is>
      </c>
      <c r="K13" s="77" t="inlineStr">
        <is>
          <t>Low-Med</t>
        </is>
      </c>
    </row>
    <row r="14" ht="28" customHeight="1">
      <c r="A14" s="64" t="n">
        <v>11</v>
      </c>
      <c r="B14" s="65" t="inlineStr">
        <is>
          <t>Ami Organics</t>
        </is>
      </c>
      <c r="C14" s="66" t="inlineStr">
        <is>
          <t>AMIORG</t>
        </is>
      </c>
      <c r="D14" s="79" t="inlineStr">
        <is>
          <t>Pharma Intermediates &amp; New Materials</t>
        </is>
      </c>
      <c r="E14" s="64" t="inlineStr">
        <is>
          <t>~₹5,000 cr</t>
        </is>
      </c>
      <c r="F14" s="68" t="inlineStr">
        <is>
          <t>~22–25%</t>
        </is>
      </c>
      <c r="G14" s="68" t="inlineStr">
        <is>
          <t>~25%</t>
        </is>
      </c>
      <c r="H14" s="68" t="inlineStr">
        <is>
          <t>~20%</t>
        </is>
      </c>
      <c r="I14" s="68" t="inlineStr">
        <is>
          <t>~22%</t>
        </is>
      </c>
      <c r="J14" s="70" t="inlineStr">
        <is>
          <t>Fair</t>
        </is>
      </c>
      <c r="K14" s="70" t="inlineStr">
        <is>
          <t>Med-High</t>
        </is>
      </c>
    </row>
    <row r="15" ht="28" customHeight="1">
      <c r="A15" s="71" t="n">
        <v>12</v>
      </c>
      <c r="B15" s="72" t="inlineStr">
        <is>
          <t>Aptus Value Housing Finance</t>
        </is>
      </c>
      <c r="C15" s="66" t="inlineStr">
        <is>
          <t>APTUS</t>
        </is>
      </c>
      <c r="D15" s="80" t="inlineStr">
        <is>
          <t>Affordable Housing Finance</t>
        </is>
      </c>
      <c r="E15" s="71" t="inlineStr">
        <is>
          <t>~₹11,000 cr</t>
        </is>
      </c>
      <c r="F15" s="73" t="inlineStr">
        <is>
          <t>~25% (FY26)</t>
        </is>
      </c>
      <c r="G15" s="73" t="inlineStr">
        <is>
          <t>~26% (FY26)</t>
        </is>
      </c>
      <c r="H15" s="73" t="inlineStr">
        <is>
          <t>~20%</t>
        </is>
      </c>
      <c r="I15" s="73" t="inlineStr">
        <is>
          <t>~14.5%</t>
        </is>
      </c>
      <c r="J15" s="70" t="inlineStr">
        <is>
          <t>Fair</t>
        </is>
      </c>
      <c r="K15" s="77" t="inlineStr">
        <is>
          <t>Low-Med</t>
        </is>
      </c>
    </row>
    <row r="18" ht="24" customHeight="1">
      <c r="A18" s="57" t="inlineStr">
        <is>
          <t>KEY NOTES &amp; RISK LEGEND</t>
        </is>
      </c>
    </row>
    <row r="19" ht="42" customHeight="1">
      <c r="A19" s="81" t="inlineStr">
        <is>
          <t>ATTRACTIVE / LOW-MED RISK</t>
        </is>
      </c>
      <c r="B19" s="16" t="n"/>
      <c r="C19" s="14" t="n"/>
      <c r="D19" s="82" t="inlineStr">
        <is>
          <t>Best risk-reward. Blue Jet (PE 34x vs sector 86x), Praj Industries (PE 26x policy-backed), Aptus Housing Finance (PE 18x, ROE 20%). Strong thesis + reasonable valuation.</t>
        </is>
      </c>
      <c r="E19" s="16" t="n"/>
      <c r="F19" s="16" t="n"/>
      <c r="G19" s="16" t="n"/>
      <c r="H19" s="16" t="n"/>
      <c r="I19" s="16" t="n"/>
      <c r="J19" s="16" t="n"/>
      <c r="K19" s="14" t="n"/>
    </row>
    <row r="20" ht="42" customHeight="1">
      <c r="A20" s="83" t="inlineStr">
        <is>
          <t>FAIR / MEDIUM RISK</t>
        </is>
      </c>
      <c r="B20" s="16" t="n"/>
      <c r="C20" s="14" t="n"/>
      <c r="D20" s="60" t="inlineStr">
        <is>
          <t>Good quality + fair valuation. Syrma SGS (PAT +87%), Navin Fluorine (EBITDA +103%), Vinati Organics (zero debt), Clean Science (ROCE 30%+), Suven Pharma (EBITDA 52%+), Ami Organics.</t>
        </is>
      </c>
      <c r="E20" s="16" t="n"/>
      <c r="F20" s="16" t="n"/>
      <c r="G20" s="16" t="n"/>
      <c r="H20" s="16" t="n"/>
      <c r="I20" s="16" t="n"/>
      <c r="J20" s="16" t="n"/>
      <c r="K20" s="14" t="n"/>
    </row>
    <row r="21" ht="42" customHeight="1">
      <c r="A21" s="84" t="inlineStr">
        <is>
          <t>EXPENSIVE / HIGHER RISK</t>
        </is>
      </c>
      <c r="B21" s="16" t="n"/>
      <c r="C21" s="14" t="n"/>
      <c r="D21" s="82" t="inlineStr">
        <is>
          <t>Excellent businesses but premium valuations. Data Patterns (PE 73x), MTAR Tech (PE 65x), Kaynes (PE 65x). Buy only in tranches over 3-6 months; never &gt; 5% of portfolio.</t>
        </is>
      </c>
      <c r="E21" s="16" t="n"/>
      <c r="F21" s="16" t="n"/>
      <c r="G21" s="16" t="n"/>
      <c r="H21" s="16" t="n"/>
      <c r="I21" s="16" t="n"/>
      <c r="J21" s="16" t="n"/>
      <c r="K21" s="14" t="n"/>
    </row>
    <row r="22" ht="42" customHeight="1">
      <c r="A22" s="85" t="inlineStr">
        <is>
          <t>CRITICAL SMALL-CAP RULES</t>
        </is>
      </c>
      <c r="B22" s="16" t="n"/>
      <c r="C22" s="14" t="n"/>
      <c r="D22" s="60" t="inlineStr">
        <is>
          <t>1) Max 5-8% per stock. 2) Min 3-year holding period. 3) Diversify across ≥ 4 sectors. 4) Never chase momentum — buy on thesis, exit on thesis break. 5) Track quarterly earnings.</t>
        </is>
      </c>
      <c r="E22" s="16" t="n"/>
      <c r="F22" s="16" t="n"/>
      <c r="G22" s="16" t="n"/>
      <c r="H22" s="16" t="n"/>
      <c r="I22" s="16" t="n"/>
      <c r="J22" s="16" t="n"/>
      <c r="K22" s="14" t="n"/>
    </row>
    <row r="23" ht="42" customHeight="1">
      <c r="A23" s="86" t="inlineStr">
        <is>
          <t>DISCLAIMER</t>
        </is>
      </c>
      <c r="B23" s="16" t="n"/>
      <c r="C23" s="14" t="n"/>
      <c r="D23" s="82" t="inlineStr">
        <is>
          <t>All data as of June 2026. Small-caps can fall 40-60% in bear markets. This is NOT investment advice. Verify all data on screener.in / tijorifinance.com. Consult a SEBI-registered adviser.</t>
        </is>
      </c>
      <c r="E23" s="16" t="n"/>
      <c r="F23" s="16" t="n"/>
      <c r="G23" s="16" t="n"/>
      <c r="H23" s="16" t="n"/>
      <c r="I23" s="16" t="n"/>
      <c r="J23" s="16" t="n"/>
      <c r="K23" s="14" t="n"/>
    </row>
    <row r="26">
      <c r="A26" s="87" t="inlineStr">
        <is>
          <t>Stock</t>
        </is>
      </c>
      <c r="B26" s="87" t="inlineStr">
        <is>
          <t>3Y PAT CAGR (%)</t>
        </is>
      </c>
    </row>
    <row r="27">
      <c r="A27" t="inlineStr">
        <is>
          <t>DATAPATTNS</t>
        </is>
      </c>
      <c r="B27" t="n">
        <v>28</v>
      </c>
    </row>
    <row r="28">
      <c r="A28" t="inlineStr">
        <is>
          <t>MTARTECH</t>
        </is>
      </c>
      <c r="B28" t="n">
        <v>25</v>
      </c>
    </row>
    <row r="29">
      <c r="A29" t="inlineStr">
        <is>
          <t>SYRMA</t>
        </is>
      </c>
      <c r="B29" t="n">
        <v>35</v>
      </c>
    </row>
    <row r="30">
      <c r="A30" t="inlineStr">
        <is>
          <t>KAYNES</t>
        </is>
      </c>
      <c r="B30" t="n">
        <v>35</v>
      </c>
    </row>
    <row r="31">
      <c r="A31" t="inlineStr">
        <is>
          <t>NAVINFLUOR</t>
        </is>
      </c>
      <c r="B31" t="n">
        <v>28</v>
      </c>
    </row>
    <row r="32">
      <c r="A32" t="inlineStr">
        <is>
          <t>VINATIORGA</t>
        </is>
      </c>
      <c r="B32" t="n">
        <v>22</v>
      </c>
    </row>
    <row r="33">
      <c r="A33" t="inlineStr">
        <is>
          <t>CLEAN</t>
        </is>
      </c>
      <c r="B33" t="n">
        <v>23</v>
      </c>
    </row>
    <row r="34">
      <c r="A34" t="inlineStr">
        <is>
          <t>BLUEJET</t>
        </is>
      </c>
      <c r="B34" t="n">
        <v>23</v>
      </c>
    </row>
    <row r="35">
      <c r="A35" t="inlineStr">
        <is>
          <t>SUVENPHAR</t>
        </is>
      </c>
      <c r="B35" t="n">
        <v>23</v>
      </c>
    </row>
    <row r="36">
      <c r="A36" t="inlineStr">
        <is>
          <t>PRAJIND</t>
        </is>
      </c>
      <c r="B36" t="n">
        <v>20</v>
      </c>
    </row>
    <row r="37">
      <c r="A37" t="inlineStr">
        <is>
          <t>AMIORG</t>
        </is>
      </c>
      <c r="B37" t="n">
        <v>25</v>
      </c>
    </row>
    <row r="38">
      <c r="A38" t="inlineStr">
        <is>
          <t>APTUS</t>
        </is>
      </c>
      <c r="B38" t="n">
        <v>26</v>
      </c>
    </row>
  </sheetData>
  <mergeCells count="13">
    <mergeCell ref="A20:C20"/>
    <mergeCell ref="D20:K20"/>
    <mergeCell ref="A19:C19"/>
    <mergeCell ref="A18:K18"/>
    <mergeCell ref="D21:K21"/>
    <mergeCell ref="A23:C23"/>
    <mergeCell ref="D19:K19"/>
    <mergeCell ref="A22:C22"/>
    <mergeCell ref="A2:K2"/>
    <mergeCell ref="A21:C21"/>
    <mergeCell ref="D22:K22"/>
    <mergeCell ref="D23:K23"/>
    <mergeCell ref="A1:K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2026-06-13T15:25:57Z</dcterms:created>
  <dcterms:modified xsi:type="dcterms:W3CDTF">2026-06-13T15:25:57Z</dcterms:modified>
</cp:coreProperties>
</file>