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ettings" sheetId="2" state="visible" r:id="rId2"/>
    <sheet name="Invoices" sheetId="3" state="visible" r:id="rId3"/>
    <sheet name="Receipts &amp; Payments" sheetId="4" state="visible" r:id="rId4"/>
    <sheet name="Allocation &amp; Forex Calc" sheetId="5" state="visible" r:id="rId5"/>
    <sheet name="Dashboard" sheetId="6" state="visible" r:id="rId6"/>
  </sheets>
  <definedNames>
    <definedName name="BaseCurrency">Settings!$C$5</definedName>
    <definedName name="ReportingDate">Settings!$C$6</definedName>
    <definedName name="CompanyName">Settings!$C$4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m-yyyy"/>
    <numFmt numFmtId="166" formatCode="0.0000"/>
    <numFmt numFmtId="167" formatCode="#,##0.00;[Red](#,##0.00)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9"/>
    </font>
    <font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2E5496"/>
      <sz val="10"/>
    </font>
    <font>
      <b val="1"/>
      <color rgb="0044546A"/>
      <sz val="10"/>
    </font>
    <font>
      <name val="Calibri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F8F00"/>
      </patternFill>
    </fill>
    <fill>
      <patternFill patternType="solid">
        <fgColor rgb="000F6E6E"/>
      </patternFill>
    </fill>
    <fill>
      <patternFill patternType="solid">
        <fgColor rgb="0044546A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2E5496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wrapText="1" indent="1"/>
    </xf>
    <xf numFmtId="0" fontId="3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3" fillId="5" borderId="0" applyAlignment="1" pivotButton="0" quotePrefix="0" xfId="0">
      <alignment horizontal="left" vertical="center" indent="1"/>
    </xf>
    <xf numFmtId="0" fontId="1" fillId="5" borderId="0" applyAlignment="1" pivotButton="0" quotePrefix="0" xfId="0">
      <alignment horizontal="left" vertical="center" indent="1"/>
    </xf>
    <xf numFmtId="0" fontId="2" fillId="5" borderId="0" applyAlignment="1" pivotButton="0" quotePrefix="0" xfId="0">
      <alignment horizontal="left" vertical="center" indent="1"/>
    </xf>
    <xf numFmtId="0" fontId="5" fillId="6" borderId="0" pivotButton="0" quotePrefix="0" xfId="0"/>
    <xf numFmtId="0" fontId="6" fillId="7" borderId="1" pivotButton="0" quotePrefix="0" xfId="0"/>
    <xf numFmtId="0" fontId="0" fillId="0" borderId="4" pivotButton="0" quotePrefix="0" xfId="0"/>
    <xf numFmtId="165" fontId="6" fillId="7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6" fontId="0" fillId="0" borderId="1" applyAlignment="1" pivotButton="0" quotePrefix="0" xfId="0">
      <alignment horizontal="right" vertical="center"/>
    </xf>
    <xf numFmtId="0" fontId="1" fillId="8" borderId="0" applyAlignment="1" pivotButton="0" quotePrefix="0" xfId="0">
      <alignment horizontal="left" vertical="center" indent="1"/>
    </xf>
    <xf numFmtId="0" fontId="2" fillId="8" borderId="0" applyAlignment="1" pivotButton="0" quotePrefix="0" xfId="0">
      <alignment horizontal="left" vertical="center" indent="1"/>
    </xf>
    <xf numFmtId="0" fontId="8" fillId="8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167" fontId="0" fillId="0" borderId="1" applyAlignment="1" pivotButton="0" quotePrefix="0" xfId="0">
      <alignment horizontal="right" vertical="center"/>
    </xf>
    <xf numFmtId="0" fontId="1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left" vertical="center" indent="1"/>
    </xf>
    <xf numFmtId="3" fontId="0" fillId="0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left" vertical="center" indent="1"/>
    </xf>
    <xf numFmtId="167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dxfs count="5">
    <dxf>
      <font>
        <b val="1"/>
        <color rgb="00548235"/>
      </font>
    </dxf>
    <dxf>
      <font>
        <b val="1"/>
        <color rgb="00C00000"/>
      </font>
    </dxf>
    <dxf>
      <font>
        <b val="1"/>
        <color rgb="00548235"/>
      </font>
      <fill>
        <patternFill patternType="solid">
          <fgColor rgb="00E2EFDA"/>
        </patternFill>
      </fill>
    </dxf>
    <dxf>
      <font>
        <b val="1"/>
        <color rgb="00C00000"/>
      </font>
      <fill>
        <patternFill patternType="solid">
          <fgColor rgb="00FCE4E4"/>
        </patternFill>
      </fill>
    </dxf>
    <dxf>
      <font>
        <b val="1"/>
        <color rgb="00BF8F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blCurrency" displayName="tblCurrency" ref="A9:C14" headerRowCount="1">
  <autoFilter ref="A9:C14"/>
  <tableColumns count="3">
    <tableColumn id="1" name="Currency"/>
    <tableColumn id="2" name="Description"/>
    <tableColumn id="3" name="Closing Rate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tblInvoices" displayName="tblInvoices" ref="A4:P10" headerRowCount="1">
  <autoFilter ref="A4:P10"/>
  <tableColumns count="16">
    <tableColumn id="1" name="Invoice No"/>
    <tableColumn id="2" name="Transaction Type"/>
    <tableColumn id="3" name="Party Name"/>
    <tableColumn id="4" name="Currency"/>
    <tableColumn id="5" name="Invoice Date"/>
    <tableColumn id="6" name="FC Amount"/>
    <tableColumn id="7" name="Invoice Rate"/>
    <tableColumn id="8" name="Invoice Value (Base)"/>
    <tableColumn id="9" name="FC Settled"/>
    <tableColumn id="10" name="FC Outstanding"/>
    <tableColumn id="11" name="Settlement Status"/>
    <tableColumn id="12" name="Closing Rate"/>
    <tableColumn id="13" name="Realised Gain/(Loss)"/>
    <tableColumn id="14" name="Unrealised Gain/(Loss)"/>
    <tableColumn id="15" name="Total Forex Impact"/>
    <tableColumn id="16" name="Remarks / Additional detail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Settlements" displayName="tblSettlements" ref="A4:L12" headerRowCount="1">
  <autoFilter ref="A4:L12"/>
  <tableColumns count="12">
    <tableColumn id="1" name="Settlement Ref"/>
    <tableColumn id="2" name="Settlement Type"/>
    <tableColumn id="3" name="Party Name"/>
    <tableColumn id="4" name="Currency"/>
    <tableColumn id="5" name="Settlement Date"/>
    <tableColumn id="6" name="FC Amount"/>
    <tableColumn id="7" name="Settlement Rate"/>
    <tableColumn id="8" name="Settlement Value (Base)"/>
    <tableColumn id="9" name="FC Allocated"/>
    <tableColumn id="10" name="FC Unallocated"/>
    <tableColumn id="11" name="Allocation Status"/>
    <tableColumn id="12" name="Narration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id="4" name="tblAllocations" displayName="tblAllocations" ref="A4:T13" headerRowCount="1">
  <autoFilter ref="A4:T13"/>
  <tableColumns count="20">
    <tableColumn id="1" name="Alloc ID"/>
    <tableColumn id="2" name="Settlement Ref"/>
    <tableColumn id="3" name="Invoice No"/>
    <tableColumn id="4" name="FC Allocated"/>
    <tableColumn id="5" name="Transaction Type"/>
    <tableColumn id="6" name="Party"/>
    <tableColumn id="7" name="Currency"/>
    <tableColumn id="8" name="Invoice Date"/>
    <tableColumn id="9" name="Invoice Rate"/>
    <tableColumn id="10" name="Settlement Date"/>
    <tableColumn id="11" name="Settlement Rate"/>
    <tableColumn id="12" name="Settlement Type"/>
    <tableColumn id="13" name="Settlement Nature"/>
    <tableColumn id="14" name="Base @ Invoice Rate"/>
    <tableColumn id="15" name="Base @ Settlement Rate"/>
    <tableColumn id="16" name="Rate Difference"/>
    <tableColumn id="17" name="Forex Gain/(Loss)"/>
    <tableColumn id="18" name="Result"/>
    <tableColumn id="19" name="Days to Settle"/>
    <tableColumn id="20" name="Validation / Re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1" t="inlineStr">
        <is>
          <t>FOREIGN EXCHANGE GAIN / (LOSS) WORKBOOK</t>
        </is>
      </c>
    </row>
    <row r="2" ht="16" customHeight="1">
      <c r="A2" s="2" t="inlineStr">
        <is>
          <t>Realised &amp; unrealised forex on sales and purchase transactions  •  driven by live formulas</t>
        </is>
      </c>
    </row>
    <row r="4" ht="20" customHeight="1">
      <c r="A4" s="3" t="inlineStr">
        <is>
          <t>HOW THIS WORKBOOK IS ORGANISED</t>
        </is>
      </c>
    </row>
    <row r="5" ht="28" customHeight="1">
      <c r="A5" s="4" t="inlineStr">
        <is>
          <t>1.  Settings  –  set your base (reporting) currency, the reporting / closing date and the closing exchange rate per foreign currency.</t>
        </is>
      </c>
    </row>
    <row r="6" ht="28" customHeight="1">
      <c r="A6" s="4" t="inlineStr">
        <is>
          <t>2.  Invoices  –  enter every SALES and PURCHASE invoice raised/received in foreign currency (the base input).</t>
        </is>
      </c>
    </row>
    <row r="7" ht="28" customHeight="1">
      <c r="A7" s="4" t="inlineStr">
        <is>
          <t>3.  Receipts &amp; Payments  –  enter every money movement: receipts against sales, payments against purchases (incl. advances).</t>
        </is>
      </c>
    </row>
    <row r="8" ht="28" customHeight="1">
      <c r="A8" s="4" t="inlineStr">
        <is>
          <t>4.  Allocation &amp; Forex Calc  –  link each receipt/payment to the invoice(s) it settles. This is where gain/(loss) is calculated.</t>
        </is>
      </c>
    </row>
    <row r="9" ht="28" customHeight="1">
      <c r="A9" s="4" t="inlineStr">
        <is>
          <t>5.  Dashboard  –  automatic summary of realised, unrealised and net forex impact by transaction type and party.</t>
        </is>
      </c>
    </row>
    <row r="11" ht="20" customHeight="1">
      <c r="A11" s="5" t="inlineStr">
        <is>
          <t>WHY THE ALLOCATION SHEET EXISTS (read this)</t>
        </is>
      </c>
    </row>
    <row r="12" ht="28" customHeight="1">
      <c r="A12" s="4" t="inlineStr">
        <is>
          <t>Forex settlement is many-to-many. The Allocation sheet is the bridge that captures every real-world situation:</t>
        </is>
      </c>
    </row>
    <row r="13" ht="28" customHeight="1">
      <c r="A13" s="4" t="inlineStr">
        <is>
          <t>•  One invoice settled by 3 or more receipts/payments on different dates  →  enter one allocation line per date.</t>
        </is>
      </c>
    </row>
    <row r="14" ht="28" customHeight="1">
      <c r="A14" s="4" t="inlineStr">
        <is>
          <t>•  A part advance (money received/paid BEFORE the invoice date)  →  the line is auto-tagged 'Advance'.</t>
        </is>
      </c>
    </row>
    <row r="15" ht="28" customHeight="1">
      <c r="A15" s="4" t="inlineStr">
        <is>
          <t>•  One single receipt/payment settling 2–3 invoices  →  enter one allocation line per invoice, splitting the amount.</t>
        </is>
      </c>
    </row>
    <row r="16" ht="28" customHeight="1">
      <c r="A16" s="4" t="inlineStr">
        <is>
          <t>Each allocation line earns its own gain/(loss), because each settlement happened at its own exchange rate.</t>
        </is>
      </c>
    </row>
    <row r="18" ht="20" customHeight="1">
      <c r="A18" s="6" t="inlineStr">
        <is>
          <t>HOW GAIN / (LOSS) IS CALCULATED</t>
        </is>
      </c>
    </row>
    <row r="19" ht="15" customHeight="1">
      <c r="A19" s="4" t="inlineStr">
        <is>
          <t>Realised (per allocation line, when money actually moves):</t>
        </is>
      </c>
    </row>
    <row r="20" ht="15" customHeight="1">
      <c r="A20" s="4" t="inlineStr">
        <is>
          <t xml:space="preserve">      Forex Gain/(Loss) = FC Allocated × (Settlement Rate − Invoice Rate) × sign</t>
        </is>
      </c>
    </row>
    <row r="21" ht="15" customHeight="1">
      <c r="A21" s="4" t="inlineStr">
        <is>
          <t xml:space="preserve">      sign = +1 for SALES   |   sign = −1 for PURCHASE</t>
        </is>
      </c>
    </row>
    <row r="22" ht="28" customHeight="1">
      <c r="A22" s="4" t="inlineStr">
        <is>
          <t xml:space="preserve">      → Sales: you gain when the currency strengthens after invoicing; Purchase: you gain when it weakens.</t>
        </is>
      </c>
    </row>
    <row r="23" ht="15" customHeight="1">
      <c r="A23" s="4" t="inlineStr">
        <is>
          <t>Unrealised (per invoice, on the still-open foreign-currency balance at the closing rate):</t>
        </is>
      </c>
    </row>
    <row r="24" ht="15" customHeight="1">
      <c r="A24" s="4" t="inlineStr">
        <is>
          <t xml:space="preserve">      Unrealised Gain/(Loss) = FC Outstanding × (Closing Rate − Invoice Rate) × sign</t>
        </is>
      </c>
    </row>
    <row r="25" ht="15" customHeight="1">
      <c r="A25" s="4" t="inlineStr">
        <is>
          <t>A POSITIVE figure is a GAIN; a figure in (brackets)/red is a LOSS to the company.</t>
        </is>
      </c>
    </row>
    <row r="27" ht="20" customHeight="1">
      <c r="A27" s="7" t="inlineStr">
        <is>
          <t>CONVENTIONS</t>
        </is>
      </c>
    </row>
    <row r="28" ht="15" customHeight="1">
      <c r="A28" s="4" t="inlineStr">
        <is>
          <t>•  Rate = units of base currency per 1 unit of foreign currency (e.g. INR per 1 USD).</t>
        </is>
      </c>
    </row>
    <row r="29" ht="15" customHeight="1">
      <c r="A29" s="4" t="inlineStr">
        <is>
          <t>•  Blue headers = your input.   Grey headers = automatically calculated, do not overtype.</t>
        </is>
      </c>
    </row>
    <row r="30" ht="28" customHeight="1">
      <c r="A30" s="4" t="inlineStr">
        <is>
          <t>•  Tables auto-extend: start typing on the row below a table and the formatting &amp; formulas copy down.</t>
        </is>
      </c>
    </row>
    <row r="31" ht="28" customHeight="1">
      <c r="A31" s="4" t="inlineStr">
        <is>
          <t>•  Dropdowns are provided for Type and Currency; Invoice No / Settlement Ref pick-lists are validated.</t>
        </is>
      </c>
    </row>
    <row r="32" ht="28" customHeight="1">
      <c r="A32" s="4" t="inlineStr">
        <is>
          <t>•  The sample rows are a worked example covering every scenario above – clear them to start your own data.</t>
        </is>
      </c>
    </row>
  </sheetData>
  <mergeCells count="28">
    <mergeCell ref="A9:H9"/>
    <mergeCell ref="A30:H30"/>
    <mergeCell ref="A15:H15"/>
    <mergeCell ref="A24:H24"/>
    <mergeCell ref="A11:H11"/>
    <mergeCell ref="A1:H1"/>
    <mergeCell ref="A6:H6"/>
    <mergeCell ref="A7:H7"/>
    <mergeCell ref="A25:H25"/>
    <mergeCell ref="A16:H16"/>
    <mergeCell ref="A27:H27"/>
    <mergeCell ref="A12:H12"/>
    <mergeCell ref="A18:H18"/>
    <mergeCell ref="A21:H21"/>
    <mergeCell ref="A2:H2"/>
    <mergeCell ref="A14:H14"/>
    <mergeCell ref="A5:H5"/>
    <mergeCell ref="A23:H23"/>
    <mergeCell ref="A32:H32"/>
    <mergeCell ref="A8:H8"/>
    <mergeCell ref="A22:H22"/>
    <mergeCell ref="A4:H4"/>
    <mergeCell ref="A29:H29"/>
    <mergeCell ref="A20:H20"/>
    <mergeCell ref="A28:H28"/>
    <mergeCell ref="A13:H13"/>
    <mergeCell ref="A19:H19"/>
    <mergeCell ref="A31:H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546A"/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2" customWidth="1" min="4" max="4"/>
  </cols>
  <sheetData>
    <row r="1" ht="30" customHeight="1">
      <c r="A1" s="8" t="inlineStr">
        <is>
          <t>SETTINGS  &amp;  CURRENCY MASTER</t>
        </is>
      </c>
    </row>
    <row r="2" ht="16" customHeight="1">
      <c r="A2" s="9" t="inlineStr">
        <is>
          <t>Set once at period start, then revisit only the closing rates at period end</t>
        </is>
      </c>
    </row>
    <row r="4">
      <c r="A4" s="10" t="inlineStr">
        <is>
          <t>Company / Entity Name</t>
        </is>
      </c>
      <c r="C4" s="11" t="inlineStr">
        <is>
          <t>Your Company Pvt Ltd</t>
        </is>
      </c>
      <c r="D4" s="12" t="n"/>
    </row>
    <row r="5">
      <c r="A5" s="10" t="inlineStr">
        <is>
          <t>Base / Reporting Currency</t>
        </is>
      </c>
      <c r="C5" s="11" t="inlineStr">
        <is>
          <t>INR</t>
        </is>
      </c>
      <c r="D5" s="12" t="n"/>
    </row>
    <row r="6">
      <c r="A6" s="10" t="inlineStr">
        <is>
          <t>Reporting / Closing Date</t>
        </is>
      </c>
      <c r="C6" s="13" t="n">
        <v>46112</v>
      </c>
      <c r="D6" s="12" t="n"/>
    </row>
    <row r="8">
      <c r="A8" s="14" t="inlineStr">
        <is>
          <t>CLOSING EXCHANGE RATES (base currency per 1 unit of foreign currency)</t>
        </is>
      </c>
    </row>
    <row r="9" ht="30" customHeight="1">
      <c r="A9" s="15" t="inlineStr">
        <is>
          <t>Currency</t>
        </is>
      </c>
      <c r="B9" s="15" t="inlineStr">
        <is>
          <t>Description</t>
        </is>
      </c>
      <c r="C9" s="15" t="inlineStr">
        <is>
          <t>Closing Rate</t>
        </is>
      </c>
    </row>
    <row r="10">
      <c r="A10" s="16" t="inlineStr">
        <is>
          <t>USD</t>
        </is>
      </c>
      <c r="B10" s="16" t="inlineStr">
        <is>
          <t>US Dollar</t>
        </is>
      </c>
      <c r="C10" s="17" t="n">
        <v>83.5</v>
      </c>
    </row>
    <row r="11">
      <c r="A11" s="16" t="inlineStr">
        <is>
          <t>EUR</t>
        </is>
      </c>
      <c r="B11" s="16" t="inlineStr">
        <is>
          <t>Euro</t>
        </is>
      </c>
      <c r="C11" s="17" t="n">
        <v>90.2</v>
      </c>
    </row>
    <row r="12">
      <c r="A12" s="16" t="inlineStr">
        <is>
          <t>GBP</t>
        </is>
      </c>
      <c r="B12" s="16" t="inlineStr">
        <is>
          <t>Pound Sterling</t>
        </is>
      </c>
      <c r="C12" s="17" t="n">
        <v>105</v>
      </c>
    </row>
    <row r="13">
      <c r="A13" s="16" t="inlineStr">
        <is>
          <t>AED</t>
        </is>
      </c>
      <c r="B13" s="16" t="inlineStr">
        <is>
          <t>UAE Dirham</t>
        </is>
      </c>
      <c r="C13" s="17" t="n">
        <v>22.7</v>
      </c>
    </row>
    <row r="14">
      <c r="A14" s="16" t="inlineStr">
        <is>
          <t>JPY</t>
        </is>
      </c>
      <c r="B14" s="16" t="inlineStr">
        <is>
          <t>Japanese Yen</t>
        </is>
      </c>
      <c r="C14" s="17" t="n">
        <v>0.5600000000000001</v>
      </c>
    </row>
  </sheetData>
  <mergeCells count="8">
    <mergeCell ref="A4:B4"/>
    <mergeCell ref="A2:F2"/>
    <mergeCell ref="C6:D6"/>
    <mergeCell ref="A1:F1"/>
    <mergeCell ref="C5:D5"/>
    <mergeCell ref="A5:B5"/>
    <mergeCell ref="A6:B6"/>
    <mergeCell ref="C4:D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2E5496"/>
    <outlinePr summaryBelow="1" summaryRight="1"/>
    <pageSetUpPr/>
  </sheetPr>
  <dimension ref="A1:P1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9" customWidth="1" min="4" max="4"/>
    <col width="13" customWidth="1" min="5" max="5"/>
    <col width="13" customWidth="1" min="6" max="6"/>
    <col width="11" customWidth="1" min="7" max="7"/>
    <col width="16" customWidth="1" min="8" max="8"/>
    <col width="12" customWidth="1" min="9" max="9"/>
    <col width="13" customWidth="1" min="10" max="10"/>
    <col width="14" customWidth="1" min="11" max="11"/>
    <col width="11" customWidth="1" min="12" max="12"/>
    <col width="16" customWidth="1" min="13" max="13"/>
    <col width="18" customWidth="1" min="14" max="14"/>
    <col width="15" customWidth="1" min="15" max="15"/>
    <col width="26" customWidth="1" min="16" max="16"/>
  </cols>
  <sheetData>
    <row r="1" ht="30" customHeight="1">
      <c r="A1" s="18" t="inlineStr">
        <is>
          <t>SALES &amp; PURCHASE INVOICES</t>
        </is>
      </c>
    </row>
    <row r="2" ht="16" customHeight="1">
      <c r="A2" s="19" t="inlineStr">
        <is>
          <t>Blue = your input    |    Grey = auto-calculated settlement &amp; forex position</t>
        </is>
      </c>
    </row>
    <row r="4" ht="30" customHeight="1">
      <c r="A4" s="20" t="inlineStr">
        <is>
          <t>Invoice No</t>
        </is>
      </c>
      <c r="B4" s="20" t="inlineStr">
        <is>
          <t>Transaction Type</t>
        </is>
      </c>
      <c r="C4" s="20" t="inlineStr">
        <is>
          <t>Party Name</t>
        </is>
      </c>
      <c r="D4" s="20" t="inlineStr">
        <is>
          <t>Currency</t>
        </is>
      </c>
      <c r="E4" s="20" t="inlineStr">
        <is>
          <t>Invoice Date</t>
        </is>
      </c>
      <c r="F4" s="20" t="inlineStr">
        <is>
          <t>FC Amount</t>
        </is>
      </c>
      <c r="G4" s="20" t="inlineStr">
        <is>
          <t>Invoice Rate</t>
        </is>
      </c>
      <c r="H4" s="21" t="inlineStr">
        <is>
          <t>Invoice Value (Base)</t>
        </is>
      </c>
      <c r="I4" s="21" t="inlineStr">
        <is>
          <t>FC Settled</t>
        </is>
      </c>
      <c r="J4" s="21" t="inlineStr">
        <is>
          <t>FC Outstanding</t>
        </is>
      </c>
      <c r="K4" s="21" t="inlineStr">
        <is>
          <t>Settlement Status</t>
        </is>
      </c>
      <c r="L4" s="21" t="inlineStr">
        <is>
          <t>Closing Rate</t>
        </is>
      </c>
      <c r="M4" s="21" t="inlineStr">
        <is>
          <t>Realised Gain/(Loss)</t>
        </is>
      </c>
      <c r="N4" s="21" t="inlineStr">
        <is>
          <t>Unrealised Gain/(Loss)</t>
        </is>
      </c>
      <c r="O4" s="21" t="inlineStr">
        <is>
          <t>Total Forex Impact</t>
        </is>
      </c>
      <c r="P4" s="22" t="inlineStr">
        <is>
          <t>Remarks / Additional details</t>
        </is>
      </c>
    </row>
    <row r="5">
      <c r="A5" s="16" t="inlineStr">
        <is>
          <t>INV-S-001</t>
        </is>
      </c>
      <c r="B5" s="16" t="inlineStr">
        <is>
          <t>Sales</t>
        </is>
      </c>
      <c r="C5" s="16" t="inlineStr">
        <is>
          <t>Alpha Corp (USA)</t>
        </is>
      </c>
      <c r="D5" s="16" t="inlineStr">
        <is>
          <t>USD</t>
        </is>
      </c>
      <c r="E5" s="23" t="n">
        <v>46032</v>
      </c>
      <c r="F5" s="24" t="n">
        <v>30000</v>
      </c>
      <c r="G5" s="17" t="n">
        <v>82</v>
      </c>
      <c r="H5" s="24">
        <f>[@[FC Amount]]*[@[Invoice Rate]]</f>
        <v/>
      </c>
      <c r="I5" s="24">
        <f>SUMIFS(tblAllocations[FC Allocated],tblAllocations[Invoice No],[@[Invoice No]])</f>
        <v/>
      </c>
      <c r="J5" s="24">
        <f>[@[FC Amount]]-[@[FC Settled]]</f>
        <v/>
      </c>
      <c r="K5" s="25">
        <f>IF(ROUND([@[FC Outstanding]],2)=0,"Fully Settled",IF([@[FC Settled]]=0,"Open",IF([@[FC Outstanding]]&lt;0,"Over-allocated","Partly Settled")))</f>
        <v/>
      </c>
      <c r="L5" s="17">
        <f>IFERROR(INDEX(tblCurrency[Closing Rate],MATCH([@[Currency]],tblCurrency[Currency],0)),"")</f>
        <v/>
      </c>
      <c r="M5" s="26">
        <f>SUMIFS(tblAllocations[Forex Gain/(Loss)],tblAllocations[Invoice No],[@[Invoice No]])</f>
        <v/>
      </c>
      <c r="N5" s="26">
        <f>IF([@[Closing Rate]]="","",[@[FC Outstanding]]*([@[Closing Rate]]-[@[Invoice Rate]])*IF([@[Transaction Type]]="Sales",1,-1))</f>
        <v/>
      </c>
      <c r="O5" s="26">
        <f>[@[Realised Gain/(Loss)]]+IF(ISNUMBER([@[Unrealised Gain/(Loss)]]),[@[Unrealised Gain/(Loss)]],0)</f>
        <v/>
      </c>
      <c r="P5" s="16" t="inlineStr"/>
    </row>
    <row r="6">
      <c r="A6" s="16" t="inlineStr">
        <is>
          <t>INV-S-002</t>
        </is>
      </c>
      <c r="B6" s="16" t="inlineStr">
        <is>
          <t>Sales</t>
        </is>
      </c>
      <c r="C6" s="16" t="inlineStr">
        <is>
          <t>Beta Ltd (USA)</t>
        </is>
      </c>
      <c r="D6" s="16" t="inlineStr">
        <is>
          <t>USD</t>
        </is>
      </c>
      <c r="E6" s="23" t="n">
        <v>46058</v>
      </c>
      <c r="F6" s="24" t="n">
        <v>12000</v>
      </c>
      <c r="G6" s="17" t="n">
        <v>82.5</v>
      </c>
      <c r="H6" s="24">
        <f>[@[FC Amount]]*[@[Invoice Rate]]</f>
        <v/>
      </c>
      <c r="I6" s="24">
        <f>SUMIFS(tblAllocations[FC Allocated],tblAllocations[Invoice No],[@[Invoice No]])</f>
        <v/>
      </c>
      <c r="J6" s="24">
        <f>[@[FC Amount]]-[@[FC Settled]]</f>
        <v/>
      </c>
      <c r="K6" s="25">
        <f>IF(ROUND([@[FC Outstanding]],2)=0,"Fully Settled",IF([@[FC Settled]]=0,"Open",IF([@[FC Outstanding]]&lt;0,"Over-allocated","Partly Settled")))</f>
        <v/>
      </c>
      <c r="L6" s="17">
        <f>IFERROR(INDEX(tblCurrency[Closing Rate],MATCH([@[Currency]],tblCurrency[Currency],0)),"")</f>
        <v/>
      </c>
      <c r="M6" s="26">
        <f>SUMIFS(tblAllocations[Forex Gain/(Loss)],tblAllocations[Invoice No],[@[Invoice No]])</f>
        <v/>
      </c>
      <c r="N6" s="26">
        <f>IF([@[Closing Rate]]="","",[@[FC Outstanding]]*([@[Closing Rate]]-[@[Invoice Rate]])*IF([@[Transaction Type]]="Sales",1,-1))</f>
        <v/>
      </c>
      <c r="O6" s="26">
        <f>[@[Realised Gain/(Loss)]]+IF(ISNUMBER([@[Unrealised Gain/(Loss)]]),[@[Unrealised Gain/(Loss)]],0)</f>
        <v/>
      </c>
      <c r="P6" s="16" t="inlineStr"/>
    </row>
    <row r="7">
      <c r="A7" s="16" t="inlineStr">
        <is>
          <t>INV-S-003</t>
        </is>
      </c>
      <c r="B7" s="16" t="inlineStr">
        <is>
          <t>Sales</t>
        </is>
      </c>
      <c r="C7" s="16" t="inlineStr">
        <is>
          <t>Beta Ltd (USA)</t>
        </is>
      </c>
      <c r="D7" s="16" t="inlineStr">
        <is>
          <t>USD</t>
        </is>
      </c>
      <c r="E7" s="23" t="n">
        <v>46073</v>
      </c>
      <c r="F7" s="24" t="n">
        <v>8000</v>
      </c>
      <c r="G7" s="17" t="n">
        <v>83.09999999999999</v>
      </c>
      <c r="H7" s="24">
        <f>[@[FC Amount]]*[@[Invoice Rate]]</f>
        <v/>
      </c>
      <c r="I7" s="24">
        <f>SUMIFS(tblAllocations[FC Allocated],tblAllocations[Invoice No],[@[Invoice No]])</f>
        <v/>
      </c>
      <c r="J7" s="24">
        <f>[@[FC Amount]]-[@[FC Settled]]</f>
        <v/>
      </c>
      <c r="K7" s="25">
        <f>IF(ROUND([@[FC Outstanding]],2)=0,"Fully Settled",IF([@[FC Settled]]=0,"Open",IF([@[FC Outstanding]]&lt;0,"Over-allocated","Partly Settled")))</f>
        <v/>
      </c>
      <c r="L7" s="17">
        <f>IFERROR(INDEX(tblCurrency[Closing Rate],MATCH([@[Currency]],tblCurrency[Currency],0)),"")</f>
        <v/>
      </c>
      <c r="M7" s="26">
        <f>SUMIFS(tblAllocations[Forex Gain/(Loss)],tblAllocations[Invoice No],[@[Invoice No]])</f>
        <v/>
      </c>
      <c r="N7" s="26">
        <f>IF([@[Closing Rate]]="","",[@[FC Outstanding]]*([@[Closing Rate]]-[@[Invoice Rate]])*IF([@[Transaction Type]]="Sales",1,-1))</f>
        <v/>
      </c>
      <c r="O7" s="26">
        <f>[@[Realised Gain/(Loss)]]+IF(ISNUMBER([@[Unrealised Gain/(Loss)]]),[@[Unrealised Gain/(Loss)]],0)</f>
        <v/>
      </c>
      <c r="P7" s="16" t="inlineStr"/>
    </row>
    <row r="8">
      <c r="A8" s="16" t="inlineStr">
        <is>
          <t>INV-S-004</t>
        </is>
      </c>
      <c r="B8" s="16" t="inlineStr">
        <is>
          <t>Sales</t>
        </is>
      </c>
      <c r="C8" s="16" t="inlineStr">
        <is>
          <t>Gamma Trading (UK)</t>
        </is>
      </c>
      <c r="D8" s="16" t="inlineStr">
        <is>
          <t>GBP</t>
        </is>
      </c>
      <c r="E8" s="23" t="n">
        <v>46086</v>
      </c>
      <c r="F8" s="24" t="n">
        <v>5000</v>
      </c>
      <c r="G8" s="17" t="n">
        <v>104</v>
      </c>
      <c r="H8" s="24">
        <f>[@[FC Amount]]*[@[Invoice Rate]]</f>
        <v/>
      </c>
      <c r="I8" s="24">
        <f>SUMIFS(tblAllocations[FC Allocated],tblAllocations[Invoice No],[@[Invoice No]])</f>
        <v/>
      </c>
      <c r="J8" s="24">
        <f>[@[FC Amount]]-[@[FC Settled]]</f>
        <v/>
      </c>
      <c r="K8" s="25">
        <f>IF(ROUND([@[FC Outstanding]],2)=0,"Fully Settled",IF([@[FC Settled]]=0,"Open",IF([@[FC Outstanding]]&lt;0,"Over-allocated","Partly Settled")))</f>
        <v/>
      </c>
      <c r="L8" s="17">
        <f>IFERROR(INDEX(tblCurrency[Closing Rate],MATCH([@[Currency]],tblCurrency[Currency],0)),"")</f>
        <v/>
      </c>
      <c r="M8" s="26">
        <f>SUMIFS(tblAllocations[Forex Gain/(Loss)],tblAllocations[Invoice No],[@[Invoice No]])</f>
        <v/>
      </c>
      <c r="N8" s="26">
        <f>IF([@[Closing Rate]]="","",[@[FC Outstanding]]*([@[Closing Rate]]-[@[Invoice Rate]])*IF([@[Transaction Type]]="Sales",1,-1))</f>
        <v/>
      </c>
      <c r="O8" s="26">
        <f>[@[Realised Gain/(Loss)]]+IF(ISNUMBER([@[Unrealised Gain/(Loss)]]),[@[Unrealised Gain/(Loss)]],0)</f>
        <v/>
      </c>
      <c r="P8" s="16" t="inlineStr"/>
    </row>
    <row r="9">
      <c r="A9" s="16" t="inlineStr">
        <is>
          <t>INV-P-001</t>
        </is>
      </c>
      <c r="B9" s="16" t="inlineStr">
        <is>
          <t>Purchase</t>
        </is>
      </c>
      <c r="C9" s="16" t="inlineStr">
        <is>
          <t>Euro Supplies GmbH</t>
        </is>
      </c>
      <c r="D9" s="16" t="inlineStr">
        <is>
          <t>EUR</t>
        </is>
      </c>
      <c r="E9" s="23" t="n">
        <v>46037</v>
      </c>
      <c r="F9" s="24" t="n">
        <v>20000</v>
      </c>
      <c r="G9" s="17" t="n">
        <v>89</v>
      </c>
      <c r="H9" s="24">
        <f>[@[FC Amount]]*[@[Invoice Rate]]</f>
        <v/>
      </c>
      <c r="I9" s="24">
        <f>SUMIFS(tblAllocations[FC Allocated],tblAllocations[Invoice No],[@[Invoice No]])</f>
        <v/>
      </c>
      <c r="J9" s="24">
        <f>[@[FC Amount]]-[@[FC Settled]]</f>
        <v/>
      </c>
      <c r="K9" s="25">
        <f>IF(ROUND([@[FC Outstanding]],2)=0,"Fully Settled",IF([@[FC Settled]]=0,"Open",IF([@[FC Outstanding]]&lt;0,"Over-allocated","Partly Settled")))</f>
        <v/>
      </c>
      <c r="L9" s="17">
        <f>IFERROR(INDEX(tblCurrency[Closing Rate],MATCH([@[Currency]],tblCurrency[Currency],0)),"")</f>
        <v/>
      </c>
      <c r="M9" s="26">
        <f>SUMIFS(tblAllocations[Forex Gain/(Loss)],tblAllocations[Invoice No],[@[Invoice No]])</f>
        <v/>
      </c>
      <c r="N9" s="26">
        <f>IF([@[Closing Rate]]="","",[@[FC Outstanding]]*([@[Closing Rate]]-[@[Invoice Rate]])*IF([@[Transaction Type]]="Sales",1,-1))</f>
        <v/>
      </c>
      <c r="O9" s="26">
        <f>[@[Realised Gain/(Loss)]]+IF(ISNUMBER([@[Unrealised Gain/(Loss)]]),[@[Unrealised Gain/(Loss)]],0)</f>
        <v/>
      </c>
      <c r="P9" s="16" t="inlineStr"/>
    </row>
    <row r="10">
      <c r="A10" s="16" t="inlineStr">
        <is>
          <t>INV-P-002</t>
        </is>
      </c>
      <c r="B10" s="16" t="inlineStr">
        <is>
          <t>Purchase</t>
        </is>
      </c>
      <c r="C10" s="16" t="inlineStr">
        <is>
          <t>Euro Supplies GmbH</t>
        </is>
      </c>
      <c r="D10" s="16" t="inlineStr">
        <is>
          <t>EUR</t>
        </is>
      </c>
      <c r="E10" s="23" t="n">
        <v>46078</v>
      </c>
      <c r="F10" s="24" t="n">
        <v>10000</v>
      </c>
      <c r="G10" s="17" t="n">
        <v>89.8</v>
      </c>
      <c r="H10" s="24">
        <f>[@[FC Amount]]*[@[Invoice Rate]]</f>
        <v/>
      </c>
      <c r="I10" s="24">
        <f>SUMIFS(tblAllocations[FC Allocated],tblAllocations[Invoice No],[@[Invoice No]])</f>
        <v/>
      </c>
      <c r="J10" s="24">
        <f>[@[FC Amount]]-[@[FC Settled]]</f>
        <v/>
      </c>
      <c r="K10" s="25">
        <f>IF(ROUND([@[FC Outstanding]],2)=0,"Fully Settled",IF([@[FC Settled]]=0,"Open",IF([@[FC Outstanding]]&lt;0,"Over-allocated","Partly Settled")))</f>
        <v/>
      </c>
      <c r="L10" s="17">
        <f>IFERROR(INDEX(tblCurrency[Closing Rate],MATCH([@[Currency]],tblCurrency[Currency],0)),"")</f>
        <v/>
      </c>
      <c r="M10" s="26">
        <f>SUMIFS(tblAllocations[Forex Gain/(Loss)],tblAllocations[Invoice No],[@[Invoice No]])</f>
        <v/>
      </c>
      <c r="N10" s="26">
        <f>IF([@[Closing Rate]]="","",[@[FC Outstanding]]*([@[Closing Rate]]-[@[Invoice Rate]])*IF([@[Transaction Type]]="Sales",1,-1))</f>
        <v/>
      </c>
      <c r="O10" s="26">
        <f>[@[Realised Gain/(Loss)]]+IF(ISNUMBER([@[Unrealised Gain/(Loss)]]),[@[Unrealised Gain/(Loss)]],0)</f>
        <v/>
      </c>
      <c r="P10" s="16" t="inlineStr"/>
    </row>
  </sheetData>
  <mergeCells count="2">
    <mergeCell ref="A1:P1"/>
    <mergeCell ref="A2:P2"/>
  </mergeCells>
  <conditionalFormatting sqref="M5:M1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N5:N1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O5:O10">
    <cfRule type="cellIs" priority="5" operator="greaterThan" dxfId="0">
      <formula>0</formula>
    </cfRule>
    <cfRule type="cellIs" priority="6" operator="lessThan" dxfId="1">
      <formula>0</formula>
    </cfRule>
  </conditionalFormatting>
  <dataValidations count="2">
    <dataValidation sqref="B5:B1000" showDropDown="0" showInputMessage="0" showErrorMessage="0" allowBlank="1" type="list">
      <formula1>"Sales,Purchase"</formula1>
    </dataValidation>
    <dataValidation sqref="D5:D1000" showDropDown="0" showInputMessage="0" showErrorMessage="0" allowBlank="1" type="list">
      <formula1>"USD,EUR,GBP,AED,JPY"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0F6E6E"/>
    <outlinePr summaryBelow="1" summaryRight="1"/>
    <pageSetUpPr/>
  </sheetPr>
  <dimension ref="A1:L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5" customWidth="1" min="2" max="2"/>
    <col width="22" customWidth="1" min="3" max="3"/>
    <col width="9" customWidth="1" min="4" max="4"/>
    <col width="15" customWidth="1" min="5" max="5"/>
    <col width="13" customWidth="1" min="6" max="6"/>
    <col width="13" customWidth="1" min="7" max="7"/>
    <col width="18" customWidth="1" min="8" max="8"/>
    <col width="13" customWidth="1" min="9" max="9"/>
    <col width="14" customWidth="1" min="10" max="10"/>
    <col width="15" customWidth="1" min="11" max="11"/>
    <col width="40" customWidth="1" min="12" max="12"/>
  </cols>
  <sheetData>
    <row r="1" ht="30" customHeight="1">
      <c r="A1" s="27" t="inlineStr">
        <is>
          <t>RECEIPTS &amp; PAYMENTS  (Settlements)</t>
        </is>
      </c>
    </row>
    <row r="2" ht="16" customHeight="1">
      <c r="A2" s="28" t="inlineStr">
        <is>
          <t>Every money movement in foreign currency — receipts settle sales, payments settle purchases, incl. advances</t>
        </is>
      </c>
    </row>
    <row r="4" ht="30" customHeight="1">
      <c r="A4" s="15" t="inlineStr">
        <is>
          <t>Settlement Ref</t>
        </is>
      </c>
      <c r="B4" s="15" t="inlineStr">
        <is>
          <t>Settlement Type</t>
        </is>
      </c>
      <c r="C4" s="15" t="inlineStr">
        <is>
          <t>Party Name</t>
        </is>
      </c>
      <c r="D4" s="15" t="inlineStr">
        <is>
          <t>Currency</t>
        </is>
      </c>
      <c r="E4" s="15" t="inlineStr">
        <is>
          <t>Settlement Date</t>
        </is>
      </c>
      <c r="F4" s="15" t="inlineStr">
        <is>
          <t>FC Amount</t>
        </is>
      </c>
      <c r="G4" s="15" t="inlineStr">
        <is>
          <t>Settlement Rate</t>
        </is>
      </c>
      <c r="H4" s="21" t="inlineStr">
        <is>
          <t>Settlement Value (Base)</t>
        </is>
      </c>
      <c r="I4" s="21" t="inlineStr">
        <is>
          <t>FC Allocated</t>
        </is>
      </c>
      <c r="J4" s="21" t="inlineStr">
        <is>
          <t>FC Unallocated</t>
        </is>
      </c>
      <c r="K4" s="21" t="inlineStr">
        <is>
          <t>Allocation Status</t>
        </is>
      </c>
      <c r="L4" s="15" t="inlineStr">
        <is>
          <t>Narration</t>
        </is>
      </c>
    </row>
    <row r="5">
      <c r="A5" s="16" t="inlineStr">
        <is>
          <t>REC-001</t>
        </is>
      </c>
      <c r="B5" s="16" t="inlineStr">
        <is>
          <t>Receipt</t>
        </is>
      </c>
      <c r="C5" s="16" t="inlineStr">
        <is>
          <t>Alpha Corp (USA)</t>
        </is>
      </c>
      <c r="D5" s="16" t="inlineStr">
        <is>
          <t>USD</t>
        </is>
      </c>
      <c r="E5" s="23" t="n">
        <v>46011</v>
      </c>
      <c r="F5" s="24" t="n">
        <v>10000</v>
      </c>
      <c r="G5" s="17" t="n">
        <v>81.5</v>
      </c>
      <c r="H5" s="24">
        <f>[@[FC Amount]]*[@[Settlement Rate]]</f>
        <v/>
      </c>
      <c r="I5" s="24">
        <f>SUMIFS(tblAllocations[FC Allocated],tblAllocations[Settlement Ref],[@[Settlement Ref]])</f>
        <v/>
      </c>
      <c r="J5" s="24">
        <f>[@[FC Amount]]-[@[FC Allocated]]</f>
        <v/>
      </c>
      <c r="K5" s="25">
        <f>IF(ROUND([@[FC Unallocated]],2)=0,"Fully Allocated",IF([@[FC Allocated]]=0,"Unallocated","Partly Allocated"))</f>
        <v/>
      </c>
      <c r="L5" s="16" t="inlineStr">
        <is>
          <t>Part advance received before invoice INV-S-001</t>
        </is>
      </c>
    </row>
    <row r="6">
      <c r="A6" s="16" t="inlineStr">
        <is>
          <t>REC-002</t>
        </is>
      </c>
      <c r="B6" s="16" t="inlineStr">
        <is>
          <t>Receipt</t>
        </is>
      </c>
      <c r="C6" s="16" t="inlineStr">
        <is>
          <t>Alpha Corp (USA)</t>
        </is>
      </c>
      <c r="D6" s="16" t="inlineStr">
        <is>
          <t>USD</t>
        </is>
      </c>
      <c r="E6" s="23" t="n">
        <v>46068</v>
      </c>
      <c r="F6" s="24" t="n">
        <v>12000</v>
      </c>
      <c r="G6" s="17" t="n">
        <v>83</v>
      </c>
      <c r="H6" s="24">
        <f>[@[FC Amount]]*[@[Settlement Rate]]</f>
        <v/>
      </c>
      <c r="I6" s="24">
        <f>SUMIFS(tblAllocations[FC Allocated],tblAllocations[Settlement Ref],[@[Settlement Ref]])</f>
        <v/>
      </c>
      <c r="J6" s="24">
        <f>[@[FC Amount]]-[@[FC Allocated]]</f>
        <v/>
      </c>
      <c r="K6" s="25">
        <f>IF(ROUND([@[FC Unallocated]],2)=0,"Fully Allocated",IF([@[FC Allocated]]=0,"Unallocated","Partly Allocated"))</f>
        <v/>
      </c>
      <c r="L6" s="16" t="inlineStr">
        <is>
          <t>2nd receipt against INV-S-001</t>
        </is>
      </c>
    </row>
    <row r="7">
      <c r="A7" s="16" t="inlineStr">
        <is>
          <t>REC-003</t>
        </is>
      </c>
      <c r="B7" s="16" t="inlineStr">
        <is>
          <t>Receipt</t>
        </is>
      </c>
      <c r="C7" s="16" t="inlineStr">
        <is>
          <t>Alpha Corp (USA)</t>
        </is>
      </c>
      <c r="D7" s="16" t="inlineStr">
        <is>
          <t>USD</t>
        </is>
      </c>
      <c r="E7" s="23" t="n">
        <v>46101</v>
      </c>
      <c r="F7" s="24" t="n">
        <v>8000</v>
      </c>
      <c r="G7" s="17" t="n">
        <v>83.40000000000001</v>
      </c>
      <c r="H7" s="24">
        <f>[@[FC Amount]]*[@[Settlement Rate]]</f>
        <v/>
      </c>
      <c r="I7" s="24">
        <f>SUMIFS(tblAllocations[FC Allocated],tblAllocations[Settlement Ref],[@[Settlement Ref]])</f>
        <v/>
      </c>
      <c r="J7" s="24">
        <f>[@[FC Amount]]-[@[FC Allocated]]</f>
        <v/>
      </c>
      <c r="K7" s="25">
        <f>IF(ROUND([@[FC Unallocated]],2)=0,"Fully Allocated",IF([@[FC Allocated]]=0,"Unallocated","Partly Allocated"))</f>
        <v/>
      </c>
      <c r="L7" s="16" t="inlineStr">
        <is>
          <t>Final receipt against INV-S-001 (settled over 3 dates)</t>
        </is>
      </c>
    </row>
    <row r="8">
      <c r="A8" s="16" t="inlineStr">
        <is>
          <t>REC-004</t>
        </is>
      </c>
      <c r="B8" s="16" t="inlineStr">
        <is>
          <t>Receipt</t>
        </is>
      </c>
      <c r="C8" s="16" t="inlineStr">
        <is>
          <t>Beta Ltd (USA)</t>
        </is>
      </c>
      <c r="D8" s="16" t="inlineStr">
        <is>
          <t>USD</t>
        </is>
      </c>
      <c r="E8" s="23" t="n">
        <v>46091</v>
      </c>
      <c r="F8" s="24" t="n">
        <v>20000</v>
      </c>
      <c r="G8" s="17" t="n">
        <v>83</v>
      </c>
      <c r="H8" s="24">
        <f>[@[FC Amount]]*[@[Settlement Rate]]</f>
        <v/>
      </c>
      <c r="I8" s="24">
        <f>SUMIFS(tblAllocations[FC Allocated],tblAllocations[Settlement Ref],[@[Settlement Ref]])</f>
        <v/>
      </c>
      <c r="J8" s="24">
        <f>[@[FC Amount]]-[@[FC Allocated]]</f>
        <v/>
      </c>
      <c r="K8" s="25">
        <f>IF(ROUND([@[FC Unallocated]],2)=0,"Fully Allocated",IF([@[FC Allocated]]=0,"Unallocated","Partly Allocated"))</f>
        <v/>
      </c>
      <c r="L8" s="16" t="inlineStr">
        <is>
          <t>Single receipt settling two invoices INV-S-002 &amp; INV-S-003</t>
        </is>
      </c>
    </row>
    <row r="9">
      <c r="A9" s="16" t="inlineStr">
        <is>
          <t>REC-005</t>
        </is>
      </c>
      <c r="B9" s="16" t="inlineStr">
        <is>
          <t>Receipt</t>
        </is>
      </c>
      <c r="C9" s="16" t="inlineStr">
        <is>
          <t>Gamma Trading (UK)</t>
        </is>
      </c>
      <c r="D9" s="16" t="inlineStr">
        <is>
          <t>GBP</t>
        </is>
      </c>
      <c r="E9" s="23" t="n">
        <v>46106</v>
      </c>
      <c r="F9" s="24" t="n">
        <v>2000</v>
      </c>
      <c r="G9" s="17" t="n">
        <v>104.5</v>
      </c>
      <c r="H9" s="24">
        <f>[@[FC Amount]]*[@[Settlement Rate]]</f>
        <v/>
      </c>
      <c r="I9" s="24">
        <f>SUMIFS(tblAllocations[FC Allocated],tblAllocations[Settlement Ref],[@[Settlement Ref]])</f>
        <v/>
      </c>
      <c r="J9" s="24">
        <f>[@[FC Amount]]-[@[FC Allocated]]</f>
        <v/>
      </c>
      <c r="K9" s="25">
        <f>IF(ROUND([@[FC Unallocated]],2)=0,"Fully Allocated",IF([@[FC Allocated]]=0,"Unallocated","Partly Allocated"))</f>
        <v/>
      </c>
      <c r="L9" s="16" t="inlineStr">
        <is>
          <t>Part receipt against INV-S-004 (balance stays open)</t>
        </is>
      </c>
    </row>
    <row r="10">
      <c r="A10" s="16" t="inlineStr">
        <is>
          <t>PAY-001</t>
        </is>
      </c>
      <c r="B10" s="16" t="inlineStr">
        <is>
          <t>Payment</t>
        </is>
      </c>
      <c r="C10" s="16" t="inlineStr">
        <is>
          <t>Euro Supplies GmbH</t>
        </is>
      </c>
      <c r="D10" s="16" t="inlineStr">
        <is>
          <t>EUR</t>
        </is>
      </c>
      <c r="E10" s="23" t="n">
        <v>46063</v>
      </c>
      <c r="F10" s="24" t="n">
        <v>8000</v>
      </c>
      <c r="G10" s="17" t="n">
        <v>89.5</v>
      </c>
      <c r="H10" s="24">
        <f>[@[FC Amount]]*[@[Settlement Rate]]</f>
        <v/>
      </c>
      <c r="I10" s="24">
        <f>SUMIFS(tblAllocations[FC Allocated],tblAllocations[Settlement Ref],[@[Settlement Ref]])</f>
        <v/>
      </c>
      <c r="J10" s="24">
        <f>[@[FC Amount]]-[@[FC Allocated]]</f>
        <v/>
      </c>
      <c r="K10" s="25">
        <f>IF(ROUND([@[FC Unallocated]],2)=0,"Fully Allocated",IF([@[FC Allocated]]=0,"Unallocated","Partly Allocated"))</f>
        <v/>
      </c>
      <c r="L10" s="16" t="inlineStr">
        <is>
          <t>Part payment against INV-P-001</t>
        </is>
      </c>
    </row>
    <row r="11">
      <c r="A11" s="16" t="inlineStr">
        <is>
          <t>PAY-002</t>
        </is>
      </c>
      <c r="B11" s="16" t="inlineStr">
        <is>
          <t>Payment</t>
        </is>
      </c>
      <c r="C11" s="16" t="inlineStr">
        <is>
          <t>Euro Supplies GmbH</t>
        </is>
      </c>
      <c r="D11" s="16" t="inlineStr">
        <is>
          <t>EUR</t>
        </is>
      </c>
      <c r="E11" s="23" t="n">
        <v>46096</v>
      </c>
      <c r="F11" s="24" t="n">
        <v>12000</v>
      </c>
      <c r="G11" s="17" t="n">
        <v>90.5</v>
      </c>
      <c r="H11" s="24">
        <f>[@[FC Amount]]*[@[Settlement Rate]]</f>
        <v/>
      </c>
      <c r="I11" s="24">
        <f>SUMIFS(tblAllocations[FC Allocated],tblAllocations[Settlement Ref],[@[Settlement Ref]])</f>
        <v/>
      </c>
      <c r="J11" s="24">
        <f>[@[FC Amount]]-[@[FC Allocated]]</f>
        <v/>
      </c>
      <c r="K11" s="25">
        <f>IF(ROUND([@[FC Unallocated]],2)=0,"Fully Allocated",IF([@[FC Allocated]]=0,"Unallocated","Partly Allocated"))</f>
        <v/>
      </c>
      <c r="L11" s="16" t="inlineStr">
        <is>
          <t>Balance payment against INV-P-001 (settled over 2 dates)</t>
        </is>
      </c>
    </row>
    <row r="12">
      <c r="A12" s="16" t="inlineStr">
        <is>
          <t>PAY-003</t>
        </is>
      </c>
      <c r="B12" s="16" t="inlineStr">
        <is>
          <t>Payment</t>
        </is>
      </c>
      <c r="C12" s="16" t="inlineStr">
        <is>
          <t>Euro Supplies GmbH</t>
        </is>
      </c>
      <c r="D12" s="16" t="inlineStr">
        <is>
          <t>EUR</t>
        </is>
      </c>
      <c r="E12" s="23" t="n">
        <v>46021</v>
      </c>
      <c r="F12" s="24" t="n">
        <v>5000</v>
      </c>
      <c r="G12" s="17" t="n">
        <v>88.5</v>
      </c>
      <c r="H12" s="24">
        <f>[@[FC Amount]]*[@[Settlement Rate]]</f>
        <v/>
      </c>
      <c r="I12" s="24">
        <f>SUMIFS(tblAllocations[FC Allocated],tblAllocations[Settlement Ref],[@[Settlement Ref]])</f>
        <v/>
      </c>
      <c r="J12" s="24">
        <f>[@[FC Amount]]-[@[FC Allocated]]</f>
        <v/>
      </c>
      <c r="K12" s="25">
        <f>IF(ROUND([@[FC Unallocated]],2)=0,"Fully Allocated",IF([@[FC Allocated]]=0,"Unallocated","Partly Allocated"))</f>
        <v/>
      </c>
      <c r="L12" s="16" t="inlineStr">
        <is>
          <t>Advance paid before invoice INV-P-002</t>
        </is>
      </c>
    </row>
  </sheetData>
  <mergeCells count="2">
    <mergeCell ref="A2:L2"/>
    <mergeCell ref="A1:L1"/>
  </mergeCells>
  <dataValidations count="2">
    <dataValidation sqref="B5:B1000" showDropDown="0" showInputMessage="0" showErrorMessage="0" allowBlank="1" type="list">
      <formula1>"Receipt,Payment"</formula1>
    </dataValidation>
    <dataValidation sqref="D5:D1000" showDropDown="0" showInputMessage="0" showErrorMessage="0" allowBlank="1" type="list">
      <formula1>"USD,EUR,GBP,AED,JPY"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T13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3" customWidth="1" min="4" max="4"/>
    <col width="15" customWidth="1" min="5" max="5"/>
    <col width="20" customWidth="1" min="6" max="6"/>
    <col width="9" customWidth="1" min="7" max="7"/>
    <col width="13" customWidth="1" min="8" max="8"/>
    <col width="11" customWidth="1" min="9" max="9"/>
    <col width="15" customWidth="1" min="10" max="10"/>
    <col width="13" customWidth="1" min="11" max="11"/>
    <col width="14" customWidth="1" min="12" max="12"/>
    <col width="16" customWidth="1" min="13" max="13"/>
    <col width="18" customWidth="1" min="14" max="14"/>
    <col width="19" customWidth="1" min="15" max="15"/>
    <col width="13" customWidth="1" min="16" max="16"/>
    <col width="16" customWidth="1" min="17" max="17"/>
    <col width="9" customWidth="1" min="18" max="18"/>
    <col width="12" customWidth="1" min="19" max="19"/>
    <col width="22" customWidth="1" min="20" max="20"/>
  </cols>
  <sheetData>
    <row r="1" ht="30" customHeight="1">
      <c r="A1" s="1" t="inlineStr">
        <is>
          <t>ALLOCATION &amp; FOREX GAIN / (LOSS) CALCULATION</t>
        </is>
      </c>
    </row>
    <row r="2" ht="16" customHeight="1">
      <c r="A2" s="2" t="inlineStr">
        <is>
          <t>Link each receipt/payment to the invoice it settles — one line per invoice per settlement date</t>
        </is>
      </c>
    </row>
    <row r="4" ht="30" customHeight="1">
      <c r="A4" s="20" t="inlineStr">
        <is>
          <t>Alloc ID</t>
        </is>
      </c>
      <c r="B4" s="20" t="inlineStr">
        <is>
          <t>Settlement Ref</t>
        </is>
      </c>
      <c r="C4" s="20" t="inlineStr">
        <is>
          <t>Invoice No</t>
        </is>
      </c>
      <c r="D4" s="20" t="inlineStr">
        <is>
          <t>FC Allocated</t>
        </is>
      </c>
      <c r="E4" s="21" t="inlineStr">
        <is>
          <t>Transaction Type</t>
        </is>
      </c>
      <c r="F4" s="21" t="inlineStr">
        <is>
          <t>Party</t>
        </is>
      </c>
      <c r="G4" s="21" t="inlineStr">
        <is>
          <t>Currency</t>
        </is>
      </c>
      <c r="H4" s="21" t="inlineStr">
        <is>
          <t>Invoice Date</t>
        </is>
      </c>
      <c r="I4" s="21" t="inlineStr">
        <is>
          <t>Invoice Rate</t>
        </is>
      </c>
      <c r="J4" s="21" t="inlineStr">
        <is>
          <t>Settlement Date</t>
        </is>
      </c>
      <c r="K4" s="21" t="inlineStr">
        <is>
          <t>Settlement Rate</t>
        </is>
      </c>
      <c r="L4" s="21" t="inlineStr">
        <is>
          <t>Settlement Type</t>
        </is>
      </c>
      <c r="M4" s="21" t="inlineStr">
        <is>
          <t>Settlement Nature</t>
        </is>
      </c>
      <c r="N4" s="21" t="inlineStr">
        <is>
          <t>Base @ Invoice Rate</t>
        </is>
      </c>
      <c r="O4" s="21" t="inlineStr">
        <is>
          <t>Base @ Settlement Rate</t>
        </is>
      </c>
      <c r="P4" s="21" t="inlineStr">
        <is>
          <t>Rate Difference</t>
        </is>
      </c>
      <c r="Q4" s="22" t="inlineStr">
        <is>
          <t>Forex Gain/(Loss)</t>
        </is>
      </c>
      <c r="R4" s="22" t="inlineStr">
        <is>
          <t>Result</t>
        </is>
      </c>
      <c r="S4" s="21" t="inlineStr">
        <is>
          <t>Days to Settle</t>
        </is>
      </c>
      <c r="T4" s="21" t="inlineStr">
        <is>
          <t>Validation / Remarks</t>
        </is>
      </c>
    </row>
    <row r="5">
      <c r="A5" s="16" t="inlineStr">
        <is>
          <t>AL-01</t>
        </is>
      </c>
      <c r="B5" s="16" t="inlineStr">
        <is>
          <t>REC-001</t>
        </is>
      </c>
      <c r="C5" s="16" t="inlineStr">
        <is>
          <t>INV-S-001</t>
        </is>
      </c>
      <c r="D5" s="24" t="n">
        <v>10000</v>
      </c>
      <c r="E5" s="25">
        <f>IFERROR(INDEX(tblInvoices[Transaction Type],MATCH([@[Invoice No]],tblInvoices[Invoice No],0)),"")</f>
        <v/>
      </c>
      <c r="F5" s="25">
        <f>IFERROR(INDEX(tblInvoices[Party Name],MATCH([@[Invoice No]],tblInvoices[Invoice No],0)),"")</f>
        <v/>
      </c>
      <c r="G5" s="25">
        <f>IFERROR(INDEX(tblInvoices[Currency],MATCH([@[Invoice No]],tblInvoices[Invoice No],0)),"")</f>
        <v/>
      </c>
      <c r="H5" s="23">
        <f>IFERROR(INDEX(tblInvoices[Invoice Date],MATCH([@[Invoice No]],tblInvoices[Invoice No],0)),"")</f>
        <v/>
      </c>
      <c r="I5" s="17">
        <f>IFERROR(INDEX(tblInvoices[Invoice Rate],MATCH([@[Invoice No]],tblInvoices[Invoice No],0)),"")</f>
        <v/>
      </c>
      <c r="J5" s="23">
        <f>IFERROR(INDEX(tblSettlements[Settlement Date],MATCH([@[Settlement Ref]],tblSettlements[Settlement Ref],0)),"")</f>
        <v/>
      </c>
      <c r="K5" s="17">
        <f>IFERROR(INDEX(tblSettlements[Settlement Rate],MATCH([@[Settlement Ref]],tblSettlements[Settlement Ref],0)),"")</f>
        <v/>
      </c>
      <c r="L5" s="25">
        <f>IFERROR(INDEX(tblSettlements[Settlement Type],MATCH([@[Settlement Ref]],tblSettlements[Settlement Ref],0)),"")</f>
        <v/>
      </c>
      <c r="M5" s="25">
        <f>IF(OR([@[Invoice Date]]="",[@[Settlement Date]]=""),"",IF([@[Settlement Date]]&lt;[@[Invoice Date]],"Advance","On / After Invoice"))</f>
        <v/>
      </c>
      <c r="N5" s="24">
        <f>IF([@[FC Allocated]]="","",[@[FC Allocated]]*[@[Invoice Rate]])</f>
        <v/>
      </c>
      <c r="O5" s="24">
        <f>IF([@[FC Allocated]]="","",[@[FC Allocated]]*[@[Settlement Rate]])</f>
        <v/>
      </c>
      <c r="P5" s="26">
        <f>IF([@[FC Allocated]]="","",[@[Settlement Rate]]-[@[Invoice Rate]])</f>
        <v/>
      </c>
      <c r="Q5" s="26">
        <f>IF([@[FC Allocated]]="","",[@[FC Allocated]]*([@[Settlement Rate]]-[@[Invoice Rate]])*IF([@[Transaction Type]]="Sales",1,-1))</f>
        <v/>
      </c>
      <c r="R5" s="25">
        <f>IF([@[Forex Gain/(Loss)]]="","",IF([@[Forex Gain/(Loss)]]&gt;0,"Gain",IF([@[Forex Gain/(Loss)]]&lt;0,"Loss","No Impact")))</f>
        <v/>
      </c>
      <c r="S5" s="29">
        <f>IF(OR([@[Invoice Date]]="",[@[Settlement Date]]=""),"",[@[Settlement Date]]-[@[Invoice Date]])</f>
        <v/>
      </c>
      <c r="T5" s="25">
        <f>IF([@[Invoice No]]="","",IF(IFERROR(INDEX(tblSettlements[Currency],MATCH([@[Settlement Ref]],tblSettlements[Settlement Ref],0)),"")&lt;&gt;[@[Currency]],"Check: currency mismatch",IF([@[FC Allocated]]="","","OK")))</f>
        <v/>
      </c>
    </row>
    <row r="6">
      <c r="A6" s="16" t="inlineStr">
        <is>
          <t>AL-02</t>
        </is>
      </c>
      <c r="B6" s="16" t="inlineStr">
        <is>
          <t>REC-002</t>
        </is>
      </c>
      <c r="C6" s="16" t="inlineStr">
        <is>
          <t>INV-S-001</t>
        </is>
      </c>
      <c r="D6" s="24" t="n">
        <v>12000</v>
      </c>
      <c r="E6" s="25">
        <f>IFERROR(INDEX(tblInvoices[Transaction Type],MATCH([@[Invoice No]],tblInvoices[Invoice No],0)),"")</f>
        <v/>
      </c>
      <c r="F6" s="25">
        <f>IFERROR(INDEX(tblInvoices[Party Name],MATCH([@[Invoice No]],tblInvoices[Invoice No],0)),"")</f>
        <v/>
      </c>
      <c r="G6" s="25">
        <f>IFERROR(INDEX(tblInvoices[Currency],MATCH([@[Invoice No]],tblInvoices[Invoice No],0)),"")</f>
        <v/>
      </c>
      <c r="H6" s="23">
        <f>IFERROR(INDEX(tblInvoices[Invoice Date],MATCH([@[Invoice No]],tblInvoices[Invoice No],0)),"")</f>
        <v/>
      </c>
      <c r="I6" s="17">
        <f>IFERROR(INDEX(tblInvoices[Invoice Rate],MATCH([@[Invoice No]],tblInvoices[Invoice No],0)),"")</f>
        <v/>
      </c>
      <c r="J6" s="23">
        <f>IFERROR(INDEX(tblSettlements[Settlement Date],MATCH([@[Settlement Ref]],tblSettlements[Settlement Ref],0)),"")</f>
        <v/>
      </c>
      <c r="K6" s="17">
        <f>IFERROR(INDEX(tblSettlements[Settlement Rate],MATCH([@[Settlement Ref]],tblSettlements[Settlement Ref],0)),"")</f>
        <v/>
      </c>
      <c r="L6" s="25">
        <f>IFERROR(INDEX(tblSettlements[Settlement Type],MATCH([@[Settlement Ref]],tblSettlements[Settlement Ref],0)),"")</f>
        <v/>
      </c>
      <c r="M6" s="25">
        <f>IF(OR([@[Invoice Date]]="",[@[Settlement Date]]=""),"",IF([@[Settlement Date]]&lt;[@[Invoice Date]],"Advance","On / After Invoice"))</f>
        <v/>
      </c>
      <c r="N6" s="24">
        <f>IF([@[FC Allocated]]="","",[@[FC Allocated]]*[@[Invoice Rate]])</f>
        <v/>
      </c>
      <c r="O6" s="24">
        <f>IF([@[FC Allocated]]="","",[@[FC Allocated]]*[@[Settlement Rate]])</f>
        <v/>
      </c>
      <c r="P6" s="26">
        <f>IF([@[FC Allocated]]="","",[@[Settlement Rate]]-[@[Invoice Rate]])</f>
        <v/>
      </c>
      <c r="Q6" s="26">
        <f>IF([@[FC Allocated]]="","",[@[FC Allocated]]*([@[Settlement Rate]]-[@[Invoice Rate]])*IF([@[Transaction Type]]="Sales",1,-1))</f>
        <v/>
      </c>
      <c r="R6" s="25">
        <f>IF([@[Forex Gain/(Loss)]]="","",IF([@[Forex Gain/(Loss)]]&gt;0,"Gain",IF([@[Forex Gain/(Loss)]]&lt;0,"Loss","No Impact")))</f>
        <v/>
      </c>
      <c r="S6" s="29">
        <f>IF(OR([@[Invoice Date]]="",[@[Settlement Date]]=""),"",[@[Settlement Date]]-[@[Invoice Date]])</f>
        <v/>
      </c>
      <c r="T6" s="25">
        <f>IF([@[Invoice No]]="","",IF(IFERROR(INDEX(tblSettlements[Currency],MATCH([@[Settlement Ref]],tblSettlements[Settlement Ref],0)),"")&lt;&gt;[@[Currency]],"Check: currency mismatch",IF([@[FC Allocated]]="","","OK")))</f>
        <v/>
      </c>
    </row>
    <row r="7">
      <c r="A7" s="16" t="inlineStr">
        <is>
          <t>AL-03</t>
        </is>
      </c>
      <c r="B7" s="16" t="inlineStr">
        <is>
          <t>REC-003</t>
        </is>
      </c>
      <c r="C7" s="16" t="inlineStr">
        <is>
          <t>INV-S-001</t>
        </is>
      </c>
      <c r="D7" s="24" t="n">
        <v>8000</v>
      </c>
      <c r="E7" s="25">
        <f>IFERROR(INDEX(tblInvoices[Transaction Type],MATCH([@[Invoice No]],tblInvoices[Invoice No],0)),"")</f>
        <v/>
      </c>
      <c r="F7" s="25">
        <f>IFERROR(INDEX(tblInvoices[Party Name],MATCH([@[Invoice No]],tblInvoices[Invoice No],0)),"")</f>
        <v/>
      </c>
      <c r="G7" s="25">
        <f>IFERROR(INDEX(tblInvoices[Currency],MATCH([@[Invoice No]],tblInvoices[Invoice No],0)),"")</f>
        <v/>
      </c>
      <c r="H7" s="23">
        <f>IFERROR(INDEX(tblInvoices[Invoice Date],MATCH([@[Invoice No]],tblInvoices[Invoice No],0)),"")</f>
        <v/>
      </c>
      <c r="I7" s="17">
        <f>IFERROR(INDEX(tblInvoices[Invoice Rate],MATCH([@[Invoice No]],tblInvoices[Invoice No],0)),"")</f>
        <v/>
      </c>
      <c r="J7" s="23">
        <f>IFERROR(INDEX(tblSettlements[Settlement Date],MATCH([@[Settlement Ref]],tblSettlements[Settlement Ref],0)),"")</f>
        <v/>
      </c>
      <c r="K7" s="17">
        <f>IFERROR(INDEX(tblSettlements[Settlement Rate],MATCH([@[Settlement Ref]],tblSettlements[Settlement Ref],0)),"")</f>
        <v/>
      </c>
      <c r="L7" s="25">
        <f>IFERROR(INDEX(tblSettlements[Settlement Type],MATCH([@[Settlement Ref]],tblSettlements[Settlement Ref],0)),"")</f>
        <v/>
      </c>
      <c r="M7" s="25">
        <f>IF(OR([@[Invoice Date]]="",[@[Settlement Date]]=""),"",IF([@[Settlement Date]]&lt;[@[Invoice Date]],"Advance","On / After Invoice"))</f>
        <v/>
      </c>
      <c r="N7" s="24">
        <f>IF([@[FC Allocated]]="","",[@[FC Allocated]]*[@[Invoice Rate]])</f>
        <v/>
      </c>
      <c r="O7" s="24">
        <f>IF([@[FC Allocated]]="","",[@[FC Allocated]]*[@[Settlement Rate]])</f>
        <v/>
      </c>
      <c r="P7" s="26">
        <f>IF([@[FC Allocated]]="","",[@[Settlement Rate]]-[@[Invoice Rate]])</f>
        <v/>
      </c>
      <c r="Q7" s="26">
        <f>IF([@[FC Allocated]]="","",[@[FC Allocated]]*([@[Settlement Rate]]-[@[Invoice Rate]])*IF([@[Transaction Type]]="Sales",1,-1))</f>
        <v/>
      </c>
      <c r="R7" s="25">
        <f>IF([@[Forex Gain/(Loss)]]="","",IF([@[Forex Gain/(Loss)]]&gt;0,"Gain",IF([@[Forex Gain/(Loss)]]&lt;0,"Loss","No Impact")))</f>
        <v/>
      </c>
      <c r="S7" s="29">
        <f>IF(OR([@[Invoice Date]]="",[@[Settlement Date]]=""),"",[@[Settlement Date]]-[@[Invoice Date]])</f>
        <v/>
      </c>
      <c r="T7" s="25">
        <f>IF([@[Invoice No]]="","",IF(IFERROR(INDEX(tblSettlements[Currency],MATCH([@[Settlement Ref]],tblSettlements[Settlement Ref],0)),"")&lt;&gt;[@[Currency]],"Check: currency mismatch",IF([@[FC Allocated]]="","","OK")))</f>
        <v/>
      </c>
    </row>
    <row r="8">
      <c r="A8" s="16" t="inlineStr">
        <is>
          <t>AL-04</t>
        </is>
      </c>
      <c r="B8" s="16" t="inlineStr">
        <is>
          <t>REC-004</t>
        </is>
      </c>
      <c r="C8" s="16" t="inlineStr">
        <is>
          <t>INV-S-002</t>
        </is>
      </c>
      <c r="D8" s="24" t="n">
        <v>12000</v>
      </c>
      <c r="E8" s="25">
        <f>IFERROR(INDEX(tblInvoices[Transaction Type],MATCH([@[Invoice No]],tblInvoices[Invoice No],0)),"")</f>
        <v/>
      </c>
      <c r="F8" s="25">
        <f>IFERROR(INDEX(tblInvoices[Party Name],MATCH([@[Invoice No]],tblInvoices[Invoice No],0)),"")</f>
        <v/>
      </c>
      <c r="G8" s="25">
        <f>IFERROR(INDEX(tblInvoices[Currency],MATCH([@[Invoice No]],tblInvoices[Invoice No],0)),"")</f>
        <v/>
      </c>
      <c r="H8" s="23">
        <f>IFERROR(INDEX(tblInvoices[Invoice Date],MATCH([@[Invoice No]],tblInvoices[Invoice No],0)),"")</f>
        <v/>
      </c>
      <c r="I8" s="17">
        <f>IFERROR(INDEX(tblInvoices[Invoice Rate],MATCH([@[Invoice No]],tblInvoices[Invoice No],0)),"")</f>
        <v/>
      </c>
      <c r="J8" s="23">
        <f>IFERROR(INDEX(tblSettlements[Settlement Date],MATCH([@[Settlement Ref]],tblSettlements[Settlement Ref],0)),"")</f>
        <v/>
      </c>
      <c r="K8" s="17">
        <f>IFERROR(INDEX(tblSettlements[Settlement Rate],MATCH([@[Settlement Ref]],tblSettlements[Settlement Ref],0)),"")</f>
        <v/>
      </c>
      <c r="L8" s="25">
        <f>IFERROR(INDEX(tblSettlements[Settlement Type],MATCH([@[Settlement Ref]],tblSettlements[Settlement Ref],0)),"")</f>
        <v/>
      </c>
      <c r="M8" s="25">
        <f>IF(OR([@[Invoice Date]]="",[@[Settlement Date]]=""),"",IF([@[Settlement Date]]&lt;[@[Invoice Date]],"Advance","On / After Invoice"))</f>
        <v/>
      </c>
      <c r="N8" s="24">
        <f>IF([@[FC Allocated]]="","",[@[FC Allocated]]*[@[Invoice Rate]])</f>
        <v/>
      </c>
      <c r="O8" s="24">
        <f>IF([@[FC Allocated]]="","",[@[FC Allocated]]*[@[Settlement Rate]])</f>
        <v/>
      </c>
      <c r="P8" s="26">
        <f>IF([@[FC Allocated]]="","",[@[Settlement Rate]]-[@[Invoice Rate]])</f>
        <v/>
      </c>
      <c r="Q8" s="26">
        <f>IF([@[FC Allocated]]="","",[@[FC Allocated]]*([@[Settlement Rate]]-[@[Invoice Rate]])*IF([@[Transaction Type]]="Sales",1,-1))</f>
        <v/>
      </c>
      <c r="R8" s="25">
        <f>IF([@[Forex Gain/(Loss)]]="","",IF([@[Forex Gain/(Loss)]]&gt;0,"Gain",IF([@[Forex Gain/(Loss)]]&lt;0,"Loss","No Impact")))</f>
        <v/>
      </c>
      <c r="S8" s="29">
        <f>IF(OR([@[Invoice Date]]="",[@[Settlement Date]]=""),"",[@[Settlement Date]]-[@[Invoice Date]])</f>
        <v/>
      </c>
      <c r="T8" s="25">
        <f>IF([@[Invoice No]]="","",IF(IFERROR(INDEX(tblSettlements[Currency],MATCH([@[Settlement Ref]],tblSettlements[Settlement Ref],0)),"")&lt;&gt;[@[Currency]],"Check: currency mismatch",IF([@[FC Allocated]]="","","OK")))</f>
        <v/>
      </c>
    </row>
    <row r="9">
      <c r="A9" s="16" t="inlineStr">
        <is>
          <t>AL-05</t>
        </is>
      </c>
      <c r="B9" s="16" t="inlineStr">
        <is>
          <t>REC-004</t>
        </is>
      </c>
      <c r="C9" s="16" t="inlineStr">
        <is>
          <t>INV-S-003</t>
        </is>
      </c>
      <c r="D9" s="24" t="n">
        <v>8000</v>
      </c>
      <c r="E9" s="25">
        <f>IFERROR(INDEX(tblInvoices[Transaction Type],MATCH([@[Invoice No]],tblInvoices[Invoice No],0)),"")</f>
        <v/>
      </c>
      <c r="F9" s="25">
        <f>IFERROR(INDEX(tblInvoices[Party Name],MATCH([@[Invoice No]],tblInvoices[Invoice No],0)),"")</f>
        <v/>
      </c>
      <c r="G9" s="25">
        <f>IFERROR(INDEX(tblInvoices[Currency],MATCH([@[Invoice No]],tblInvoices[Invoice No],0)),"")</f>
        <v/>
      </c>
      <c r="H9" s="23">
        <f>IFERROR(INDEX(tblInvoices[Invoice Date],MATCH([@[Invoice No]],tblInvoices[Invoice No],0)),"")</f>
        <v/>
      </c>
      <c r="I9" s="17">
        <f>IFERROR(INDEX(tblInvoices[Invoice Rate],MATCH([@[Invoice No]],tblInvoices[Invoice No],0)),"")</f>
        <v/>
      </c>
      <c r="J9" s="23">
        <f>IFERROR(INDEX(tblSettlements[Settlement Date],MATCH([@[Settlement Ref]],tblSettlements[Settlement Ref],0)),"")</f>
        <v/>
      </c>
      <c r="K9" s="17">
        <f>IFERROR(INDEX(tblSettlements[Settlement Rate],MATCH([@[Settlement Ref]],tblSettlements[Settlement Ref],0)),"")</f>
        <v/>
      </c>
      <c r="L9" s="25">
        <f>IFERROR(INDEX(tblSettlements[Settlement Type],MATCH([@[Settlement Ref]],tblSettlements[Settlement Ref],0)),"")</f>
        <v/>
      </c>
      <c r="M9" s="25">
        <f>IF(OR([@[Invoice Date]]="",[@[Settlement Date]]=""),"",IF([@[Settlement Date]]&lt;[@[Invoice Date]],"Advance","On / After Invoice"))</f>
        <v/>
      </c>
      <c r="N9" s="24">
        <f>IF([@[FC Allocated]]="","",[@[FC Allocated]]*[@[Invoice Rate]])</f>
        <v/>
      </c>
      <c r="O9" s="24">
        <f>IF([@[FC Allocated]]="","",[@[FC Allocated]]*[@[Settlement Rate]])</f>
        <v/>
      </c>
      <c r="P9" s="26">
        <f>IF([@[FC Allocated]]="","",[@[Settlement Rate]]-[@[Invoice Rate]])</f>
        <v/>
      </c>
      <c r="Q9" s="26">
        <f>IF([@[FC Allocated]]="","",[@[FC Allocated]]*([@[Settlement Rate]]-[@[Invoice Rate]])*IF([@[Transaction Type]]="Sales",1,-1))</f>
        <v/>
      </c>
      <c r="R9" s="25">
        <f>IF([@[Forex Gain/(Loss)]]="","",IF([@[Forex Gain/(Loss)]]&gt;0,"Gain",IF([@[Forex Gain/(Loss)]]&lt;0,"Loss","No Impact")))</f>
        <v/>
      </c>
      <c r="S9" s="29">
        <f>IF(OR([@[Invoice Date]]="",[@[Settlement Date]]=""),"",[@[Settlement Date]]-[@[Invoice Date]])</f>
        <v/>
      </c>
      <c r="T9" s="25">
        <f>IF([@[Invoice No]]="","",IF(IFERROR(INDEX(tblSettlements[Currency],MATCH([@[Settlement Ref]],tblSettlements[Settlement Ref],0)),"")&lt;&gt;[@[Currency]],"Check: currency mismatch",IF([@[FC Allocated]]="","","OK")))</f>
        <v/>
      </c>
    </row>
    <row r="10">
      <c r="A10" s="16" t="inlineStr">
        <is>
          <t>AL-06</t>
        </is>
      </c>
      <c r="B10" s="16" t="inlineStr">
        <is>
          <t>PAY-001</t>
        </is>
      </c>
      <c r="C10" s="16" t="inlineStr">
        <is>
          <t>INV-P-001</t>
        </is>
      </c>
      <c r="D10" s="24" t="n">
        <v>8000</v>
      </c>
      <c r="E10" s="25">
        <f>IFERROR(INDEX(tblInvoices[Transaction Type],MATCH([@[Invoice No]],tblInvoices[Invoice No],0)),"")</f>
        <v/>
      </c>
      <c r="F10" s="25">
        <f>IFERROR(INDEX(tblInvoices[Party Name],MATCH([@[Invoice No]],tblInvoices[Invoice No],0)),"")</f>
        <v/>
      </c>
      <c r="G10" s="25">
        <f>IFERROR(INDEX(tblInvoices[Currency],MATCH([@[Invoice No]],tblInvoices[Invoice No],0)),"")</f>
        <v/>
      </c>
      <c r="H10" s="23">
        <f>IFERROR(INDEX(tblInvoices[Invoice Date],MATCH([@[Invoice No]],tblInvoices[Invoice No],0)),"")</f>
        <v/>
      </c>
      <c r="I10" s="17">
        <f>IFERROR(INDEX(tblInvoices[Invoice Rate],MATCH([@[Invoice No]],tblInvoices[Invoice No],0)),"")</f>
        <v/>
      </c>
      <c r="J10" s="23">
        <f>IFERROR(INDEX(tblSettlements[Settlement Date],MATCH([@[Settlement Ref]],tblSettlements[Settlement Ref],0)),"")</f>
        <v/>
      </c>
      <c r="K10" s="17">
        <f>IFERROR(INDEX(tblSettlements[Settlement Rate],MATCH([@[Settlement Ref]],tblSettlements[Settlement Ref],0)),"")</f>
        <v/>
      </c>
      <c r="L10" s="25">
        <f>IFERROR(INDEX(tblSettlements[Settlement Type],MATCH([@[Settlement Ref]],tblSettlements[Settlement Ref],0)),"")</f>
        <v/>
      </c>
      <c r="M10" s="25">
        <f>IF(OR([@[Invoice Date]]="",[@[Settlement Date]]=""),"",IF([@[Settlement Date]]&lt;[@[Invoice Date]],"Advance","On / After Invoice"))</f>
        <v/>
      </c>
      <c r="N10" s="24">
        <f>IF([@[FC Allocated]]="","",[@[FC Allocated]]*[@[Invoice Rate]])</f>
        <v/>
      </c>
      <c r="O10" s="24">
        <f>IF([@[FC Allocated]]="","",[@[FC Allocated]]*[@[Settlement Rate]])</f>
        <v/>
      </c>
      <c r="P10" s="26">
        <f>IF([@[FC Allocated]]="","",[@[Settlement Rate]]-[@[Invoice Rate]])</f>
        <v/>
      </c>
      <c r="Q10" s="26">
        <f>IF([@[FC Allocated]]="","",[@[FC Allocated]]*([@[Settlement Rate]]-[@[Invoice Rate]])*IF([@[Transaction Type]]="Sales",1,-1))</f>
        <v/>
      </c>
      <c r="R10" s="25">
        <f>IF([@[Forex Gain/(Loss)]]="","",IF([@[Forex Gain/(Loss)]]&gt;0,"Gain",IF([@[Forex Gain/(Loss)]]&lt;0,"Loss","No Impact")))</f>
        <v/>
      </c>
      <c r="S10" s="29">
        <f>IF(OR([@[Invoice Date]]="",[@[Settlement Date]]=""),"",[@[Settlement Date]]-[@[Invoice Date]])</f>
        <v/>
      </c>
      <c r="T10" s="25">
        <f>IF([@[Invoice No]]="","",IF(IFERROR(INDEX(tblSettlements[Currency],MATCH([@[Settlement Ref]],tblSettlements[Settlement Ref],0)),"")&lt;&gt;[@[Currency]],"Check: currency mismatch",IF([@[FC Allocated]]="","","OK")))</f>
        <v/>
      </c>
    </row>
    <row r="11">
      <c r="A11" s="16" t="inlineStr">
        <is>
          <t>AL-07</t>
        </is>
      </c>
      <c r="B11" s="16" t="inlineStr">
        <is>
          <t>PAY-002</t>
        </is>
      </c>
      <c r="C11" s="16" t="inlineStr">
        <is>
          <t>INV-P-001</t>
        </is>
      </c>
      <c r="D11" s="24" t="n">
        <v>12000</v>
      </c>
      <c r="E11" s="25">
        <f>IFERROR(INDEX(tblInvoices[Transaction Type],MATCH([@[Invoice No]],tblInvoices[Invoice No],0)),"")</f>
        <v/>
      </c>
      <c r="F11" s="25">
        <f>IFERROR(INDEX(tblInvoices[Party Name],MATCH([@[Invoice No]],tblInvoices[Invoice No],0)),"")</f>
        <v/>
      </c>
      <c r="G11" s="25">
        <f>IFERROR(INDEX(tblInvoices[Currency],MATCH([@[Invoice No]],tblInvoices[Invoice No],0)),"")</f>
        <v/>
      </c>
      <c r="H11" s="23">
        <f>IFERROR(INDEX(tblInvoices[Invoice Date],MATCH([@[Invoice No]],tblInvoices[Invoice No],0)),"")</f>
        <v/>
      </c>
      <c r="I11" s="17">
        <f>IFERROR(INDEX(tblInvoices[Invoice Rate],MATCH([@[Invoice No]],tblInvoices[Invoice No],0)),"")</f>
        <v/>
      </c>
      <c r="J11" s="23">
        <f>IFERROR(INDEX(tblSettlements[Settlement Date],MATCH([@[Settlement Ref]],tblSettlements[Settlement Ref],0)),"")</f>
        <v/>
      </c>
      <c r="K11" s="17">
        <f>IFERROR(INDEX(tblSettlements[Settlement Rate],MATCH([@[Settlement Ref]],tblSettlements[Settlement Ref],0)),"")</f>
        <v/>
      </c>
      <c r="L11" s="25">
        <f>IFERROR(INDEX(tblSettlements[Settlement Type],MATCH([@[Settlement Ref]],tblSettlements[Settlement Ref],0)),"")</f>
        <v/>
      </c>
      <c r="M11" s="25">
        <f>IF(OR([@[Invoice Date]]="",[@[Settlement Date]]=""),"",IF([@[Settlement Date]]&lt;[@[Invoice Date]],"Advance","On / After Invoice"))</f>
        <v/>
      </c>
      <c r="N11" s="24">
        <f>IF([@[FC Allocated]]="","",[@[FC Allocated]]*[@[Invoice Rate]])</f>
        <v/>
      </c>
      <c r="O11" s="24">
        <f>IF([@[FC Allocated]]="","",[@[FC Allocated]]*[@[Settlement Rate]])</f>
        <v/>
      </c>
      <c r="P11" s="26">
        <f>IF([@[FC Allocated]]="","",[@[Settlement Rate]]-[@[Invoice Rate]])</f>
        <v/>
      </c>
      <c r="Q11" s="26">
        <f>IF([@[FC Allocated]]="","",[@[FC Allocated]]*([@[Settlement Rate]]-[@[Invoice Rate]])*IF([@[Transaction Type]]="Sales",1,-1))</f>
        <v/>
      </c>
      <c r="R11" s="25">
        <f>IF([@[Forex Gain/(Loss)]]="","",IF([@[Forex Gain/(Loss)]]&gt;0,"Gain",IF([@[Forex Gain/(Loss)]]&lt;0,"Loss","No Impact")))</f>
        <v/>
      </c>
      <c r="S11" s="29">
        <f>IF(OR([@[Invoice Date]]="",[@[Settlement Date]]=""),"",[@[Settlement Date]]-[@[Invoice Date]])</f>
        <v/>
      </c>
      <c r="T11" s="25">
        <f>IF([@[Invoice No]]="","",IF(IFERROR(INDEX(tblSettlements[Currency],MATCH([@[Settlement Ref]],tblSettlements[Settlement Ref],0)),"")&lt;&gt;[@[Currency]],"Check: currency mismatch",IF([@[FC Allocated]]="","","OK")))</f>
        <v/>
      </c>
    </row>
    <row r="12">
      <c r="A12" s="16" t="inlineStr">
        <is>
          <t>AL-08</t>
        </is>
      </c>
      <c r="B12" s="16" t="inlineStr">
        <is>
          <t>PAY-003</t>
        </is>
      </c>
      <c r="C12" s="16" t="inlineStr">
        <is>
          <t>INV-P-002</t>
        </is>
      </c>
      <c r="D12" s="24" t="n">
        <v>5000</v>
      </c>
      <c r="E12" s="25">
        <f>IFERROR(INDEX(tblInvoices[Transaction Type],MATCH([@[Invoice No]],tblInvoices[Invoice No],0)),"")</f>
        <v/>
      </c>
      <c r="F12" s="25">
        <f>IFERROR(INDEX(tblInvoices[Party Name],MATCH([@[Invoice No]],tblInvoices[Invoice No],0)),"")</f>
        <v/>
      </c>
      <c r="G12" s="25">
        <f>IFERROR(INDEX(tblInvoices[Currency],MATCH([@[Invoice No]],tblInvoices[Invoice No],0)),"")</f>
        <v/>
      </c>
      <c r="H12" s="23">
        <f>IFERROR(INDEX(tblInvoices[Invoice Date],MATCH([@[Invoice No]],tblInvoices[Invoice No],0)),"")</f>
        <v/>
      </c>
      <c r="I12" s="17">
        <f>IFERROR(INDEX(tblInvoices[Invoice Rate],MATCH([@[Invoice No]],tblInvoices[Invoice No],0)),"")</f>
        <v/>
      </c>
      <c r="J12" s="23">
        <f>IFERROR(INDEX(tblSettlements[Settlement Date],MATCH([@[Settlement Ref]],tblSettlements[Settlement Ref],0)),"")</f>
        <v/>
      </c>
      <c r="K12" s="17">
        <f>IFERROR(INDEX(tblSettlements[Settlement Rate],MATCH([@[Settlement Ref]],tblSettlements[Settlement Ref],0)),"")</f>
        <v/>
      </c>
      <c r="L12" s="25">
        <f>IFERROR(INDEX(tblSettlements[Settlement Type],MATCH([@[Settlement Ref]],tblSettlements[Settlement Ref],0)),"")</f>
        <v/>
      </c>
      <c r="M12" s="25">
        <f>IF(OR([@[Invoice Date]]="",[@[Settlement Date]]=""),"",IF([@[Settlement Date]]&lt;[@[Invoice Date]],"Advance","On / After Invoice"))</f>
        <v/>
      </c>
      <c r="N12" s="24">
        <f>IF([@[FC Allocated]]="","",[@[FC Allocated]]*[@[Invoice Rate]])</f>
        <v/>
      </c>
      <c r="O12" s="24">
        <f>IF([@[FC Allocated]]="","",[@[FC Allocated]]*[@[Settlement Rate]])</f>
        <v/>
      </c>
      <c r="P12" s="26">
        <f>IF([@[FC Allocated]]="","",[@[Settlement Rate]]-[@[Invoice Rate]])</f>
        <v/>
      </c>
      <c r="Q12" s="26">
        <f>IF([@[FC Allocated]]="","",[@[FC Allocated]]*([@[Settlement Rate]]-[@[Invoice Rate]])*IF([@[Transaction Type]]="Sales",1,-1))</f>
        <v/>
      </c>
      <c r="R12" s="25">
        <f>IF([@[Forex Gain/(Loss)]]="","",IF([@[Forex Gain/(Loss)]]&gt;0,"Gain",IF([@[Forex Gain/(Loss)]]&lt;0,"Loss","No Impact")))</f>
        <v/>
      </c>
      <c r="S12" s="29">
        <f>IF(OR([@[Invoice Date]]="",[@[Settlement Date]]=""),"",[@[Settlement Date]]-[@[Invoice Date]])</f>
        <v/>
      </c>
      <c r="T12" s="25">
        <f>IF([@[Invoice No]]="","",IF(IFERROR(INDEX(tblSettlements[Currency],MATCH([@[Settlement Ref]],tblSettlements[Settlement Ref],0)),"")&lt;&gt;[@[Currency]],"Check: currency mismatch",IF([@[FC Allocated]]="","","OK")))</f>
        <v/>
      </c>
    </row>
    <row r="13">
      <c r="A13" s="16" t="inlineStr">
        <is>
          <t>AL-09</t>
        </is>
      </c>
      <c r="B13" s="16" t="inlineStr">
        <is>
          <t>REC-005</t>
        </is>
      </c>
      <c r="C13" s="16" t="inlineStr">
        <is>
          <t>INV-S-004</t>
        </is>
      </c>
      <c r="D13" s="24" t="n">
        <v>2000</v>
      </c>
      <c r="E13" s="25">
        <f>IFERROR(INDEX(tblInvoices[Transaction Type],MATCH([@[Invoice No]],tblInvoices[Invoice No],0)),"")</f>
        <v/>
      </c>
      <c r="F13" s="25">
        <f>IFERROR(INDEX(tblInvoices[Party Name],MATCH([@[Invoice No]],tblInvoices[Invoice No],0)),"")</f>
        <v/>
      </c>
      <c r="G13" s="25">
        <f>IFERROR(INDEX(tblInvoices[Currency],MATCH([@[Invoice No]],tblInvoices[Invoice No],0)),"")</f>
        <v/>
      </c>
      <c r="H13" s="23">
        <f>IFERROR(INDEX(tblInvoices[Invoice Date],MATCH([@[Invoice No]],tblInvoices[Invoice No],0)),"")</f>
        <v/>
      </c>
      <c r="I13" s="17">
        <f>IFERROR(INDEX(tblInvoices[Invoice Rate],MATCH([@[Invoice No]],tblInvoices[Invoice No],0)),"")</f>
        <v/>
      </c>
      <c r="J13" s="23">
        <f>IFERROR(INDEX(tblSettlements[Settlement Date],MATCH([@[Settlement Ref]],tblSettlements[Settlement Ref],0)),"")</f>
        <v/>
      </c>
      <c r="K13" s="17">
        <f>IFERROR(INDEX(tblSettlements[Settlement Rate],MATCH([@[Settlement Ref]],tblSettlements[Settlement Ref],0)),"")</f>
        <v/>
      </c>
      <c r="L13" s="25">
        <f>IFERROR(INDEX(tblSettlements[Settlement Type],MATCH([@[Settlement Ref]],tblSettlements[Settlement Ref],0)),"")</f>
        <v/>
      </c>
      <c r="M13" s="25">
        <f>IF(OR([@[Invoice Date]]="",[@[Settlement Date]]=""),"",IF([@[Settlement Date]]&lt;[@[Invoice Date]],"Advance","On / After Invoice"))</f>
        <v/>
      </c>
      <c r="N13" s="24">
        <f>IF([@[FC Allocated]]="","",[@[FC Allocated]]*[@[Invoice Rate]])</f>
        <v/>
      </c>
      <c r="O13" s="24">
        <f>IF([@[FC Allocated]]="","",[@[FC Allocated]]*[@[Settlement Rate]])</f>
        <v/>
      </c>
      <c r="P13" s="26">
        <f>IF([@[FC Allocated]]="","",[@[Settlement Rate]]-[@[Invoice Rate]])</f>
        <v/>
      </c>
      <c r="Q13" s="26">
        <f>IF([@[FC Allocated]]="","",[@[FC Allocated]]*([@[Settlement Rate]]-[@[Invoice Rate]])*IF([@[Transaction Type]]="Sales",1,-1))</f>
        <v/>
      </c>
      <c r="R13" s="25">
        <f>IF([@[Forex Gain/(Loss)]]="","",IF([@[Forex Gain/(Loss)]]&gt;0,"Gain",IF([@[Forex Gain/(Loss)]]&lt;0,"Loss","No Impact")))</f>
        <v/>
      </c>
      <c r="S13" s="29">
        <f>IF(OR([@[Invoice Date]]="",[@[Settlement Date]]=""),"",[@[Settlement Date]]-[@[Invoice Date]])</f>
        <v/>
      </c>
      <c r="T13" s="25">
        <f>IF([@[Invoice No]]="","",IF(IFERROR(INDEX(tblSettlements[Currency],MATCH([@[Settlement Ref]],tblSettlements[Settlement Ref],0)),"")&lt;&gt;[@[Currency]],"Check: currency mismatch",IF([@[FC Allocated]]="","","OK")))</f>
        <v/>
      </c>
    </row>
  </sheetData>
  <mergeCells count="2">
    <mergeCell ref="A1:T1"/>
    <mergeCell ref="A2:T2"/>
  </mergeCells>
  <conditionalFormatting sqref="Q5:Q13">
    <cfRule type="cellIs" priority="1" operator="greaterThan" dxfId="2">
      <formula>0</formula>
    </cfRule>
    <cfRule type="cellIs" priority="2" operator="lessThan" dxfId="3">
      <formula>0</formula>
    </cfRule>
  </conditionalFormatting>
  <conditionalFormatting sqref="M5:M13">
    <cfRule type="cellIs" priority="3" operator="equal" dxfId="4">
      <formula>"Advance"</formula>
    </cfRule>
  </conditionalFormatting>
  <dataValidations count="2">
    <dataValidation sqref="B5:B1000" showDropDown="0" showInputMessage="0" showErrorMessage="0" allowBlank="1" type="list">
      <formula1>'Receipts &amp; Payments'!$A$5:$A$1000</formula1>
    </dataValidation>
    <dataValidation sqref="C5:C1000" showDropDown="0" showInputMessage="0" showErrorMessage="0" allowBlank="1" type="list">
      <formula1>Invoices!$A$5:$A$1000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20" customWidth="1" min="4" max="4"/>
    <col width="3" customWidth="1" min="5" max="5"/>
  </cols>
  <sheetData>
    <row r="1" ht="30" customHeight="1">
      <c r="A1" s="1" t="inlineStr">
        <is>
          <t>FOREX GAIN / (LOSS) DASHBOARD</t>
        </is>
      </c>
    </row>
    <row r="2" ht="16" customHeight="1">
      <c r="A2" s="2" t="inlineStr">
        <is>
          <t>Auto-summary of realised, unrealised and net foreign-exchange impact</t>
        </is>
      </c>
    </row>
    <row r="4" ht="20" customHeight="1">
      <c r="B4" s="6" t="inlineStr">
        <is>
          <t>REALISED FOREX (money actually moved)</t>
        </is>
      </c>
    </row>
    <row r="5">
      <c r="B5" s="30" t="inlineStr">
        <is>
          <t>Realised Gains</t>
        </is>
      </c>
      <c r="C5" s="12" t="n"/>
      <c r="D5" s="31">
        <f>SUMIF(tblAllocations[Forex Gain/(Loss)],"&gt;0")</f>
        <v/>
      </c>
    </row>
    <row r="6">
      <c r="B6" s="30" t="inlineStr">
        <is>
          <t>Realised Losses</t>
        </is>
      </c>
      <c r="C6" s="12" t="n"/>
      <c r="D6" s="31">
        <f>SUMIF(tblAllocations[Forex Gain/(Loss)],"&lt;0")</f>
        <v/>
      </c>
    </row>
    <row r="7">
      <c r="B7" s="30" t="inlineStr">
        <is>
          <t>Net Realised Gain/(Loss)</t>
        </is>
      </c>
      <c r="C7" s="12" t="n"/>
      <c r="D7" s="31">
        <f>SUM(tblAllocations[Forex Gain/(Loss)])</f>
        <v/>
      </c>
    </row>
    <row r="8">
      <c r="B8" s="30" t="inlineStr">
        <is>
          <t xml:space="preserve">  • on Sales (receipts)</t>
        </is>
      </c>
      <c r="C8" s="12" t="n"/>
      <c r="D8" s="31">
        <f>SUMIFS(tblAllocations[Forex Gain/(Loss)],tblAllocations[Transaction Type],"Sales")</f>
        <v/>
      </c>
    </row>
    <row r="9">
      <c r="B9" s="30" t="inlineStr">
        <is>
          <t xml:space="preserve">  • on Purchases (payments)</t>
        </is>
      </c>
      <c r="C9" s="12" t="n"/>
      <c r="D9" s="31">
        <f>SUMIFS(tblAllocations[Forex Gain/(Loss)],tblAllocations[Transaction Type],"Purchase")</f>
        <v/>
      </c>
    </row>
    <row r="10"/>
    <row r="11" ht="20" customHeight="1">
      <c r="B11" s="5" t="inlineStr">
        <is>
          <t>UNREALISED FOREX (open balance revalued at closing rate)</t>
        </is>
      </c>
    </row>
    <row r="12">
      <c r="B12" s="30" t="inlineStr">
        <is>
          <t>Net Unrealised Gain/(Loss)</t>
        </is>
      </c>
      <c r="C12" s="12" t="n"/>
      <c r="D12" s="31">
        <f>SUM(tblInvoices[Unrealised Gain/(Loss)])</f>
        <v/>
      </c>
    </row>
    <row r="13">
      <c r="B13" s="30" t="inlineStr">
        <is>
          <t xml:space="preserve">  • on Sales (debtors open)</t>
        </is>
      </c>
      <c r="C13" s="12" t="n"/>
      <c r="D13" s="31">
        <f>SUMIFS(tblInvoices[Unrealised Gain/(Loss)],tblInvoices[Transaction Type],"Sales")</f>
        <v/>
      </c>
    </row>
    <row r="14">
      <c r="B14" s="30" t="inlineStr">
        <is>
          <t xml:space="preserve">  • on Purchases (creditors open)</t>
        </is>
      </c>
      <c r="C14" s="12" t="n"/>
      <c r="D14" s="31">
        <f>SUMIFS(tblInvoices[Unrealised Gain/(Loss)],tblInvoices[Transaction Type],"Purchase")</f>
        <v/>
      </c>
    </row>
    <row r="15"/>
    <row r="16" ht="20" customHeight="1">
      <c r="B16" s="3" t="inlineStr">
        <is>
          <t>TOTAL FOREX IMPACT TO P&amp;L</t>
        </is>
      </c>
    </row>
    <row r="17">
      <c r="B17" s="30" t="inlineStr">
        <is>
          <t>Net Forex Gain/(Loss) (Realised + Unrealised)</t>
        </is>
      </c>
      <c r="C17" s="12" t="n"/>
      <c r="D17" s="31">
        <f>SUM(tblAllocations[Forex Gain/(Loss)])+SUM(tblInvoices[Unrealised Gain/(Loss)])</f>
        <v/>
      </c>
    </row>
    <row r="18"/>
    <row r="19" ht="20" customHeight="1">
      <c r="B19" s="7" t="inlineStr">
        <is>
          <t>DATA OVERVIEW</t>
        </is>
      </c>
    </row>
    <row r="20">
      <c r="B20" s="30" t="inlineStr">
        <is>
          <t>Invoices captured</t>
        </is>
      </c>
      <c r="C20" s="12" t="n"/>
      <c r="D20" s="32">
        <f>COUNTA(tblInvoices[Invoice No])</f>
        <v/>
      </c>
    </row>
    <row r="21">
      <c r="B21" s="30" t="inlineStr">
        <is>
          <t>Receipts &amp; Payments captured</t>
        </is>
      </c>
      <c r="C21" s="12" t="n"/>
      <c r="D21" s="32">
        <f>COUNTA(tblSettlements[Settlement Ref])</f>
        <v/>
      </c>
    </row>
    <row r="22">
      <c r="B22" s="30" t="inlineStr">
        <is>
          <t>Allocation lines</t>
        </is>
      </c>
      <c r="C22" s="12" t="n"/>
      <c r="D22" s="32">
        <f>COUNTA(tblAllocations[Alloc ID])</f>
        <v/>
      </c>
    </row>
    <row r="23">
      <c r="B23" s="30" t="inlineStr">
        <is>
          <t>Advance settlements</t>
        </is>
      </c>
      <c r="C23" s="12" t="n"/>
      <c r="D23" s="32">
        <f>COUNTIF(tblAllocations[Settlement Nature],"Advance")</f>
        <v/>
      </c>
    </row>
    <row r="24">
      <c r="B24" s="30" t="inlineStr">
        <is>
          <t>Invoices fully settled</t>
        </is>
      </c>
      <c r="C24" s="12" t="n"/>
      <c r="D24" s="32">
        <f>COUNTIF(tblInvoices[Settlement Status],"Fully Settled")</f>
        <v/>
      </c>
    </row>
    <row r="25">
      <c r="B25" s="30" t="inlineStr">
        <is>
          <t>Invoices part/open</t>
        </is>
      </c>
      <c r="C25" s="12" t="n"/>
      <c r="D25" s="32">
        <f>COUNTIFS(tblInvoices[Settlement Status],"&lt;&gt;Fully Settled")</f>
        <v/>
      </c>
    </row>
  </sheetData>
  <mergeCells count="21">
    <mergeCell ref="B11:D11"/>
    <mergeCell ref="B7:C7"/>
    <mergeCell ref="B25:C25"/>
    <mergeCell ref="B22:C22"/>
    <mergeCell ref="B12:C12"/>
    <mergeCell ref="A2:F2"/>
    <mergeCell ref="B21:C21"/>
    <mergeCell ref="B19:D19"/>
    <mergeCell ref="B23:C23"/>
    <mergeCell ref="B14:C14"/>
    <mergeCell ref="B17:C17"/>
    <mergeCell ref="B8:C8"/>
    <mergeCell ref="B13:C13"/>
    <mergeCell ref="B4:D4"/>
    <mergeCell ref="B9:C9"/>
    <mergeCell ref="B16:D16"/>
    <mergeCell ref="B6:C6"/>
    <mergeCell ref="B24:C24"/>
    <mergeCell ref="B5:C5"/>
    <mergeCell ref="A1:F1"/>
    <mergeCell ref="B20:C20"/>
  </mergeCells>
  <conditionalFormatting sqref="D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6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D7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D8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D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D1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D13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D14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D17">
    <cfRule type="cellIs" priority="17" operator="greaterThan" dxfId="0">
      <formula>0</formula>
    </cfRule>
    <cfRule type="cellIs" priority="18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2026-06-24T17:45:00Z</dcterms:created>
  <dcterms:modified xsi:type="dcterms:W3CDTF">2026-06-24T17:45:00Z</dcterms:modified>
</cp:coreProperties>
</file>