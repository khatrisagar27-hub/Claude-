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7.xml.rels" ContentType="application/vnd.openxmlformats-package.relationships+xml"/>
  <Override PartName="/xl/worksheets/_rels/sheet13.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9.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_rels/sheet6.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xl/tables/table7.xml" ContentType="application/vnd.openxmlformats-officedocument.spreadsheetml.table+xml"/>
  <Override PartName="/xl/tables/table8.xml" ContentType="application/vnd.openxmlformats-officedocument.spreadsheetml.table+xml"/>
  <Override PartName="/xl/tables/table5.xml" ContentType="application/vnd.openxmlformats-officedocument.spreadsheetml.table+xml"/>
  <Override PartName="/xl/tables/table10.xml" ContentType="application/vnd.openxmlformats-officedocument.spreadsheetml.table+xml"/>
  <Override PartName="/xl/tables/table3.xml" ContentType="application/vnd.openxmlformats-officedocument.spreadsheetml.table+xml"/>
  <Override PartName="/xl/tables/table6.xml" ContentType="application/vnd.openxmlformats-officedocument.spreadsheetml.table+xml"/>
  <Override PartName="/xl/tables/table11.xml" ContentType="application/vnd.openxmlformats-officedocument.spreadsheetml.table+xml"/>
  <Override PartName="/xl/tables/table4.xml" ContentType="application/vnd.openxmlformats-officedocument.spreadsheetml.table+xml"/>
  <Override PartName="/xl/tables/table9.xml" ContentType="application/vnd.openxmlformats-officedocument.spreadsheetml.table+xml"/>
  <Override PartName="/xl/tables/table2.xml" ContentType="application/vnd.openxmlformats-officedocument.spreadsheetml.table+xml"/>
  <Override PartName="/xl/tables/table1.xml" ContentType="application/vnd.openxmlformats-officedocument.spreadsheetml.table+xml"/>
  <Override PartName="/xl/drawings/_rels/drawing1.xml.rels" ContentType="application/vnd.openxmlformats-package.relationships+xml"/>
  <Override PartName="/xl/drawings/drawing1.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README" sheetId="1" state="visible" r:id="rId3"/>
    <sheet name="Machines" sheetId="2" state="visible" r:id="rId4"/>
    <sheet name="Products" sheetId="3" state="visible" r:id="rId5"/>
    <sheet name="BOM" sheetId="4" state="visible" r:id="rId6"/>
    <sheet name="StockMovements" sheetId="5" state="visible" r:id="rId7"/>
    <sheet name="Downtime" sheetId="6" state="visible" r:id="rId8"/>
    <sheet name="WorkOrders" sheetId="7" state="visible" r:id="rId9"/>
    <sheet name="Rejections" sheetId="8" state="visible" r:id="rId10"/>
    <sheet name="Analytics_Stock" sheetId="9" state="visible" r:id="rId11"/>
    <sheet name="Analytics_OEE" sheetId="10" state="visible" r:id="rId12"/>
    <sheet name="Analytics_Downtime" sheetId="11" state="visible" r:id="rId13"/>
    <sheet name="Analytics_Production" sheetId="12" state="visible" r:id="rId14"/>
    <sheet name="Analytics_Yield" sheetId="13" state="visible" r:id="rId15"/>
    <sheet name="Dashboard" sheetId="14" state="visible" r:id="rId16"/>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<sst xmlns="http://schemas.openxmlformats.org/spreadsheetml/2006/main" count="178" uniqueCount="129">
  <si>
    <t xml:space="preserve">Factory ERP — Excel Edition</t>
  </si>
  <si>
    <t xml:space="preserve">Macro-free workbook: stock, machines, production logged as append-only tables; every analytics number (OEE, downtime Pareto, stock ageing/reorder/valuation, material yield) is a formula, computed the same way as factory-erp/backend/app/analytics/*.py — so this and the web app never disagree on what a number means.</t>
  </si>
  <si>
    <t xml:space="preserve">Legend</t>
  </si>
  <si>
    <t xml:space="preserve">Blue text</t>
  </si>
  <si>
    <t xml:space="preserve">Hardcoded input — the cells you actually type into.</t>
  </si>
  <si>
    <t xml:space="preserve">Black text</t>
  </si>
  <si>
    <t xml:space="preserve">Formula — never overwrite; extend the pattern down instead.</t>
  </si>
  <si>
    <t xml:space="preserve">Yellow fill</t>
  </si>
  <si>
    <t xml:space="preserve">Dropdown cell — pick from the list, don't free-type.</t>
  </si>
  <si>
    <t xml:space="preserve">Red fill (Analytics/Stock)</t>
  </si>
  <si>
    <t xml:space="preserve">Reorder alert — on-hand qty is below reorder level.</t>
  </si>
  <si>
    <t xml:space="preserve">How to add data</t>
  </si>
  <si>
    <t xml:space="preserve">• Master data (Machines, Products, BOM): add a row anywhere inside the table — it auto-expands and every dropdown/formula elsewhere already points at the full table range (rows 2-60).</t>
  </si>
  <si>
    <t xml:space="preserve">• Transactions (StockMovements, Downtime, WorkOrders, Rejections): one row per event, oldest first is not required — formulas are order-independent. Never edit or delete a posted row; if a movement was wrong, post a correcting entry (same discipline as the backend's ledger — see factory-erp/README.md).</t>
  </si>
  <si>
    <t xml:space="preserve">• Analytics/Dashboard sheets recalculate automatically as you add rows — nothing to refresh by hand (this is plain formulas, not Power Query/Power Pivot).</t>
  </si>
  <si>
    <t xml:space="preserve">Multi-user editing — read this before relying on it</t>
  </si>
  <si>
    <t xml:space="preserve">This workbook is macro-free specifically so co-authoring works: put it on OneDrive or SharePoint and several people can add rows to the same table at the same time from Excel desktop or Excel Online. That is the ceiling of what Excel can offer, though — it is NOT a database. There is no row-level locking or transaction guarantee; near-simultaneous saves are usually merged cleanly but occasionally are not, formula recalculation lags a beat behind concurrent edits, and a large shared file gets slower to co-author as row counts grow into the thousands. If your factory needs guaranteed data integrity under real concurrent load, that is exactly the gap the FastAPI + Postgres edition in factory-erp/backend and factory-erp/frontend fills — this workbook is the tradeoff you chose in exchange for zero hosting and a format your team already knows.</t>
  </si>
  <si>
    <t xml:space="preserve">Code</t>
  </si>
  <si>
    <t xml:space="preserve">Name</t>
  </si>
  <si>
    <t xml:space="preserve">Category</t>
  </si>
  <si>
    <t xml:space="preserve">RatedCapacityPerHour</t>
  </si>
  <si>
    <t xml:space="preserve">Status</t>
  </si>
  <si>
    <t xml:space="preserve">PRESS-01</t>
  </si>
  <si>
    <t xml:space="preserve">Hydraulic Press 1</t>
  </si>
  <si>
    <t xml:space="preserve">press</t>
  </si>
  <si>
    <t xml:space="preserve">running</t>
  </si>
  <si>
    <t xml:space="preserve">PRESS-02</t>
  </si>
  <si>
    <t xml:space="preserve">Hydraulic Press 2</t>
  </si>
  <si>
    <t xml:space="preserve">idle</t>
  </si>
  <si>
    <t xml:space="preserve">SKU</t>
  </si>
  <si>
    <t xml:space="preserve">UOM</t>
  </si>
  <si>
    <t xml:space="preserve">StandardCost</t>
  </si>
  <si>
    <t xml:space="preserve">ReorderLevel</t>
  </si>
  <si>
    <t xml:space="preserve">ReorderQty</t>
  </si>
  <si>
    <t xml:space="preserve">RM-STEEL-COIL</t>
  </si>
  <si>
    <t xml:space="preserve">Steel Coil 2mm</t>
  </si>
  <si>
    <t xml:space="preserve">raw_material</t>
  </si>
  <si>
    <t xml:space="preserve">kg</t>
  </si>
  <si>
    <t xml:space="preserve">FG-BRACKET-A</t>
  </si>
  <si>
    <t xml:space="preserve">Mounting Bracket A</t>
  </si>
  <si>
    <t xml:space="preserve">finished_good</t>
  </si>
  <si>
    <t xml:space="preserve">pcs</t>
  </si>
  <si>
    <t xml:space="preserve">ParentSKU</t>
  </si>
  <si>
    <t xml:space="preserve">ComponentSKU</t>
  </si>
  <si>
    <t xml:space="preserve">QtyPerUnit</t>
  </si>
  <si>
    <t xml:space="preserve">ComponentStdCost</t>
  </si>
  <si>
    <t xml:space="preserve">LineStdCost</t>
  </si>
  <si>
    <t xml:space="preserve">Date</t>
  </si>
  <si>
    <t xml:space="preserve">ProductSKU</t>
  </si>
  <si>
    <t xml:space="preserve">Warehouse</t>
  </si>
  <si>
    <t xml:space="preserve">MovementType</t>
  </si>
  <si>
    <t xml:space="preserve">Quantity</t>
  </si>
  <si>
    <t xml:space="preserve">UnitCost</t>
  </si>
  <si>
    <t xml:space="preserve">Reference</t>
  </si>
  <si>
    <t xml:space="preserve">WorkOrderNo</t>
  </si>
  <si>
    <t xml:space="preserve">Value</t>
  </si>
  <si>
    <t xml:space="preserve">Raw Material Store</t>
  </si>
  <si>
    <t xml:space="preserve">receipt</t>
  </si>
  <si>
    <t xml:space="preserve">PO-1001</t>
  </si>
  <si>
    <t xml:space="preserve">issue</t>
  </si>
  <si>
    <t xml:space="preserve">WO-2026-0001</t>
  </si>
  <si>
    <t xml:space="preserve">Finished Goods Store</t>
  </si>
  <si>
    <t xml:space="preserve">production_in</t>
  </si>
  <si>
    <t xml:space="preserve">MachineCode</t>
  </si>
  <si>
    <t xml:space="preserve">StartTime</t>
  </si>
  <si>
    <t xml:space="preserve">EndTime</t>
  </si>
  <si>
    <t xml:space="preserve">ReasonCategory</t>
  </si>
  <si>
    <t xml:space="preserve">Remarks</t>
  </si>
  <si>
    <t xml:space="preserve">DurationMinutes</t>
  </si>
  <si>
    <t xml:space="preserve">breakdown</t>
  </si>
  <si>
    <t xml:space="preserve">Hydraulic seal leak</t>
  </si>
  <si>
    <t xml:space="preserve">changeover</t>
  </si>
  <si>
    <t xml:space="preserve">Die change</t>
  </si>
  <si>
    <t xml:space="preserve">OrderNo</t>
  </si>
  <si>
    <t xml:space="preserve">PlannedQty</t>
  </si>
  <si>
    <t xml:space="preserve">ProducedQty</t>
  </si>
  <si>
    <t xml:space="preserve">RejectedQty</t>
  </si>
  <si>
    <t xml:space="preserve">PlannedStart</t>
  </si>
  <si>
    <t xml:space="preserve">PlannedEnd</t>
  </si>
  <si>
    <t xml:space="preserve">ActualStart</t>
  </si>
  <si>
    <t xml:space="preserve">ActualEnd</t>
  </si>
  <si>
    <t xml:space="preserve">GoodQty</t>
  </si>
  <si>
    <t xml:space="preserve">PlannedMinutes</t>
  </si>
  <si>
    <t xml:space="preserve">OnTime</t>
  </si>
  <si>
    <t xml:space="preserve">completed</t>
  </si>
  <si>
    <t xml:space="preserve">DefectType</t>
  </si>
  <si>
    <t xml:space="preserve">Burr / sharp edge</t>
  </si>
  <si>
    <t xml:space="preserve">Die wear — flagged for PRESS-01 maintenance</t>
  </si>
  <si>
    <t xml:space="preserve">OnHand</t>
  </si>
  <si>
    <t xml:space="preserve">ValuationValue</t>
  </si>
  <si>
    <t xml:space="preserve">ReorderStatus</t>
  </si>
  <si>
    <t xml:space="preserve">LastMovementDate</t>
  </si>
  <si>
    <t xml:space="preserve">DaysSinceMovement</t>
  </si>
  <si>
    <t xml:space="preserve">AgeingBucket</t>
  </si>
  <si>
    <t xml:space="preserve">TotalOutput</t>
  </si>
  <si>
    <t xml:space="preserve">RejectedTotal</t>
  </si>
  <si>
    <t xml:space="preserve">GoodOutput</t>
  </si>
  <si>
    <t xml:space="preserve">DowntimeMinutes</t>
  </si>
  <si>
    <t xml:space="preserve">RunMinutes</t>
  </si>
  <si>
    <t xml:space="preserve">Availability</t>
  </si>
  <si>
    <t xml:space="preserve">Performance</t>
  </si>
  <si>
    <t xml:space="preserve">Quality</t>
  </si>
  <si>
    <t xml:space="preserve">OEE</t>
  </si>
  <si>
    <t xml:space="preserve">TotalMinutes</t>
  </si>
  <si>
    <t xml:space="preserve">Occurrences</t>
  </si>
  <si>
    <t xml:space="preserve">no_material</t>
  </si>
  <si>
    <t xml:space="preserve">power</t>
  </si>
  <si>
    <t xml:space="preserve">planned_maintenance</t>
  </si>
  <si>
    <t xml:space="preserve">other</t>
  </si>
  <si>
    <t xml:space="preserve">Production summary</t>
  </si>
  <si>
    <t xml:space="preserve">Total planned qty</t>
  </si>
  <si>
    <t xml:space="preserve">Total produced qty</t>
  </si>
  <si>
    <t xml:space="preserve">Total rejected qty</t>
  </si>
  <si>
    <t xml:space="preserve">Good qty</t>
  </si>
  <si>
    <t xml:space="preserve">Rejection rate</t>
  </si>
  <si>
    <t xml:space="preserve">Completed work orders</t>
  </si>
  <si>
    <t xml:space="preserve">Completed on/before planned end</t>
  </si>
  <si>
    <t xml:space="preserve">Schedule adherence</t>
  </si>
  <si>
    <t xml:space="preserve">StdUnitMaterialCost</t>
  </si>
  <si>
    <t xml:space="preserve">MaterialIssuedValue</t>
  </si>
  <si>
    <t xml:space="preserve">StandardOutputUnits</t>
  </si>
  <si>
    <t xml:space="preserve">MaterialYieldPct</t>
  </si>
  <si>
    <t xml:space="preserve">MaterialCostPerUnit</t>
  </si>
  <si>
    <t xml:space="preserve">Plant Dashboard</t>
  </si>
  <si>
    <t xml:space="preserve">Average OEE</t>
  </si>
  <si>
    <t xml:space="preserve">Reorder alerts</t>
  </si>
  <si>
    <t xml:space="preserve">OEE by machine</t>
  </si>
  <si>
    <t xml:space="preserve">Downtime by reason (Pareto)</t>
  </si>
  <si>
    <t xml:space="preserve">Stock — first 20 products (full list: Analytics_Stock)</t>
  </si>
</sst>
</file>

<file path=xl/styles.xml><?xml version="1.0" encoding="utf-8"?>
<styleSheet xmlns="http://schemas.openxmlformats.org/spreadsheetml/2006/main">
  <numFmts count="9">
    <numFmt numFmtId="164" formatCode="General"/>
    <numFmt numFmtId="165" formatCode="General"/>
    <numFmt numFmtId="166" formatCode="yyyy\-mm\-dd\ hh:mm"/>
    <numFmt numFmtId="167" formatCode="yyyy\-mm\-dd"/>
    <numFmt numFmtId="168" formatCode="0.0%"/>
    <numFmt numFmtId="169" formatCode="0.00%"/>
    <numFmt numFmtId="170" formatCode="#,##0"/>
    <numFmt numFmtId="171" formatCode="0"/>
    <numFmt numFmtId="172" formatCode="0%"/>
  </numFmts>
  <fonts count="15">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b val="true"/>
      <sz val="11"/>
      <color rgb="FF1F2937"/>
      <name val="Arial"/>
      <family val="0"/>
      <charset val="1"/>
    </font>
    <font>
      <b val="true"/>
      <sz val="10"/>
      <name val="Arial"/>
      <family val="0"/>
      <charset val="1"/>
    </font>
    <font>
      <sz val="10"/>
      <name val="Arial"/>
      <family val="0"/>
      <charset val="1"/>
    </font>
    <font>
      <b val="true"/>
      <sz val="10"/>
      <color rgb="FFFFFFFF"/>
      <name val="Arial"/>
      <family val="0"/>
      <charset val="1"/>
    </font>
    <font>
      <sz val="10"/>
      <color rgb="FF0000FF"/>
      <name val="Arial"/>
      <family val="0"/>
      <charset val="1"/>
    </font>
    <font>
      <sz val="10"/>
      <color rgb="FF000000"/>
      <name val="Arial"/>
      <family val="0"/>
      <charset val="1"/>
    </font>
    <font>
      <b val="true"/>
      <sz val="10"/>
      <color rgb="FF6B7280"/>
      <name val="Arial"/>
      <family val="0"/>
      <charset val="1"/>
    </font>
    <font>
      <b val="true"/>
      <sz val="18"/>
      <color rgb="FF1F2937"/>
      <name val="Arial"/>
      <family val="0"/>
      <charset val="1"/>
    </font>
    <font>
      <sz val="10"/>
      <color rgb="FF000000"/>
      <name val="Calibri"/>
      <family val="2"/>
    </font>
    <font>
      <b val="true"/>
      <sz val="10"/>
      <color rgb="FF000000"/>
      <name val="Calibri"/>
      <family val="2"/>
    </font>
  </fonts>
  <fills count="4">
    <fill>
      <patternFill patternType="none"/>
    </fill>
    <fill>
      <patternFill patternType="gray125"/>
    </fill>
    <fill>
      <patternFill patternType="solid">
        <fgColor rgb="FF1F2937"/>
        <bgColor rgb="FF333300"/>
      </patternFill>
    </fill>
    <fill>
      <patternFill patternType="solid">
        <fgColor rgb="FFFFFDE7"/>
        <bgColor rgb="FFFFFFFF"/>
      </patternFill>
    </fill>
  </fills>
  <borders count="2">
    <border diagonalUp="false" diagonalDown="false">
      <left/>
      <right/>
      <top/>
      <bottom/>
      <diagonal/>
    </border>
    <border diagonalUp="false" diagonalDown="false">
      <left style="thin">
        <color rgb="FFD1D5DB"/>
      </left>
      <right style="thin">
        <color rgb="FFD1D5DB"/>
      </right>
      <top style="thin">
        <color rgb="FFD1D5DB"/>
      </top>
      <bottom style="thin">
        <color rgb="FFD1D5DB"/>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general" vertical="bottom"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bottom"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0" borderId="1" xfId="0" applyFont="true" applyBorder="true" applyAlignment="false" applyProtection="false">
      <alignment horizontal="general" vertical="bottom" textRotation="0" wrapText="false" indent="0" shrinkToFit="false"/>
      <protection locked="true" hidden="false"/>
    </xf>
    <xf numFmtId="164" fontId="9" fillId="3" borderId="1" xfId="0" applyFont="true" applyBorder="true" applyAlignment="false" applyProtection="false">
      <alignment horizontal="general" vertical="bottom" textRotation="0" wrapText="false" indent="0" shrinkToFit="false"/>
      <protection locked="true" hidden="false"/>
    </xf>
    <xf numFmtId="164" fontId="0" fillId="3" borderId="0" xfId="0" applyFont="false" applyBorder="fals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6" fontId="9" fillId="0" borderId="1" xfId="0" applyFont="true" applyBorder="true" applyAlignment="false" applyProtection="false">
      <alignment horizontal="general" vertical="bottom" textRotation="0" wrapText="false" indent="0" shrinkToFit="false"/>
      <protection locked="true" hidden="false"/>
    </xf>
    <xf numFmtId="164" fontId="10"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5" fontId="10" fillId="0"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4" fontId="11" fillId="0" borderId="0" xfId="0" applyFont="true" applyBorder="true" applyAlignment="false" applyProtection="false">
      <alignment horizontal="general" vertical="bottom" textRotation="0" wrapText="false" indent="0" shrinkToFit="false"/>
      <protection locked="true" hidden="false"/>
    </xf>
    <xf numFmtId="168" fontId="12" fillId="0" borderId="0" xfId="0" applyFont="true" applyBorder="true" applyAlignment="false" applyProtection="false">
      <alignment horizontal="general" vertical="bottom" textRotation="0" wrapText="false" indent="0" shrinkToFit="false"/>
      <protection locked="true" hidden="false"/>
    </xf>
    <xf numFmtId="170" fontId="12" fillId="0" borderId="0" xfId="0" applyFont="true" applyBorder="true" applyAlignment="false" applyProtection="false">
      <alignment horizontal="general" vertical="bottom" textRotation="0" wrapText="false" indent="0" shrinkToFit="false"/>
      <protection locked="true" hidden="false"/>
    </xf>
    <xf numFmtId="169" fontId="12" fillId="0" borderId="0" xfId="0" applyFont="true" applyBorder="true" applyAlignment="false" applyProtection="false">
      <alignment horizontal="general" vertical="bottom" textRotation="0" wrapText="false" indent="0" shrinkToFit="false"/>
      <protection locked="true" hidden="false"/>
    </xf>
    <xf numFmtId="171" fontId="12" fillId="0" borderId="0" xfId="0" applyFont="true" applyBorder="true" applyAlignment="false" applyProtection="false">
      <alignment horizontal="general" vertical="bottom" textRotation="0" wrapText="fals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1F2937"/>
          <bgColor rgb="FF000000"/>
        </patternFill>
      </fill>
    </dxf>
    <dxf>
      <fill>
        <patternFill patternType="solid">
          <bgColor rgb="FF000000"/>
        </patternFill>
      </fill>
    </dxf>
    <dxf>
      <fill>
        <patternFill patternType="solid">
          <fgColor rgb="FF000000"/>
          <bgColor rgb="FF000000"/>
        </patternFill>
      </fill>
    </dxf>
    <dxf>
      <fill>
        <patternFill patternType="solid">
          <fgColor rgb="FF0000FF"/>
          <bgColor rgb="FF000000"/>
        </patternFill>
      </fill>
    </dxf>
    <dxf>
      <fill>
        <patternFill patternType="solid">
          <fgColor rgb="FFFFFFFF"/>
          <bgColor rgb="FF000000"/>
        </patternFill>
      </fill>
    </dxf>
    <dxf>
      <fill>
        <patternFill patternType="solid">
          <fgColor rgb="FFFFFDE7"/>
          <bgColor rgb="FF000000"/>
        </patternFill>
      </fill>
    </dxf>
    <dxf>
      <fill>
        <patternFill>
          <bgColor rgb="FFFECACA"/>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D9D9D9"/>
      <rgbColor rgb="FF878787"/>
      <rgbColor rgb="FF9999FF"/>
      <rgbColor rgb="FF993366"/>
      <rgbColor rgb="FFFFFDE7"/>
      <rgbColor rgb="FFCCFFFF"/>
      <rgbColor rgb="FF660066"/>
      <rgbColor rgb="FFFF8080"/>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ECACA"/>
      <rgbColor rgb="FF4F81BD"/>
      <rgbColor rgb="FF33CCCC"/>
      <rgbColor rgb="FF99CC00"/>
      <rgbColor rgb="FFFFCC00"/>
      <rgbColor rgb="FFFF9900"/>
      <rgbColor rgb="FFFF6600"/>
      <rgbColor rgb="FF6B7280"/>
      <rgbColor rgb="FF969696"/>
      <rgbColor rgb="FF003366"/>
      <rgbColor rgb="FF339966"/>
      <rgbColor rgb="FF003300"/>
      <rgbColor rgb="FF333300"/>
      <rgbColor rgb="FF993300"/>
      <rgbColor rgb="FF993366"/>
      <rgbColor rgb="FF333399"/>
      <rgbColor rgb="FF1F2937"/>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Analytics_OEE!M1</c:f>
              <c:strCache>
                <c:ptCount val="1"/>
                <c:pt idx="0">
                  <c:v>OEE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Analytics_OEE!$B$2:$B$11</c:f>
              <c:strCache>
                <c:ptCount val="10"/>
                <c:pt idx="0">
                  <c:v>Hydraulic Press 1</c:v>
                </c:pt>
                <c:pt idx="1">
                  <c:v>Hydraulic Press 2</c:v>
                </c:pt>
                <c:pt idx="2">
                  <c:v/>
                </c:pt>
                <c:pt idx="3">
                  <c:v/>
                </c:pt>
                <c:pt idx="4">
                  <c:v/>
                </c:pt>
                <c:pt idx="5">
                  <c:v/>
                </c:pt>
                <c:pt idx="6">
                  <c:v/>
                </c:pt>
                <c:pt idx="7">
                  <c:v/>
                </c:pt>
                <c:pt idx="8">
                  <c:v/>
                </c:pt>
                <c:pt idx="9">
                  <c:v/>
                </c:pt>
              </c:strCache>
            </c:strRef>
          </c:cat>
          <c:val>
            <c:numRef>
              <c:f>Analytics_OEE!$M$2:$M$11</c:f>
              <c:numCache>
                <c:formatCode>0.0%</c:formatCode>
                <c:ptCount val="10"/>
                <c:pt idx="0">
                  <c:v>0.812056737588653</c:v>
                </c:pt>
                <c:pt idx="1">
                  <c:v>0</c:v>
                </c:pt>
              </c:numCache>
            </c:numRef>
          </c:val>
        </c:ser>
        <c:gapWidth val="150"/>
        <c:overlap val="0"/>
        <c:axId val="32718469"/>
        <c:axId val="96749832"/>
      </c:barChart>
      <c:catAx>
        <c:axId val="32718469"/>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96749832"/>
        <c:crosses val="autoZero"/>
        <c:auto val="1"/>
        <c:lblAlgn val="ctr"/>
        <c:lblOffset val="100"/>
        <c:noMultiLvlLbl val="0"/>
      </c:catAx>
      <c:valAx>
        <c:axId val="9674983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OEE</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32718469"/>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clustered"/>
        <c:varyColors val="0"/>
        <c:ser>
          <c:idx val="0"/>
          <c:order val="0"/>
          <c:tx>
            <c:strRef>
              <c:f>Analytics_Downtime!B1</c:f>
              <c:strCache>
                <c:ptCount val="1"/>
                <c:pt idx="0">
                  <c:v>TotalMinutes</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Analytics_Downtime!$A$2:$A$7</c:f>
              <c:strCache>
                <c:ptCount val="6"/>
                <c:pt idx="0">
                  <c:v>breakdown</c:v>
                </c:pt>
                <c:pt idx="1">
                  <c:v>changeover</c:v>
                </c:pt>
                <c:pt idx="2">
                  <c:v>no_material</c:v>
                </c:pt>
                <c:pt idx="3">
                  <c:v>power</c:v>
                </c:pt>
                <c:pt idx="4">
                  <c:v>planned_maintenance</c:v>
                </c:pt>
                <c:pt idx="5">
                  <c:v>other</c:v>
                </c:pt>
              </c:strCache>
            </c:strRef>
          </c:cat>
          <c:val>
            <c:numRef>
              <c:f>Analytics_Downtime!$B$2:$B$7</c:f>
              <c:numCache>
                <c:formatCode>General</c:formatCode>
                <c:ptCount val="6"/>
                <c:pt idx="0">
                  <c:v>25</c:v>
                </c:pt>
                <c:pt idx="1">
                  <c:v>15</c:v>
                </c:pt>
                <c:pt idx="2">
                  <c:v>0</c:v>
                </c:pt>
                <c:pt idx="3">
                  <c:v>0</c:v>
                </c:pt>
                <c:pt idx="4">
                  <c:v>0</c:v>
                </c:pt>
                <c:pt idx="5">
                  <c:v>0</c:v>
                </c:pt>
              </c:numCache>
            </c:numRef>
          </c:val>
        </c:ser>
        <c:gapWidth val="150"/>
        <c:overlap val="0"/>
        <c:axId val="68577520"/>
        <c:axId val="78866712"/>
      </c:barChart>
      <c:catAx>
        <c:axId val="68577520"/>
        <c:scaling>
          <c:orientation val="minMax"/>
        </c:scaling>
        <c:delete val="0"/>
        <c:axPos val="b"/>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78866712"/>
        <c:crosses val="autoZero"/>
        <c:auto val="1"/>
        <c:lblAlgn val="ctr"/>
        <c:lblOffset val="100"/>
        <c:noMultiLvlLbl val="0"/>
      </c:catAx>
      <c:valAx>
        <c:axId val="78866712"/>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Minutes</a:t>
                </a:r>
              </a:p>
            </c:rich>
          </c:tx>
          <c:overlay val="0"/>
          <c:spPr>
            <a:noFill/>
            <a:ln w="0">
              <a:noFill/>
            </a:ln>
          </c:spPr>
        </c:title>
        <c:numFmt formatCode="General"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8577520"/>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6</xdr:row>
      <xdr:rowOff>70920</xdr:rowOff>
    </xdr:from>
    <xdr:to>
      <xdr:col>4</xdr:col>
      <xdr:colOff>594720</xdr:colOff>
      <xdr:row>21</xdr:row>
      <xdr:rowOff>93240</xdr:rowOff>
    </xdr:to>
    <xdr:graphicFrame>
      <xdr:nvGraphicFramePr>
        <xdr:cNvPr id="0" name="Chart 1"/>
        <xdr:cNvGraphicFramePr/>
      </xdr:nvGraphicFramePr>
      <xdr:xfrm>
        <a:off x="758880" y="1333440"/>
        <a:ext cx="50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9</xdr:col>
      <xdr:colOff>0</xdr:colOff>
      <xdr:row>6</xdr:row>
      <xdr:rowOff>70920</xdr:rowOff>
    </xdr:from>
    <xdr:to>
      <xdr:col>15</xdr:col>
      <xdr:colOff>486360</xdr:colOff>
      <xdr:row>21</xdr:row>
      <xdr:rowOff>93240</xdr:rowOff>
    </xdr:to>
    <xdr:graphicFrame>
      <xdr:nvGraphicFramePr>
        <xdr:cNvPr id="1" name="Chart 2"/>
        <xdr:cNvGraphicFramePr/>
      </xdr:nvGraphicFramePr>
      <xdr:xfrm>
        <a:off x="10455120" y="1333440"/>
        <a:ext cx="503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tables/table1.xml><?xml version="1.0" encoding="utf-8"?>
<table xmlns="http://schemas.openxmlformats.org/spreadsheetml/2006/main" id="1" name="TblAnalyticsDowntime" displayName="TblAnalyticsDowntime" ref="A1:C7" headerRowCount="1" totalsRowCount="0" totalsRowShown="0">
  <autoFilter ref="A1:C7"/>
  <tableColumns count="3">
    <tableColumn id="1" name="ReasonCategory"/>
    <tableColumn id="2" name="TotalMinutes"/>
    <tableColumn id="3" name="Occurrences"/>
  </tableColumns>
</table>
</file>

<file path=xl/tables/table2.xml><?xml version="1.0" encoding="utf-8"?>
<table xmlns="http://schemas.openxmlformats.org/spreadsheetml/2006/main" id="2" name="TblAnalyticsOEE" displayName="TblAnalyticsOEE" ref="A1:M60" headerRowCount="1" totalsRowCount="0" totalsRowShown="0">
  <autoFilter ref="A1:M60"/>
  <tableColumns count="13">
    <tableColumn id="1" name="Code"/>
    <tableColumn id="2" name="Name"/>
    <tableColumn id="3" name="RatedCapacityPerHour"/>
    <tableColumn id="4" name="PlannedMinutes"/>
    <tableColumn id="5" name="TotalOutput"/>
    <tableColumn id="6" name="RejectedTotal"/>
    <tableColumn id="7" name="GoodOutput"/>
    <tableColumn id="8" name="DowntimeMinutes"/>
    <tableColumn id="9" name="RunMinutes"/>
    <tableColumn id="10" name="Availability"/>
    <tableColumn id="11" name="Performance"/>
    <tableColumn id="12" name="Quality"/>
    <tableColumn id="13" name="OEE"/>
  </tableColumns>
</table>
</file>

<file path=xl/tables/table3.xml><?xml version="1.0" encoding="utf-8"?>
<table xmlns="http://schemas.openxmlformats.org/spreadsheetml/2006/main" id="3" name="TblAnalyticsStock" displayName="TblAnalyticsStock" ref="A1:K60" headerRowCount="1" totalsRowCount="0" totalsRowShown="0">
  <autoFilter ref="A1:K60"/>
  <tableColumns count="11">
    <tableColumn id="1" name="SKU"/>
    <tableColumn id="2" name="Name"/>
    <tableColumn id="3" name="Category"/>
    <tableColumn id="4" name="OnHand"/>
    <tableColumn id="5" name="StandardCost"/>
    <tableColumn id="6" name="ValuationValue"/>
    <tableColumn id="7" name="ReorderLevel"/>
    <tableColumn id="8" name="ReorderStatus"/>
    <tableColumn id="9" name="LastMovementDate"/>
    <tableColumn id="10" name="DaysSinceMovement"/>
    <tableColumn id="11" name="AgeingBucket"/>
  </tableColumns>
</table>
</file>

<file path=xl/tables/table4.xml><?xml version="1.0" encoding="utf-8"?>
<table xmlns="http://schemas.openxmlformats.org/spreadsheetml/2006/main" id="4" name="TblAnalyticsYield" displayName="TblAnalyticsYield" ref="A1:H60" headerRowCount="1" totalsRowCount="0" totalsRowShown="0">
  <autoFilter ref="A1:H60"/>
  <tableColumns count="8">
    <tableColumn id="1" name="OrderNo"/>
    <tableColumn id="2" name="ProductSKU"/>
    <tableColumn id="3" name="StdUnitMaterialCost"/>
    <tableColumn id="4" name="MaterialIssuedValue"/>
    <tableColumn id="5" name="StandardOutputUnits"/>
    <tableColumn id="6" name="GoodQty"/>
    <tableColumn id="7" name="MaterialYieldPct"/>
    <tableColumn id="8" name="MaterialCostPerUnit"/>
  </tableColumns>
</table>
</file>

<file path=xl/tables/table5.xml><?xml version="1.0" encoding="utf-8"?>
<table xmlns="http://schemas.openxmlformats.org/spreadsheetml/2006/main" id="5" name="TblBOM" displayName="TblBOM" ref="A1:E60" headerRowCount="1" totalsRowCount="0" totalsRowShown="0">
  <autoFilter ref="A1:E60"/>
  <tableColumns count="5">
    <tableColumn id="1" name="ParentSKU"/>
    <tableColumn id="2" name="ComponentSKU"/>
    <tableColumn id="3" name="QtyPerUnit"/>
    <tableColumn id="4" name="ComponentStdCost"/>
    <tableColumn id="5" name="LineStdCost"/>
  </tableColumns>
</table>
</file>

<file path=xl/tables/table6.xml><?xml version="1.0" encoding="utf-8"?>
<table xmlns="http://schemas.openxmlformats.org/spreadsheetml/2006/main" id="6" name="TblDowntime" displayName="TblDowntime" ref="A1:G60" headerRowCount="1" totalsRowCount="0" totalsRowShown="0">
  <autoFilter ref="A1:G60"/>
  <tableColumns count="7">
    <tableColumn id="1" name="MachineCode"/>
    <tableColumn id="2" name="WorkOrderNo"/>
    <tableColumn id="3" name="StartTime"/>
    <tableColumn id="4" name="EndTime"/>
    <tableColumn id="5" name="ReasonCategory"/>
    <tableColumn id="6" name="Remarks"/>
    <tableColumn id="7" name="DurationMinutes"/>
  </tableColumns>
</table>
</file>

<file path=xl/tables/table7.xml><?xml version="1.0" encoding="utf-8"?>
<table xmlns="http://schemas.openxmlformats.org/spreadsheetml/2006/main" id="7" name="TblMachines" displayName="TblMachines" ref="A1:E60" headerRowCount="1" totalsRowCount="0" totalsRowShown="0">
  <autoFilter ref="A1:E60"/>
  <tableColumns count="5">
    <tableColumn id="1" name="Code"/>
    <tableColumn id="2" name="Name"/>
    <tableColumn id="3" name="Category"/>
    <tableColumn id="4" name="RatedCapacityPerHour"/>
    <tableColumn id="5" name="Status"/>
  </tableColumns>
</table>
</file>

<file path=xl/tables/table8.xml><?xml version="1.0" encoding="utf-8"?>
<table xmlns="http://schemas.openxmlformats.org/spreadsheetml/2006/main" id="8" name="TblProducts" displayName="TblProducts" ref="A1:G60" headerRowCount="1" totalsRowCount="0" totalsRowShown="0">
  <autoFilter ref="A1:G60"/>
  <tableColumns count="7">
    <tableColumn id="1" name="SKU"/>
    <tableColumn id="2" name="Name"/>
    <tableColumn id="3" name="Category"/>
    <tableColumn id="4" name="UOM"/>
    <tableColumn id="5" name="StandardCost"/>
    <tableColumn id="6" name="ReorderLevel"/>
    <tableColumn id="7" name="ReorderQty"/>
  </tableColumns>
</table>
</file>

<file path=xl/tables/table9.xml><?xml version="1.0" encoding="utf-8"?>
<table xmlns="http://schemas.openxmlformats.org/spreadsheetml/2006/main" id="9" name="TblRejections" displayName="TblRejections" ref="A1:D60" headerRowCount="1" totalsRowCount="0" totalsRowShown="0">
  <autoFilter ref="A1:D60"/>
  <tableColumns count="4">
    <tableColumn id="1" name="WorkOrderNo"/>
    <tableColumn id="2" name="DefectType"/>
    <tableColumn id="3" name="Quantity"/>
    <tableColumn id="4" name="Remarks"/>
  </tableColumns>
</table>
</file>

<file path=xl/tables/table10.xml><?xml version="1.0" encoding="utf-8"?>
<table xmlns="http://schemas.openxmlformats.org/spreadsheetml/2006/main" id="10" name="TblStockMoves" displayName="TblStockMoves" ref="A1:I60" headerRowCount="1" totalsRowCount="0" totalsRowShown="0">
  <autoFilter ref="A1:I60"/>
  <tableColumns count="9">
    <tableColumn id="1" name="Date"/>
    <tableColumn id="2" name="ProductSKU"/>
    <tableColumn id="3" name="Warehouse"/>
    <tableColumn id="4" name="MovementType"/>
    <tableColumn id="5" name="Quantity"/>
    <tableColumn id="6" name="UnitCost"/>
    <tableColumn id="7" name="Reference"/>
    <tableColumn id="8" name="WorkOrderNo"/>
    <tableColumn id="9" name="Value"/>
  </tableColumns>
</table>
</file>

<file path=xl/tables/table11.xml><?xml version="1.0" encoding="utf-8"?>
<table xmlns="http://schemas.openxmlformats.org/spreadsheetml/2006/main" id="11" name="TblWorkOrders" displayName="TblWorkOrders" ref="A1:N60" headerRowCount="1" totalsRowCount="0" totalsRowShown="0">
  <autoFilter ref="A1:N60"/>
  <tableColumns count="14">
    <tableColumn id="1" name="OrderNo"/>
    <tableColumn id="2" name="ProductSKU"/>
    <tableColumn id="3" name="MachineCode"/>
    <tableColumn id="4" name="PlannedQty"/>
    <tableColumn id="5" name="ProducedQty"/>
    <tableColumn id="6" name="RejectedQty"/>
    <tableColumn id="7" name="PlannedStart"/>
    <tableColumn id="8" name="PlannedEnd"/>
    <tableColumn id="9" name="ActualStart"/>
    <tableColumn id="10" name="ActualEnd"/>
    <tableColumn id="11" name="Status"/>
    <tableColumn id="12" name="GoodQty"/>
    <tableColumn id="13" name="PlannedMinutes"/>
    <tableColumn id="14" name="OnTime"/>
  </tableColumns>
</table>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table" Target="../tables/table7.xml"/>
</Relationships>
</file>

<file path=xl/worksheets/_rels/sheet3.xml.rels><?xml version="1.0" encoding="UTF-8"?>
<Relationships xmlns="http://schemas.openxmlformats.org/package/2006/relationships"><Relationship Id="rId1" Type="http://schemas.openxmlformats.org/officeDocument/2006/relationships/table" Target="../tables/table8.xml"/>
</Relationships>
</file>

<file path=xl/worksheets/_rels/sheet4.xml.rels><?xml version="1.0" encoding="UTF-8"?>
<Relationships xmlns="http://schemas.openxmlformats.org/package/2006/relationships"><Relationship Id="rId1"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10.xml"/>
</Relationships>
</file>

<file path=xl/worksheets/_rels/sheet6.xml.rels><?xml version="1.0" encoding="UTF-8"?>
<Relationships xmlns="http://schemas.openxmlformats.org/package/2006/relationships"><Relationship Id="rId1" Type="http://schemas.openxmlformats.org/officeDocument/2006/relationships/table" Target="../tables/table6.xml"/>
</Relationships>
</file>

<file path=xl/worksheets/_rels/sheet7.xml.rels><?xml version="1.0" encoding="UTF-8"?>
<Relationships xmlns="http://schemas.openxmlformats.org/package/2006/relationships"><Relationship Id="rId1" Type="http://schemas.openxmlformats.org/officeDocument/2006/relationships/table" Target="../tables/table11.xml"/>
</Relationships>
</file>

<file path=xl/worksheets/_rels/sheet8.xml.rels><?xml version="1.0" encoding="UTF-8"?>
<Relationships xmlns="http://schemas.openxmlformats.org/package/2006/relationships"><Relationship Id="rId1" Type="http://schemas.openxmlformats.org/officeDocument/2006/relationships/table" Target="../tables/table9.xml"/>
</Relationships>
</file>

<file path=xl/worksheets/_rels/sheet9.xml.rels><?xml version="1.0" encoding="UTF-8"?>
<Relationships xmlns="http://schemas.openxmlformats.org/package/2006/relationships"><Relationship Id="rId1" Type="http://schemas.openxmlformats.org/officeDocument/2006/relationships/table" Target="../tables/table3.xml"/>
</Relationships>
</file>

<file path=xl/worksheets/_rels/sheet10.xml.rels><?xml version="1.0" encoding="UTF-8"?>
<Relationships xmlns="http://schemas.openxmlformats.org/package/2006/relationships"><Relationship Id="rId1" Type="http://schemas.openxmlformats.org/officeDocument/2006/relationships/table" Target="../tables/table2.xml"/>
</Relationships>
</file>

<file path=xl/worksheets/_rels/sheet11.xml.rels><?xml version="1.0" encoding="UTF-8"?>
<Relationships xmlns="http://schemas.openxmlformats.org/package/2006/relationships"><Relationship Id="rId1" Type="http://schemas.openxmlformats.org/officeDocument/2006/relationships/table" Target="../tables/table1.xml"/>
</Relationships>
</file>

<file path=xl/worksheets/_rels/sheet13.xml.rels><?xml version="1.0" encoding="UTF-8"?>
<Relationships xmlns="http://schemas.openxmlformats.org/package/2006/relationships"><Relationship Id="rId1" Type="http://schemas.openxmlformats.org/officeDocument/2006/relationships/table" Target="../tables/table4.xml"/>
</Relationships>
</file>

<file path=xl/worksheets/_rels/sheet14.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28"/>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4"/>
  </cols>
  <sheetData>
    <row r="2" customFormat="false" ht="17.35" hidden="false" customHeight="false" outlineLevel="0" collapsed="false">
      <c r="B2" s="1" t="s">
        <v>0</v>
      </c>
    </row>
    <row r="4" customFormat="false" ht="15" hidden="false" customHeight="true" outlineLevel="0" collapsed="false">
      <c r="B4" s="2" t="s">
        <v>1</v>
      </c>
      <c r="C4" s="2"/>
      <c r="D4" s="2"/>
      <c r="E4" s="2"/>
      <c r="F4" s="2"/>
      <c r="G4" s="2"/>
      <c r="H4" s="2"/>
    </row>
    <row r="5" customFormat="false" ht="15" hidden="false" customHeight="false" outlineLevel="0" collapsed="false">
      <c r="B5" s="2"/>
      <c r="C5" s="2"/>
      <c r="D5" s="2"/>
      <c r="E5" s="2"/>
      <c r="F5" s="2"/>
      <c r="G5" s="2"/>
      <c r="H5" s="2"/>
    </row>
    <row r="6" customFormat="false" ht="15" hidden="false" customHeight="false" outlineLevel="0" collapsed="false">
      <c r="B6" s="2"/>
      <c r="C6" s="2"/>
      <c r="D6" s="2"/>
      <c r="E6" s="2"/>
      <c r="F6" s="2"/>
      <c r="G6" s="2"/>
      <c r="H6" s="2"/>
    </row>
    <row r="9" customFormat="false" ht="15" hidden="false" customHeight="false" outlineLevel="0" collapsed="false">
      <c r="B9" s="3" t="s">
        <v>2</v>
      </c>
    </row>
    <row r="10" customFormat="false" ht="15" hidden="false" customHeight="false" outlineLevel="0" collapsed="false">
      <c r="B10" s="4" t="s">
        <v>3</v>
      </c>
      <c r="C10" s="5" t="s">
        <v>4</v>
      </c>
      <c r="D10" s="5"/>
      <c r="E10" s="5"/>
      <c r="F10" s="5"/>
      <c r="G10" s="5"/>
      <c r="H10" s="5"/>
    </row>
    <row r="11" customFormat="false" ht="15" hidden="false" customHeight="false" outlineLevel="0" collapsed="false">
      <c r="B11" s="4" t="s">
        <v>5</v>
      </c>
      <c r="C11" s="5" t="s">
        <v>6</v>
      </c>
      <c r="D11" s="5"/>
      <c r="E11" s="5"/>
      <c r="F11" s="5"/>
      <c r="G11" s="5"/>
      <c r="H11" s="5"/>
    </row>
    <row r="12" customFormat="false" ht="15" hidden="false" customHeight="false" outlineLevel="0" collapsed="false">
      <c r="B12" s="4" t="s">
        <v>7</v>
      </c>
      <c r="C12" s="5" t="s">
        <v>8</v>
      </c>
      <c r="D12" s="5"/>
      <c r="E12" s="5"/>
      <c r="F12" s="5"/>
      <c r="G12" s="5"/>
      <c r="H12" s="5"/>
    </row>
    <row r="13" customFormat="false" ht="15" hidden="false" customHeight="false" outlineLevel="0" collapsed="false">
      <c r="B13" s="4" t="s">
        <v>9</v>
      </c>
      <c r="C13" s="5" t="s">
        <v>10</v>
      </c>
      <c r="D13" s="5"/>
      <c r="E13" s="5"/>
      <c r="F13" s="5"/>
      <c r="G13" s="5"/>
      <c r="H13" s="5"/>
    </row>
    <row r="15" customFormat="false" ht="15" hidden="false" customHeight="false" outlineLevel="0" collapsed="false">
      <c r="B15" s="3" t="s">
        <v>11</v>
      </c>
    </row>
    <row r="16" customFormat="false" ht="30" hidden="false" customHeight="true" outlineLevel="0" collapsed="false">
      <c r="B16" s="6" t="s">
        <v>12</v>
      </c>
      <c r="C16" s="6"/>
      <c r="D16" s="6"/>
      <c r="E16" s="6"/>
      <c r="F16" s="6"/>
      <c r="G16" s="6"/>
      <c r="H16" s="6"/>
    </row>
    <row r="18" customFormat="false" ht="30" hidden="false" customHeight="true" outlineLevel="0" collapsed="false">
      <c r="B18" s="6" t="s">
        <v>13</v>
      </c>
      <c r="C18" s="6"/>
      <c r="D18" s="6"/>
      <c r="E18" s="6"/>
      <c r="F18" s="6"/>
      <c r="G18" s="6"/>
      <c r="H18" s="6"/>
    </row>
    <row r="20" customFormat="false" ht="30" hidden="false" customHeight="true" outlineLevel="0" collapsed="false">
      <c r="B20" s="6" t="s">
        <v>14</v>
      </c>
      <c r="C20" s="6"/>
      <c r="D20" s="6"/>
      <c r="E20" s="6"/>
      <c r="F20" s="6"/>
      <c r="G20" s="6"/>
      <c r="H20" s="6"/>
    </row>
    <row r="23" customFormat="false" ht="15" hidden="false" customHeight="false" outlineLevel="0" collapsed="false">
      <c r="B23" s="3" t="s">
        <v>15</v>
      </c>
    </row>
    <row r="24" customFormat="false" ht="15" hidden="false" customHeight="true" outlineLevel="0" collapsed="false">
      <c r="B24" s="6" t="s">
        <v>16</v>
      </c>
      <c r="C24" s="6"/>
      <c r="D24" s="6"/>
      <c r="E24" s="6"/>
      <c r="F24" s="6"/>
      <c r="G24" s="6"/>
      <c r="H24" s="6"/>
    </row>
    <row r="25" customFormat="false" ht="15" hidden="false" customHeight="false" outlineLevel="0" collapsed="false">
      <c r="B25" s="6"/>
      <c r="C25" s="6"/>
      <c r="D25" s="6"/>
      <c r="E25" s="6"/>
      <c r="F25" s="6"/>
      <c r="G25" s="6"/>
      <c r="H25" s="6"/>
    </row>
    <row r="26" customFormat="false" ht="15" hidden="false" customHeight="false" outlineLevel="0" collapsed="false">
      <c r="B26" s="6"/>
      <c r="C26" s="6"/>
      <c r="D26" s="6"/>
      <c r="E26" s="6"/>
      <c r="F26" s="6"/>
      <c r="G26" s="6"/>
      <c r="H26" s="6"/>
    </row>
    <row r="27" customFormat="false" ht="15" hidden="false" customHeight="false" outlineLevel="0" collapsed="false">
      <c r="B27" s="6"/>
      <c r="C27" s="6"/>
      <c r="D27" s="6"/>
      <c r="E27" s="6"/>
      <c r="F27" s="6"/>
      <c r="G27" s="6"/>
      <c r="H27" s="6"/>
    </row>
    <row r="28" customFormat="false" ht="15" hidden="false" customHeight="false" outlineLevel="0" collapsed="false">
      <c r="B28" s="6"/>
      <c r="C28" s="6"/>
      <c r="D28" s="6"/>
      <c r="E28" s="6"/>
      <c r="F28" s="6"/>
      <c r="G28" s="6"/>
      <c r="H28" s="6"/>
    </row>
  </sheetData>
  <mergeCells count="9">
    <mergeCell ref="B4:H6"/>
    <mergeCell ref="C10:H10"/>
    <mergeCell ref="C11:H11"/>
    <mergeCell ref="C12:H12"/>
    <mergeCell ref="C13:H13"/>
    <mergeCell ref="B16:H16"/>
    <mergeCell ref="B18:H18"/>
    <mergeCell ref="B20:H20"/>
    <mergeCell ref="B24:H2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
    <col collapsed="false" customWidth="true" hidden="false" outlineLevel="0" max="2" min="2" style="0" width="20"/>
    <col collapsed="false" customWidth="true" hidden="false" outlineLevel="0" max="3" min="3" style="0" width="12"/>
    <col collapsed="false" customWidth="true" hidden="false" outlineLevel="0" max="4" min="4" style="0" width="20"/>
    <col collapsed="false" customWidth="true" hidden="false" outlineLevel="0" max="5" min="5" style="0" width="14"/>
  </cols>
  <sheetData>
    <row r="1" customFormat="false" ht="15" hidden="false" customHeight="false" outlineLevel="0" collapsed="false">
      <c r="A1" s="7" t="s">
        <v>17</v>
      </c>
      <c r="B1" s="7" t="s">
        <v>18</v>
      </c>
      <c r="C1" s="7" t="s">
        <v>19</v>
      </c>
      <c r="D1" s="7" t="s">
        <v>20</v>
      </c>
      <c r="E1" s="7" t="s">
        <v>21</v>
      </c>
    </row>
    <row r="2" customFormat="false" ht="15" hidden="false" customHeight="false" outlineLevel="0" collapsed="false">
      <c r="A2" s="8" t="s">
        <v>22</v>
      </c>
      <c r="B2" s="8" t="s">
        <v>23</v>
      </c>
      <c r="C2" s="8" t="s">
        <v>24</v>
      </c>
      <c r="D2" s="8" t="n">
        <v>120</v>
      </c>
      <c r="E2" s="9" t="s">
        <v>25</v>
      </c>
    </row>
    <row r="3" customFormat="false" ht="15" hidden="false" customHeight="false" outlineLevel="0" collapsed="false">
      <c r="A3" s="8" t="s">
        <v>26</v>
      </c>
      <c r="B3" s="8" t="s">
        <v>27</v>
      </c>
      <c r="C3" s="8" t="s">
        <v>24</v>
      </c>
      <c r="D3" s="8" t="n">
        <v>100</v>
      </c>
      <c r="E3" s="9" t="s">
        <v>28</v>
      </c>
    </row>
    <row r="4" customFormat="false" ht="15" hidden="false" customHeight="false" outlineLevel="0" collapsed="false">
      <c r="E4" s="10"/>
    </row>
    <row r="5" customFormat="false" ht="15" hidden="false" customHeight="false" outlineLevel="0" collapsed="false">
      <c r="E5" s="10"/>
    </row>
    <row r="6" customFormat="false" ht="15" hidden="false" customHeight="false" outlineLevel="0" collapsed="false">
      <c r="E6" s="10"/>
    </row>
    <row r="7" customFormat="false" ht="15" hidden="false" customHeight="false" outlineLevel="0" collapsed="false">
      <c r="E7" s="10"/>
    </row>
    <row r="8" customFormat="false" ht="15" hidden="false" customHeight="false" outlineLevel="0" collapsed="false">
      <c r="E8" s="10"/>
    </row>
    <row r="9" customFormat="false" ht="15" hidden="false" customHeight="false" outlineLevel="0" collapsed="false">
      <c r="E9" s="10"/>
    </row>
    <row r="10" customFormat="false" ht="15" hidden="false" customHeight="false" outlineLevel="0" collapsed="false">
      <c r="E10" s="10"/>
    </row>
    <row r="11" customFormat="false" ht="15" hidden="false" customHeight="false" outlineLevel="0" collapsed="false">
      <c r="E11" s="10"/>
    </row>
    <row r="12" customFormat="false" ht="15" hidden="false" customHeight="false" outlineLevel="0" collapsed="false">
      <c r="E12" s="10"/>
    </row>
    <row r="13" customFormat="false" ht="15" hidden="false" customHeight="false" outlineLevel="0" collapsed="false">
      <c r="E13" s="10"/>
    </row>
    <row r="14" customFormat="false" ht="15" hidden="false" customHeight="false" outlineLevel="0" collapsed="false">
      <c r="E14" s="10"/>
    </row>
    <row r="15" customFormat="false" ht="15" hidden="false" customHeight="false" outlineLevel="0" collapsed="false">
      <c r="E15" s="10"/>
    </row>
    <row r="16" customFormat="false" ht="15" hidden="false" customHeight="false" outlineLevel="0" collapsed="false">
      <c r="E16" s="10"/>
    </row>
    <row r="17" customFormat="false" ht="15" hidden="false" customHeight="false" outlineLevel="0" collapsed="false">
      <c r="E17" s="10"/>
    </row>
    <row r="18" customFormat="false" ht="15" hidden="false" customHeight="false" outlineLevel="0" collapsed="false">
      <c r="E18" s="10"/>
    </row>
    <row r="19" customFormat="false" ht="15" hidden="false" customHeight="false" outlineLevel="0" collapsed="false">
      <c r="E19" s="10"/>
    </row>
    <row r="20" customFormat="false" ht="15" hidden="false" customHeight="false" outlineLevel="0" collapsed="false">
      <c r="E20" s="10"/>
    </row>
    <row r="21" customFormat="false" ht="15" hidden="false" customHeight="false" outlineLevel="0" collapsed="false">
      <c r="E21" s="10"/>
    </row>
    <row r="22" customFormat="false" ht="15" hidden="false" customHeight="false" outlineLevel="0" collapsed="false">
      <c r="E22" s="10"/>
    </row>
    <row r="23" customFormat="false" ht="15" hidden="false" customHeight="false" outlineLevel="0" collapsed="false">
      <c r="E23" s="10"/>
    </row>
    <row r="24" customFormat="false" ht="15" hidden="false" customHeight="false" outlineLevel="0" collapsed="false">
      <c r="E24" s="10"/>
    </row>
    <row r="25" customFormat="false" ht="15" hidden="false" customHeight="false" outlineLevel="0" collapsed="false">
      <c r="E25" s="10"/>
    </row>
    <row r="26" customFormat="false" ht="15" hidden="false" customHeight="false" outlineLevel="0" collapsed="false">
      <c r="E26" s="10"/>
    </row>
    <row r="27" customFormat="false" ht="15" hidden="false" customHeight="false" outlineLevel="0" collapsed="false">
      <c r="E27" s="10"/>
    </row>
    <row r="28" customFormat="false" ht="15" hidden="false" customHeight="false" outlineLevel="0" collapsed="false">
      <c r="E28" s="10"/>
    </row>
    <row r="29" customFormat="false" ht="15" hidden="false" customHeight="false" outlineLevel="0" collapsed="false">
      <c r="E29" s="10"/>
    </row>
    <row r="30" customFormat="false" ht="15" hidden="false" customHeight="false" outlineLevel="0" collapsed="false">
      <c r="E30" s="10"/>
    </row>
    <row r="31" customFormat="false" ht="15" hidden="false" customHeight="false" outlineLevel="0" collapsed="false">
      <c r="E31" s="10"/>
    </row>
    <row r="32" customFormat="false" ht="15" hidden="false" customHeight="false" outlineLevel="0" collapsed="false">
      <c r="E32" s="10"/>
    </row>
    <row r="33" customFormat="false" ht="15" hidden="false" customHeight="false" outlineLevel="0" collapsed="false">
      <c r="E33" s="10"/>
    </row>
    <row r="34" customFormat="false" ht="15" hidden="false" customHeight="false" outlineLevel="0" collapsed="false">
      <c r="E34" s="10"/>
    </row>
    <row r="35" customFormat="false" ht="15" hidden="false" customHeight="false" outlineLevel="0" collapsed="false">
      <c r="E35" s="10"/>
    </row>
    <row r="36" customFormat="false" ht="15" hidden="false" customHeight="false" outlineLevel="0" collapsed="false">
      <c r="E36" s="10"/>
    </row>
    <row r="37" customFormat="false" ht="15" hidden="false" customHeight="false" outlineLevel="0" collapsed="false">
      <c r="E37" s="10"/>
    </row>
    <row r="38" customFormat="false" ht="15" hidden="false" customHeight="false" outlineLevel="0" collapsed="false">
      <c r="E38" s="10"/>
    </row>
    <row r="39" customFormat="false" ht="15" hidden="false" customHeight="false" outlineLevel="0" collapsed="false">
      <c r="E39" s="10"/>
    </row>
    <row r="40" customFormat="false" ht="15" hidden="false" customHeight="false" outlineLevel="0" collapsed="false">
      <c r="E40" s="10"/>
    </row>
    <row r="41" customFormat="false" ht="15" hidden="false" customHeight="false" outlineLevel="0" collapsed="false">
      <c r="E41" s="10"/>
    </row>
    <row r="42" customFormat="false" ht="15" hidden="false" customHeight="false" outlineLevel="0" collapsed="false">
      <c r="E42" s="10"/>
    </row>
    <row r="43" customFormat="false" ht="15" hidden="false" customHeight="false" outlineLevel="0" collapsed="false">
      <c r="E43" s="10"/>
    </row>
    <row r="44" customFormat="false" ht="15" hidden="false" customHeight="false" outlineLevel="0" collapsed="false">
      <c r="E44" s="10"/>
    </row>
    <row r="45" customFormat="false" ht="15" hidden="false" customHeight="false" outlineLevel="0" collapsed="false">
      <c r="E45" s="10"/>
    </row>
    <row r="46" customFormat="false" ht="15" hidden="false" customHeight="false" outlineLevel="0" collapsed="false">
      <c r="E46" s="10"/>
    </row>
    <row r="47" customFormat="false" ht="15" hidden="false" customHeight="false" outlineLevel="0" collapsed="false">
      <c r="E47" s="10"/>
    </row>
    <row r="48" customFormat="false" ht="15" hidden="false" customHeight="false" outlineLevel="0" collapsed="false">
      <c r="E48" s="10"/>
    </row>
    <row r="49" customFormat="false" ht="15" hidden="false" customHeight="false" outlineLevel="0" collapsed="false">
      <c r="E49" s="10"/>
    </row>
    <row r="50" customFormat="false" ht="15" hidden="false" customHeight="false" outlineLevel="0" collapsed="false">
      <c r="E50" s="10"/>
    </row>
    <row r="51" customFormat="false" ht="15" hidden="false" customHeight="false" outlineLevel="0" collapsed="false">
      <c r="E51" s="10"/>
    </row>
    <row r="52" customFormat="false" ht="15" hidden="false" customHeight="false" outlineLevel="0" collapsed="false">
      <c r="E52" s="10"/>
    </row>
    <row r="53" customFormat="false" ht="15" hidden="false" customHeight="false" outlineLevel="0" collapsed="false">
      <c r="E53" s="10"/>
    </row>
    <row r="54" customFormat="false" ht="15" hidden="false" customHeight="false" outlineLevel="0" collapsed="false">
      <c r="E54" s="10"/>
    </row>
    <row r="55" customFormat="false" ht="15" hidden="false" customHeight="false" outlineLevel="0" collapsed="false">
      <c r="E55" s="10"/>
    </row>
    <row r="56" customFormat="false" ht="15" hidden="false" customHeight="false" outlineLevel="0" collapsed="false">
      <c r="E56" s="10"/>
    </row>
    <row r="57" customFormat="false" ht="15" hidden="false" customHeight="false" outlineLevel="0" collapsed="false">
      <c r="E57" s="10"/>
    </row>
    <row r="58" customFormat="false" ht="15" hidden="false" customHeight="false" outlineLevel="0" collapsed="false">
      <c r="E58" s="10"/>
    </row>
    <row r="59" customFormat="false" ht="15" hidden="false" customHeight="false" outlineLevel="0" collapsed="false">
      <c r="E59" s="10"/>
    </row>
    <row r="60" customFormat="false" ht="15" hidden="false" customHeight="false" outlineLevel="0" collapsed="false">
      <c r="E60" s="10"/>
    </row>
  </sheetData>
  <dataValidations count="1">
    <dataValidation allowBlank="true" errorStyle="stop" operator="between" showDropDown="false" showErrorMessage="false" showInputMessage="false" sqref="E2:E60" type="list">
      <formula1>"running,idle,breakdown,maintenance"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14"/>
    <col collapsed="false" customWidth="true" hidden="false" outlineLevel="0" max="4" min="4" style="0" width="8"/>
    <col collapsed="false" customWidth="true" hidden="false" outlineLevel="0" max="7" min="5" style="0" width="13"/>
  </cols>
  <sheetData>
    <row r="1" customFormat="false" ht="15" hidden="false" customHeight="false" outlineLevel="0" collapsed="false">
      <c r="A1" s="7" t="s">
        <v>29</v>
      </c>
      <c r="B1" s="7" t="s">
        <v>18</v>
      </c>
      <c r="C1" s="7" t="s">
        <v>19</v>
      </c>
      <c r="D1" s="7" t="s">
        <v>30</v>
      </c>
      <c r="E1" s="7" t="s">
        <v>31</v>
      </c>
      <c r="F1" s="7" t="s">
        <v>32</v>
      </c>
      <c r="G1" s="7" t="s">
        <v>33</v>
      </c>
    </row>
    <row r="2" customFormat="false" ht="15" hidden="false" customHeight="false" outlineLevel="0" collapsed="false">
      <c r="A2" s="8" t="s">
        <v>34</v>
      </c>
      <c r="B2" s="8" t="s">
        <v>35</v>
      </c>
      <c r="C2" s="9" t="s">
        <v>36</v>
      </c>
      <c r="D2" s="8" t="s">
        <v>37</v>
      </c>
      <c r="E2" s="8" t="n">
        <v>65</v>
      </c>
      <c r="F2" s="8" t="n">
        <v>500</v>
      </c>
      <c r="G2" s="8" t="n">
        <v>2000</v>
      </c>
    </row>
    <row r="3" customFormat="false" ht="15" hidden="false" customHeight="false" outlineLevel="0" collapsed="false">
      <c r="A3" s="8" t="s">
        <v>38</v>
      </c>
      <c r="B3" s="8" t="s">
        <v>39</v>
      </c>
      <c r="C3" s="9" t="s">
        <v>40</v>
      </c>
      <c r="D3" s="8" t="s">
        <v>41</v>
      </c>
      <c r="E3" s="8" t="n">
        <v>180</v>
      </c>
      <c r="F3" s="8" t="n">
        <v>200</v>
      </c>
      <c r="G3" s="8" t="n">
        <v>500</v>
      </c>
    </row>
    <row r="4" customFormat="false" ht="15" hidden="false" customHeight="false" outlineLevel="0" collapsed="false">
      <c r="C4" s="10"/>
    </row>
    <row r="5" customFormat="false" ht="15" hidden="false" customHeight="false" outlineLevel="0" collapsed="false">
      <c r="C5" s="10"/>
    </row>
    <row r="6" customFormat="false" ht="15" hidden="false" customHeight="false" outlineLevel="0" collapsed="false">
      <c r="C6" s="10"/>
    </row>
    <row r="7" customFormat="false" ht="15" hidden="false" customHeight="false" outlineLevel="0" collapsed="false">
      <c r="C7" s="10"/>
    </row>
    <row r="8" customFormat="false" ht="15" hidden="false" customHeight="false" outlineLevel="0" collapsed="false">
      <c r="C8" s="10"/>
    </row>
    <row r="9" customFormat="false" ht="15" hidden="false" customHeight="false" outlineLevel="0" collapsed="false">
      <c r="C9" s="10"/>
    </row>
    <row r="10" customFormat="false" ht="15" hidden="false" customHeight="false" outlineLevel="0" collapsed="false">
      <c r="C10" s="10"/>
    </row>
    <row r="11" customFormat="false" ht="15" hidden="false" customHeight="false" outlineLevel="0" collapsed="false">
      <c r="C11" s="10"/>
    </row>
    <row r="12" customFormat="false" ht="15" hidden="false" customHeight="false" outlineLevel="0" collapsed="false">
      <c r="C12" s="10"/>
    </row>
    <row r="13" customFormat="false" ht="15" hidden="false" customHeight="false" outlineLevel="0" collapsed="false">
      <c r="C13" s="10"/>
    </row>
    <row r="14" customFormat="false" ht="15" hidden="false" customHeight="false" outlineLevel="0" collapsed="false">
      <c r="C14" s="10"/>
    </row>
    <row r="15" customFormat="false" ht="15" hidden="false" customHeight="false" outlineLevel="0" collapsed="false">
      <c r="C15" s="10"/>
    </row>
    <row r="16" customFormat="false" ht="15" hidden="false" customHeight="false" outlineLevel="0" collapsed="false">
      <c r="C16" s="10"/>
    </row>
    <row r="17" customFormat="false" ht="15" hidden="false" customHeight="false" outlineLevel="0" collapsed="false">
      <c r="C17" s="10"/>
    </row>
    <row r="18" customFormat="false" ht="15" hidden="false" customHeight="false" outlineLevel="0" collapsed="false">
      <c r="C18" s="10"/>
    </row>
    <row r="19" customFormat="false" ht="15" hidden="false" customHeight="false" outlineLevel="0" collapsed="false">
      <c r="C19" s="10"/>
    </row>
    <row r="20" customFormat="false" ht="15" hidden="false" customHeight="false" outlineLevel="0" collapsed="false">
      <c r="C20" s="10"/>
    </row>
    <row r="21" customFormat="false" ht="15" hidden="false" customHeight="false" outlineLevel="0" collapsed="false">
      <c r="C21" s="10"/>
    </row>
    <row r="22" customFormat="false" ht="15" hidden="false" customHeight="false" outlineLevel="0" collapsed="false">
      <c r="C22" s="10"/>
    </row>
    <row r="23" customFormat="false" ht="15" hidden="false" customHeight="false" outlineLevel="0" collapsed="false">
      <c r="C23" s="10"/>
    </row>
    <row r="24" customFormat="false" ht="15" hidden="false" customHeight="false" outlineLevel="0" collapsed="false">
      <c r="C24" s="10"/>
    </row>
    <row r="25" customFormat="false" ht="15" hidden="false" customHeight="false" outlineLevel="0" collapsed="false">
      <c r="C25" s="10"/>
    </row>
    <row r="26" customFormat="false" ht="15" hidden="false" customHeight="false" outlineLevel="0" collapsed="false">
      <c r="C26" s="10"/>
    </row>
    <row r="27" customFormat="false" ht="15" hidden="false" customHeight="false" outlineLevel="0" collapsed="false">
      <c r="C27" s="10"/>
    </row>
    <row r="28" customFormat="false" ht="15" hidden="false" customHeight="false" outlineLevel="0" collapsed="false">
      <c r="C28" s="10"/>
    </row>
    <row r="29" customFormat="false" ht="15" hidden="false" customHeight="false" outlineLevel="0" collapsed="false">
      <c r="C29" s="10"/>
    </row>
    <row r="30" customFormat="false" ht="15" hidden="false" customHeight="false" outlineLevel="0" collapsed="false">
      <c r="C30" s="10"/>
    </row>
    <row r="31" customFormat="false" ht="15" hidden="false" customHeight="false" outlineLevel="0" collapsed="false">
      <c r="C31" s="10"/>
    </row>
    <row r="32" customFormat="false" ht="15" hidden="false" customHeight="false" outlineLevel="0" collapsed="false">
      <c r="C32" s="10"/>
    </row>
    <row r="33" customFormat="false" ht="15" hidden="false" customHeight="false" outlineLevel="0" collapsed="false">
      <c r="C33" s="10"/>
    </row>
    <row r="34" customFormat="false" ht="15" hidden="false" customHeight="false" outlineLevel="0" collapsed="false">
      <c r="C34" s="10"/>
    </row>
    <row r="35" customFormat="false" ht="15" hidden="false" customHeight="false" outlineLevel="0" collapsed="false">
      <c r="C35" s="10"/>
    </row>
    <row r="36" customFormat="false" ht="15" hidden="false" customHeight="false" outlineLevel="0" collapsed="false">
      <c r="C36" s="10"/>
    </row>
    <row r="37" customFormat="false" ht="15" hidden="false" customHeight="false" outlineLevel="0" collapsed="false">
      <c r="C37" s="10"/>
    </row>
    <row r="38" customFormat="false" ht="15" hidden="false" customHeight="false" outlineLevel="0" collapsed="false">
      <c r="C38" s="10"/>
    </row>
    <row r="39" customFormat="false" ht="15" hidden="false" customHeight="false" outlineLevel="0" collapsed="false">
      <c r="C39" s="10"/>
    </row>
    <row r="40" customFormat="false" ht="15" hidden="false" customHeight="false" outlineLevel="0" collapsed="false">
      <c r="C40" s="10"/>
    </row>
    <row r="41" customFormat="false" ht="15" hidden="false" customHeight="false" outlineLevel="0" collapsed="false">
      <c r="C41" s="10"/>
    </row>
    <row r="42" customFormat="false" ht="15" hidden="false" customHeight="false" outlineLevel="0" collapsed="false">
      <c r="C42" s="10"/>
    </row>
    <row r="43" customFormat="false" ht="15" hidden="false" customHeight="false" outlineLevel="0" collapsed="false">
      <c r="C43" s="10"/>
    </row>
    <row r="44" customFormat="false" ht="15" hidden="false" customHeight="false" outlineLevel="0" collapsed="false">
      <c r="C44" s="10"/>
    </row>
    <row r="45" customFormat="false" ht="15" hidden="false" customHeight="false" outlineLevel="0" collapsed="false">
      <c r="C45" s="10"/>
    </row>
    <row r="46" customFormat="false" ht="15" hidden="false" customHeight="false" outlineLevel="0" collapsed="false">
      <c r="C46" s="10"/>
    </row>
    <row r="47" customFormat="false" ht="15" hidden="false" customHeight="false" outlineLevel="0" collapsed="false">
      <c r="C47" s="10"/>
    </row>
    <row r="48" customFormat="false" ht="15" hidden="false" customHeight="false" outlineLevel="0" collapsed="false">
      <c r="C48" s="10"/>
    </row>
    <row r="49" customFormat="false" ht="15" hidden="false" customHeight="false" outlineLevel="0" collapsed="false">
      <c r="C49" s="10"/>
    </row>
    <row r="50" customFormat="false" ht="15" hidden="false" customHeight="false" outlineLevel="0" collapsed="false">
      <c r="C50" s="10"/>
    </row>
    <row r="51" customFormat="false" ht="15" hidden="false" customHeight="false" outlineLevel="0" collapsed="false">
      <c r="C51" s="10"/>
    </row>
    <row r="52" customFormat="false" ht="15" hidden="false" customHeight="false" outlineLevel="0" collapsed="false">
      <c r="C52" s="10"/>
    </row>
    <row r="53" customFormat="false" ht="15" hidden="false" customHeight="false" outlineLevel="0" collapsed="false">
      <c r="C53" s="10"/>
    </row>
    <row r="54" customFormat="false" ht="15" hidden="false" customHeight="false" outlineLevel="0" collapsed="false">
      <c r="C54" s="10"/>
    </row>
    <row r="55" customFormat="false" ht="15" hidden="false" customHeight="false" outlineLevel="0" collapsed="false">
      <c r="C55" s="10"/>
    </row>
    <row r="56" customFormat="false" ht="15" hidden="false" customHeight="false" outlineLevel="0" collapsed="false">
      <c r="C56" s="10"/>
    </row>
    <row r="57" customFormat="false" ht="15" hidden="false" customHeight="false" outlineLevel="0" collapsed="false">
      <c r="C57" s="10"/>
    </row>
    <row r="58" customFormat="false" ht="15" hidden="false" customHeight="false" outlineLevel="0" collapsed="false">
      <c r="C58" s="10"/>
    </row>
    <row r="59" customFormat="false" ht="15" hidden="false" customHeight="false" outlineLevel="0" collapsed="false">
      <c r="C59" s="10"/>
    </row>
    <row r="60" customFormat="false" ht="15" hidden="false" customHeight="false" outlineLevel="0" collapsed="false">
      <c r="C60" s="10"/>
    </row>
  </sheetData>
  <dataValidations count="1">
    <dataValidation allowBlank="true" errorStyle="stop" operator="between" showDropDown="false" showErrorMessage="false" showInputMessage="false" sqref="C2:C60" type="list">
      <formula1>"raw_material,wip,finished_good,consumable,spare_part"</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1" style="0" width="16"/>
    <col collapsed="false" customWidth="true" hidden="false" outlineLevel="0" max="3" min="3" style="0" width="12"/>
    <col collapsed="false" customWidth="true" hidden="false" outlineLevel="0" max="4" min="4" style="0" width="16"/>
    <col collapsed="false" customWidth="true" hidden="false" outlineLevel="0" max="5" min="5" style="0" width="13"/>
  </cols>
  <sheetData>
    <row r="1" customFormat="false" ht="15" hidden="false" customHeight="false" outlineLevel="0" collapsed="false">
      <c r="A1" s="7" t="s">
        <v>42</v>
      </c>
      <c r="B1" s="7" t="s">
        <v>43</v>
      </c>
      <c r="C1" s="7" t="s">
        <v>44</v>
      </c>
      <c r="D1" s="7" t="s">
        <v>45</v>
      </c>
      <c r="E1" s="7" t="s">
        <v>46</v>
      </c>
    </row>
    <row r="2" customFormat="false" ht="15" hidden="false" customHeight="false" outlineLevel="0" collapsed="false">
      <c r="A2" s="8" t="s">
        <v>38</v>
      </c>
      <c r="B2" s="8" t="s">
        <v>34</v>
      </c>
      <c r="C2" s="8" t="n">
        <v>1.8</v>
      </c>
      <c r="D2" s="11" t="n">
        <f aca="false">IFERROR(INDEX(Products!$E$2:$E$60,MATCH(B2,Products!$A$2:$A$60,0)),"")</f>
        <v>65</v>
      </c>
      <c r="E2" s="11" t="n">
        <f aca="false">IFERROR(C2*D2,"")</f>
        <v>117</v>
      </c>
    </row>
    <row r="3" customFormat="false" ht="15" hidden="false" customHeight="false" outlineLevel="0" collapsed="false">
      <c r="A3" s="12"/>
      <c r="B3" s="12"/>
      <c r="C3" s="12"/>
      <c r="D3" s="11" t="str">
        <f aca="false">IFERROR(INDEX(Products!$E$2:$E$60,MATCH(B3,Products!$A$2:$A$60,0)),"")</f>
        <v/>
      </c>
      <c r="E3" s="11" t="str">
        <f aca="false">IFERROR(C3*D3,"")</f>
        <v/>
      </c>
    </row>
    <row r="4" customFormat="false" ht="15" hidden="false" customHeight="false" outlineLevel="0" collapsed="false">
      <c r="A4" s="12"/>
      <c r="B4" s="12"/>
      <c r="C4" s="12"/>
      <c r="D4" s="11" t="str">
        <f aca="false">IFERROR(INDEX(Products!$E$2:$E$60,MATCH(B4,Products!$A$2:$A$60,0)),"")</f>
        <v/>
      </c>
      <c r="E4" s="11" t="str">
        <f aca="false">IFERROR(C4*D4,"")</f>
        <v/>
      </c>
    </row>
    <row r="5" customFormat="false" ht="15" hidden="false" customHeight="false" outlineLevel="0" collapsed="false">
      <c r="A5" s="12"/>
      <c r="B5" s="12"/>
      <c r="C5" s="12"/>
      <c r="D5" s="11" t="str">
        <f aca="false">IFERROR(INDEX(Products!$E$2:$E$60,MATCH(B5,Products!$A$2:$A$60,0)),"")</f>
        <v/>
      </c>
      <c r="E5" s="11" t="str">
        <f aca="false">IFERROR(C5*D5,"")</f>
        <v/>
      </c>
    </row>
    <row r="6" customFormat="false" ht="15" hidden="false" customHeight="false" outlineLevel="0" collapsed="false">
      <c r="A6" s="12"/>
      <c r="B6" s="12"/>
      <c r="C6" s="12"/>
      <c r="D6" s="11" t="str">
        <f aca="false">IFERROR(INDEX(Products!$E$2:$E$60,MATCH(B6,Products!$A$2:$A$60,0)),"")</f>
        <v/>
      </c>
      <c r="E6" s="11" t="str">
        <f aca="false">IFERROR(C6*D6,"")</f>
        <v/>
      </c>
    </row>
    <row r="7" customFormat="false" ht="15" hidden="false" customHeight="false" outlineLevel="0" collapsed="false">
      <c r="A7" s="12"/>
      <c r="B7" s="12"/>
      <c r="C7" s="12"/>
      <c r="D7" s="11" t="str">
        <f aca="false">IFERROR(INDEX(Products!$E$2:$E$60,MATCH(B7,Products!$A$2:$A$60,0)),"")</f>
        <v/>
      </c>
      <c r="E7" s="11" t="str">
        <f aca="false">IFERROR(C7*D7,"")</f>
        <v/>
      </c>
    </row>
    <row r="8" customFormat="false" ht="15" hidden="false" customHeight="false" outlineLevel="0" collapsed="false">
      <c r="A8" s="12"/>
      <c r="B8" s="12"/>
      <c r="C8" s="12"/>
      <c r="D8" s="11" t="str">
        <f aca="false">IFERROR(INDEX(Products!$E$2:$E$60,MATCH(B8,Products!$A$2:$A$60,0)),"")</f>
        <v/>
      </c>
      <c r="E8" s="11" t="str">
        <f aca="false">IFERROR(C8*D8,"")</f>
        <v/>
      </c>
    </row>
    <row r="9" customFormat="false" ht="15" hidden="false" customHeight="false" outlineLevel="0" collapsed="false">
      <c r="A9" s="12"/>
      <c r="B9" s="12"/>
      <c r="C9" s="12"/>
      <c r="D9" s="11" t="str">
        <f aca="false">IFERROR(INDEX(Products!$E$2:$E$60,MATCH(B9,Products!$A$2:$A$60,0)),"")</f>
        <v/>
      </c>
      <c r="E9" s="11" t="str">
        <f aca="false">IFERROR(C9*D9,"")</f>
        <v/>
      </c>
    </row>
    <row r="10" customFormat="false" ht="15" hidden="false" customHeight="false" outlineLevel="0" collapsed="false">
      <c r="A10" s="12"/>
      <c r="B10" s="12"/>
      <c r="C10" s="12"/>
      <c r="D10" s="11" t="str">
        <f aca="false">IFERROR(INDEX(Products!$E$2:$E$60,MATCH(B10,Products!$A$2:$A$60,0)),"")</f>
        <v/>
      </c>
      <c r="E10" s="11" t="str">
        <f aca="false">IFERROR(C10*D10,"")</f>
        <v/>
      </c>
    </row>
    <row r="11" customFormat="false" ht="15" hidden="false" customHeight="false" outlineLevel="0" collapsed="false">
      <c r="A11" s="12"/>
      <c r="B11" s="12"/>
      <c r="C11" s="12"/>
      <c r="D11" s="11" t="str">
        <f aca="false">IFERROR(INDEX(Products!$E$2:$E$60,MATCH(B11,Products!$A$2:$A$60,0)),"")</f>
        <v/>
      </c>
      <c r="E11" s="11" t="str">
        <f aca="false">IFERROR(C11*D11,"")</f>
        <v/>
      </c>
    </row>
    <row r="12" customFormat="false" ht="15" hidden="false" customHeight="false" outlineLevel="0" collapsed="false">
      <c r="A12" s="12"/>
      <c r="B12" s="12"/>
      <c r="C12" s="12"/>
      <c r="D12" s="11" t="str">
        <f aca="false">IFERROR(INDEX(Products!$E$2:$E$60,MATCH(B12,Products!$A$2:$A$60,0)),"")</f>
        <v/>
      </c>
      <c r="E12" s="11" t="str">
        <f aca="false">IFERROR(C12*D12,"")</f>
        <v/>
      </c>
    </row>
    <row r="13" customFormat="false" ht="15" hidden="false" customHeight="false" outlineLevel="0" collapsed="false">
      <c r="A13" s="12"/>
      <c r="B13" s="12"/>
      <c r="C13" s="12"/>
      <c r="D13" s="11" t="str">
        <f aca="false">IFERROR(INDEX(Products!$E$2:$E$60,MATCH(B13,Products!$A$2:$A$60,0)),"")</f>
        <v/>
      </c>
      <c r="E13" s="11" t="str">
        <f aca="false">IFERROR(C13*D13,"")</f>
        <v/>
      </c>
    </row>
    <row r="14" customFormat="false" ht="15" hidden="false" customHeight="false" outlineLevel="0" collapsed="false">
      <c r="A14" s="12"/>
      <c r="B14" s="12"/>
      <c r="C14" s="12"/>
      <c r="D14" s="11" t="str">
        <f aca="false">IFERROR(INDEX(Products!$E$2:$E$60,MATCH(B14,Products!$A$2:$A$60,0)),"")</f>
        <v/>
      </c>
      <c r="E14" s="11" t="str">
        <f aca="false">IFERROR(C14*D14,"")</f>
        <v/>
      </c>
    </row>
    <row r="15" customFormat="false" ht="15" hidden="false" customHeight="false" outlineLevel="0" collapsed="false">
      <c r="A15" s="12"/>
      <c r="B15" s="12"/>
      <c r="C15" s="12"/>
      <c r="D15" s="11" t="str">
        <f aca="false">IFERROR(INDEX(Products!$E$2:$E$60,MATCH(B15,Products!$A$2:$A$60,0)),"")</f>
        <v/>
      </c>
      <c r="E15" s="11" t="str">
        <f aca="false">IFERROR(C15*D15,"")</f>
        <v/>
      </c>
    </row>
    <row r="16" customFormat="false" ht="15" hidden="false" customHeight="false" outlineLevel="0" collapsed="false">
      <c r="A16" s="12"/>
      <c r="B16" s="12"/>
      <c r="C16" s="12"/>
      <c r="D16" s="11" t="str">
        <f aca="false">IFERROR(INDEX(Products!$E$2:$E$60,MATCH(B16,Products!$A$2:$A$60,0)),"")</f>
        <v/>
      </c>
      <c r="E16" s="11" t="str">
        <f aca="false">IFERROR(C16*D16,"")</f>
        <v/>
      </c>
    </row>
    <row r="17" customFormat="false" ht="15" hidden="false" customHeight="false" outlineLevel="0" collapsed="false">
      <c r="A17" s="12"/>
      <c r="B17" s="12"/>
      <c r="C17" s="12"/>
      <c r="D17" s="11" t="str">
        <f aca="false">IFERROR(INDEX(Products!$E$2:$E$60,MATCH(B17,Products!$A$2:$A$60,0)),"")</f>
        <v/>
      </c>
      <c r="E17" s="11" t="str">
        <f aca="false">IFERROR(C17*D17,"")</f>
        <v/>
      </c>
    </row>
    <row r="18" customFormat="false" ht="15" hidden="false" customHeight="false" outlineLevel="0" collapsed="false">
      <c r="A18" s="12"/>
      <c r="B18" s="12"/>
      <c r="C18" s="12"/>
      <c r="D18" s="11" t="str">
        <f aca="false">IFERROR(INDEX(Products!$E$2:$E$60,MATCH(B18,Products!$A$2:$A$60,0)),"")</f>
        <v/>
      </c>
      <c r="E18" s="11" t="str">
        <f aca="false">IFERROR(C18*D18,"")</f>
        <v/>
      </c>
    </row>
    <row r="19" customFormat="false" ht="15" hidden="false" customHeight="false" outlineLevel="0" collapsed="false">
      <c r="A19" s="12"/>
      <c r="B19" s="12"/>
      <c r="C19" s="12"/>
      <c r="D19" s="11" t="str">
        <f aca="false">IFERROR(INDEX(Products!$E$2:$E$60,MATCH(B19,Products!$A$2:$A$60,0)),"")</f>
        <v/>
      </c>
      <c r="E19" s="11" t="str">
        <f aca="false">IFERROR(C19*D19,"")</f>
        <v/>
      </c>
    </row>
    <row r="20" customFormat="false" ht="15" hidden="false" customHeight="false" outlineLevel="0" collapsed="false">
      <c r="A20" s="12"/>
      <c r="B20" s="12"/>
      <c r="C20" s="12"/>
      <c r="D20" s="11" t="str">
        <f aca="false">IFERROR(INDEX(Products!$E$2:$E$60,MATCH(B20,Products!$A$2:$A$60,0)),"")</f>
        <v/>
      </c>
      <c r="E20" s="11" t="str">
        <f aca="false">IFERROR(C20*D20,"")</f>
        <v/>
      </c>
    </row>
    <row r="21" customFormat="false" ht="15" hidden="false" customHeight="false" outlineLevel="0" collapsed="false">
      <c r="A21" s="12"/>
      <c r="B21" s="12"/>
      <c r="C21" s="12"/>
      <c r="D21" s="11" t="str">
        <f aca="false">IFERROR(INDEX(Products!$E$2:$E$60,MATCH(B21,Products!$A$2:$A$60,0)),"")</f>
        <v/>
      </c>
      <c r="E21" s="11" t="str">
        <f aca="false">IFERROR(C21*D21,"")</f>
        <v/>
      </c>
    </row>
    <row r="22" customFormat="false" ht="15" hidden="false" customHeight="false" outlineLevel="0" collapsed="false">
      <c r="A22" s="12"/>
      <c r="B22" s="12"/>
      <c r="C22" s="12"/>
      <c r="D22" s="11" t="str">
        <f aca="false">IFERROR(INDEX(Products!$E$2:$E$60,MATCH(B22,Products!$A$2:$A$60,0)),"")</f>
        <v/>
      </c>
      <c r="E22" s="11" t="str">
        <f aca="false">IFERROR(C22*D22,"")</f>
        <v/>
      </c>
    </row>
    <row r="23" customFormat="false" ht="15" hidden="false" customHeight="false" outlineLevel="0" collapsed="false">
      <c r="A23" s="12"/>
      <c r="B23" s="12"/>
      <c r="C23" s="12"/>
      <c r="D23" s="11" t="str">
        <f aca="false">IFERROR(INDEX(Products!$E$2:$E$60,MATCH(B23,Products!$A$2:$A$60,0)),"")</f>
        <v/>
      </c>
      <c r="E23" s="11" t="str">
        <f aca="false">IFERROR(C23*D23,"")</f>
        <v/>
      </c>
    </row>
    <row r="24" customFormat="false" ht="15" hidden="false" customHeight="false" outlineLevel="0" collapsed="false">
      <c r="A24" s="12"/>
      <c r="B24" s="12"/>
      <c r="C24" s="12"/>
      <c r="D24" s="11" t="str">
        <f aca="false">IFERROR(INDEX(Products!$E$2:$E$60,MATCH(B24,Products!$A$2:$A$60,0)),"")</f>
        <v/>
      </c>
      <c r="E24" s="11" t="str">
        <f aca="false">IFERROR(C24*D24,"")</f>
        <v/>
      </c>
    </row>
    <row r="25" customFormat="false" ht="15" hidden="false" customHeight="false" outlineLevel="0" collapsed="false">
      <c r="A25" s="12"/>
      <c r="B25" s="12"/>
      <c r="C25" s="12"/>
      <c r="D25" s="11" t="str">
        <f aca="false">IFERROR(INDEX(Products!$E$2:$E$60,MATCH(B25,Products!$A$2:$A$60,0)),"")</f>
        <v/>
      </c>
      <c r="E25" s="11" t="str">
        <f aca="false">IFERROR(C25*D25,"")</f>
        <v/>
      </c>
    </row>
    <row r="26" customFormat="false" ht="15" hidden="false" customHeight="false" outlineLevel="0" collapsed="false">
      <c r="A26" s="12"/>
      <c r="B26" s="12"/>
      <c r="C26" s="12"/>
      <c r="D26" s="11" t="str">
        <f aca="false">IFERROR(INDEX(Products!$E$2:$E$60,MATCH(B26,Products!$A$2:$A$60,0)),"")</f>
        <v/>
      </c>
      <c r="E26" s="11" t="str">
        <f aca="false">IFERROR(C26*D26,"")</f>
        <v/>
      </c>
    </row>
    <row r="27" customFormat="false" ht="15" hidden="false" customHeight="false" outlineLevel="0" collapsed="false">
      <c r="A27" s="12"/>
      <c r="B27" s="12"/>
      <c r="C27" s="12"/>
      <c r="D27" s="11" t="str">
        <f aca="false">IFERROR(INDEX(Products!$E$2:$E$60,MATCH(B27,Products!$A$2:$A$60,0)),"")</f>
        <v/>
      </c>
      <c r="E27" s="11" t="str">
        <f aca="false">IFERROR(C27*D27,"")</f>
        <v/>
      </c>
    </row>
    <row r="28" customFormat="false" ht="15" hidden="false" customHeight="false" outlineLevel="0" collapsed="false">
      <c r="A28" s="12"/>
      <c r="B28" s="12"/>
      <c r="C28" s="12"/>
      <c r="D28" s="11" t="str">
        <f aca="false">IFERROR(INDEX(Products!$E$2:$E$60,MATCH(B28,Products!$A$2:$A$60,0)),"")</f>
        <v/>
      </c>
      <c r="E28" s="11" t="str">
        <f aca="false">IFERROR(C28*D28,"")</f>
        <v/>
      </c>
    </row>
    <row r="29" customFormat="false" ht="15" hidden="false" customHeight="false" outlineLevel="0" collapsed="false">
      <c r="A29" s="12"/>
      <c r="B29" s="12"/>
      <c r="C29" s="12"/>
      <c r="D29" s="11" t="str">
        <f aca="false">IFERROR(INDEX(Products!$E$2:$E$60,MATCH(B29,Products!$A$2:$A$60,0)),"")</f>
        <v/>
      </c>
      <c r="E29" s="11" t="str">
        <f aca="false">IFERROR(C29*D29,"")</f>
        <v/>
      </c>
    </row>
    <row r="30" customFormat="false" ht="15" hidden="false" customHeight="false" outlineLevel="0" collapsed="false">
      <c r="A30" s="12"/>
      <c r="B30" s="12"/>
      <c r="C30" s="12"/>
      <c r="D30" s="11" t="str">
        <f aca="false">IFERROR(INDEX(Products!$E$2:$E$60,MATCH(B30,Products!$A$2:$A$60,0)),"")</f>
        <v/>
      </c>
      <c r="E30" s="11" t="str">
        <f aca="false">IFERROR(C30*D30,"")</f>
        <v/>
      </c>
    </row>
    <row r="31" customFormat="false" ht="15" hidden="false" customHeight="false" outlineLevel="0" collapsed="false">
      <c r="A31" s="12"/>
      <c r="B31" s="12"/>
      <c r="C31" s="12"/>
      <c r="D31" s="11" t="str">
        <f aca="false">IFERROR(INDEX(Products!$E$2:$E$60,MATCH(B31,Products!$A$2:$A$60,0)),"")</f>
        <v/>
      </c>
      <c r="E31" s="11" t="str">
        <f aca="false">IFERROR(C31*D31,"")</f>
        <v/>
      </c>
    </row>
    <row r="32" customFormat="false" ht="15" hidden="false" customHeight="false" outlineLevel="0" collapsed="false">
      <c r="A32" s="12"/>
      <c r="B32" s="12"/>
      <c r="C32" s="12"/>
      <c r="D32" s="11" t="str">
        <f aca="false">IFERROR(INDEX(Products!$E$2:$E$60,MATCH(B32,Products!$A$2:$A$60,0)),"")</f>
        <v/>
      </c>
      <c r="E32" s="11" t="str">
        <f aca="false">IFERROR(C32*D32,"")</f>
        <v/>
      </c>
    </row>
    <row r="33" customFormat="false" ht="15" hidden="false" customHeight="false" outlineLevel="0" collapsed="false">
      <c r="A33" s="12"/>
      <c r="B33" s="12"/>
      <c r="C33" s="12"/>
      <c r="D33" s="11" t="str">
        <f aca="false">IFERROR(INDEX(Products!$E$2:$E$60,MATCH(B33,Products!$A$2:$A$60,0)),"")</f>
        <v/>
      </c>
      <c r="E33" s="11" t="str">
        <f aca="false">IFERROR(C33*D33,"")</f>
        <v/>
      </c>
    </row>
    <row r="34" customFormat="false" ht="15" hidden="false" customHeight="false" outlineLevel="0" collapsed="false">
      <c r="A34" s="12"/>
      <c r="B34" s="12"/>
      <c r="C34" s="12"/>
      <c r="D34" s="11" t="str">
        <f aca="false">IFERROR(INDEX(Products!$E$2:$E$60,MATCH(B34,Products!$A$2:$A$60,0)),"")</f>
        <v/>
      </c>
      <c r="E34" s="11" t="str">
        <f aca="false">IFERROR(C34*D34,"")</f>
        <v/>
      </c>
    </row>
    <row r="35" customFormat="false" ht="15" hidden="false" customHeight="false" outlineLevel="0" collapsed="false">
      <c r="A35" s="12"/>
      <c r="B35" s="12"/>
      <c r="C35" s="12"/>
      <c r="D35" s="11" t="str">
        <f aca="false">IFERROR(INDEX(Products!$E$2:$E$60,MATCH(B35,Products!$A$2:$A$60,0)),"")</f>
        <v/>
      </c>
      <c r="E35" s="11" t="str">
        <f aca="false">IFERROR(C35*D35,"")</f>
        <v/>
      </c>
    </row>
    <row r="36" customFormat="false" ht="15" hidden="false" customHeight="false" outlineLevel="0" collapsed="false">
      <c r="A36" s="12"/>
      <c r="B36" s="12"/>
      <c r="C36" s="12"/>
      <c r="D36" s="11" t="str">
        <f aca="false">IFERROR(INDEX(Products!$E$2:$E$60,MATCH(B36,Products!$A$2:$A$60,0)),"")</f>
        <v/>
      </c>
      <c r="E36" s="11" t="str">
        <f aca="false">IFERROR(C36*D36,"")</f>
        <v/>
      </c>
    </row>
    <row r="37" customFormat="false" ht="15" hidden="false" customHeight="false" outlineLevel="0" collapsed="false">
      <c r="A37" s="12"/>
      <c r="B37" s="12"/>
      <c r="C37" s="12"/>
      <c r="D37" s="11" t="str">
        <f aca="false">IFERROR(INDEX(Products!$E$2:$E$60,MATCH(B37,Products!$A$2:$A$60,0)),"")</f>
        <v/>
      </c>
      <c r="E37" s="11" t="str">
        <f aca="false">IFERROR(C37*D37,"")</f>
        <v/>
      </c>
    </row>
    <row r="38" customFormat="false" ht="15" hidden="false" customHeight="false" outlineLevel="0" collapsed="false">
      <c r="A38" s="12"/>
      <c r="B38" s="12"/>
      <c r="C38" s="12"/>
      <c r="D38" s="11" t="str">
        <f aca="false">IFERROR(INDEX(Products!$E$2:$E$60,MATCH(B38,Products!$A$2:$A$60,0)),"")</f>
        <v/>
      </c>
      <c r="E38" s="11" t="str">
        <f aca="false">IFERROR(C38*D38,"")</f>
        <v/>
      </c>
    </row>
    <row r="39" customFormat="false" ht="15" hidden="false" customHeight="false" outlineLevel="0" collapsed="false">
      <c r="A39" s="12"/>
      <c r="B39" s="12"/>
      <c r="C39" s="12"/>
      <c r="D39" s="11" t="str">
        <f aca="false">IFERROR(INDEX(Products!$E$2:$E$60,MATCH(B39,Products!$A$2:$A$60,0)),"")</f>
        <v/>
      </c>
      <c r="E39" s="11" t="str">
        <f aca="false">IFERROR(C39*D39,"")</f>
        <v/>
      </c>
    </row>
    <row r="40" customFormat="false" ht="15" hidden="false" customHeight="false" outlineLevel="0" collapsed="false">
      <c r="A40" s="12"/>
      <c r="B40" s="12"/>
      <c r="C40" s="12"/>
      <c r="D40" s="11" t="str">
        <f aca="false">IFERROR(INDEX(Products!$E$2:$E$60,MATCH(B40,Products!$A$2:$A$60,0)),"")</f>
        <v/>
      </c>
      <c r="E40" s="11" t="str">
        <f aca="false">IFERROR(C40*D40,"")</f>
        <v/>
      </c>
    </row>
    <row r="41" customFormat="false" ht="15" hidden="false" customHeight="false" outlineLevel="0" collapsed="false">
      <c r="A41" s="12"/>
      <c r="B41" s="12"/>
      <c r="C41" s="12"/>
      <c r="D41" s="11" t="str">
        <f aca="false">IFERROR(INDEX(Products!$E$2:$E$60,MATCH(B41,Products!$A$2:$A$60,0)),"")</f>
        <v/>
      </c>
      <c r="E41" s="11" t="str">
        <f aca="false">IFERROR(C41*D41,"")</f>
        <v/>
      </c>
    </row>
    <row r="42" customFormat="false" ht="15" hidden="false" customHeight="false" outlineLevel="0" collapsed="false">
      <c r="A42" s="12"/>
      <c r="B42" s="12"/>
      <c r="C42" s="12"/>
      <c r="D42" s="11" t="str">
        <f aca="false">IFERROR(INDEX(Products!$E$2:$E$60,MATCH(B42,Products!$A$2:$A$60,0)),"")</f>
        <v/>
      </c>
      <c r="E42" s="11" t="str">
        <f aca="false">IFERROR(C42*D42,"")</f>
        <v/>
      </c>
    </row>
    <row r="43" customFormat="false" ht="15" hidden="false" customHeight="false" outlineLevel="0" collapsed="false">
      <c r="A43" s="12"/>
      <c r="B43" s="12"/>
      <c r="C43" s="12"/>
      <c r="D43" s="11" t="str">
        <f aca="false">IFERROR(INDEX(Products!$E$2:$E$60,MATCH(B43,Products!$A$2:$A$60,0)),"")</f>
        <v/>
      </c>
      <c r="E43" s="11" t="str">
        <f aca="false">IFERROR(C43*D43,"")</f>
        <v/>
      </c>
    </row>
    <row r="44" customFormat="false" ht="15" hidden="false" customHeight="false" outlineLevel="0" collapsed="false">
      <c r="A44" s="12"/>
      <c r="B44" s="12"/>
      <c r="C44" s="12"/>
      <c r="D44" s="11" t="str">
        <f aca="false">IFERROR(INDEX(Products!$E$2:$E$60,MATCH(B44,Products!$A$2:$A$60,0)),"")</f>
        <v/>
      </c>
      <c r="E44" s="11" t="str">
        <f aca="false">IFERROR(C44*D44,"")</f>
        <v/>
      </c>
    </row>
    <row r="45" customFormat="false" ht="15" hidden="false" customHeight="false" outlineLevel="0" collapsed="false">
      <c r="A45" s="12"/>
      <c r="B45" s="12"/>
      <c r="C45" s="12"/>
      <c r="D45" s="11" t="str">
        <f aca="false">IFERROR(INDEX(Products!$E$2:$E$60,MATCH(B45,Products!$A$2:$A$60,0)),"")</f>
        <v/>
      </c>
      <c r="E45" s="11" t="str">
        <f aca="false">IFERROR(C45*D45,"")</f>
        <v/>
      </c>
    </row>
    <row r="46" customFormat="false" ht="15" hidden="false" customHeight="false" outlineLevel="0" collapsed="false">
      <c r="A46" s="12"/>
      <c r="B46" s="12"/>
      <c r="C46" s="12"/>
      <c r="D46" s="11" t="str">
        <f aca="false">IFERROR(INDEX(Products!$E$2:$E$60,MATCH(B46,Products!$A$2:$A$60,0)),"")</f>
        <v/>
      </c>
      <c r="E46" s="11" t="str">
        <f aca="false">IFERROR(C46*D46,"")</f>
        <v/>
      </c>
    </row>
    <row r="47" customFormat="false" ht="15" hidden="false" customHeight="false" outlineLevel="0" collapsed="false">
      <c r="A47" s="12"/>
      <c r="B47" s="12"/>
      <c r="C47" s="12"/>
      <c r="D47" s="11" t="str">
        <f aca="false">IFERROR(INDEX(Products!$E$2:$E$60,MATCH(B47,Products!$A$2:$A$60,0)),"")</f>
        <v/>
      </c>
      <c r="E47" s="11" t="str">
        <f aca="false">IFERROR(C47*D47,"")</f>
        <v/>
      </c>
    </row>
    <row r="48" customFormat="false" ht="15" hidden="false" customHeight="false" outlineLevel="0" collapsed="false">
      <c r="A48" s="12"/>
      <c r="B48" s="12"/>
      <c r="C48" s="12"/>
      <c r="D48" s="11" t="str">
        <f aca="false">IFERROR(INDEX(Products!$E$2:$E$60,MATCH(B48,Products!$A$2:$A$60,0)),"")</f>
        <v/>
      </c>
      <c r="E48" s="11" t="str">
        <f aca="false">IFERROR(C48*D48,"")</f>
        <v/>
      </c>
    </row>
    <row r="49" customFormat="false" ht="15" hidden="false" customHeight="false" outlineLevel="0" collapsed="false">
      <c r="A49" s="12"/>
      <c r="B49" s="12"/>
      <c r="C49" s="12"/>
      <c r="D49" s="11" t="str">
        <f aca="false">IFERROR(INDEX(Products!$E$2:$E$60,MATCH(B49,Products!$A$2:$A$60,0)),"")</f>
        <v/>
      </c>
      <c r="E49" s="11" t="str">
        <f aca="false">IFERROR(C49*D49,"")</f>
        <v/>
      </c>
    </row>
    <row r="50" customFormat="false" ht="15" hidden="false" customHeight="false" outlineLevel="0" collapsed="false">
      <c r="A50" s="12"/>
      <c r="B50" s="12"/>
      <c r="C50" s="12"/>
      <c r="D50" s="11" t="str">
        <f aca="false">IFERROR(INDEX(Products!$E$2:$E$60,MATCH(B50,Products!$A$2:$A$60,0)),"")</f>
        <v/>
      </c>
      <c r="E50" s="11" t="str">
        <f aca="false">IFERROR(C50*D50,"")</f>
        <v/>
      </c>
    </row>
    <row r="51" customFormat="false" ht="15" hidden="false" customHeight="false" outlineLevel="0" collapsed="false">
      <c r="A51" s="12"/>
      <c r="B51" s="12"/>
      <c r="C51" s="12"/>
      <c r="D51" s="11" t="str">
        <f aca="false">IFERROR(INDEX(Products!$E$2:$E$60,MATCH(B51,Products!$A$2:$A$60,0)),"")</f>
        <v/>
      </c>
      <c r="E51" s="11" t="str">
        <f aca="false">IFERROR(C51*D51,"")</f>
        <v/>
      </c>
    </row>
    <row r="52" customFormat="false" ht="15" hidden="false" customHeight="false" outlineLevel="0" collapsed="false">
      <c r="A52" s="12"/>
      <c r="B52" s="12"/>
      <c r="C52" s="12"/>
      <c r="D52" s="11" t="str">
        <f aca="false">IFERROR(INDEX(Products!$E$2:$E$60,MATCH(B52,Products!$A$2:$A$60,0)),"")</f>
        <v/>
      </c>
      <c r="E52" s="11" t="str">
        <f aca="false">IFERROR(C52*D52,"")</f>
        <v/>
      </c>
    </row>
    <row r="53" customFormat="false" ht="15" hidden="false" customHeight="false" outlineLevel="0" collapsed="false">
      <c r="A53" s="12"/>
      <c r="B53" s="12"/>
      <c r="C53" s="12"/>
      <c r="D53" s="11" t="str">
        <f aca="false">IFERROR(INDEX(Products!$E$2:$E$60,MATCH(B53,Products!$A$2:$A$60,0)),"")</f>
        <v/>
      </c>
      <c r="E53" s="11" t="str">
        <f aca="false">IFERROR(C53*D53,"")</f>
        <v/>
      </c>
    </row>
    <row r="54" customFormat="false" ht="15" hidden="false" customHeight="false" outlineLevel="0" collapsed="false">
      <c r="A54" s="12"/>
      <c r="B54" s="12"/>
      <c r="C54" s="12"/>
      <c r="D54" s="11" t="str">
        <f aca="false">IFERROR(INDEX(Products!$E$2:$E$60,MATCH(B54,Products!$A$2:$A$60,0)),"")</f>
        <v/>
      </c>
      <c r="E54" s="11" t="str">
        <f aca="false">IFERROR(C54*D54,"")</f>
        <v/>
      </c>
    </row>
    <row r="55" customFormat="false" ht="15" hidden="false" customHeight="false" outlineLevel="0" collapsed="false">
      <c r="A55" s="12"/>
      <c r="B55" s="12"/>
      <c r="C55" s="12"/>
      <c r="D55" s="11" t="str">
        <f aca="false">IFERROR(INDEX(Products!$E$2:$E$60,MATCH(B55,Products!$A$2:$A$60,0)),"")</f>
        <v/>
      </c>
      <c r="E55" s="11" t="str">
        <f aca="false">IFERROR(C55*D55,"")</f>
        <v/>
      </c>
    </row>
    <row r="56" customFormat="false" ht="15" hidden="false" customHeight="false" outlineLevel="0" collapsed="false">
      <c r="A56" s="12"/>
      <c r="B56" s="12"/>
      <c r="C56" s="12"/>
      <c r="D56" s="11" t="str">
        <f aca="false">IFERROR(INDEX(Products!$E$2:$E$60,MATCH(B56,Products!$A$2:$A$60,0)),"")</f>
        <v/>
      </c>
      <c r="E56" s="11" t="str">
        <f aca="false">IFERROR(C56*D56,"")</f>
        <v/>
      </c>
    </row>
    <row r="57" customFormat="false" ht="15" hidden="false" customHeight="false" outlineLevel="0" collapsed="false">
      <c r="A57" s="12"/>
      <c r="B57" s="12"/>
      <c r="C57" s="12"/>
      <c r="D57" s="11" t="str">
        <f aca="false">IFERROR(INDEX(Products!$E$2:$E$60,MATCH(B57,Products!$A$2:$A$60,0)),"")</f>
        <v/>
      </c>
      <c r="E57" s="11" t="str">
        <f aca="false">IFERROR(C57*D57,"")</f>
        <v/>
      </c>
    </row>
    <row r="58" customFormat="false" ht="15" hidden="false" customHeight="false" outlineLevel="0" collapsed="false">
      <c r="A58" s="12"/>
      <c r="B58" s="12"/>
      <c r="C58" s="12"/>
      <c r="D58" s="11" t="str">
        <f aca="false">IFERROR(INDEX(Products!$E$2:$E$60,MATCH(B58,Products!$A$2:$A$60,0)),"")</f>
        <v/>
      </c>
      <c r="E58" s="11" t="str">
        <f aca="false">IFERROR(C58*D58,"")</f>
        <v/>
      </c>
    </row>
    <row r="59" customFormat="false" ht="15" hidden="false" customHeight="false" outlineLevel="0" collapsed="false">
      <c r="A59" s="12"/>
      <c r="B59" s="12"/>
      <c r="C59" s="12"/>
      <c r="D59" s="11" t="str">
        <f aca="false">IFERROR(INDEX(Products!$E$2:$E$60,MATCH(B59,Products!$A$2:$A$60,0)),"")</f>
        <v/>
      </c>
      <c r="E59" s="11" t="str">
        <f aca="false">IFERROR(C59*D59,"")</f>
        <v/>
      </c>
    </row>
    <row r="60" customFormat="false" ht="15" hidden="false" customHeight="false" outlineLevel="0" collapsed="false">
      <c r="A60" s="12"/>
      <c r="B60" s="12"/>
      <c r="C60" s="12"/>
      <c r="D60" s="11" t="str">
        <f aca="false">IFERROR(INDEX(Products!$E$2:$E$60,MATCH(B60,Products!$A$2:$A$60,0)),"")</f>
        <v/>
      </c>
      <c r="E60" s="11" t="str">
        <f aca="false">IFERROR(C60*D60,"")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8"/>
    <col collapsed="false" customWidth="true" hidden="false" outlineLevel="0" max="2" min="2" style="0" width="16"/>
    <col collapsed="false" customWidth="true" hidden="false" outlineLevel="0" max="3" min="3" style="0" width="20"/>
    <col collapsed="false" customWidth="true" hidden="false" outlineLevel="0" max="4" min="4" style="0" width="15"/>
    <col collapsed="false" customWidth="true" hidden="false" outlineLevel="0" max="6" min="5" style="0" width="10"/>
    <col collapsed="false" customWidth="true" hidden="false" outlineLevel="0" max="7" min="7" style="0" width="14"/>
    <col collapsed="false" customWidth="true" hidden="false" outlineLevel="0" max="8" min="8" style="0" width="16"/>
    <col collapsed="false" customWidth="true" hidden="false" outlineLevel="0" max="9" min="9" style="0" width="12"/>
  </cols>
  <sheetData>
    <row r="1" customFormat="false" ht="15" hidden="false" customHeight="false" outlineLevel="0" collapsed="false">
      <c r="A1" s="7" t="s">
        <v>47</v>
      </c>
      <c r="B1" s="7" t="s">
        <v>48</v>
      </c>
      <c r="C1" s="7" t="s">
        <v>49</v>
      </c>
      <c r="D1" s="7" t="s">
        <v>50</v>
      </c>
      <c r="E1" s="7" t="s">
        <v>51</v>
      </c>
      <c r="F1" s="7" t="s">
        <v>52</v>
      </c>
      <c r="G1" s="7" t="s">
        <v>53</v>
      </c>
      <c r="H1" s="7" t="s">
        <v>54</v>
      </c>
      <c r="I1" s="7" t="s">
        <v>55</v>
      </c>
    </row>
    <row r="2" customFormat="false" ht="15" hidden="false" customHeight="false" outlineLevel="0" collapsed="false">
      <c r="A2" s="13" t="n">
        <v>46257.375</v>
      </c>
      <c r="B2" s="8" t="s">
        <v>34</v>
      </c>
      <c r="C2" s="8" t="s">
        <v>56</v>
      </c>
      <c r="D2" s="9" t="s">
        <v>57</v>
      </c>
      <c r="E2" s="8" t="n">
        <v>3000</v>
      </c>
      <c r="F2" s="8" t="n">
        <v>65</v>
      </c>
      <c r="G2" s="8" t="s">
        <v>58</v>
      </c>
      <c r="H2" s="8"/>
      <c r="I2" s="11" t="n">
        <f aca="false">IFERROR(E2*F2,"")</f>
        <v>195000</v>
      </c>
    </row>
    <row r="3" customFormat="false" ht="15" hidden="false" customHeight="false" outlineLevel="0" collapsed="false">
      <c r="A3" s="13" t="n">
        <v>46266.3333333333</v>
      </c>
      <c r="B3" s="8" t="s">
        <v>34</v>
      </c>
      <c r="C3" s="8" t="s">
        <v>56</v>
      </c>
      <c r="D3" s="9" t="s">
        <v>59</v>
      </c>
      <c r="E3" s="8" t="n">
        <v>900</v>
      </c>
      <c r="F3" s="8" t="n">
        <v>65</v>
      </c>
      <c r="G3" s="8" t="s">
        <v>60</v>
      </c>
      <c r="H3" s="8" t="s">
        <v>60</v>
      </c>
      <c r="I3" s="11" t="n">
        <f aca="false">IFERROR(E3*F3,"")</f>
        <v>58500</v>
      </c>
    </row>
    <row r="4" customFormat="false" ht="15" hidden="false" customHeight="false" outlineLevel="0" collapsed="false">
      <c r="A4" s="13" t="n">
        <v>46266.5</v>
      </c>
      <c r="B4" s="8" t="s">
        <v>38</v>
      </c>
      <c r="C4" s="8" t="s">
        <v>61</v>
      </c>
      <c r="D4" s="9" t="s">
        <v>62</v>
      </c>
      <c r="E4" s="8" t="n">
        <v>470</v>
      </c>
      <c r="F4" s="8" t="n">
        <v>180</v>
      </c>
      <c r="G4" s="8" t="s">
        <v>60</v>
      </c>
      <c r="H4" s="8" t="s">
        <v>60</v>
      </c>
      <c r="I4" s="11" t="n">
        <f aca="false">IFERROR(E4*F4,"")</f>
        <v>84600</v>
      </c>
    </row>
    <row r="5" customFormat="false" ht="15" hidden="false" customHeight="false" outlineLevel="0" collapsed="false">
      <c r="D5" s="10"/>
      <c r="I5" s="11" t="n">
        <f aca="false">IFERROR(E5*F5,"")</f>
        <v>0</v>
      </c>
    </row>
    <row r="6" customFormat="false" ht="15" hidden="false" customHeight="false" outlineLevel="0" collapsed="false">
      <c r="D6" s="10"/>
      <c r="I6" s="11" t="n">
        <f aca="false">IFERROR(E6*F6,"")</f>
        <v>0</v>
      </c>
    </row>
    <row r="7" customFormat="false" ht="15" hidden="false" customHeight="false" outlineLevel="0" collapsed="false">
      <c r="D7" s="10"/>
      <c r="I7" s="11" t="n">
        <f aca="false">IFERROR(E7*F7,"")</f>
        <v>0</v>
      </c>
    </row>
    <row r="8" customFormat="false" ht="15" hidden="false" customHeight="false" outlineLevel="0" collapsed="false">
      <c r="D8" s="10"/>
      <c r="I8" s="11" t="n">
        <f aca="false">IFERROR(E8*F8,"")</f>
        <v>0</v>
      </c>
    </row>
    <row r="9" customFormat="false" ht="15" hidden="false" customHeight="false" outlineLevel="0" collapsed="false">
      <c r="D9" s="10"/>
      <c r="I9" s="11" t="n">
        <f aca="false">IFERROR(E9*F9,"")</f>
        <v>0</v>
      </c>
    </row>
    <row r="10" customFormat="false" ht="15" hidden="false" customHeight="false" outlineLevel="0" collapsed="false">
      <c r="D10" s="10"/>
      <c r="I10" s="11" t="n">
        <f aca="false">IFERROR(E10*F10,"")</f>
        <v>0</v>
      </c>
    </row>
    <row r="11" customFormat="false" ht="15" hidden="false" customHeight="false" outlineLevel="0" collapsed="false">
      <c r="D11" s="10"/>
      <c r="I11" s="11" t="n">
        <f aca="false">IFERROR(E11*F11,"")</f>
        <v>0</v>
      </c>
    </row>
    <row r="12" customFormat="false" ht="15" hidden="false" customHeight="false" outlineLevel="0" collapsed="false">
      <c r="D12" s="10"/>
      <c r="I12" s="11" t="n">
        <f aca="false">IFERROR(E12*F12,"")</f>
        <v>0</v>
      </c>
    </row>
    <row r="13" customFormat="false" ht="15" hidden="false" customHeight="false" outlineLevel="0" collapsed="false">
      <c r="D13" s="10"/>
      <c r="I13" s="11" t="n">
        <f aca="false">IFERROR(E13*F13,"")</f>
        <v>0</v>
      </c>
    </row>
    <row r="14" customFormat="false" ht="15" hidden="false" customHeight="false" outlineLevel="0" collapsed="false">
      <c r="D14" s="10"/>
      <c r="I14" s="11" t="n">
        <f aca="false">IFERROR(E14*F14,"")</f>
        <v>0</v>
      </c>
    </row>
    <row r="15" customFormat="false" ht="15" hidden="false" customHeight="false" outlineLevel="0" collapsed="false">
      <c r="D15" s="10"/>
      <c r="I15" s="11" t="n">
        <f aca="false">IFERROR(E15*F15,"")</f>
        <v>0</v>
      </c>
    </row>
    <row r="16" customFormat="false" ht="15" hidden="false" customHeight="false" outlineLevel="0" collapsed="false">
      <c r="D16" s="10"/>
      <c r="I16" s="11" t="n">
        <f aca="false">IFERROR(E16*F16,"")</f>
        <v>0</v>
      </c>
    </row>
    <row r="17" customFormat="false" ht="15" hidden="false" customHeight="false" outlineLevel="0" collapsed="false">
      <c r="D17" s="10"/>
      <c r="I17" s="11" t="n">
        <f aca="false">IFERROR(E17*F17,"")</f>
        <v>0</v>
      </c>
    </row>
    <row r="18" customFormat="false" ht="15" hidden="false" customHeight="false" outlineLevel="0" collapsed="false">
      <c r="D18" s="10"/>
      <c r="I18" s="11" t="n">
        <f aca="false">IFERROR(E18*F18,"")</f>
        <v>0</v>
      </c>
    </row>
    <row r="19" customFormat="false" ht="15" hidden="false" customHeight="false" outlineLevel="0" collapsed="false">
      <c r="D19" s="10"/>
      <c r="I19" s="11" t="n">
        <f aca="false">IFERROR(E19*F19,"")</f>
        <v>0</v>
      </c>
    </row>
    <row r="20" customFormat="false" ht="15" hidden="false" customHeight="false" outlineLevel="0" collapsed="false">
      <c r="D20" s="10"/>
      <c r="I20" s="11" t="n">
        <f aca="false">IFERROR(E20*F20,"")</f>
        <v>0</v>
      </c>
    </row>
    <row r="21" customFormat="false" ht="15" hidden="false" customHeight="false" outlineLevel="0" collapsed="false">
      <c r="D21" s="10"/>
      <c r="I21" s="11" t="n">
        <f aca="false">IFERROR(E21*F21,"")</f>
        <v>0</v>
      </c>
    </row>
    <row r="22" customFormat="false" ht="15" hidden="false" customHeight="false" outlineLevel="0" collapsed="false">
      <c r="D22" s="10"/>
      <c r="I22" s="11" t="n">
        <f aca="false">IFERROR(E22*F22,"")</f>
        <v>0</v>
      </c>
    </row>
    <row r="23" customFormat="false" ht="15" hidden="false" customHeight="false" outlineLevel="0" collapsed="false">
      <c r="D23" s="10"/>
      <c r="I23" s="11" t="n">
        <f aca="false">IFERROR(E23*F23,"")</f>
        <v>0</v>
      </c>
    </row>
    <row r="24" customFormat="false" ht="15" hidden="false" customHeight="false" outlineLevel="0" collapsed="false">
      <c r="D24" s="10"/>
      <c r="I24" s="11" t="n">
        <f aca="false">IFERROR(E24*F24,"")</f>
        <v>0</v>
      </c>
    </row>
    <row r="25" customFormat="false" ht="15" hidden="false" customHeight="false" outlineLevel="0" collapsed="false">
      <c r="D25" s="10"/>
      <c r="I25" s="11" t="n">
        <f aca="false">IFERROR(E25*F25,"")</f>
        <v>0</v>
      </c>
    </row>
    <row r="26" customFormat="false" ht="15" hidden="false" customHeight="false" outlineLevel="0" collapsed="false">
      <c r="D26" s="10"/>
      <c r="I26" s="11" t="n">
        <f aca="false">IFERROR(E26*F26,"")</f>
        <v>0</v>
      </c>
    </row>
    <row r="27" customFormat="false" ht="15" hidden="false" customHeight="false" outlineLevel="0" collapsed="false">
      <c r="D27" s="10"/>
      <c r="I27" s="11" t="n">
        <f aca="false">IFERROR(E27*F27,"")</f>
        <v>0</v>
      </c>
    </row>
    <row r="28" customFormat="false" ht="15" hidden="false" customHeight="false" outlineLevel="0" collapsed="false">
      <c r="D28" s="10"/>
      <c r="I28" s="11" t="n">
        <f aca="false">IFERROR(E28*F28,"")</f>
        <v>0</v>
      </c>
    </row>
    <row r="29" customFormat="false" ht="15" hidden="false" customHeight="false" outlineLevel="0" collapsed="false">
      <c r="D29" s="10"/>
      <c r="I29" s="11" t="n">
        <f aca="false">IFERROR(E29*F29,"")</f>
        <v>0</v>
      </c>
    </row>
    <row r="30" customFormat="false" ht="15" hidden="false" customHeight="false" outlineLevel="0" collapsed="false">
      <c r="D30" s="10"/>
      <c r="I30" s="11" t="n">
        <f aca="false">IFERROR(E30*F30,"")</f>
        <v>0</v>
      </c>
    </row>
    <row r="31" customFormat="false" ht="15" hidden="false" customHeight="false" outlineLevel="0" collapsed="false">
      <c r="D31" s="10"/>
      <c r="I31" s="11" t="n">
        <f aca="false">IFERROR(E31*F31,"")</f>
        <v>0</v>
      </c>
    </row>
    <row r="32" customFormat="false" ht="15" hidden="false" customHeight="false" outlineLevel="0" collapsed="false">
      <c r="D32" s="10"/>
      <c r="I32" s="11" t="n">
        <f aca="false">IFERROR(E32*F32,"")</f>
        <v>0</v>
      </c>
    </row>
    <row r="33" customFormat="false" ht="15" hidden="false" customHeight="false" outlineLevel="0" collapsed="false">
      <c r="D33" s="10"/>
      <c r="I33" s="11" t="n">
        <f aca="false">IFERROR(E33*F33,"")</f>
        <v>0</v>
      </c>
    </row>
    <row r="34" customFormat="false" ht="15" hidden="false" customHeight="false" outlineLevel="0" collapsed="false">
      <c r="D34" s="10"/>
      <c r="I34" s="11" t="n">
        <f aca="false">IFERROR(E34*F34,"")</f>
        <v>0</v>
      </c>
    </row>
    <row r="35" customFormat="false" ht="15" hidden="false" customHeight="false" outlineLevel="0" collapsed="false">
      <c r="D35" s="10"/>
      <c r="I35" s="11" t="n">
        <f aca="false">IFERROR(E35*F35,"")</f>
        <v>0</v>
      </c>
    </row>
    <row r="36" customFormat="false" ht="15" hidden="false" customHeight="false" outlineLevel="0" collapsed="false">
      <c r="D36" s="10"/>
      <c r="I36" s="11" t="n">
        <f aca="false">IFERROR(E36*F36,"")</f>
        <v>0</v>
      </c>
    </row>
    <row r="37" customFormat="false" ht="15" hidden="false" customHeight="false" outlineLevel="0" collapsed="false">
      <c r="D37" s="10"/>
      <c r="I37" s="11" t="n">
        <f aca="false">IFERROR(E37*F37,"")</f>
        <v>0</v>
      </c>
    </row>
    <row r="38" customFormat="false" ht="15" hidden="false" customHeight="false" outlineLevel="0" collapsed="false">
      <c r="D38" s="10"/>
      <c r="I38" s="11" t="n">
        <f aca="false">IFERROR(E38*F38,"")</f>
        <v>0</v>
      </c>
    </row>
    <row r="39" customFormat="false" ht="15" hidden="false" customHeight="false" outlineLevel="0" collapsed="false">
      <c r="D39" s="10"/>
      <c r="I39" s="11" t="n">
        <f aca="false">IFERROR(E39*F39,"")</f>
        <v>0</v>
      </c>
    </row>
    <row r="40" customFormat="false" ht="15" hidden="false" customHeight="false" outlineLevel="0" collapsed="false">
      <c r="D40" s="10"/>
      <c r="I40" s="11" t="n">
        <f aca="false">IFERROR(E40*F40,"")</f>
        <v>0</v>
      </c>
    </row>
    <row r="41" customFormat="false" ht="15" hidden="false" customHeight="false" outlineLevel="0" collapsed="false">
      <c r="D41" s="10"/>
      <c r="I41" s="11" t="n">
        <f aca="false">IFERROR(E41*F41,"")</f>
        <v>0</v>
      </c>
    </row>
    <row r="42" customFormat="false" ht="15" hidden="false" customHeight="false" outlineLevel="0" collapsed="false">
      <c r="D42" s="10"/>
      <c r="I42" s="11" t="n">
        <f aca="false">IFERROR(E42*F42,"")</f>
        <v>0</v>
      </c>
    </row>
    <row r="43" customFormat="false" ht="15" hidden="false" customHeight="false" outlineLevel="0" collapsed="false">
      <c r="D43" s="10"/>
      <c r="I43" s="11" t="n">
        <f aca="false">IFERROR(E43*F43,"")</f>
        <v>0</v>
      </c>
    </row>
    <row r="44" customFormat="false" ht="15" hidden="false" customHeight="false" outlineLevel="0" collapsed="false">
      <c r="D44" s="10"/>
      <c r="I44" s="11" t="n">
        <f aca="false">IFERROR(E44*F44,"")</f>
        <v>0</v>
      </c>
    </row>
    <row r="45" customFormat="false" ht="15" hidden="false" customHeight="false" outlineLevel="0" collapsed="false">
      <c r="D45" s="10"/>
      <c r="I45" s="11" t="n">
        <f aca="false">IFERROR(E45*F45,"")</f>
        <v>0</v>
      </c>
    </row>
    <row r="46" customFormat="false" ht="15" hidden="false" customHeight="false" outlineLevel="0" collapsed="false">
      <c r="D46" s="10"/>
      <c r="I46" s="11" t="n">
        <f aca="false">IFERROR(E46*F46,"")</f>
        <v>0</v>
      </c>
    </row>
    <row r="47" customFormat="false" ht="15" hidden="false" customHeight="false" outlineLevel="0" collapsed="false">
      <c r="D47" s="10"/>
      <c r="I47" s="11" t="n">
        <f aca="false">IFERROR(E47*F47,"")</f>
        <v>0</v>
      </c>
    </row>
    <row r="48" customFormat="false" ht="15" hidden="false" customHeight="false" outlineLevel="0" collapsed="false">
      <c r="D48" s="10"/>
      <c r="I48" s="11" t="n">
        <f aca="false">IFERROR(E48*F48,"")</f>
        <v>0</v>
      </c>
    </row>
    <row r="49" customFormat="false" ht="15" hidden="false" customHeight="false" outlineLevel="0" collapsed="false">
      <c r="D49" s="10"/>
      <c r="I49" s="11" t="n">
        <f aca="false">IFERROR(E49*F49,"")</f>
        <v>0</v>
      </c>
    </row>
    <row r="50" customFormat="false" ht="15" hidden="false" customHeight="false" outlineLevel="0" collapsed="false">
      <c r="D50" s="10"/>
      <c r="I50" s="11" t="n">
        <f aca="false">IFERROR(E50*F50,"")</f>
        <v>0</v>
      </c>
    </row>
    <row r="51" customFormat="false" ht="15" hidden="false" customHeight="false" outlineLevel="0" collapsed="false">
      <c r="D51" s="10"/>
      <c r="I51" s="11" t="n">
        <f aca="false">IFERROR(E51*F51,"")</f>
        <v>0</v>
      </c>
    </row>
    <row r="52" customFormat="false" ht="15" hidden="false" customHeight="false" outlineLevel="0" collapsed="false">
      <c r="D52" s="10"/>
      <c r="I52" s="11" t="n">
        <f aca="false">IFERROR(E52*F52,"")</f>
        <v>0</v>
      </c>
    </row>
    <row r="53" customFormat="false" ht="15" hidden="false" customHeight="false" outlineLevel="0" collapsed="false">
      <c r="D53" s="10"/>
      <c r="I53" s="11" t="n">
        <f aca="false">IFERROR(E53*F53,"")</f>
        <v>0</v>
      </c>
    </row>
    <row r="54" customFormat="false" ht="15" hidden="false" customHeight="false" outlineLevel="0" collapsed="false">
      <c r="D54" s="10"/>
      <c r="I54" s="11" t="n">
        <f aca="false">IFERROR(E54*F54,"")</f>
        <v>0</v>
      </c>
    </row>
    <row r="55" customFormat="false" ht="15" hidden="false" customHeight="false" outlineLevel="0" collapsed="false">
      <c r="D55" s="10"/>
      <c r="I55" s="11" t="n">
        <f aca="false">IFERROR(E55*F55,"")</f>
        <v>0</v>
      </c>
    </row>
    <row r="56" customFormat="false" ht="15" hidden="false" customHeight="false" outlineLevel="0" collapsed="false">
      <c r="D56" s="10"/>
      <c r="I56" s="11" t="n">
        <f aca="false">IFERROR(E56*F56,"")</f>
        <v>0</v>
      </c>
    </row>
    <row r="57" customFormat="false" ht="15" hidden="false" customHeight="false" outlineLevel="0" collapsed="false">
      <c r="D57" s="10"/>
      <c r="I57" s="11" t="n">
        <f aca="false">IFERROR(E57*F57,"")</f>
        <v>0</v>
      </c>
    </row>
    <row r="58" customFormat="false" ht="15" hidden="false" customHeight="false" outlineLevel="0" collapsed="false">
      <c r="D58" s="10"/>
      <c r="I58" s="11" t="n">
        <f aca="false">IFERROR(E58*F58,"")</f>
        <v>0</v>
      </c>
    </row>
    <row r="59" customFormat="false" ht="15" hidden="false" customHeight="false" outlineLevel="0" collapsed="false">
      <c r="D59" s="10"/>
      <c r="I59" s="11" t="n">
        <f aca="false">IFERROR(E59*F59,"")</f>
        <v>0</v>
      </c>
    </row>
    <row r="60" customFormat="false" ht="15" hidden="false" customHeight="false" outlineLevel="0" collapsed="false">
      <c r="D60" s="10"/>
      <c r="I60" s="11" t="n">
        <f aca="false">IFERROR(E60*F60,"")</f>
        <v>0</v>
      </c>
    </row>
  </sheetData>
  <dataValidations count="1">
    <dataValidation allowBlank="true" errorStyle="stop" operator="between" showDropDown="false" showErrorMessage="false" showInputMessage="false" sqref="D2:D60" type="list">
      <formula1>"receipt,issue,production_in,production_out,transfer,adjustment,scrap"</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16"/>
    <col collapsed="false" customWidth="true" hidden="false" outlineLevel="0" max="4" min="3" style="0" width="18"/>
    <col collapsed="false" customWidth="true" hidden="false" outlineLevel="0" max="5" min="5" style="0" width="16"/>
    <col collapsed="false" customWidth="true" hidden="false" outlineLevel="0" max="6" min="6" style="0" width="24"/>
    <col collapsed="false" customWidth="true" hidden="false" outlineLevel="0" max="7" min="7" style="0" width="15"/>
  </cols>
  <sheetData>
    <row r="1" customFormat="false" ht="15" hidden="false" customHeight="false" outlineLevel="0" collapsed="false">
      <c r="A1" s="7" t="s">
        <v>63</v>
      </c>
      <c r="B1" s="7" t="s">
        <v>54</v>
      </c>
      <c r="C1" s="7" t="s">
        <v>64</v>
      </c>
      <c r="D1" s="7" t="s">
        <v>65</v>
      </c>
      <c r="E1" s="7" t="s">
        <v>66</v>
      </c>
      <c r="F1" s="7" t="s">
        <v>67</v>
      </c>
      <c r="G1" s="7" t="s">
        <v>68</v>
      </c>
    </row>
    <row r="2" customFormat="false" ht="15" hidden="false" customHeight="false" outlineLevel="0" collapsed="false">
      <c r="A2" s="8" t="s">
        <v>22</v>
      </c>
      <c r="B2" s="8" t="s">
        <v>60</v>
      </c>
      <c r="C2" s="13" t="n">
        <v>46266.375</v>
      </c>
      <c r="D2" s="13" t="n">
        <v>46266.3923611111</v>
      </c>
      <c r="E2" s="9" t="s">
        <v>69</v>
      </c>
      <c r="F2" s="8" t="s">
        <v>70</v>
      </c>
      <c r="G2" s="11" t="n">
        <f aca="false">IFERROR((D2-C2)*1440,"")</f>
        <v>25</v>
      </c>
    </row>
    <row r="3" customFormat="false" ht="15" hidden="false" customHeight="false" outlineLevel="0" collapsed="false">
      <c r="A3" s="8" t="s">
        <v>22</v>
      </c>
      <c r="B3" s="8" t="s">
        <v>60</v>
      </c>
      <c r="C3" s="13" t="n">
        <v>46266.4375</v>
      </c>
      <c r="D3" s="13" t="n">
        <v>46266.4479166667</v>
      </c>
      <c r="E3" s="9" t="s">
        <v>71</v>
      </c>
      <c r="F3" s="8" t="s">
        <v>72</v>
      </c>
      <c r="G3" s="11" t="n">
        <f aca="false">IFERROR((D3-C3)*1440,"")</f>
        <v>15</v>
      </c>
    </row>
    <row r="4" customFormat="false" ht="15" hidden="false" customHeight="false" outlineLevel="0" collapsed="false">
      <c r="E4" s="10"/>
      <c r="G4" s="11" t="n">
        <f aca="false">IFERROR((D4-C4)*1440,"")</f>
        <v>0</v>
      </c>
    </row>
    <row r="5" customFormat="false" ht="15" hidden="false" customHeight="false" outlineLevel="0" collapsed="false">
      <c r="E5" s="10"/>
      <c r="G5" s="11" t="n">
        <f aca="false">IFERROR((D5-C5)*1440,"")</f>
        <v>0</v>
      </c>
    </row>
    <row r="6" customFormat="false" ht="15" hidden="false" customHeight="false" outlineLevel="0" collapsed="false">
      <c r="E6" s="10"/>
      <c r="G6" s="11" t="n">
        <f aca="false">IFERROR((D6-C6)*1440,"")</f>
        <v>0</v>
      </c>
    </row>
    <row r="7" customFormat="false" ht="15" hidden="false" customHeight="false" outlineLevel="0" collapsed="false">
      <c r="E7" s="10"/>
      <c r="G7" s="11" t="n">
        <f aca="false">IFERROR((D7-C7)*1440,"")</f>
        <v>0</v>
      </c>
    </row>
    <row r="8" customFormat="false" ht="15" hidden="false" customHeight="false" outlineLevel="0" collapsed="false">
      <c r="E8" s="10"/>
      <c r="G8" s="11" t="n">
        <f aca="false">IFERROR((D8-C8)*1440,"")</f>
        <v>0</v>
      </c>
    </row>
    <row r="9" customFormat="false" ht="15" hidden="false" customHeight="false" outlineLevel="0" collapsed="false">
      <c r="E9" s="10"/>
      <c r="G9" s="11" t="n">
        <f aca="false">IFERROR((D9-C9)*1440,"")</f>
        <v>0</v>
      </c>
    </row>
    <row r="10" customFormat="false" ht="15" hidden="false" customHeight="false" outlineLevel="0" collapsed="false">
      <c r="E10" s="10"/>
      <c r="G10" s="11" t="n">
        <f aca="false">IFERROR((D10-C10)*1440,"")</f>
        <v>0</v>
      </c>
    </row>
    <row r="11" customFormat="false" ht="15" hidden="false" customHeight="false" outlineLevel="0" collapsed="false">
      <c r="E11" s="10"/>
      <c r="G11" s="11" t="n">
        <f aca="false">IFERROR((D11-C11)*1440,"")</f>
        <v>0</v>
      </c>
    </row>
    <row r="12" customFormat="false" ht="15" hidden="false" customHeight="false" outlineLevel="0" collapsed="false">
      <c r="E12" s="10"/>
      <c r="G12" s="11" t="n">
        <f aca="false">IFERROR((D12-C12)*1440,"")</f>
        <v>0</v>
      </c>
    </row>
    <row r="13" customFormat="false" ht="15" hidden="false" customHeight="false" outlineLevel="0" collapsed="false">
      <c r="E13" s="10"/>
      <c r="G13" s="11" t="n">
        <f aca="false">IFERROR((D13-C13)*1440,"")</f>
        <v>0</v>
      </c>
    </row>
    <row r="14" customFormat="false" ht="15" hidden="false" customHeight="false" outlineLevel="0" collapsed="false">
      <c r="E14" s="10"/>
      <c r="G14" s="11" t="n">
        <f aca="false">IFERROR((D14-C14)*1440,"")</f>
        <v>0</v>
      </c>
    </row>
    <row r="15" customFormat="false" ht="15" hidden="false" customHeight="false" outlineLevel="0" collapsed="false">
      <c r="E15" s="10"/>
      <c r="G15" s="11" t="n">
        <f aca="false">IFERROR((D15-C15)*1440,"")</f>
        <v>0</v>
      </c>
    </row>
    <row r="16" customFormat="false" ht="15" hidden="false" customHeight="false" outlineLevel="0" collapsed="false">
      <c r="E16" s="10"/>
      <c r="G16" s="11" t="n">
        <f aca="false">IFERROR((D16-C16)*1440,"")</f>
        <v>0</v>
      </c>
    </row>
    <row r="17" customFormat="false" ht="15" hidden="false" customHeight="false" outlineLevel="0" collapsed="false">
      <c r="E17" s="10"/>
      <c r="G17" s="11" t="n">
        <f aca="false">IFERROR((D17-C17)*1440,"")</f>
        <v>0</v>
      </c>
    </row>
    <row r="18" customFormat="false" ht="15" hidden="false" customHeight="false" outlineLevel="0" collapsed="false">
      <c r="E18" s="10"/>
      <c r="G18" s="11" t="n">
        <f aca="false">IFERROR((D18-C18)*1440,"")</f>
        <v>0</v>
      </c>
    </row>
    <row r="19" customFormat="false" ht="15" hidden="false" customHeight="false" outlineLevel="0" collapsed="false">
      <c r="E19" s="10"/>
      <c r="G19" s="11" t="n">
        <f aca="false">IFERROR((D19-C19)*1440,"")</f>
        <v>0</v>
      </c>
    </row>
    <row r="20" customFormat="false" ht="15" hidden="false" customHeight="false" outlineLevel="0" collapsed="false">
      <c r="E20" s="10"/>
      <c r="G20" s="11" t="n">
        <f aca="false">IFERROR((D20-C20)*1440,"")</f>
        <v>0</v>
      </c>
    </row>
    <row r="21" customFormat="false" ht="15" hidden="false" customHeight="false" outlineLevel="0" collapsed="false">
      <c r="E21" s="10"/>
      <c r="G21" s="11" t="n">
        <f aca="false">IFERROR((D21-C21)*1440,"")</f>
        <v>0</v>
      </c>
    </row>
    <row r="22" customFormat="false" ht="15" hidden="false" customHeight="false" outlineLevel="0" collapsed="false">
      <c r="E22" s="10"/>
      <c r="G22" s="11" t="n">
        <f aca="false">IFERROR((D22-C22)*1440,"")</f>
        <v>0</v>
      </c>
    </row>
    <row r="23" customFormat="false" ht="15" hidden="false" customHeight="false" outlineLevel="0" collapsed="false">
      <c r="E23" s="10"/>
      <c r="G23" s="11" t="n">
        <f aca="false">IFERROR((D23-C23)*1440,"")</f>
        <v>0</v>
      </c>
    </row>
    <row r="24" customFormat="false" ht="15" hidden="false" customHeight="false" outlineLevel="0" collapsed="false">
      <c r="E24" s="10"/>
      <c r="G24" s="11" t="n">
        <f aca="false">IFERROR((D24-C24)*1440,"")</f>
        <v>0</v>
      </c>
    </row>
    <row r="25" customFormat="false" ht="15" hidden="false" customHeight="false" outlineLevel="0" collapsed="false">
      <c r="E25" s="10"/>
      <c r="G25" s="11" t="n">
        <f aca="false">IFERROR((D25-C25)*1440,"")</f>
        <v>0</v>
      </c>
    </row>
    <row r="26" customFormat="false" ht="15" hidden="false" customHeight="false" outlineLevel="0" collapsed="false">
      <c r="E26" s="10"/>
      <c r="G26" s="11" t="n">
        <f aca="false">IFERROR((D26-C26)*1440,"")</f>
        <v>0</v>
      </c>
    </row>
    <row r="27" customFormat="false" ht="15" hidden="false" customHeight="false" outlineLevel="0" collapsed="false">
      <c r="E27" s="10"/>
      <c r="G27" s="11" t="n">
        <f aca="false">IFERROR((D27-C27)*1440,"")</f>
        <v>0</v>
      </c>
    </row>
    <row r="28" customFormat="false" ht="15" hidden="false" customHeight="false" outlineLevel="0" collapsed="false">
      <c r="E28" s="10"/>
      <c r="G28" s="11" t="n">
        <f aca="false">IFERROR((D28-C28)*1440,"")</f>
        <v>0</v>
      </c>
    </row>
    <row r="29" customFormat="false" ht="15" hidden="false" customHeight="false" outlineLevel="0" collapsed="false">
      <c r="E29" s="10"/>
      <c r="G29" s="11" t="n">
        <f aca="false">IFERROR((D29-C29)*1440,"")</f>
        <v>0</v>
      </c>
    </row>
    <row r="30" customFormat="false" ht="15" hidden="false" customHeight="false" outlineLevel="0" collapsed="false">
      <c r="E30" s="10"/>
      <c r="G30" s="11" t="n">
        <f aca="false">IFERROR((D30-C30)*1440,"")</f>
        <v>0</v>
      </c>
    </row>
    <row r="31" customFormat="false" ht="15" hidden="false" customHeight="false" outlineLevel="0" collapsed="false">
      <c r="E31" s="10"/>
      <c r="G31" s="11" t="n">
        <f aca="false">IFERROR((D31-C31)*1440,"")</f>
        <v>0</v>
      </c>
    </row>
    <row r="32" customFormat="false" ht="15" hidden="false" customHeight="false" outlineLevel="0" collapsed="false">
      <c r="E32" s="10"/>
      <c r="G32" s="11" t="n">
        <f aca="false">IFERROR((D32-C32)*1440,"")</f>
        <v>0</v>
      </c>
    </row>
    <row r="33" customFormat="false" ht="15" hidden="false" customHeight="false" outlineLevel="0" collapsed="false">
      <c r="E33" s="10"/>
      <c r="G33" s="11" t="n">
        <f aca="false">IFERROR((D33-C33)*1440,"")</f>
        <v>0</v>
      </c>
    </row>
    <row r="34" customFormat="false" ht="15" hidden="false" customHeight="false" outlineLevel="0" collapsed="false">
      <c r="E34" s="10"/>
      <c r="G34" s="11" t="n">
        <f aca="false">IFERROR((D34-C34)*1440,"")</f>
        <v>0</v>
      </c>
    </row>
    <row r="35" customFormat="false" ht="15" hidden="false" customHeight="false" outlineLevel="0" collapsed="false">
      <c r="E35" s="10"/>
      <c r="G35" s="11" t="n">
        <f aca="false">IFERROR((D35-C35)*1440,"")</f>
        <v>0</v>
      </c>
    </row>
    <row r="36" customFormat="false" ht="15" hidden="false" customHeight="false" outlineLevel="0" collapsed="false">
      <c r="E36" s="10"/>
      <c r="G36" s="11" t="n">
        <f aca="false">IFERROR((D36-C36)*1440,"")</f>
        <v>0</v>
      </c>
    </row>
    <row r="37" customFormat="false" ht="15" hidden="false" customHeight="false" outlineLevel="0" collapsed="false">
      <c r="E37" s="10"/>
      <c r="G37" s="11" t="n">
        <f aca="false">IFERROR((D37-C37)*1440,"")</f>
        <v>0</v>
      </c>
    </row>
    <row r="38" customFormat="false" ht="15" hidden="false" customHeight="false" outlineLevel="0" collapsed="false">
      <c r="E38" s="10"/>
      <c r="G38" s="11" t="n">
        <f aca="false">IFERROR((D38-C38)*1440,"")</f>
        <v>0</v>
      </c>
    </row>
    <row r="39" customFormat="false" ht="15" hidden="false" customHeight="false" outlineLevel="0" collapsed="false">
      <c r="E39" s="10"/>
      <c r="G39" s="11" t="n">
        <f aca="false">IFERROR((D39-C39)*1440,"")</f>
        <v>0</v>
      </c>
    </row>
    <row r="40" customFormat="false" ht="15" hidden="false" customHeight="false" outlineLevel="0" collapsed="false">
      <c r="E40" s="10"/>
      <c r="G40" s="11" t="n">
        <f aca="false">IFERROR((D40-C40)*1440,"")</f>
        <v>0</v>
      </c>
    </row>
    <row r="41" customFormat="false" ht="15" hidden="false" customHeight="false" outlineLevel="0" collapsed="false">
      <c r="E41" s="10"/>
      <c r="G41" s="11" t="n">
        <f aca="false">IFERROR((D41-C41)*1440,"")</f>
        <v>0</v>
      </c>
    </row>
    <row r="42" customFormat="false" ht="15" hidden="false" customHeight="false" outlineLevel="0" collapsed="false">
      <c r="E42" s="10"/>
      <c r="G42" s="11" t="n">
        <f aca="false">IFERROR((D42-C42)*1440,"")</f>
        <v>0</v>
      </c>
    </row>
    <row r="43" customFormat="false" ht="15" hidden="false" customHeight="false" outlineLevel="0" collapsed="false">
      <c r="E43" s="10"/>
      <c r="G43" s="11" t="n">
        <f aca="false">IFERROR((D43-C43)*1440,"")</f>
        <v>0</v>
      </c>
    </row>
    <row r="44" customFormat="false" ht="15" hidden="false" customHeight="false" outlineLevel="0" collapsed="false">
      <c r="E44" s="10"/>
      <c r="G44" s="11" t="n">
        <f aca="false">IFERROR((D44-C44)*1440,"")</f>
        <v>0</v>
      </c>
    </row>
    <row r="45" customFormat="false" ht="15" hidden="false" customHeight="false" outlineLevel="0" collapsed="false">
      <c r="E45" s="10"/>
      <c r="G45" s="11" t="n">
        <f aca="false">IFERROR((D45-C45)*1440,"")</f>
        <v>0</v>
      </c>
    </row>
    <row r="46" customFormat="false" ht="15" hidden="false" customHeight="false" outlineLevel="0" collapsed="false">
      <c r="E46" s="10"/>
      <c r="G46" s="11" t="n">
        <f aca="false">IFERROR((D46-C46)*1440,"")</f>
        <v>0</v>
      </c>
    </row>
    <row r="47" customFormat="false" ht="15" hidden="false" customHeight="false" outlineLevel="0" collapsed="false">
      <c r="E47" s="10"/>
      <c r="G47" s="11" t="n">
        <f aca="false">IFERROR((D47-C47)*1440,"")</f>
        <v>0</v>
      </c>
    </row>
    <row r="48" customFormat="false" ht="15" hidden="false" customHeight="false" outlineLevel="0" collapsed="false">
      <c r="E48" s="10"/>
      <c r="G48" s="11" t="n">
        <f aca="false">IFERROR((D48-C48)*1440,"")</f>
        <v>0</v>
      </c>
    </row>
    <row r="49" customFormat="false" ht="15" hidden="false" customHeight="false" outlineLevel="0" collapsed="false">
      <c r="E49" s="10"/>
      <c r="G49" s="11" t="n">
        <f aca="false">IFERROR((D49-C49)*1440,"")</f>
        <v>0</v>
      </c>
    </row>
    <row r="50" customFormat="false" ht="15" hidden="false" customHeight="false" outlineLevel="0" collapsed="false">
      <c r="E50" s="10"/>
      <c r="G50" s="11" t="n">
        <f aca="false">IFERROR((D50-C50)*1440,"")</f>
        <v>0</v>
      </c>
    </row>
    <row r="51" customFormat="false" ht="15" hidden="false" customHeight="false" outlineLevel="0" collapsed="false">
      <c r="E51" s="10"/>
      <c r="G51" s="11" t="n">
        <f aca="false">IFERROR((D51-C51)*1440,"")</f>
        <v>0</v>
      </c>
    </row>
    <row r="52" customFormat="false" ht="15" hidden="false" customHeight="false" outlineLevel="0" collapsed="false">
      <c r="E52" s="10"/>
      <c r="G52" s="11" t="n">
        <f aca="false">IFERROR((D52-C52)*1440,"")</f>
        <v>0</v>
      </c>
    </row>
    <row r="53" customFormat="false" ht="15" hidden="false" customHeight="false" outlineLevel="0" collapsed="false">
      <c r="E53" s="10"/>
      <c r="G53" s="11" t="n">
        <f aca="false">IFERROR((D53-C53)*1440,"")</f>
        <v>0</v>
      </c>
    </row>
    <row r="54" customFormat="false" ht="15" hidden="false" customHeight="false" outlineLevel="0" collapsed="false">
      <c r="E54" s="10"/>
      <c r="G54" s="11" t="n">
        <f aca="false">IFERROR((D54-C54)*1440,"")</f>
        <v>0</v>
      </c>
    </row>
    <row r="55" customFormat="false" ht="15" hidden="false" customHeight="false" outlineLevel="0" collapsed="false">
      <c r="E55" s="10"/>
      <c r="G55" s="11" t="n">
        <f aca="false">IFERROR((D55-C55)*1440,"")</f>
        <v>0</v>
      </c>
    </row>
    <row r="56" customFormat="false" ht="15" hidden="false" customHeight="false" outlineLevel="0" collapsed="false">
      <c r="E56" s="10"/>
      <c r="G56" s="11" t="n">
        <f aca="false">IFERROR((D56-C56)*1440,"")</f>
        <v>0</v>
      </c>
    </row>
    <row r="57" customFormat="false" ht="15" hidden="false" customHeight="false" outlineLevel="0" collapsed="false">
      <c r="E57" s="10"/>
      <c r="G57" s="11" t="n">
        <f aca="false">IFERROR((D57-C57)*1440,"")</f>
        <v>0</v>
      </c>
    </row>
    <row r="58" customFormat="false" ht="15" hidden="false" customHeight="false" outlineLevel="0" collapsed="false">
      <c r="E58" s="10"/>
      <c r="G58" s="11" t="n">
        <f aca="false">IFERROR((D58-C58)*1440,"")</f>
        <v>0</v>
      </c>
    </row>
    <row r="59" customFormat="false" ht="15" hidden="false" customHeight="false" outlineLevel="0" collapsed="false">
      <c r="E59" s="10"/>
      <c r="G59" s="11" t="n">
        <f aca="false">IFERROR((D59-C59)*1440,"")</f>
        <v>0</v>
      </c>
    </row>
    <row r="60" customFormat="false" ht="15" hidden="false" customHeight="false" outlineLevel="0" collapsed="false">
      <c r="E60" s="10"/>
      <c r="G60" s="11" t="n">
        <f aca="false">IFERROR((D60-C60)*1440,"")</f>
        <v>0</v>
      </c>
    </row>
  </sheetData>
  <dataValidations count="2">
    <dataValidation allowBlank="true" errorStyle="stop" operator="between" showDropDown="false" showErrorMessage="false" showInputMessage="false" sqref="E2:E60" type="list">
      <formula1>"breakdown,changeover,no_material,power,planned_maintenance,other"</formula1>
      <formula2>0</formula2>
    </dataValidation>
    <dataValidation allowBlank="true" errorStyle="stop" operator="between" showDropDown="false" showErrorMessage="false" showInputMessage="false" sqref="A2:A60" type="list">
      <formula1>Machines!$A$2:$A$60</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4" min="1" style="0" width="16"/>
  </cols>
  <sheetData>
    <row r="1" customFormat="false" ht="15" hidden="false" customHeight="false" outlineLevel="0" collapsed="false">
      <c r="A1" s="7" t="s">
        <v>73</v>
      </c>
      <c r="B1" s="7" t="s">
        <v>48</v>
      </c>
      <c r="C1" s="7" t="s">
        <v>63</v>
      </c>
      <c r="D1" s="7" t="s">
        <v>74</v>
      </c>
      <c r="E1" s="7" t="s">
        <v>75</v>
      </c>
      <c r="F1" s="7" t="s">
        <v>76</v>
      </c>
      <c r="G1" s="7" t="s">
        <v>77</v>
      </c>
      <c r="H1" s="7" t="s">
        <v>78</v>
      </c>
      <c r="I1" s="7" t="s">
        <v>79</v>
      </c>
      <c r="J1" s="7" t="s">
        <v>80</v>
      </c>
      <c r="K1" s="7" t="s">
        <v>21</v>
      </c>
      <c r="L1" s="7" t="s">
        <v>81</v>
      </c>
      <c r="M1" s="7" t="s">
        <v>82</v>
      </c>
      <c r="N1" s="7" t="s">
        <v>83</v>
      </c>
    </row>
    <row r="2" customFormat="false" ht="15" hidden="false" customHeight="false" outlineLevel="0" collapsed="false">
      <c r="A2" s="8" t="s">
        <v>60</v>
      </c>
      <c r="B2" s="8" t="s">
        <v>38</v>
      </c>
      <c r="C2" s="8" t="s">
        <v>22</v>
      </c>
      <c r="D2" s="8" t="n">
        <v>500</v>
      </c>
      <c r="E2" s="8" t="n">
        <v>470</v>
      </c>
      <c r="F2" s="8" t="n">
        <v>12</v>
      </c>
      <c r="G2" s="13" t="n">
        <v>46266.3333333333</v>
      </c>
      <c r="H2" s="13" t="n">
        <v>46266.5</v>
      </c>
      <c r="I2" s="13" t="n">
        <v>46266.3333333333</v>
      </c>
      <c r="J2" s="13" t="n">
        <v>46266.5</v>
      </c>
      <c r="K2" s="9" t="s">
        <v>84</v>
      </c>
      <c r="L2" s="11" t="n">
        <f aca="false">IFERROR(E2-F2,"")</f>
        <v>458</v>
      </c>
      <c r="M2" s="11" t="n">
        <f aca="false">IFERROR((J2-I2)*1440,"")</f>
        <v>240</v>
      </c>
      <c r="N2" s="11" t="n">
        <f aca="false">IF(K2="completed",IF(AND(J2&lt;&gt;"",H2&lt;&gt;""),IF(J2&lt;=H2,1,0),""),"")</f>
        <v>1</v>
      </c>
    </row>
    <row r="3" customFormat="false" ht="15" hidden="false" customHeight="false" outlineLevel="0" collapsed="false">
      <c r="K3" s="10"/>
      <c r="L3" s="11" t="n">
        <f aca="false">IFERROR(E3-F3,"")</f>
        <v>0</v>
      </c>
      <c r="M3" s="11" t="n">
        <f aca="false">IFERROR((J3-I3)*1440,"")</f>
        <v>0</v>
      </c>
      <c r="N3" s="11" t="str">
        <f aca="false">IF(K3="completed",IF(AND(J3&lt;&gt;"",H3&lt;&gt;""),IF(J3&lt;=H3,1,0),""),"")</f>
        <v/>
      </c>
    </row>
    <row r="4" customFormat="false" ht="15" hidden="false" customHeight="false" outlineLevel="0" collapsed="false">
      <c r="K4" s="10"/>
      <c r="L4" s="11" t="n">
        <f aca="false">IFERROR(E4-F4,"")</f>
        <v>0</v>
      </c>
      <c r="M4" s="11" t="n">
        <f aca="false">IFERROR((J4-I4)*1440,"")</f>
        <v>0</v>
      </c>
      <c r="N4" s="11" t="str">
        <f aca="false">IF(K4="completed",IF(AND(J4&lt;&gt;"",H4&lt;&gt;""),IF(J4&lt;=H4,1,0),""),"")</f>
        <v/>
      </c>
    </row>
    <row r="5" customFormat="false" ht="15" hidden="false" customHeight="false" outlineLevel="0" collapsed="false">
      <c r="K5" s="10"/>
      <c r="L5" s="11" t="n">
        <f aca="false">IFERROR(E5-F5,"")</f>
        <v>0</v>
      </c>
      <c r="M5" s="11" t="n">
        <f aca="false">IFERROR((J5-I5)*1440,"")</f>
        <v>0</v>
      </c>
      <c r="N5" s="11" t="str">
        <f aca="false">IF(K5="completed",IF(AND(J5&lt;&gt;"",H5&lt;&gt;""),IF(J5&lt;=H5,1,0),""),"")</f>
        <v/>
      </c>
    </row>
    <row r="6" customFormat="false" ht="15" hidden="false" customHeight="false" outlineLevel="0" collapsed="false">
      <c r="K6" s="10"/>
      <c r="L6" s="11" t="n">
        <f aca="false">IFERROR(E6-F6,"")</f>
        <v>0</v>
      </c>
      <c r="M6" s="11" t="n">
        <f aca="false">IFERROR((J6-I6)*1440,"")</f>
        <v>0</v>
      </c>
      <c r="N6" s="11" t="str">
        <f aca="false">IF(K6="completed",IF(AND(J6&lt;&gt;"",H6&lt;&gt;""),IF(J6&lt;=H6,1,0),""),"")</f>
        <v/>
      </c>
    </row>
    <row r="7" customFormat="false" ht="15" hidden="false" customHeight="false" outlineLevel="0" collapsed="false">
      <c r="K7" s="10"/>
      <c r="L7" s="11" t="n">
        <f aca="false">IFERROR(E7-F7,"")</f>
        <v>0</v>
      </c>
      <c r="M7" s="11" t="n">
        <f aca="false">IFERROR((J7-I7)*1440,"")</f>
        <v>0</v>
      </c>
      <c r="N7" s="11" t="str">
        <f aca="false">IF(K7="completed",IF(AND(J7&lt;&gt;"",H7&lt;&gt;""),IF(J7&lt;=H7,1,0),""),"")</f>
        <v/>
      </c>
    </row>
    <row r="8" customFormat="false" ht="15" hidden="false" customHeight="false" outlineLevel="0" collapsed="false">
      <c r="K8" s="10"/>
      <c r="L8" s="11" t="n">
        <f aca="false">IFERROR(E8-F8,"")</f>
        <v>0</v>
      </c>
      <c r="M8" s="11" t="n">
        <f aca="false">IFERROR((J8-I8)*1440,"")</f>
        <v>0</v>
      </c>
      <c r="N8" s="11" t="str">
        <f aca="false">IF(K8="completed",IF(AND(J8&lt;&gt;"",H8&lt;&gt;""),IF(J8&lt;=H8,1,0),""),"")</f>
        <v/>
      </c>
    </row>
    <row r="9" customFormat="false" ht="15" hidden="false" customHeight="false" outlineLevel="0" collapsed="false">
      <c r="K9" s="10"/>
      <c r="L9" s="11" t="n">
        <f aca="false">IFERROR(E9-F9,"")</f>
        <v>0</v>
      </c>
      <c r="M9" s="11" t="n">
        <f aca="false">IFERROR((J9-I9)*1440,"")</f>
        <v>0</v>
      </c>
      <c r="N9" s="11" t="str">
        <f aca="false">IF(K9="completed",IF(AND(J9&lt;&gt;"",H9&lt;&gt;""),IF(J9&lt;=H9,1,0),""),"")</f>
        <v/>
      </c>
    </row>
    <row r="10" customFormat="false" ht="15" hidden="false" customHeight="false" outlineLevel="0" collapsed="false">
      <c r="K10" s="10"/>
      <c r="L10" s="11" t="n">
        <f aca="false">IFERROR(E10-F10,"")</f>
        <v>0</v>
      </c>
      <c r="M10" s="11" t="n">
        <f aca="false">IFERROR((J10-I10)*1440,"")</f>
        <v>0</v>
      </c>
      <c r="N10" s="11" t="str">
        <f aca="false">IF(K10="completed",IF(AND(J10&lt;&gt;"",H10&lt;&gt;""),IF(J10&lt;=H10,1,0),""),"")</f>
        <v/>
      </c>
    </row>
    <row r="11" customFormat="false" ht="15" hidden="false" customHeight="false" outlineLevel="0" collapsed="false">
      <c r="K11" s="10"/>
      <c r="L11" s="11" t="n">
        <f aca="false">IFERROR(E11-F11,"")</f>
        <v>0</v>
      </c>
      <c r="M11" s="11" t="n">
        <f aca="false">IFERROR((J11-I11)*1440,"")</f>
        <v>0</v>
      </c>
      <c r="N11" s="11" t="str">
        <f aca="false">IF(K11="completed",IF(AND(J11&lt;&gt;"",H11&lt;&gt;""),IF(J11&lt;=H11,1,0),""),"")</f>
        <v/>
      </c>
    </row>
    <row r="12" customFormat="false" ht="15" hidden="false" customHeight="false" outlineLevel="0" collapsed="false">
      <c r="K12" s="10"/>
      <c r="L12" s="11" t="n">
        <f aca="false">IFERROR(E12-F12,"")</f>
        <v>0</v>
      </c>
      <c r="M12" s="11" t="n">
        <f aca="false">IFERROR((J12-I12)*1440,"")</f>
        <v>0</v>
      </c>
      <c r="N12" s="11" t="str">
        <f aca="false">IF(K12="completed",IF(AND(J12&lt;&gt;"",H12&lt;&gt;""),IF(J12&lt;=H12,1,0),""),"")</f>
        <v/>
      </c>
    </row>
    <row r="13" customFormat="false" ht="15" hidden="false" customHeight="false" outlineLevel="0" collapsed="false">
      <c r="K13" s="10"/>
      <c r="L13" s="11" t="n">
        <f aca="false">IFERROR(E13-F13,"")</f>
        <v>0</v>
      </c>
      <c r="M13" s="11" t="n">
        <f aca="false">IFERROR((J13-I13)*1440,"")</f>
        <v>0</v>
      </c>
      <c r="N13" s="11" t="str">
        <f aca="false">IF(K13="completed",IF(AND(J13&lt;&gt;"",H13&lt;&gt;""),IF(J13&lt;=H13,1,0),""),"")</f>
        <v/>
      </c>
    </row>
    <row r="14" customFormat="false" ht="15" hidden="false" customHeight="false" outlineLevel="0" collapsed="false">
      <c r="K14" s="10"/>
      <c r="L14" s="11" t="n">
        <f aca="false">IFERROR(E14-F14,"")</f>
        <v>0</v>
      </c>
      <c r="M14" s="11" t="n">
        <f aca="false">IFERROR((J14-I14)*1440,"")</f>
        <v>0</v>
      </c>
      <c r="N14" s="11" t="str">
        <f aca="false">IF(K14="completed",IF(AND(J14&lt;&gt;"",H14&lt;&gt;""),IF(J14&lt;=H14,1,0),""),"")</f>
        <v/>
      </c>
    </row>
    <row r="15" customFormat="false" ht="15" hidden="false" customHeight="false" outlineLevel="0" collapsed="false">
      <c r="K15" s="10"/>
      <c r="L15" s="11" t="n">
        <f aca="false">IFERROR(E15-F15,"")</f>
        <v>0</v>
      </c>
      <c r="M15" s="11" t="n">
        <f aca="false">IFERROR((J15-I15)*1440,"")</f>
        <v>0</v>
      </c>
      <c r="N15" s="11" t="str">
        <f aca="false">IF(K15="completed",IF(AND(J15&lt;&gt;"",H15&lt;&gt;""),IF(J15&lt;=H15,1,0),""),"")</f>
        <v/>
      </c>
    </row>
    <row r="16" customFormat="false" ht="15" hidden="false" customHeight="false" outlineLevel="0" collapsed="false">
      <c r="K16" s="10"/>
      <c r="L16" s="11" t="n">
        <f aca="false">IFERROR(E16-F16,"")</f>
        <v>0</v>
      </c>
      <c r="M16" s="11" t="n">
        <f aca="false">IFERROR((J16-I16)*1440,"")</f>
        <v>0</v>
      </c>
      <c r="N16" s="11" t="str">
        <f aca="false">IF(K16="completed",IF(AND(J16&lt;&gt;"",H16&lt;&gt;""),IF(J16&lt;=H16,1,0),""),"")</f>
        <v/>
      </c>
    </row>
    <row r="17" customFormat="false" ht="15" hidden="false" customHeight="false" outlineLevel="0" collapsed="false">
      <c r="K17" s="10"/>
      <c r="L17" s="11" t="n">
        <f aca="false">IFERROR(E17-F17,"")</f>
        <v>0</v>
      </c>
      <c r="M17" s="11" t="n">
        <f aca="false">IFERROR((J17-I17)*1440,"")</f>
        <v>0</v>
      </c>
      <c r="N17" s="11" t="str">
        <f aca="false">IF(K17="completed",IF(AND(J17&lt;&gt;"",H17&lt;&gt;""),IF(J17&lt;=H17,1,0),""),"")</f>
        <v/>
      </c>
    </row>
    <row r="18" customFormat="false" ht="15" hidden="false" customHeight="false" outlineLevel="0" collapsed="false">
      <c r="K18" s="10"/>
      <c r="L18" s="11" t="n">
        <f aca="false">IFERROR(E18-F18,"")</f>
        <v>0</v>
      </c>
      <c r="M18" s="11" t="n">
        <f aca="false">IFERROR((J18-I18)*1440,"")</f>
        <v>0</v>
      </c>
      <c r="N18" s="11" t="str">
        <f aca="false">IF(K18="completed",IF(AND(J18&lt;&gt;"",H18&lt;&gt;""),IF(J18&lt;=H18,1,0),""),"")</f>
        <v/>
      </c>
    </row>
    <row r="19" customFormat="false" ht="15" hidden="false" customHeight="false" outlineLevel="0" collapsed="false">
      <c r="K19" s="10"/>
      <c r="L19" s="11" t="n">
        <f aca="false">IFERROR(E19-F19,"")</f>
        <v>0</v>
      </c>
      <c r="M19" s="11" t="n">
        <f aca="false">IFERROR((J19-I19)*1440,"")</f>
        <v>0</v>
      </c>
      <c r="N19" s="11" t="str">
        <f aca="false">IF(K19="completed",IF(AND(J19&lt;&gt;"",H19&lt;&gt;""),IF(J19&lt;=H19,1,0),""),"")</f>
        <v/>
      </c>
    </row>
    <row r="20" customFormat="false" ht="15" hidden="false" customHeight="false" outlineLevel="0" collapsed="false">
      <c r="K20" s="10"/>
      <c r="L20" s="11" t="n">
        <f aca="false">IFERROR(E20-F20,"")</f>
        <v>0</v>
      </c>
      <c r="M20" s="11" t="n">
        <f aca="false">IFERROR((J20-I20)*1440,"")</f>
        <v>0</v>
      </c>
      <c r="N20" s="11" t="str">
        <f aca="false">IF(K20="completed",IF(AND(J20&lt;&gt;"",H20&lt;&gt;""),IF(J20&lt;=H20,1,0),""),"")</f>
        <v/>
      </c>
    </row>
    <row r="21" customFormat="false" ht="15" hidden="false" customHeight="false" outlineLevel="0" collapsed="false">
      <c r="K21" s="10"/>
      <c r="L21" s="11" t="n">
        <f aca="false">IFERROR(E21-F21,"")</f>
        <v>0</v>
      </c>
      <c r="M21" s="11" t="n">
        <f aca="false">IFERROR((J21-I21)*1440,"")</f>
        <v>0</v>
      </c>
      <c r="N21" s="11" t="str">
        <f aca="false">IF(K21="completed",IF(AND(J21&lt;&gt;"",H21&lt;&gt;""),IF(J21&lt;=H21,1,0),""),"")</f>
        <v/>
      </c>
    </row>
    <row r="22" customFormat="false" ht="15" hidden="false" customHeight="false" outlineLevel="0" collapsed="false">
      <c r="K22" s="10"/>
      <c r="L22" s="11" t="n">
        <f aca="false">IFERROR(E22-F22,"")</f>
        <v>0</v>
      </c>
      <c r="M22" s="11" t="n">
        <f aca="false">IFERROR((J22-I22)*1440,"")</f>
        <v>0</v>
      </c>
      <c r="N22" s="11" t="str">
        <f aca="false">IF(K22="completed",IF(AND(J22&lt;&gt;"",H22&lt;&gt;""),IF(J22&lt;=H22,1,0),""),"")</f>
        <v/>
      </c>
    </row>
    <row r="23" customFormat="false" ht="15" hidden="false" customHeight="false" outlineLevel="0" collapsed="false">
      <c r="K23" s="10"/>
      <c r="L23" s="11" t="n">
        <f aca="false">IFERROR(E23-F23,"")</f>
        <v>0</v>
      </c>
      <c r="M23" s="11" t="n">
        <f aca="false">IFERROR((J23-I23)*1440,"")</f>
        <v>0</v>
      </c>
      <c r="N23" s="11" t="str">
        <f aca="false">IF(K23="completed",IF(AND(J23&lt;&gt;"",H23&lt;&gt;""),IF(J23&lt;=H23,1,0),""),"")</f>
        <v/>
      </c>
    </row>
    <row r="24" customFormat="false" ht="15" hidden="false" customHeight="false" outlineLevel="0" collapsed="false">
      <c r="K24" s="10"/>
      <c r="L24" s="11" t="n">
        <f aca="false">IFERROR(E24-F24,"")</f>
        <v>0</v>
      </c>
      <c r="M24" s="11" t="n">
        <f aca="false">IFERROR((J24-I24)*1440,"")</f>
        <v>0</v>
      </c>
      <c r="N24" s="11" t="str">
        <f aca="false">IF(K24="completed",IF(AND(J24&lt;&gt;"",H24&lt;&gt;""),IF(J24&lt;=H24,1,0),""),"")</f>
        <v/>
      </c>
    </row>
    <row r="25" customFormat="false" ht="15" hidden="false" customHeight="false" outlineLevel="0" collapsed="false">
      <c r="K25" s="10"/>
      <c r="L25" s="11" t="n">
        <f aca="false">IFERROR(E25-F25,"")</f>
        <v>0</v>
      </c>
      <c r="M25" s="11" t="n">
        <f aca="false">IFERROR((J25-I25)*1440,"")</f>
        <v>0</v>
      </c>
      <c r="N25" s="11" t="str">
        <f aca="false">IF(K25="completed",IF(AND(J25&lt;&gt;"",H25&lt;&gt;""),IF(J25&lt;=H25,1,0),""),"")</f>
        <v/>
      </c>
    </row>
    <row r="26" customFormat="false" ht="15" hidden="false" customHeight="false" outlineLevel="0" collapsed="false">
      <c r="K26" s="10"/>
      <c r="L26" s="11" t="n">
        <f aca="false">IFERROR(E26-F26,"")</f>
        <v>0</v>
      </c>
      <c r="M26" s="11" t="n">
        <f aca="false">IFERROR((J26-I26)*1440,"")</f>
        <v>0</v>
      </c>
      <c r="N26" s="11" t="str">
        <f aca="false">IF(K26="completed",IF(AND(J26&lt;&gt;"",H26&lt;&gt;""),IF(J26&lt;=H26,1,0),""),"")</f>
        <v/>
      </c>
    </row>
    <row r="27" customFormat="false" ht="15" hidden="false" customHeight="false" outlineLevel="0" collapsed="false">
      <c r="K27" s="10"/>
      <c r="L27" s="11" t="n">
        <f aca="false">IFERROR(E27-F27,"")</f>
        <v>0</v>
      </c>
      <c r="M27" s="11" t="n">
        <f aca="false">IFERROR((J27-I27)*1440,"")</f>
        <v>0</v>
      </c>
      <c r="N27" s="11" t="str">
        <f aca="false">IF(K27="completed",IF(AND(J27&lt;&gt;"",H27&lt;&gt;""),IF(J27&lt;=H27,1,0),""),"")</f>
        <v/>
      </c>
    </row>
    <row r="28" customFormat="false" ht="15" hidden="false" customHeight="false" outlineLevel="0" collapsed="false">
      <c r="K28" s="10"/>
      <c r="L28" s="11" t="n">
        <f aca="false">IFERROR(E28-F28,"")</f>
        <v>0</v>
      </c>
      <c r="M28" s="11" t="n">
        <f aca="false">IFERROR((J28-I28)*1440,"")</f>
        <v>0</v>
      </c>
      <c r="N28" s="11" t="str">
        <f aca="false">IF(K28="completed",IF(AND(J28&lt;&gt;"",H28&lt;&gt;""),IF(J28&lt;=H28,1,0),""),"")</f>
        <v/>
      </c>
    </row>
    <row r="29" customFormat="false" ht="15" hidden="false" customHeight="false" outlineLevel="0" collapsed="false">
      <c r="K29" s="10"/>
      <c r="L29" s="11" t="n">
        <f aca="false">IFERROR(E29-F29,"")</f>
        <v>0</v>
      </c>
      <c r="M29" s="11" t="n">
        <f aca="false">IFERROR((J29-I29)*1440,"")</f>
        <v>0</v>
      </c>
      <c r="N29" s="11" t="str">
        <f aca="false">IF(K29="completed",IF(AND(J29&lt;&gt;"",H29&lt;&gt;""),IF(J29&lt;=H29,1,0),""),"")</f>
        <v/>
      </c>
    </row>
    <row r="30" customFormat="false" ht="15" hidden="false" customHeight="false" outlineLevel="0" collapsed="false">
      <c r="K30" s="10"/>
      <c r="L30" s="11" t="n">
        <f aca="false">IFERROR(E30-F30,"")</f>
        <v>0</v>
      </c>
      <c r="M30" s="11" t="n">
        <f aca="false">IFERROR((J30-I30)*1440,"")</f>
        <v>0</v>
      </c>
      <c r="N30" s="11" t="str">
        <f aca="false">IF(K30="completed",IF(AND(J30&lt;&gt;"",H30&lt;&gt;""),IF(J30&lt;=H30,1,0),""),"")</f>
        <v/>
      </c>
    </row>
    <row r="31" customFormat="false" ht="15" hidden="false" customHeight="false" outlineLevel="0" collapsed="false">
      <c r="K31" s="10"/>
      <c r="L31" s="11" t="n">
        <f aca="false">IFERROR(E31-F31,"")</f>
        <v>0</v>
      </c>
      <c r="M31" s="11" t="n">
        <f aca="false">IFERROR((J31-I31)*1440,"")</f>
        <v>0</v>
      </c>
      <c r="N31" s="11" t="str">
        <f aca="false">IF(K31="completed",IF(AND(J31&lt;&gt;"",H31&lt;&gt;""),IF(J31&lt;=H31,1,0),""),"")</f>
        <v/>
      </c>
    </row>
    <row r="32" customFormat="false" ht="15" hidden="false" customHeight="false" outlineLevel="0" collapsed="false">
      <c r="K32" s="10"/>
      <c r="L32" s="11" t="n">
        <f aca="false">IFERROR(E32-F32,"")</f>
        <v>0</v>
      </c>
      <c r="M32" s="11" t="n">
        <f aca="false">IFERROR((J32-I32)*1440,"")</f>
        <v>0</v>
      </c>
      <c r="N32" s="11" t="str">
        <f aca="false">IF(K32="completed",IF(AND(J32&lt;&gt;"",H32&lt;&gt;""),IF(J32&lt;=H32,1,0),""),"")</f>
        <v/>
      </c>
    </row>
    <row r="33" customFormat="false" ht="15" hidden="false" customHeight="false" outlineLevel="0" collapsed="false">
      <c r="K33" s="10"/>
      <c r="L33" s="11" t="n">
        <f aca="false">IFERROR(E33-F33,"")</f>
        <v>0</v>
      </c>
      <c r="M33" s="11" t="n">
        <f aca="false">IFERROR((J33-I33)*1440,"")</f>
        <v>0</v>
      </c>
      <c r="N33" s="11" t="str">
        <f aca="false">IF(K33="completed",IF(AND(J33&lt;&gt;"",H33&lt;&gt;""),IF(J33&lt;=H33,1,0),""),"")</f>
        <v/>
      </c>
    </row>
    <row r="34" customFormat="false" ht="15" hidden="false" customHeight="false" outlineLevel="0" collapsed="false">
      <c r="K34" s="10"/>
      <c r="L34" s="11" t="n">
        <f aca="false">IFERROR(E34-F34,"")</f>
        <v>0</v>
      </c>
      <c r="M34" s="11" t="n">
        <f aca="false">IFERROR((J34-I34)*1440,"")</f>
        <v>0</v>
      </c>
      <c r="N34" s="11" t="str">
        <f aca="false">IF(K34="completed",IF(AND(J34&lt;&gt;"",H34&lt;&gt;""),IF(J34&lt;=H34,1,0),""),"")</f>
        <v/>
      </c>
    </row>
    <row r="35" customFormat="false" ht="15" hidden="false" customHeight="false" outlineLevel="0" collapsed="false">
      <c r="K35" s="10"/>
      <c r="L35" s="11" t="n">
        <f aca="false">IFERROR(E35-F35,"")</f>
        <v>0</v>
      </c>
      <c r="M35" s="11" t="n">
        <f aca="false">IFERROR((J35-I35)*1440,"")</f>
        <v>0</v>
      </c>
      <c r="N35" s="11" t="str">
        <f aca="false">IF(K35="completed",IF(AND(J35&lt;&gt;"",H35&lt;&gt;""),IF(J35&lt;=H35,1,0),""),"")</f>
        <v/>
      </c>
    </row>
    <row r="36" customFormat="false" ht="15" hidden="false" customHeight="false" outlineLevel="0" collapsed="false">
      <c r="K36" s="10"/>
      <c r="L36" s="11" t="n">
        <f aca="false">IFERROR(E36-F36,"")</f>
        <v>0</v>
      </c>
      <c r="M36" s="11" t="n">
        <f aca="false">IFERROR((J36-I36)*1440,"")</f>
        <v>0</v>
      </c>
      <c r="N36" s="11" t="str">
        <f aca="false">IF(K36="completed",IF(AND(J36&lt;&gt;"",H36&lt;&gt;""),IF(J36&lt;=H36,1,0),""),"")</f>
        <v/>
      </c>
    </row>
    <row r="37" customFormat="false" ht="15" hidden="false" customHeight="false" outlineLevel="0" collapsed="false">
      <c r="K37" s="10"/>
      <c r="L37" s="11" t="n">
        <f aca="false">IFERROR(E37-F37,"")</f>
        <v>0</v>
      </c>
      <c r="M37" s="11" t="n">
        <f aca="false">IFERROR((J37-I37)*1440,"")</f>
        <v>0</v>
      </c>
      <c r="N37" s="11" t="str">
        <f aca="false">IF(K37="completed",IF(AND(J37&lt;&gt;"",H37&lt;&gt;""),IF(J37&lt;=H37,1,0),""),"")</f>
        <v/>
      </c>
    </row>
    <row r="38" customFormat="false" ht="15" hidden="false" customHeight="false" outlineLevel="0" collapsed="false">
      <c r="K38" s="10"/>
      <c r="L38" s="11" t="n">
        <f aca="false">IFERROR(E38-F38,"")</f>
        <v>0</v>
      </c>
      <c r="M38" s="11" t="n">
        <f aca="false">IFERROR((J38-I38)*1440,"")</f>
        <v>0</v>
      </c>
      <c r="N38" s="11" t="str">
        <f aca="false">IF(K38="completed",IF(AND(J38&lt;&gt;"",H38&lt;&gt;""),IF(J38&lt;=H38,1,0),""),"")</f>
        <v/>
      </c>
    </row>
    <row r="39" customFormat="false" ht="15" hidden="false" customHeight="false" outlineLevel="0" collapsed="false">
      <c r="K39" s="10"/>
      <c r="L39" s="11" t="n">
        <f aca="false">IFERROR(E39-F39,"")</f>
        <v>0</v>
      </c>
      <c r="M39" s="11" t="n">
        <f aca="false">IFERROR((J39-I39)*1440,"")</f>
        <v>0</v>
      </c>
      <c r="N39" s="11" t="str">
        <f aca="false">IF(K39="completed",IF(AND(J39&lt;&gt;"",H39&lt;&gt;""),IF(J39&lt;=H39,1,0),""),"")</f>
        <v/>
      </c>
    </row>
    <row r="40" customFormat="false" ht="15" hidden="false" customHeight="false" outlineLevel="0" collapsed="false">
      <c r="K40" s="10"/>
      <c r="L40" s="11" t="n">
        <f aca="false">IFERROR(E40-F40,"")</f>
        <v>0</v>
      </c>
      <c r="M40" s="11" t="n">
        <f aca="false">IFERROR((J40-I40)*1440,"")</f>
        <v>0</v>
      </c>
      <c r="N40" s="11" t="str">
        <f aca="false">IF(K40="completed",IF(AND(J40&lt;&gt;"",H40&lt;&gt;""),IF(J40&lt;=H40,1,0),""),"")</f>
        <v/>
      </c>
    </row>
    <row r="41" customFormat="false" ht="15" hidden="false" customHeight="false" outlineLevel="0" collapsed="false">
      <c r="K41" s="10"/>
      <c r="L41" s="11" t="n">
        <f aca="false">IFERROR(E41-F41,"")</f>
        <v>0</v>
      </c>
      <c r="M41" s="11" t="n">
        <f aca="false">IFERROR((J41-I41)*1440,"")</f>
        <v>0</v>
      </c>
      <c r="N41" s="11" t="str">
        <f aca="false">IF(K41="completed",IF(AND(J41&lt;&gt;"",H41&lt;&gt;""),IF(J41&lt;=H41,1,0),""),"")</f>
        <v/>
      </c>
    </row>
    <row r="42" customFormat="false" ht="15" hidden="false" customHeight="false" outlineLevel="0" collapsed="false">
      <c r="K42" s="10"/>
      <c r="L42" s="11" t="n">
        <f aca="false">IFERROR(E42-F42,"")</f>
        <v>0</v>
      </c>
      <c r="M42" s="11" t="n">
        <f aca="false">IFERROR((J42-I42)*1440,"")</f>
        <v>0</v>
      </c>
      <c r="N42" s="11" t="str">
        <f aca="false">IF(K42="completed",IF(AND(J42&lt;&gt;"",H42&lt;&gt;""),IF(J42&lt;=H42,1,0),""),"")</f>
        <v/>
      </c>
    </row>
    <row r="43" customFormat="false" ht="15" hidden="false" customHeight="false" outlineLevel="0" collapsed="false">
      <c r="K43" s="10"/>
      <c r="L43" s="11" t="n">
        <f aca="false">IFERROR(E43-F43,"")</f>
        <v>0</v>
      </c>
      <c r="M43" s="11" t="n">
        <f aca="false">IFERROR((J43-I43)*1440,"")</f>
        <v>0</v>
      </c>
      <c r="N43" s="11" t="str">
        <f aca="false">IF(K43="completed",IF(AND(J43&lt;&gt;"",H43&lt;&gt;""),IF(J43&lt;=H43,1,0),""),"")</f>
        <v/>
      </c>
    </row>
    <row r="44" customFormat="false" ht="15" hidden="false" customHeight="false" outlineLevel="0" collapsed="false">
      <c r="K44" s="10"/>
      <c r="L44" s="11" t="n">
        <f aca="false">IFERROR(E44-F44,"")</f>
        <v>0</v>
      </c>
      <c r="M44" s="11" t="n">
        <f aca="false">IFERROR((J44-I44)*1440,"")</f>
        <v>0</v>
      </c>
      <c r="N44" s="11" t="str">
        <f aca="false">IF(K44="completed",IF(AND(J44&lt;&gt;"",H44&lt;&gt;""),IF(J44&lt;=H44,1,0),""),"")</f>
        <v/>
      </c>
    </row>
    <row r="45" customFormat="false" ht="15" hidden="false" customHeight="false" outlineLevel="0" collapsed="false">
      <c r="K45" s="10"/>
      <c r="L45" s="11" t="n">
        <f aca="false">IFERROR(E45-F45,"")</f>
        <v>0</v>
      </c>
      <c r="M45" s="11" t="n">
        <f aca="false">IFERROR((J45-I45)*1440,"")</f>
        <v>0</v>
      </c>
      <c r="N45" s="11" t="str">
        <f aca="false">IF(K45="completed",IF(AND(J45&lt;&gt;"",H45&lt;&gt;""),IF(J45&lt;=H45,1,0),""),"")</f>
        <v/>
      </c>
    </row>
    <row r="46" customFormat="false" ht="15" hidden="false" customHeight="false" outlineLevel="0" collapsed="false">
      <c r="K46" s="10"/>
      <c r="L46" s="11" t="n">
        <f aca="false">IFERROR(E46-F46,"")</f>
        <v>0</v>
      </c>
      <c r="M46" s="11" t="n">
        <f aca="false">IFERROR((J46-I46)*1440,"")</f>
        <v>0</v>
      </c>
      <c r="N46" s="11" t="str">
        <f aca="false">IF(K46="completed",IF(AND(J46&lt;&gt;"",H46&lt;&gt;""),IF(J46&lt;=H46,1,0),""),"")</f>
        <v/>
      </c>
    </row>
    <row r="47" customFormat="false" ht="15" hidden="false" customHeight="false" outlineLevel="0" collapsed="false">
      <c r="K47" s="10"/>
      <c r="L47" s="11" t="n">
        <f aca="false">IFERROR(E47-F47,"")</f>
        <v>0</v>
      </c>
      <c r="M47" s="11" t="n">
        <f aca="false">IFERROR((J47-I47)*1440,"")</f>
        <v>0</v>
      </c>
      <c r="N47" s="11" t="str">
        <f aca="false">IF(K47="completed",IF(AND(J47&lt;&gt;"",H47&lt;&gt;""),IF(J47&lt;=H47,1,0),""),"")</f>
        <v/>
      </c>
    </row>
    <row r="48" customFormat="false" ht="15" hidden="false" customHeight="false" outlineLevel="0" collapsed="false">
      <c r="K48" s="10"/>
      <c r="L48" s="11" t="n">
        <f aca="false">IFERROR(E48-F48,"")</f>
        <v>0</v>
      </c>
      <c r="M48" s="11" t="n">
        <f aca="false">IFERROR((J48-I48)*1440,"")</f>
        <v>0</v>
      </c>
      <c r="N48" s="11" t="str">
        <f aca="false">IF(K48="completed",IF(AND(J48&lt;&gt;"",H48&lt;&gt;""),IF(J48&lt;=H48,1,0),""),"")</f>
        <v/>
      </c>
    </row>
    <row r="49" customFormat="false" ht="15" hidden="false" customHeight="false" outlineLevel="0" collapsed="false">
      <c r="K49" s="10"/>
      <c r="L49" s="11" t="n">
        <f aca="false">IFERROR(E49-F49,"")</f>
        <v>0</v>
      </c>
      <c r="M49" s="11" t="n">
        <f aca="false">IFERROR((J49-I49)*1440,"")</f>
        <v>0</v>
      </c>
      <c r="N49" s="11" t="str">
        <f aca="false">IF(K49="completed",IF(AND(J49&lt;&gt;"",H49&lt;&gt;""),IF(J49&lt;=H49,1,0),""),"")</f>
        <v/>
      </c>
    </row>
    <row r="50" customFormat="false" ht="15" hidden="false" customHeight="false" outlineLevel="0" collapsed="false">
      <c r="K50" s="10"/>
      <c r="L50" s="11" t="n">
        <f aca="false">IFERROR(E50-F50,"")</f>
        <v>0</v>
      </c>
      <c r="M50" s="11" t="n">
        <f aca="false">IFERROR((J50-I50)*1440,"")</f>
        <v>0</v>
      </c>
      <c r="N50" s="11" t="str">
        <f aca="false">IF(K50="completed",IF(AND(J50&lt;&gt;"",H50&lt;&gt;""),IF(J50&lt;=H50,1,0),""),"")</f>
        <v/>
      </c>
    </row>
    <row r="51" customFormat="false" ht="15" hidden="false" customHeight="false" outlineLevel="0" collapsed="false">
      <c r="K51" s="10"/>
      <c r="L51" s="11" t="n">
        <f aca="false">IFERROR(E51-F51,"")</f>
        <v>0</v>
      </c>
      <c r="M51" s="11" t="n">
        <f aca="false">IFERROR((J51-I51)*1440,"")</f>
        <v>0</v>
      </c>
      <c r="N51" s="11" t="str">
        <f aca="false">IF(K51="completed",IF(AND(J51&lt;&gt;"",H51&lt;&gt;""),IF(J51&lt;=H51,1,0),""),"")</f>
        <v/>
      </c>
    </row>
    <row r="52" customFormat="false" ht="15" hidden="false" customHeight="false" outlineLevel="0" collapsed="false">
      <c r="K52" s="10"/>
      <c r="L52" s="11" t="n">
        <f aca="false">IFERROR(E52-F52,"")</f>
        <v>0</v>
      </c>
      <c r="M52" s="11" t="n">
        <f aca="false">IFERROR((J52-I52)*1440,"")</f>
        <v>0</v>
      </c>
      <c r="N52" s="11" t="str">
        <f aca="false">IF(K52="completed",IF(AND(J52&lt;&gt;"",H52&lt;&gt;""),IF(J52&lt;=H52,1,0),""),"")</f>
        <v/>
      </c>
    </row>
    <row r="53" customFormat="false" ht="15" hidden="false" customHeight="false" outlineLevel="0" collapsed="false">
      <c r="K53" s="10"/>
      <c r="L53" s="11" t="n">
        <f aca="false">IFERROR(E53-F53,"")</f>
        <v>0</v>
      </c>
      <c r="M53" s="11" t="n">
        <f aca="false">IFERROR((J53-I53)*1440,"")</f>
        <v>0</v>
      </c>
      <c r="N53" s="11" t="str">
        <f aca="false">IF(K53="completed",IF(AND(J53&lt;&gt;"",H53&lt;&gt;""),IF(J53&lt;=H53,1,0),""),"")</f>
        <v/>
      </c>
    </row>
    <row r="54" customFormat="false" ht="15" hidden="false" customHeight="false" outlineLevel="0" collapsed="false">
      <c r="K54" s="10"/>
      <c r="L54" s="11" t="n">
        <f aca="false">IFERROR(E54-F54,"")</f>
        <v>0</v>
      </c>
      <c r="M54" s="11" t="n">
        <f aca="false">IFERROR((J54-I54)*1440,"")</f>
        <v>0</v>
      </c>
      <c r="N54" s="11" t="str">
        <f aca="false">IF(K54="completed",IF(AND(J54&lt;&gt;"",H54&lt;&gt;""),IF(J54&lt;=H54,1,0),""),"")</f>
        <v/>
      </c>
    </row>
    <row r="55" customFormat="false" ht="15" hidden="false" customHeight="false" outlineLevel="0" collapsed="false">
      <c r="K55" s="10"/>
      <c r="L55" s="11" t="n">
        <f aca="false">IFERROR(E55-F55,"")</f>
        <v>0</v>
      </c>
      <c r="M55" s="11" t="n">
        <f aca="false">IFERROR((J55-I55)*1440,"")</f>
        <v>0</v>
      </c>
      <c r="N55" s="11" t="str">
        <f aca="false">IF(K55="completed",IF(AND(J55&lt;&gt;"",H55&lt;&gt;""),IF(J55&lt;=H55,1,0),""),"")</f>
        <v/>
      </c>
    </row>
    <row r="56" customFormat="false" ht="15" hidden="false" customHeight="false" outlineLevel="0" collapsed="false">
      <c r="K56" s="10"/>
      <c r="L56" s="11" t="n">
        <f aca="false">IFERROR(E56-F56,"")</f>
        <v>0</v>
      </c>
      <c r="M56" s="11" t="n">
        <f aca="false">IFERROR((J56-I56)*1440,"")</f>
        <v>0</v>
      </c>
      <c r="N56" s="11" t="str">
        <f aca="false">IF(K56="completed",IF(AND(J56&lt;&gt;"",H56&lt;&gt;""),IF(J56&lt;=H56,1,0),""),"")</f>
        <v/>
      </c>
    </row>
    <row r="57" customFormat="false" ht="15" hidden="false" customHeight="false" outlineLevel="0" collapsed="false">
      <c r="K57" s="10"/>
      <c r="L57" s="11" t="n">
        <f aca="false">IFERROR(E57-F57,"")</f>
        <v>0</v>
      </c>
      <c r="M57" s="11" t="n">
        <f aca="false">IFERROR((J57-I57)*1440,"")</f>
        <v>0</v>
      </c>
      <c r="N57" s="11" t="str">
        <f aca="false">IF(K57="completed",IF(AND(J57&lt;&gt;"",H57&lt;&gt;""),IF(J57&lt;=H57,1,0),""),"")</f>
        <v/>
      </c>
    </row>
    <row r="58" customFormat="false" ht="15" hidden="false" customHeight="false" outlineLevel="0" collapsed="false">
      <c r="K58" s="10"/>
      <c r="L58" s="11" t="n">
        <f aca="false">IFERROR(E58-F58,"")</f>
        <v>0</v>
      </c>
      <c r="M58" s="11" t="n">
        <f aca="false">IFERROR((J58-I58)*1440,"")</f>
        <v>0</v>
      </c>
      <c r="N58" s="11" t="str">
        <f aca="false">IF(K58="completed",IF(AND(J58&lt;&gt;"",H58&lt;&gt;""),IF(J58&lt;=H58,1,0),""),"")</f>
        <v/>
      </c>
    </row>
    <row r="59" customFormat="false" ht="15" hidden="false" customHeight="false" outlineLevel="0" collapsed="false">
      <c r="K59" s="10"/>
      <c r="L59" s="11" t="n">
        <f aca="false">IFERROR(E59-F59,"")</f>
        <v>0</v>
      </c>
      <c r="M59" s="11" t="n">
        <f aca="false">IFERROR((J59-I59)*1440,"")</f>
        <v>0</v>
      </c>
      <c r="N59" s="11" t="str">
        <f aca="false">IF(K59="completed",IF(AND(J59&lt;&gt;"",H59&lt;&gt;""),IF(J59&lt;=H59,1,0),""),"")</f>
        <v/>
      </c>
    </row>
    <row r="60" customFormat="false" ht="15" hidden="false" customHeight="false" outlineLevel="0" collapsed="false">
      <c r="K60" s="10"/>
      <c r="L60" s="11" t="n">
        <f aca="false">IFERROR(E60-F60,"")</f>
        <v>0</v>
      </c>
      <c r="M60" s="11" t="n">
        <f aca="false">IFERROR((J60-I60)*1440,"")</f>
        <v>0</v>
      </c>
      <c r="N60" s="11" t="str">
        <f aca="false">IF(K60="completed",IF(AND(J60&lt;&gt;"",H60&lt;&gt;""),IF(J60&lt;=H60,1,0),""),"")</f>
        <v/>
      </c>
    </row>
  </sheetData>
  <dataValidations count="1">
    <dataValidation allowBlank="true" errorStyle="stop" operator="between" showDropDown="false" showErrorMessage="false" showInputMessage="false" sqref="K2:K60" type="list">
      <formula1>"planned,in_progress,completed,cancelled"</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2"/>
    <col collapsed="false" customWidth="true" hidden="false" outlineLevel="0" max="3" min="3" style="0" width="10"/>
    <col collapsed="false" customWidth="true" hidden="false" outlineLevel="0" max="4" min="4" style="0" width="34"/>
  </cols>
  <sheetData>
    <row r="1" customFormat="false" ht="15" hidden="false" customHeight="false" outlineLevel="0" collapsed="false">
      <c r="A1" s="7" t="s">
        <v>54</v>
      </c>
      <c r="B1" s="7" t="s">
        <v>85</v>
      </c>
      <c r="C1" s="7" t="s">
        <v>51</v>
      </c>
      <c r="D1" s="7" t="s">
        <v>67</v>
      </c>
    </row>
    <row r="2" customFormat="false" ht="15" hidden="false" customHeight="false" outlineLevel="0" collapsed="false">
      <c r="A2" s="8" t="s">
        <v>60</v>
      </c>
      <c r="B2" s="8" t="s">
        <v>86</v>
      </c>
      <c r="C2" s="8" t="n">
        <v>12</v>
      </c>
      <c r="D2" s="8" t="s">
        <v>87</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2"/>
    <col collapsed="false" customWidth="true" hidden="false" outlineLevel="0" max="11" min="3" style="0" width="14"/>
  </cols>
  <sheetData>
    <row r="1" customFormat="false" ht="23.85" hidden="false" customHeight="false" outlineLevel="0" collapsed="false">
      <c r="A1" s="7" t="s">
        <v>29</v>
      </c>
      <c r="B1" s="7" t="s">
        <v>18</v>
      </c>
      <c r="C1" s="7" t="s">
        <v>19</v>
      </c>
      <c r="D1" s="7" t="s">
        <v>88</v>
      </c>
      <c r="E1" s="7" t="s">
        <v>31</v>
      </c>
      <c r="F1" s="7" t="s">
        <v>89</v>
      </c>
      <c r="G1" s="7" t="s">
        <v>32</v>
      </c>
      <c r="H1" s="7" t="s">
        <v>90</v>
      </c>
      <c r="I1" s="7" t="s">
        <v>91</v>
      </c>
      <c r="J1" s="7" t="s">
        <v>92</v>
      </c>
      <c r="K1" s="7" t="s">
        <v>93</v>
      </c>
    </row>
    <row r="2" customFormat="false" ht="15" hidden="false" customHeight="false" outlineLevel="0" collapsed="false">
      <c r="A2" s="11" t="str">
        <f aca="false">IF(Products!A2="","",Products!A2)</f>
        <v>RM-STEEL-COIL</v>
      </c>
      <c r="B2" s="11" t="str">
        <f aca="false">IF(Products!A2="","",Products!B2)</f>
        <v>Steel Coil 2mm</v>
      </c>
      <c r="C2" s="11" t="str">
        <f aca="false">IF(Products!A2="","",Products!C2)</f>
        <v>raw_material</v>
      </c>
      <c r="D2" s="11" t="n">
        <f aca="false">IF(A2="","",SUMIFS(StockMovements!$E$2:$E$60,StockMovements!$B$2:$B$60,A2,StockMovements!$D$2:$D$60,"receipt")+SUMIFS(StockMovements!$E$2:$E$60,StockMovements!$B$2:$B$60,A2,StockMovements!$D$2:$D$60,"production_in")+SUMIFS(StockMovements!$E$2:$E$60,StockMovements!$B$2:$B$60,A2,StockMovements!$D$2:$D$60,"adjustment")-SUMIFS(StockMovements!$E$2:$E$60,StockMovements!$B$2:$B$60,A2,StockMovements!$D$2:$D$60,"issue")-SUMIFS(StockMovements!$E$2:$E$60,StockMovements!$B$2:$B$60,A2,StockMovements!$D$2:$D$60,"production_out")-SUMIFS(StockMovements!$E$2:$E$60,StockMovements!$B$2:$B$60,A2,StockMovements!$D$2:$D$60,"transfer")-SUMIFS(StockMovements!$E$2:$E$60,StockMovements!$B$2:$B$60,A2,StockMovements!$D$2:$D$60,"scrap"))</f>
        <v>2100</v>
      </c>
      <c r="E2" s="11" t="n">
        <f aca="false">IF(A2="","",Products!E2)</f>
        <v>65</v>
      </c>
      <c r="F2" s="11" t="n">
        <f aca="false">IF(A2="","",D2*E2)</f>
        <v>136500</v>
      </c>
      <c r="G2" s="11" t="n">
        <f aca="false">IF(A2="","",Products!F2)</f>
        <v>500</v>
      </c>
      <c r="H2" s="14" t="str">
        <f aca="false">IF(A2="","",IF(D2&lt;G2,"REORDER","OK"))</f>
        <v>OK</v>
      </c>
      <c r="I2" s="15" t="n">
        <f aca="false">IF(A2="","",IFERROR(_xlfn.MAXIFS(StockMovements!$A$2:$A$60,StockMovements!$B$2:$B$60,A2),0))</f>
        <v>46266.3333333333</v>
      </c>
      <c r="J2" s="11" t="n">
        <f aca="true">IF(OR(A2="",I2=0),"",TODAY()-I2)</f>
        <v>2.66666666666667</v>
      </c>
      <c r="K2" s="11" t="str">
        <f aca="false">IF(A2="","",IF(I2=0,"never moved",IF(J2&lt;=30,"0-30",IF(J2&lt;=60,"31-60",IF(J2&lt;=90,"61-90","90+")))))</f>
        <v>0-30</v>
      </c>
    </row>
    <row r="3" customFormat="false" ht="15" hidden="false" customHeight="false" outlineLevel="0" collapsed="false">
      <c r="A3" s="11" t="str">
        <f aca="false">IF(Products!A3="","",Products!A3)</f>
        <v>FG-BRACKET-A</v>
      </c>
      <c r="B3" s="11" t="str">
        <f aca="false">IF(Products!A3="","",Products!B3)</f>
        <v>Mounting Bracket A</v>
      </c>
      <c r="C3" s="11" t="str">
        <f aca="false">IF(Products!A3="","",Products!C3)</f>
        <v>finished_good</v>
      </c>
      <c r="D3" s="11" t="n">
        <f aca="false">IF(A3="","",SUMIFS(StockMovements!$E$2:$E$60,StockMovements!$B$2:$B$60,A3,StockMovements!$D$2:$D$60,"receipt")+SUMIFS(StockMovements!$E$2:$E$60,StockMovements!$B$2:$B$60,A3,StockMovements!$D$2:$D$60,"production_in")+SUMIFS(StockMovements!$E$2:$E$60,StockMovements!$B$2:$B$60,A3,StockMovements!$D$2:$D$60,"adjustment")-SUMIFS(StockMovements!$E$2:$E$60,StockMovements!$B$2:$B$60,A3,StockMovements!$D$2:$D$60,"issue")-SUMIFS(StockMovements!$E$2:$E$60,StockMovements!$B$2:$B$60,A3,StockMovements!$D$2:$D$60,"production_out")-SUMIFS(StockMovements!$E$2:$E$60,StockMovements!$B$2:$B$60,A3,StockMovements!$D$2:$D$60,"transfer")-SUMIFS(StockMovements!$E$2:$E$60,StockMovements!$B$2:$B$60,A3,StockMovements!$D$2:$D$60,"scrap"))</f>
        <v>470</v>
      </c>
      <c r="E3" s="11" t="n">
        <f aca="false">IF(A3="","",Products!E3)</f>
        <v>180</v>
      </c>
      <c r="F3" s="11" t="n">
        <f aca="false">IF(A3="","",D3*E3)</f>
        <v>84600</v>
      </c>
      <c r="G3" s="11" t="n">
        <f aca="false">IF(A3="","",Products!F3)</f>
        <v>200</v>
      </c>
      <c r="H3" s="14" t="str">
        <f aca="false">IF(A3="","",IF(D3&lt;G3,"REORDER","OK"))</f>
        <v>OK</v>
      </c>
      <c r="I3" s="15" t="n">
        <f aca="false">IF(A3="","",IFERROR(_xlfn.MAXIFS(StockMovements!$A$2:$A$60,StockMovements!$B$2:$B$60,A3),0))</f>
        <v>46266.5</v>
      </c>
      <c r="J3" s="11" t="n">
        <f aca="true">IF(OR(A3="",I3=0),"",TODAY()-I3)</f>
        <v>2.5</v>
      </c>
      <c r="K3" s="11" t="str">
        <f aca="false">IF(A3="","",IF(I3=0,"never moved",IF(J3&lt;=30,"0-30",IF(J3&lt;=60,"31-60",IF(J3&lt;=90,"61-90","90+")))))</f>
        <v>0-30</v>
      </c>
    </row>
    <row r="4" customFormat="false" ht="15" hidden="false" customHeight="false" outlineLevel="0" collapsed="false">
      <c r="A4" s="11" t="str">
        <f aca="false">IF(Products!A4="","",Products!A4)</f>
        <v/>
      </c>
      <c r="B4" s="11" t="str">
        <f aca="false">IF(Products!A4="","",Products!B4)</f>
        <v/>
      </c>
      <c r="C4" s="11" t="str">
        <f aca="false">IF(Products!A4="","",Products!C4)</f>
        <v/>
      </c>
      <c r="D4" s="11" t="str">
        <f aca="false">IF(A4="","",SUMIFS(StockMovements!$E$2:$E$60,StockMovements!$B$2:$B$60,A4,StockMovements!$D$2:$D$60,"receipt")+SUMIFS(StockMovements!$E$2:$E$60,StockMovements!$B$2:$B$60,A4,StockMovements!$D$2:$D$60,"production_in")+SUMIFS(StockMovements!$E$2:$E$60,StockMovements!$B$2:$B$60,A4,StockMovements!$D$2:$D$60,"adjustment")-SUMIFS(StockMovements!$E$2:$E$60,StockMovements!$B$2:$B$60,A4,StockMovements!$D$2:$D$60,"issue")-SUMIFS(StockMovements!$E$2:$E$60,StockMovements!$B$2:$B$60,A4,StockMovements!$D$2:$D$60,"production_out")-SUMIFS(StockMovements!$E$2:$E$60,StockMovements!$B$2:$B$60,A4,StockMovements!$D$2:$D$60,"transfer")-SUMIFS(StockMovements!$E$2:$E$60,StockMovements!$B$2:$B$60,A4,StockMovements!$D$2:$D$60,"scrap"))</f>
        <v/>
      </c>
      <c r="E4" s="11" t="str">
        <f aca="false">IF(A4="","",Products!E4)</f>
        <v/>
      </c>
      <c r="F4" s="11" t="str">
        <f aca="false">IF(A4="","",D4*E4)</f>
        <v/>
      </c>
      <c r="G4" s="11" t="str">
        <f aca="false">IF(A4="","",Products!F4)</f>
        <v/>
      </c>
      <c r="H4" s="14" t="str">
        <f aca="false">IF(A4="","",IF(D4&lt;G4,"REORDER","OK"))</f>
        <v/>
      </c>
      <c r="I4" s="15" t="str">
        <f aca="false">IF(A4="","",IFERROR(_xlfn.MAXIFS(StockMovements!$A$2:$A$60,StockMovements!$B$2:$B$60,A4),0))</f>
        <v/>
      </c>
      <c r="J4" s="11" t="str">
        <f aca="true">IF(OR(A4="",I4=0),"",TODAY()-I4)</f>
        <v/>
      </c>
      <c r="K4" s="11" t="str">
        <f aca="false">IF(A4="","",IF(I4=0,"never moved",IF(J4&lt;=30,"0-30",IF(J4&lt;=60,"31-60",IF(J4&lt;=90,"61-90","90+")))))</f>
        <v/>
      </c>
    </row>
    <row r="5" customFormat="false" ht="15" hidden="false" customHeight="false" outlineLevel="0" collapsed="false">
      <c r="A5" s="11" t="str">
        <f aca="false">IF(Products!A5="","",Products!A5)</f>
        <v/>
      </c>
      <c r="B5" s="11" t="str">
        <f aca="false">IF(Products!A5="","",Products!B5)</f>
        <v/>
      </c>
      <c r="C5" s="11" t="str">
        <f aca="false">IF(Products!A5="","",Products!C5)</f>
        <v/>
      </c>
      <c r="D5" s="11" t="str">
        <f aca="false">IF(A5="","",SUMIFS(StockMovements!$E$2:$E$60,StockMovements!$B$2:$B$60,A5,StockMovements!$D$2:$D$60,"receipt")+SUMIFS(StockMovements!$E$2:$E$60,StockMovements!$B$2:$B$60,A5,StockMovements!$D$2:$D$60,"production_in")+SUMIFS(StockMovements!$E$2:$E$60,StockMovements!$B$2:$B$60,A5,StockMovements!$D$2:$D$60,"adjustment")-SUMIFS(StockMovements!$E$2:$E$60,StockMovements!$B$2:$B$60,A5,StockMovements!$D$2:$D$60,"issue")-SUMIFS(StockMovements!$E$2:$E$60,StockMovements!$B$2:$B$60,A5,StockMovements!$D$2:$D$60,"production_out")-SUMIFS(StockMovements!$E$2:$E$60,StockMovements!$B$2:$B$60,A5,StockMovements!$D$2:$D$60,"transfer")-SUMIFS(StockMovements!$E$2:$E$60,StockMovements!$B$2:$B$60,A5,StockMovements!$D$2:$D$60,"scrap"))</f>
        <v/>
      </c>
      <c r="E5" s="11" t="str">
        <f aca="false">IF(A5="","",Products!E5)</f>
        <v/>
      </c>
      <c r="F5" s="11" t="str">
        <f aca="false">IF(A5="","",D5*E5)</f>
        <v/>
      </c>
      <c r="G5" s="11" t="str">
        <f aca="false">IF(A5="","",Products!F5)</f>
        <v/>
      </c>
      <c r="H5" s="14" t="str">
        <f aca="false">IF(A5="","",IF(D5&lt;G5,"REORDER","OK"))</f>
        <v/>
      </c>
      <c r="I5" s="15" t="str">
        <f aca="false">IF(A5="","",IFERROR(_xlfn.MAXIFS(StockMovements!$A$2:$A$60,StockMovements!$B$2:$B$60,A5),0))</f>
        <v/>
      </c>
      <c r="J5" s="11" t="str">
        <f aca="true">IF(OR(A5="",I5=0),"",TODAY()-I5)</f>
        <v/>
      </c>
      <c r="K5" s="11" t="str">
        <f aca="false">IF(A5="","",IF(I5=0,"never moved",IF(J5&lt;=30,"0-30",IF(J5&lt;=60,"31-60",IF(J5&lt;=90,"61-90","90+")))))</f>
        <v/>
      </c>
    </row>
    <row r="6" customFormat="false" ht="15" hidden="false" customHeight="false" outlineLevel="0" collapsed="false">
      <c r="A6" s="11" t="str">
        <f aca="false">IF(Products!A6="","",Products!A6)</f>
        <v/>
      </c>
      <c r="B6" s="11" t="str">
        <f aca="false">IF(Products!A6="","",Products!B6)</f>
        <v/>
      </c>
      <c r="C6" s="11" t="str">
        <f aca="false">IF(Products!A6="","",Products!C6)</f>
        <v/>
      </c>
      <c r="D6" s="11" t="str">
        <f aca="false">IF(A6="","",SUMIFS(StockMovements!$E$2:$E$60,StockMovements!$B$2:$B$60,A6,StockMovements!$D$2:$D$60,"receipt")+SUMIFS(StockMovements!$E$2:$E$60,StockMovements!$B$2:$B$60,A6,StockMovements!$D$2:$D$60,"production_in")+SUMIFS(StockMovements!$E$2:$E$60,StockMovements!$B$2:$B$60,A6,StockMovements!$D$2:$D$60,"adjustment")-SUMIFS(StockMovements!$E$2:$E$60,StockMovements!$B$2:$B$60,A6,StockMovements!$D$2:$D$60,"issue")-SUMIFS(StockMovements!$E$2:$E$60,StockMovements!$B$2:$B$60,A6,StockMovements!$D$2:$D$60,"production_out")-SUMIFS(StockMovements!$E$2:$E$60,StockMovements!$B$2:$B$60,A6,StockMovements!$D$2:$D$60,"transfer")-SUMIFS(StockMovements!$E$2:$E$60,StockMovements!$B$2:$B$60,A6,StockMovements!$D$2:$D$60,"scrap"))</f>
        <v/>
      </c>
      <c r="E6" s="11" t="str">
        <f aca="false">IF(A6="","",Products!E6)</f>
        <v/>
      </c>
      <c r="F6" s="11" t="str">
        <f aca="false">IF(A6="","",D6*E6)</f>
        <v/>
      </c>
      <c r="G6" s="11" t="str">
        <f aca="false">IF(A6="","",Products!F6)</f>
        <v/>
      </c>
      <c r="H6" s="14" t="str">
        <f aca="false">IF(A6="","",IF(D6&lt;G6,"REORDER","OK"))</f>
        <v/>
      </c>
      <c r="I6" s="15" t="str">
        <f aca="false">IF(A6="","",IFERROR(_xlfn.MAXIFS(StockMovements!$A$2:$A$60,StockMovements!$B$2:$B$60,A6),0))</f>
        <v/>
      </c>
      <c r="J6" s="11" t="str">
        <f aca="true">IF(OR(A6="",I6=0),"",TODAY()-I6)</f>
        <v/>
      </c>
      <c r="K6" s="11" t="str">
        <f aca="false">IF(A6="","",IF(I6=0,"never moved",IF(J6&lt;=30,"0-30",IF(J6&lt;=60,"31-60",IF(J6&lt;=90,"61-90","90+")))))</f>
        <v/>
      </c>
    </row>
    <row r="7" customFormat="false" ht="15" hidden="false" customHeight="false" outlineLevel="0" collapsed="false">
      <c r="A7" s="11" t="str">
        <f aca="false">IF(Products!A7="","",Products!A7)</f>
        <v/>
      </c>
      <c r="B7" s="11" t="str">
        <f aca="false">IF(Products!A7="","",Products!B7)</f>
        <v/>
      </c>
      <c r="C7" s="11" t="str">
        <f aca="false">IF(Products!A7="","",Products!C7)</f>
        <v/>
      </c>
      <c r="D7" s="11" t="str">
        <f aca="false">IF(A7="","",SUMIFS(StockMovements!$E$2:$E$60,StockMovements!$B$2:$B$60,A7,StockMovements!$D$2:$D$60,"receipt")+SUMIFS(StockMovements!$E$2:$E$60,StockMovements!$B$2:$B$60,A7,StockMovements!$D$2:$D$60,"production_in")+SUMIFS(StockMovements!$E$2:$E$60,StockMovements!$B$2:$B$60,A7,StockMovements!$D$2:$D$60,"adjustment")-SUMIFS(StockMovements!$E$2:$E$60,StockMovements!$B$2:$B$60,A7,StockMovements!$D$2:$D$60,"issue")-SUMIFS(StockMovements!$E$2:$E$60,StockMovements!$B$2:$B$60,A7,StockMovements!$D$2:$D$60,"production_out")-SUMIFS(StockMovements!$E$2:$E$60,StockMovements!$B$2:$B$60,A7,StockMovements!$D$2:$D$60,"transfer")-SUMIFS(StockMovements!$E$2:$E$60,StockMovements!$B$2:$B$60,A7,StockMovements!$D$2:$D$60,"scrap"))</f>
        <v/>
      </c>
      <c r="E7" s="11" t="str">
        <f aca="false">IF(A7="","",Products!E7)</f>
        <v/>
      </c>
      <c r="F7" s="11" t="str">
        <f aca="false">IF(A7="","",D7*E7)</f>
        <v/>
      </c>
      <c r="G7" s="11" t="str">
        <f aca="false">IF(A7="","",Products!F7)</f>
        <v/>
      </c>
      <c r="H7" s="14" t="str">
        <f aca="false">IF(A7="","",IF(D7&lt;G7,"REORDER","OK"))</f>
        <v/>
      </c>
      <c r="I7" s="15" t="str">
        <f aca="false">IF(A7="","",IFERROR(_xlfn.MAXIFS(StockMovements!$A$2:$A$60,StockMovements!$B$2:$B$60,A7),0))</f>
        <v/>
      </c>
      <c r="J7" s="11" t="str">
        <f aca="true">IF(OR(A7="",I7=0),"",TODAY()-I7)</f>
        <v/>
      </c>
      <c r="K7" s="11" t="str">
        <f aca="false">IF(A7="","",IF(I7=0,"never moved",IF(J7&lt;=30,"0-30",IF(J7&lt;=60,"31-60",IF(J7&lt;=90,"61-90","90+")))))</f>
        <v/>
      </c>
    </row>
    <row r="8" customFormat="false" ht="15" hidden="false" customHeight="false" outlineLevel="0" collapsed="false">
      <c r="A8" s="11" t="str">
        <f aca="false">IF(Products!A8="","",Products!A8)</f>
        <v/>
      </c>
      <c r="B8" s="11" t="str">
        <f aca="false">IF(Products!A8="","",Products!B8)</f>
        <v/>
      </c>
      <c r="C8" s="11" t="str">
        <f aca="false">IF(Products!A8="","",Products!C8)</f>
        <v/>
      </c>
      <c r="D8" s="11" t="str">
        <f aca="false">IF(A8="","",SUMIFS(StockMovements!$E$2:$E$60,StockMovements!$B$2:$B$60,A8,StockMovements!$D$2:$D$60,"receipt")+SUMIFS(StockMovements!$E$2:$E$60,StockMovements!$B$2:$B$60,A8,StockMovements!$D$2:$D$60,"production_in")+SUMIFS(StockMovements!$E$2:$E$60,StockMovements!$B$2:$B$60,A8,StockMovements!$D$2:$D$60,"adjustment")-SUMIFS(StockMovements!$E$2:$E$60,StockMovements!$B$2:$B$60,A8,StockMovements!$D$2:$D$60,"issue")-SUMIFS(StockMovements!$E$2:$E$60,StockMovements!$B$2:$B$60,A8,StockMovements!$D$2:$D$60,"production_out")-SUMIFS(StockMovements!$E$2:$E$60,StockMovements!$B$2:$B$60,A8,StockMovements!$D$2:$D$60,"transfer")-SUMIFS(StockMovements!$E$2:$E$60,StockMovements!$B$2:$B$60,A8,StockMovements!$D$2:$D$60,"scrap"))</f>
        <v/>
      </c>
      <c r="E8" s="11" t="str">
        <f aca="false">IF(A8="","",Products!E8)</f>
        <v/>
      </c>
      <c r="F8" s="11" t="str">
        <f aca="false">IF(A8="","",D8*E8)</f>
        <v/>
      </c>
      <c r="G8" s="11" t="str">
        <f aca="false">IF(A8="","",Products!F8)</f>
        <v/>
      </c>
      <c r="H8" s="14" t="str">
        <f aca="false">IF(A8="","",IF(D8&lt;G8,"REORDER","OK"))</f>
        <v/>
      </c>
      <c r="I8" s="15" t="str">
        <f aca="false">IF(A8="","",IFERROR(_xlfn.MAXIFS(StockMovements!$A$2:$A$60,StockMovements!$B$2:$B$60,A8),0))</f>
        <v/>
      </c>
      <c r="J8" s="11" t="str">
        <f aca="true">IF(OR(A8="",I8=0),"",TODAY()-I8)</f>
        <v/>
      </c>
      <c r="K8" s="11" t="str">
        <f aca="false">IF(A8="","",IF(I8=0,"never moved",IF(J8&lt;=30,"0-30",IF(J8&lt;=60,"31-60",IF(J8&lt;=90,"61-90","90+")))))</f>
        <v/>
      </c>
    </row>
    <row r="9" customFormat="false" ht="15" hidden="false" customHeight="false" outlineLevel="0" collapsed="false">
      <c r="A9" s="11" t="str">
        <f aca="false">IF(Products!A9="","",Products!A9)</f>
        <v/>
      </c>
      <c r="B9" s="11" t="str">
        <f aca="false">IF(Products!A9="","",Products!B9)</f>
        <v/>
      </c>
      <c r="C9" s="11" t="str">
        <f aca="false">IF(Products!A9="","",Products!C9)</f>
        <v/>
      </c>
      <c r="D9" s="11" t="str">
        <f aca="false">IF(A9="","",SUMIFS(StockMovements!$E$2:$E$60,StockMovements!$B$2:$B$60,A9,StockMovements!$D$2:$D$60,"receipt")+SUMIFS(StockMovements!$E$2:$E$60,StockMovements!$B$2:$B$60,A9,StockMovements!$D$2:$D$60,"production_in")+SUMIFS(StockMovements!$E$2:$E$60,StockMovements!$B$2:$B$60,A9,StockMovements!$D$2:$D$60,"adjustment")-SUMIFS(StockMovements!$E$2:$E$60,StockMovements!$B$2:$B$60,A9,StockMovements!$D$2:$D$60,"issue")-SUMIFS(StockMovements!$E$2:$E$60,StockMovements!$B$2:$B$60,A9,StockMovements!$D$2:$D$60,"production_out")-SUMIFS(StockMovements!$E$2:$E$60,StockMovements!$B$2:$B$60,A9,StockMovements!$D$2:$D$60,"transfer")-SUMIFS(StockMovements!$E$2:$E$60,StockMovements!$B$2:$B$60,A9,StockMovements!$D$2:$D$60,"scrap"))</f>
        <v/>
      </c>
      <c r="E9" s="11" t="str">
        <f aca="false">IF(A9="","",Products!E9)</f>
        <v/>
      </c>
      <c r="F9" s="11" t="str">
        <f aca="false">IF(A9="","",D9*E9)</f>
        <v/>
      </c>
      <c r="G9" s="11" t="str">
        <f aca="false">IF(A9="","",Products!F9)</f>
        <v/>
      </c>
      <c r="H9" s="14" t="str">
        <f aca="false">IF(A9="","",IF(D9&lt;G9,"REORDER","OK"))</f>
        <v/>
      </c>
      <c r="I9" s="15" t="str">
        <f aca="false">IF(A9="","",IFERROR(_xlfn.MAXIFS(StockMovements!$A$2:$A$60,StockMovements!$B$2:$B$60,A9),0))</f>
        <v/>
      </c>
      <c r="J9" s="11" t="str">
        <f aca="true">IF(OR(A9="",I9=0),"",TODAY()-I9)</f>
        <v/>
      </c>
      <c r="K9" s="11" t="str">
        <f aca="false">IF(A9="","",IF(I9=0,"never moved",IF(J9&lt;=30,"0-30",IF(J9&lt;=60,"31-60",IF(J9&lt;=90,"61-90","90+")))))</f>
        <v/>
      </c>
    </row>
    <row r="10" customFormat="false" ht="15" hidden="false" customHeight="false" outlineLevel="0" collapsed="false">
      <c r="A10" s="11" t="str">
        <f aca="false">IF(Products!A10="","",Products!A10)</f>
        <v/>
      </c>
      <c r="B10" s="11" t="str">
        <f aca="false">IF(Products!A10="","",Products!B10)</f>
        <v/>
      </c>
      <c r="C10" s="11" t="str">
        <f aca="false">IF(Products!A10="","",Products!C10)</f>
        <v/>
      </c>
      <c r="D10" s="11" t="str">
        <f aca="false">IF(A10="","",SUMIFS(StockMovements!$E$2:$E$60,StockMovements!$B$2:$B$60,A10,StockMovements!$D$2:$D$60,"receipt")+SUMIFS(StockMovements!$E$2:$E$60,StockMovements!$B$2:$B$60,A10,StockMovements!$D$2:$D$60,"production_in")+SUMIFS(StockMovements!$E$2:$E$60,StockMovements!$B$2:$B$60,A10,StockMovements!$D$2:$D$60,"adjustment")-SUMIFS(StockMovements!$E$2:$E$60,StockMovements!$B$2:$B$60,A10,StockMovements!$D$2:$D$60,"issue")-SUMIFS(StockMovements!$E$2:$E$60,StockMovements!$B$2:$B$60,A10,StockMovements!$D$2:$D$60,"production_out")-SUMIFS(StockMovements!$E$2:$E$60,StockMovements!$B$2:$B$60,A10,StockMovements!$D$2:$D$60,"transfer")-SUMIFS(StockMovements!$E$2:$E$60,StockMovements!$B$2:$B$60,A10,StockMovements!$D$2:$D$60,"scrap"))</f>
        <v/>
      </c>
      <c r="E10" s="11" t="str">
        <f aca="false">IF(A10="","",Products!E10)</f>
        <v/>
      </c>
      <c r="F10" s="11" t="str">
        <f aca="false">IF(A10="","",D10*E10)</f>
        <v/>
      </c>
      <c r="G10" s="11" t="str">
        <f aca="false">IF(A10="","",Products!F10)</f>
        <v/>
      </c>
      <c r="H10" s="14" t="str">
        <f aca="false">IF(A10="","",IF(D10&lt;G10,"REORDER","OK"))</f>
        <v/>
      </c>
      <c r="I10" s="15" t="str">
        <f aca="false">IF(A10="","",IFERROR(_xlfn.MAXIFS(StockMovements!$A$2:$A$60,StockMovements!$B$2:$B$60,A10),0))</f>
        <v/>
      </c>
      <c r="J10" s="11" t="str">
        <f aca="true">IF(OR(A10="",I10=0),"",TODAY()-I10)</f>
        <v/>
      </c>
      <c r="K10" s="11" t="str">
        <f aca="false">IF(A10="","",IF(I10=0,"never moved",IF(J10&lt;=30,"0-30",IF(J10&lt;=60,"31-60",IF(J10&lt;=90,"61-90","90+")))))</f>
        <v/>
      </c>
    </row>
    <row r="11" customFormat="false" ht="15" hidden="false" customHeight="false" outlineLevel="0" collapsed="false">
      <c r="A11" s="11" t="str">
        <f aca="false">IF(Products!A11="","",Products!A11)</f>
        <v/>
      </c>
      <c r="B11" s="11" t="str">
        <f aca="false">IF(Products!A11="","",Products!B11)</f>
        <v/>
      </c>
      <c r="C11" s="11" t="str">
        <f aca="false">IF(Products!A11="","",Products!C11)</f>
        <v/>
      </c>
      <c r="D11" s="11" t="str">
        <f aca="false">IF(A11="","",SUMIFS(StockMovements!$E$2:$E$60,StockMovements!$B$2:$B$60,A11,StockMovements!$D$2:$D$60,"receipt")+SUMIFS(StockMovements!$E$2:$E$60,StockMovements!$B$2:$B$60,A11,StockMovements!$D$2:$D$60,"production_in")+SUMIFS(StockMovements!$E$2:$E$60,StockMovements!$B$2:$B$60,A11,StockMovements!$D$2:$D$60,"adjustment")-SUMIFS(StockMovements!$E$2:$E$60,StockMovements!$B$2:$B$60,A11,StockMovements!$D$2:$D$60,"issue")-SUMIFS(StockMovements!$E$2:$E$60,StockMovements!$B$2:$B$60,A11,StockMovements!$D$2:$D$60,"production_out")-SUMIFS(StockMovements!$E$2:$E$60,StockMovements!$B$2:$B$60,A11,StockMovements!$D$2:$D$60,"transfer")-SUMIFS(StockMovements!$E$2:$E$60,StockMovements!$B$2:$B$60,A11,StockMovements!$D$2:$D$60,"scrap"))</f>
        <v/>
      </c>
      <c r="E11" s="11" t="str">
        <f aca="false">IF(A11="","",Products!E11)</f>
        <v/>
      </c>
      <c r="F11" s="11" t="str">
        <f aca="false">IF(A11="","",D11*E11)</f>
        <v/>
      </c>
      <c r="G11" s="11" t="str">
        <f aca="false">IF(A11="","",Products!F11)</f>
        <v/>
      </c>
      <c r="H11" s="14" t="str">
        <f aca="false">IF(A11="","",IF(D11&lt;G11,"REORDER","OK"))</f>
        <v/>
      </c>
      <c r="I11" s="15" t="str">
        <f aca="false">IF(A11="","",IFERROR(_xlfn.MAXIFS(StockMovements!$A$2:$A$60,StockMovements!$B$2:$B$60,A11),0))</f>
        <v/>
      </c>
      <c r="J11" s="11" t="str">
        <f aca="true">IF(OR(A11="",I11=0),"",TODAY()-I11)</f>
        <v/>
      </c>
      <c r="K11" s="11" t="str">
        <f aca="false">IF(A11="","",IF(I11=0,"never moved",IF(J11&lt;=30,"0-30",IF(J11&lt;=60,"31-60",IF(J11&lt;=90,"61-90","90+")))))</f>
        <v/>
      </c>
    </row>
    <row r="12" customFormat="false" ht="15" hidden="false" customHeight="false" outlineLevel="0" collapsed="false">
      <c r="A12" s="11" t="str">
        <f aca="false">IF(Products!A12="","",Products!A12)</f>
        <v/>
      </c>
      <c r="B12" s="11" t="str">
        <f aca="false">IF(Products!A12="","",Products!B12)</f>
        <v/>
      </c>
      <c r="C12" s="11" t="str">
        <f aca="false">IF(Products!A12="","",Products!C12)</f>
        <v/>
      </c>
      <c r="D12" s="11" t="str">
        <f aca="false">IF(A12="","",SUMIFS(StockMovements!$E$2:$E$60,StockMovements!$B$2:$B$60,A12,StockMovements!$D$2:$D$60,"receipt")+SUMIFS(StockMovements!$E$2:$E$60,StockMovements!$B$2:$B$60,A12,StockMovements!$D$2:$D$60,"production_in")+SUMIFS(StockMovements!$E$2:$E$60,StockMovements!$B$2:$B$60,A12,StockMovements!$D$2:$D$60,"adjustment")-SUMIFS(StockMovements!$E$2:$E$60,StockMovements!$B$2:$B$60,A12,StockMovements!$D$2:$D$60,"issue")-SUMIFS(StockMovements!$E$2:$E$60,StockMovements!$B$2:$B$60,A12,StockMovements!$D$2:$D$60,"production_out")-SUMIFS(StockMovements!$E$2:$E$60,StockMovements!$B$2:$B$60,A12,StockMovements!$D$2:$D$60,"transfer")-SUMIFS(StockMovements!$E$2:$E$60,StockMovements!$B$2:$B$60,A12,StockMovements!$D$2:$D$60,"scrap"))</f>
        <v/>
      </c>
      <c r="E12" s="11" t="str">
        <f aca="false">IF(A12="","",Products!E12)</f>
        <v/>
      </c>
      <c r="F12" s="11" t="str">
        <f aca="false">IF(A12="","",D12*E12)</f>
        <v/>
      </c>
      <c r="G12" s="11" t="str">
        <f aca="false">IF(A12="","",Products!F12)</f>
        <v/>
      </c>
      <c r="H12" s="14" t="str">
        <f aca="false">IF(A12="","",IF(D12&lt;G12,"REORDER","OK"))</f>
        <v/>
      </c>
      <c r="I12" s="15" t="str">
        <f aca="false">IF(A12="","",IFERROR(_xlfn.MAXIFS(StockMovements!$A$2:$A$60,StockMovements!$B$2:$B$60,A12),0))</f>
        <v/>
      </c>
      <c r="J12" s="11" t="str">
        <f aca="true">IF(OR(A12="",I12=0),"",TODAY()-I12)</f>
        <v/>
      </c>
      <c r="K12" s="11" t="str">
        <f aca="false">IF(A12="","",IF(I12=0,"never moved",IF(J12&lt;=30,"0-30",IF(J12&lt;=60,"31-60",IF(J12&lt;=90,"61-90","90+")))))</f>
        <v/>
      </c>
    </row>
    <row r="13" customFormat="false" ht="15" hidden="false" customHeight="false" outlineLevel="0" collapsed="false">
      <c r="A13" s="11" t="str">
        <f aca="false">IF(Products!A13="","",Products!A13)</f>
        <v/>
      </c>
      <c r="B13" s="11" t="str">
        <f aca="false">IF(Products!A13="","",Products!B13)</f>
        <v/>
      </c>
      <c r="C13" s="11" t="str">
        <f aca="false">IF(Products!A13="","",Products!C13)</f>
        <v/>
      </c>
      <c r="D13" s="11" t="str">
        <f aca="false">IF(A13="","",SUMIFS(StockMovements!$E$2:$E$60,StockMovements!$B$2:$B$60,A13,StockMovements!$D$2:$D$60,"receipt")+SUMIFS(StockMovements!$E$2:$E$60,StockMovements!$B$2:$B$60,A13,StockMovements!$D$2:$D$60,"production_in")+SUMIFS(StockMovements!$E$2:$E$60,StockMovements!$B$2:$B$60,A13,StockMovements!$D$2:$D$60,"adjustment")-SUMIFS(StockMovements!$E$2:$E$60,StockMovements!$B$2:$B$60,A13,StockMovements!$D$2:$D$60,"issue")-SUMIFS(StockMovements!$E$2:$E$60,StockMovements!$B$2:$B$60,A13,StockMovements!$D$2:$D$60,"production_out")-SUMIFS(StockMovements!$E$2:$E$60,StockMovements!$B$2:$B$60,A13,StockMovements!$D$2:$D$60,"transfer")-SUMIFS(StockMovements!$E$2:$E$60,StockMovements!$B$2:$B$60,A13,StockMovements!$D$2:$D$60,"scrap"))</f>
        <v/>
      </c>
      <c r="E13" s="11" t="str">
        <f aca="false">IF(A13="","",Products!E13)</f>
        <v/>
      </c>
      <c r="F13" s="11" t="str">
        <f aca="false">IF(A13="","",D13*E13)</f>
        <v/>
      </c>
      <c r="G13" s="11" t="str">
        <f aca="false">IF(A13="","",Products!F13)</f>
        <v/>
      </c>
      <c r="H13" s="14" t="str">
        <f aca="false">IF(A13="","",IF(D13&lt;G13,"REORDER","OK"))</f>
        <v/>
      </c>
      <c r="I13" s="15" t="str">
        <f aca="false">IF(A13="","",IFERROR(_xlfn.MAXIFS(StockMovements!$A$2:$A$60,StockMovements!$B$2:$B$60,A13),0))</f>
        <v/>
      </c>
      <c r="J13" s="11" t="str">
        <f aca="true">IF(OR(A13="",I13=0),"",TODAY()-I13)</f>
        <v/>
      </c>
      <c r="K13" s="11" t="str">
        <f aca="false">IF(A13="","",IF(I13=0,"never moved",IF(J13&lt;=30,"0-30",IF(J13&lt;=60,"31-60",IF(J13&lt;=90,"61-90","90+")))))</f>
        <v/>
      </c>
    </row>
    <row r="14" customFormat="false" ht="15" hidden="false" customHeight="false" outlineLevel="0" collapsed="false">
      <c r="A14" s="11" t="str">
        <f aca="false">IF(Products!A14="","",Products!A14)</f>
        <v/>
      </c>
      <c r="B14" s="11" t="str">
        <f aca="false">IF(Products!A14="","",Products!B14)</f>
        <v/>
      </c>
      <c r="C14" s="11" t="str">
        <f aca="false">IF(Products!A14="","",Products!C14)</f>
        <v/>
      </c>
      <c r="D14" s="11" t="str">
        <f aca="false">IF(A14="","",SUMIFS(StockMovements!$E$2:$E$60,StockMovements!$B$2:$B$60,A14,StockMovements!$D$2:$D$60,"receipt")+SUMIFS(StockMovements!$E$2:$E$60,StockMovements!$B$2:$B$60,A14,StockMovements!$D$2:$D$60,"production_in")+SUMIFS(StockMovements!$E$2:$E$60,StockMovements!$B$2:$B$60,A14,StockMovements!$D$2:$D$60,"adjustment")-SUMIFS(StockMovements!$E$2:$E$60,StockMovements!$B$2:$B$60,A14,StockMovements!$D$2:$D$60,"issue")-SUMIFS(StockMovements!$E$2:$E$60,StockMovements!$B$2:$B$60,A14,StockMovements!$D$2:$D$60,"production_out")-SUMIFS(StockMovements!$E$2:$E$60,StockMovements!$B$2:$B$60,A14,StockMovements!$D$2:$D$60,"transfer")-SUMIFS(StockMovements!$E$2:$E$60,StockMovements!$B$2:$B$60,A14,StockMovements!$D$2:$D$60,"scrap"))</f>
        <v/>
      </c>
      <c r="E14" s="11" t="str">
        <f aca="false">IF(A14="","",Products!E14)</f>
        <v/>
      </c>
      <c r="F14" s="11" t="str">
        <f aca="false">IF(A14="","",D14*E14)</f>
        <v/>
      </c>
      <c r="G14" s="11" t="str">
        <f aca="false">IF(A14="","",Products!F14)</f>
        <v/>
      </c>
      <c r="H14" s="14" t="str">
        <f aca="false">IF(A14="","",IF(D14&lt;G14,"REORDER","OK"))</f>
        <v/>
      </c>
      <c r="I14" s="15" t="str">
        <f aca="false">IF(A14="","",IFERROR(_xlfn.MAXIFS(StockMovements!$A$2:$A$60,StockMovements!$B$2:$B$60,A14),0))</f>
        <v/>
      </c>
      <c r="J14" s="11" t="str">
        <f aca="true">IF(OR(A14="",I14=0),"",TODAY()-I14)</f>
        <v/>
      </c>
      <c r="K14" s="11" t="str">
        <f aca="false">IF(A14="","",IF(I14=0,"never moved",IF(J14&lt;=30,"0-30",IF(J14&lt;=60,"31-60",IF(J14&lt;=90,"61-90","90+")))))</f>
        <v/>
      </c>
    </row>
    <row r="15" customFormat="false" ht="15" hidden="false" customHeight="false" outlineLevel="0" collapsed="false">
      <c r="A15" s="11" t="str">
        <f aca="false">IF(Products!A15="","",Products!A15)</f>
        <v/>
      </c>
      <c r="B15" s="11" t="str">
        <f aca="false">IF(Products!A15="","",Products!B15)</f>
        <v/>
      </c>
      <c r="C15" s="11" t="str">
        <f aca="false">IF(Products!A15="","",Products!C15)</f>
        <v/>
      </c>
      <c r="D15" s="11" t="str">
        <f aca="false">IF(A15="","",SUMIFS(StockMovements!$E$2:$E$60,StockMovements!$B$2:$B$60,A15,StockMovements!$D$2:$D$60,"receipt")+SUMIFS(StockMovements!$E$2:$E$60,StockMovements!$B$2:$B$60,A15,StockMovements!$D$2:$D$60,"production_in")+SUMIFS(StockMovements!$E$2:$E$60,StockMovements!$B$2:$B$60,A15,StockMovements!$D$2:$D$60,"adjustment")-SUMIFS(StockMovements!$E$2:$E$60,StockMovements!$B$2:$B$60,A15,StockMovements!$D$2:$D$60,"issue")-SUMIFS(StockMovements!$E$2:$E$60,StockMovements!$B$2:$B$60,A15,StockMovements!$D$2:$D$60,"production_out")-SUMIFS(StockMovements!$E$2:$E$60,StockMovements!$B$2:$B$60,A15,StockMovements!$D$2:$D$60,"transfer")-SUMIFS(StockMovements!$E$2:$E$60,StockMovements!$B$2:$B$60,A15,StockMovements!$D$2:$D$60,"scrap"))</f>
        <v/>
      </c>
      <c r="E15" s="11" t="str">
        <f aca="false">IF(A15="","",Products!E15)</f>
        <v/>
      </c>
      <c r="F15" s="11" t="str">
        <f aca="false">IF(A15="","",D15*E15)</f>
        <v/>
      </c>
      <c r="G15" s="11" t="str">
        <f aca="false">IF(A15="","",Products!F15)</f>
        <v/>
      </c>
      <c r="H15" s="14" t="str">
        <f aca="false">IF(A15="","",IF(D15&lt;G15,"REORDER","OK"))</f>
        <v/>
      </c>
      <c r="I15" s="15" t="str">
        <f aca="false">IF(A15="","",IFERROR(_xlfn.MAXIFS(StockMovements!$A$2:$A$60,StockMovements!$B$2:$B$60,A15),0))</f>
        <v/>
      </c>
      <c r="J15" s="11" t="str">
        <f aca="true">IF(OR(A15="",I15=0),"",TODAY()-I15)</f>
        <v/>
      </c>
      <c r="K15" s="11" t="str">
        <f aca="false">IF(A15="","",IF(I15=0,"never moved",IF(J15&lt;=30,"0-30",IF(J15&lt;=60,"31-60",IF(J15&lt;=90,"61-90","90+")))))</f>
        <v/>
      </c>
    </row>
    <row r="16" customFormat="false" ht="15" hidden="false" customHeight="false" outlineLevel="0" collapsed="false">
      <c r="A16" s="11" t="str">
        <f aca="false">IF(Products!A16="","",Products!A16)</f>
        <v/>
      </c>
      <c r="B16" s="11" t="str">
        <f aca="false">IF(Products!A16="","",Products!B16)</f>
        <v/>
      </c>
      <c r="C16" s="11" t="str">
        <f aca="false">IF(Products!A16="","",Products!C16)</f>
        <v/>
      </c>
      <c r="D16" s="11" t="str">
        <f aca="false">IF(A16="","",SUMIFS(StockMovements!$E$2:$E$60,StockMovements!$B$2:$B$60,A16,StockMovements!$D$2:$D$60,"receipt")+SUMIFS(StockMovements!$E$2:$E$60,StockMovements!$B$2:$B$60,A16,StockMovements!$D$2:$D$60,"production_in")+SUMIFS(StockMovements!$E$2:$E$60,StockMovements!$B$2:$B$60,A16,StockMovements!$D$2:$D$60,"adjustment")-SUMIFS(StockMovements!$E$2:$E$60,StockMovements!$B$2:$B$60,A16,StockMovements!$D$2:$D$60,"issue")-SUMIFS(StockMovements!$E$2:$E$60,StockMovements!$B$2:$B$60,A16,StockMovements!$D$2:$D$60,"production_out")-SUMIFS(StockMovements!$E$2:$E$60,StockMovements!$B$2:$B$60,A16,StockMovements!$D$2:$D$60,"transfer")-SUMIFS(StockMovements!$E$2:$E$60,StockMovements!$B$2:$B$60,A16,StockMovements!$D$2:$D$60,"scrap"))</f>
        <v/>
      </c>
      <c r="E16" s="11" t="str">
        <f aca="false">IF(A16="","",Products!E16)</f>
        <v/>
      </c>
      <c r="F16" s="11" t="str">
        <f aca="false">IF(A16="","",D16*E16)</f>
        <v/>
      </c>
      <c r="G16" s="11" t="str">
        <f aca="false">IF(A16="","",Products!F16)</f>
        <v/>
      </c>
      <c r="H16" s="14" t="str">
        <f aca="false">IF(A16="","",IF(D16&lt;G16,"REORDER","OK"))</f>
        <v/>
      </c>
      <c r="I16" s="15" t="str">
        <f aca="false">IF(A16="","",IFERROR(_xlfn.MAXIFS(StockMovements!$A$2:$A$60,StockMovements!$B$2:$B$60,A16),0))</f>
        <v/>
      </c>
      <c r="J16" s="11" t="str">
        <f aca="true">IF(OR(A16="",I16=0),"",TODAY()-I16)</f>
        <v/>
      </c>
      <c r="K16" s="11" t="str">
        <f aca="false">IF(A16="","",IF(I16=0,"never moved",IF(J16&lt;=30,"0-30",IF(J16&lt;=60,"31-60",IF(J16&lt;=90,"61-90","90+")))))</f>
        <v/>
      </c>
    </row>
    <row r="17" customFormat="false" ht="15" hidden="false" customHeight="false" outlineLevel="0" collapsed="false">
      <c r="A17" s="11" t="str">
        <f aca="false">IF(Products!A17="","",Products!A17)</f>
        <v/>
      </c>
      <c r="B17" s="11" t="str">
        <f aca="false">IF(Products!A17="","",Products!B17)</f>
        <v/>
      </c>
      <c r="C17" s="11" t="str">
        <f aca="false">IF(Products!A17="","",Products!C17)</f>
        <v/>
      </c>
      <c r="D17" s="11" t="str">
        <f aca="false">IF(A17="","",SUMIFS(StockMovements!$E$2:$E$60,StockMovements!$B$2:$B$60,A17,StockMovements!$D$2:$D$60,"receipt")+SUMIFS(StockMovements!$E$2:$E$60,StockMovements!$B$2:$B$60,A17,StockMovements!$D$2:$D$60,"production_in")+SUMIFS(StockMovements!$E$2:$E$60,StockMovements!$B$2:$B$60,A17,StockMovements!$D$2:$D$60,"adjustment")-SUMIFS(StockMovements!$E$2:$E$60,StockMovements!$B$2:$B$60,A17,StockMovements!$D$2:$D$60,"issue")-SUMIFS(StockMovements!$E$2:$E$60,StockMovements!$B$2:$B$60,A17,StockMovements!$D$2:$D$60,"production_out")-SUMIFS(StockMovements!$E$2:$E$60,StockMovements!$B$2:$B$60,A17,StockMovements!$D$2:$D$60,"transfer")-SUMIFS(StockMovements!$E$2:$E$60,StockMovements!$B$2:$B$60,A17,StockMovements!$D$2:$D$60,"scrap"))</f>
        <v/>
      </c>
      <c r="E17" s="11" t="str">
        <f aca="false">IF(A17="","",Products!E17)</f>
        <v/>
      </c>
      <c r="F17" s="11" t="str">
        <f aca="false">IF(A17="","",D17*E17)</f>
        <v/>
      </c>
      <c r="G17" s="11" t="str">
        <f aca="false">IF(A17="","",Products!F17)</f>
        <v/>
      </c>
      <c r="H17" s="14" t="str">
        <f aca="false">IF(A17="","",IF(D17&lt;G17,"REORDER","OK"))</f>
        <v/>
      </c>
      <c r="I17" s="15" t="str">
        <f aca="false">IF(A17="","",IFERROR(_xlfn.MAXIFS(StockMovements!$A$2:$A$60,StockMovements!$B$2:$B$60,A17),0))</f>
        <v/>
      </c>
      <c r="J17" s="11" t="str">
        <f aca="true">IF(OR(A17="",I17=0),"",TODAY()-I17)</f>
        <v/>
      </c>
      <c r="K17" s="11" t="str">
        <f aca="false">IF(A17="","",IF(I17=0,"never moved",IF(J17&lt;=30,"0-30",IF(J17&lt;=60,"31-60",IF(J17&lt;=90,"61-90","90+")))))</f>
        <v/>
      </c>
    </row>
    <row r="18" customFormat="false" ht="15" hidden="false" customHeight="false" outlineLevel="0" collapsed="false">
      <c r="A18" s="11" t="str">
        <f aca="false">IF(Products!A18="","",Products!A18)</f>
        <v/>
      </c>
      <c r="B18" s="11" t="str">
        <f aca="false">IF(Products!A18="","",Products!B18)</f>
        <v/>
      </c>
      <c r="C18" s="11" t="str">
        <f aca="false">IF(Products!A18="","",Products!C18)</f>
        <v/>
      </c>
      <c r="D18" s="11" t="str">
        <f aca="false">IF(A18="","",SUMIFS(StockMovements!$E$2:$E$60,StockMovements!$B$2:$B$60,A18,StockMovements!$D$2:$D$60,"receipt")+SUMIFS(StockMovements!$E$2:$E$60,StockMovements!$B$2:$B$60,A18,StockMovements!$D$2:$D$60,"production_in")+SUMIFS(StockMovements!$E$2:$E$60,StockMovements!$B$2:$B$60,A18,StockMovements!$D$2:$D$60,"adjustment")-SUMIFS(StockMovements!$E$2:$E$60,StockMovements!$B$2:$B$60,A18,StockMovements!$D$2:$D$60,"issue")-SUMIFS(StockMovements!$E$2:$E$60,StockMovements!$B$2:$B$60,A18,StockMovements!$D$2:$D$60,"production_out")-SUMIFS(StockMovements!$E$2:$E$60,StockMovements!$B$2:$B$60,A18,StockMovements!$D$2:$D$60,"transfer")-SUMIFS(StockMovements!$E$2:$E$60,StockMovements!$B$2:$B$60,A18,StockMovements!$D$2:$D$60,"scrap"))</f>
        <v/>
      </c>
      <c r="E18" s="11" t="str">
        <f aca="false">IF(A18="","",Products!E18)</f>
        <v/>
      </c>
      <c r="F18" s="11" t="str">
        <f aca="false">IF(A18="","",D18*E18)</f>
        <v/>
      </c>
      <c r="G18" s="11" t="str">
        <f aca="false">IF(A18="","",Products!F18)</f>
        <v/>
      </c>
      <c r="H18" s="14" t="str">
        <f aca="false">IF(A18="","",IF(D18&lt;G18,"REORDER","OK"))</f>
        <v/>
      </c>
      <c r="I18" s="15" t="str">
        <f aca="false">IF(A18="","",IFERROR(_xlfn.MAXIFS(StockMovements!$A$2:$A$60,StockMovements!$B$2:$B$60,A18),0))</f>
        <v/>
      </c>
      <c r="J18" s="11" t="str">
        <f aca="true">IF(OR(A18="",I18=0),"",TODAY()-I18)</f>
        <v/>
      </c>
      <c r="K18" s="11" t="str">
        <f aca="false">IF(A18="","",IF(I18=0,"never moved",IF(J18&lt;=30,"0-30",IF(J18&lt;=60,"31-60",IF(J18&lt;=90,"61-90","90+")))))</f>
        <v/>
      </c>
    </row>
    <row r="19" customFormat="false" ht="15" hidden="false" customHeight="false" outlineLevel="0" collapsed="false">
      <c r="A19" s="11" t="str">
        <f aca="false">IF(Products!A19="","",Products!A19)</f>
        <v/>
      </c>
      <c r="B19" s="11" t="str">
        <f aca="false">IF(Products!A19="","",Products!B19)</f>
        <v/>
      </c>
      <c r="C19" s="11" t="str">
        <f aca="false">IF(Products!A19="","",Products!C19)</f>
        <v/>
      </c>
      <c r="D19" s="11" t="str">
        <f aca="false">IF(A19="","",SUMIFS(StockMovements!$E$2:$E$60,StockMovements!$B$2:$B$60,A19,StockMovements!$D$2:$D$60,"receipt")+SUMIFS(StockMovements!$E$2:$E$60,StockMovements!$B$2:$B$60,A19,StockMovements!$D$2:$D$60,"production_in")+SUMIFS(StockMovements!$E$2:$E$60,StockMovements!$B$2:$B$60,A19,StockMovements!$D$2:$D$60,"adjustment")-SUMIFS(StockMovements!$E$2:$E$60,StockMovements!$B$2:$B$60,A19,StockMovements!$D$2:$D$60,"issue")-SUMIFS(StockMovements!$E$2:$E$60,StockMovements!$B$2:$B$60,A19,StockMovements!$D$2:$D$60,"production_out")-SUMIFS(StockMovements!$E$2:$E$60,StockMovements!$B$2:$B$60,A19,StockMovements!$D$2:$D$60,"transfer")-SUMIFS(StockMovements!$E$2:$E$60,StockMovements!$B$2:$B$60,A19,StockMovements!$D$2:$D$60,"scrap"))</f>
        <v/>
      </c>
      <c r="E19" s="11" t="str">
        <f aca="false">IF(A19="","",Products!E19)</f>
        <v/>
      </c>
      <c r="F19" s="11" t="str">
        <f aca="false">IF(A19="","",D19*E19)</f>
        <v/>
      </c>
      <c r="G19" s="11" t="str">
        <f aca="false">IF(A19="","",Products!F19)</f>
        <v/>
      </c>
      <c r="H19" s="14" t="str">
        <f aca="false">IF(A19="","",IF(D19&lt;G19,"REORDER","OK"))</f>
        <v/>
      </c>
      <c r="I19" s="15" t="str">
        <f aca="false">IF(A19="","",IFERROR(_xlfn.MAXIFS(StockMovements!$A$2:$A$60,StockMovements!$B$2:$B$60,A19),0))</f>
        <v/>
      </c>
      <c r="J19" s="11" t="str">
        <f aca="true">IF(OR(A19="",I19=0),"",TODAY()-I19)</f>
        <v/>
      </c>
      <c r="K19" s="11" t="str">
        <f aca="false">IF(A19="","",IF(I19=0,"never moved",IF(J19&lt;=30,"0-30",IF(J19&lt;=60,"31-60",IF(J19&lt;=90,"61-90","90+")))))</f>
        <v/>
      </c>
    </row>
    <row r="20" customFormat="false" ht="15" hidden="false" customHeight="false" outlineLevel="0" collapsed="false">
      <c r="A20" s="11" t="str">
        <f aca="false">IF(Products!A20="","",Products!A20)</f>
        <v/>
      </c>
      <c r="B20" s="11" t="str">
        <f aca="false">IF(Products!A20="","",Products!B20)</f>
        <v/>
      </c>
      <c r="C20" s="11" t="str">
        <f aca="false">IF(Products!A20="","",Products!C20)</f>
        <v/>
      </c>
      <c r="D20" s="11" t="str">
        <f aca="false">IF(A20="","",SUMIFS(StockMovements!$E$2:$E$60,StockMovements!$B$2:$B$60,A20,StockMovements!$D$2:$D$60,"receipt")+SUMIFS(StockMovements!$E$2:$E$60,StockMovements!$B$2:$B$60,A20,StockMovements!$D$2:$D$60,"production_in")+SUMIFS(StockMovements!$E$2:$E$60,StockMovements!$B$2:$B$60,A20,StockMovements!$D$2:$D$60,"adjustment")-SUMIFS(StockMovements!$E$2:$E$60,StockMovements!$B$2:$B$60,A20,StockMovements!$D$2:$D$60,"issue")-SUMIFS(StockMovements!$E$2:$E$60,StockMovements!$B$2:$B$60,A20,StockMovements!$D$2:$D$60,"production_out")-SUMIFS(StockMovements!$E$2:$E$60,StockMovements!$B$2:$B$60,A20,StockMovements!$D$2:$D$60,"transfer")-SUMIFS(StockMovements!$E$2:$E$60,StockMovements!$B$2:$B$60,A20,StockMovements!$D$2:$D$60,"scrap"))</f>
        <v/>
      </c>
      <c r="E20" s="11" t="str">
        <f aca="false">IF(A20="","",Products!E20)</f>
        <v/>
      </c>
      <c r="F20" s="11" t="str">
        <f aca="false">IF(A20="","",D20*E20)</f>
        <v/>
      </c>
      <c r="G20" s="11" t="str">
        <f aca="false">IF(A20="","",Products!F20)</f>
        <v/>
      </c>
      <c r="H20" s="14" t="str">
        <f aca="false">IF(A20="","",IF(D20&lt;G20,"REORDER","OK"))</f>
        <v/>
      </c>
      <c r="I20" s="15" t="str">
        <f aca="false">IF(A20="","",IFERROR(_xlfn.MAXIFS(StockMovements!$A$2:$A$60,StockMovements!$B$2:$B$60,A20),0))</f>
        <v/>
      </c>
      <c r="J20" s="11" t="str">
        <f aca="true">IF(OR(A20="",I20=0),"",TODAY()-I20)</f>
        <v/>
      </c>
      <c r="K20" s="11" t="str">
        <f aca="false">IF(A20="","",IF(I20=0,"never moved",IF(J20&lt;=30,"0-30",IF(J20&lt;=60,"31-60",IF(J20&lt;=90,"61-90","90+")))))</f>
        <v/>
      </c>
    </row>
    <row r="21" customFormat="false" ht="15" hidden="false" customHeight="false" outlineLevel="0" collapsed="false">
      <c r="A21" s="11" t="str">
        <f aca="false">IF(Products!A21="","",Products!A21)</f>
        <v/>
      </c>
      <c r="B21" s="11" t="str">
        <f aca="false">IF(Products!A21="","",Products!B21)</f>
        <v/>
      </c>
      <c r="C21" s="11" t="str">
        <f aca="false">IF(Products!A21="","",Products!C21)</f>
        <v/>
      </c>
      <c r="D21" s="11" t="str">
        <f aca="false">IF(A21="","",SUMIFS(StockMovements!$E$2:$E$60,StockMovements!$B$2:$B$60,A21,StockMovements!$D$2:$D$60,"receipt")+SUMIFS(StockMovements!$E$2:$E$60,StockMovements!$B$2:$B$60,A21,StockMovements!$D$2:$D$60,"production_in")+SUMIFS(StockMovements!$E$2:$E$60,StockMovements!$B$2:$B$60,A21,StockMovements!$D$2:$D$60,"adjustment")-SUMIFS(StockMovements!$E$2:$E$60,StockMovements!$B$2:$B$60,A21,StockMovements!$D$2:$D$60,"issue")-SUMIFS(StockMovements!$E$2:$E$60,StockMovements!$B$2:$B$60,A21,StockMovements!$D$2:$D$60,"production_out")-SUMIFS(StockMovements!$E$2:$E$60,StockMovements!$B$2:$B$60,A21,StockMovements!$D$2:$D$60,"transfer")-SUMIFS(StockMovements!$E$2:$E$60,StockMovements!$B$2:$B$60,A21,StockMovements!$D$2:$D$60,"scrap"))</f>
        <v/>
      </c>
      <c r="E21" s="11" t="str">
        <f aca="false">IF(A21="","",Products!E21)</f>
        <v/>
      </c>
      <c r="F21" s="11" t="str">
        <f aca="false">IF(A21="","",D21*E21)</f>
        <v/>
      </c>
      <c r="G21" s="11" t="str">
        <f aca="false">IF(A21="","",Products!F21)</f>
        <v/>
      </c>
      <c r="H21" s="14" t="str">
        <f aca="false">IF(A21="","",IF(D21&lt;G21,"REORDER","OK"))</f>
        <v/>
      </c>
      <c r="I21" s="15" t="str">
        <f aca="false">IF(A21="","",IFERROR(_xlfn.MAXIFS(StockMovements!$A$2:$A$60,StockMovements!$B$2:$B$60,A21),0))</f>
        <v/>
      </c>
      <c r="J21" s="11" t="str">
        <f aca="true">IF(OR(A21="",I21=0),"",TODAY()-I21)</f>
        <v/>
      </c>
      <c r="K21" s="11" t="str">
        <f aca="false">IF(A21="","",IF(I21=0,"never moved",IF(J21&lt;=30,"0-30",IF(J21&lt;=60,"31-60",IF(J21&lt;=90,"61-90","90+")))))</f>
        <v/>
      </c>
    </row>
    <row r="22" customFormat="false" ht="15" hidden="false" customHeight="false" outlineLevel="0" collapsed="false">
      <c r="A22" s="11" t="str">
        <f aca="false">IF(Products!A22="","",Products!A22)</f>
        <v/>
      </c>
      <c r="B22" s="11" t="str">
        <f aca="false">IF(Products!A22="","",Products!B22)</f>
        <v/>
      </c>
      <c r="C22" s="11" t="str">
        <f aca="false">IF(Products!A22="","",Products!C22)</f>
        <v/>
      </c>
      <c r="D22" s="11" t="str">
        <f aca="false">IF(A22="","",SUMIFS(StockMovements!$E$2:$E$60,StockMovements!$B$2:$B$60,A22,StockMovements!$D$2:$D$60,"receipt")+SUMIFS(StockMovements!$E$2:$E$60,StockMovements!$B$2:$B$60,A22,StockMovements!$D$2:$D$60,"production_in")+SUMIFS(StockMovements!$E$2:$E$60,StockMovements!$B$2:$B$60,A22,StockMovements!$D$2:$D$60,"adjustment")-SUMIFS(StockMovements!$E$2:$E$60,StockMovements!$B$2:$B$60,A22,StockMovements!$D$2:$D$60,"issue")-SUMIFS(StockMovements!$E$2:$E$60,StockMovements!$B$2:$B$60,A22,StockMovements!$D$2:$D$60,"production_out")-SUMIFS(StockMovements!$E$2:$E$60,StockMovements!$B$2:$B$60,A22,StockMovements!$D$2:$D$60,"transfer")-SUMIFS(StockMovements!$E$2:$E$60,StockMovements!$B$2:$B$60,A22,StockMovements!$D$2:$D$60,"scrap"))</f>
        <v/>
      </c>
      <c r="E22" s="11" t="str">
        <f aca="false">IF(A22="","",Products!E22)</f>
        <v/>
      </c>
      <c r="F22" s="11" t="str">
        <f aca="false">IF(A22="","",D22*E22)</f>
        <v/>
      </c>
      <c r="G22" s="11" t="str">
        <f aca="false">IF(A22="","",Products!F22)</f>
        <v/>
      </c>
      <c r="H22" s="14" t="str">
        <f aca="false">IF(A22="","",IF(D22&lt;G22,"REORDER","OK"))</f>
        <v/>
      </c>
      <c r="I22" s="15" t="str">
        <f aca="false">IF(A22="","",IFERROR(_xlfn.MAXIFS(StockMovements!$A$2:$A$60,StockMovements!$B$2:$B$60,A22),0))</f>
        <v/>
      </c>
      <c r="J22" s="11" t="str">
        <f aca="true">IF(OR(A22="",I22=0),"",TODAY()-I22)</f>
        <v/>
      </c>
      <c r="K22" s="11" t="str">
        <f aca="false">IF(A22="","",IF(I22=0,"never moved",IF(J22&lt;=30,"0-30",IF(J22&lt;=60,"31-60",IF(J22&lt;=90,"61-90","90+")))))</f>
        <v/>
      </c>
    </row>
    <row r="23" customFormat="false" ht="15" hidden="false" customHeight="false" outlineLevel="0" collapsed="false">
      <c r="A23" s="11" t="str">
        <f aca="false">IF(Products!A23="","",Products!A23)</f>
        <v/>
      </c>
      <c r="B23" s="11" t="str">
        <f aca="false">IF(Products!A23="","",Products!B23)</f>
        <v/>
      </c>
      <c r="C23" s="11" t="str">
        <f aca="false">IF(Products!A23="","",Products!C23)</f>
        <v/>
      </c>
      <c r="D23" s="11" t="str">
        <f aca="false">IF(A23="","",SUMIFS(StockMovements!$E$2:$E$60,StockMovements!$B$2:$B$60,A23,StockMovements!$D$2:$D$60,"receipt")+SUMIFS(StockMovements!$E$2:$E$60,StockMovements!$B$2:$B$60,A23,StockMovements!$D$2:$D$60,"production_in")+SUMIFS(StockMovements!$E$2:$E$60,StockMovements!$B$2:$B$60,A23,StockMovements!$D$2:$D$60,"adjustment")-SUMIFS(StockMovements!$E$2:$E$60,StockMovements!$B$2:$B$60,A23,StockMovements!$D$2:$D$60,"issue")-SUMIFS(StockMovements!$E$2:$E$60,StockMovements!$B$2:$B$60,A23,StockMovements!$D$2:$D$60,"production_out")-SUMIFS(StockMovements!$E$2:$E$60,StockMovements!$B$2:$B$60,A23,StockMovements!$D$2:$D$60,"transfer")-SUMIFS(StockMovements!$E$2:$E$60,StockMovements!$B$2:$B$60,A23,StockMovements!$D$2:$D$60,"scrap"))</f>
        <v/>
      </c>
      <c r="E23" s="11" t="str">
        <f aca="false">IF(A23="","",Products!E23)</f>
        <v/>
      </c>
      <c r="F23" s="11" t="str">
        <f aca="false">IF(A23="","",D23*E23)</f>
        <v/>
      </c>
      <c r="G23" s="11" t="str">
        <f aca="false">IF(A23="","",Products!F23)</f>
        <v/>
      </c>
      <c r="H23" s="14" t="str">
        <f aca="false">IF(A23="","",IF(D23&lt;G23,"REORDER","OK"))</f>
        <v/>
      </c>
      <c r="I23" s="15" t="str">
        <f aca="false">IF(A23="","",IFERROR(_xlfn.MAXIFS(StockMovements!$A$2:$A$60,StockMovements!$B$2:$B$60,A23),0))</f>
        <v/>
      </c>
      <c r="J23" s="11" t="str">
        <f aca="true">IF(OR(A23="",I23=0),"",TODAY()-I23)</f>
        <v/>
      </c>
      <c r="K23" s="11" t="str">
        <f aca="false">IF(A23="","",IF(I23=0,"never moved",IF(J23&lt;=30,"0-30",IF(J23&lt;=60,"31-60",IF(J23&lt;=90,"61-90","90+")))))</f>
        <v/>
      </c>
    </row>
    <row r="24" customFormat="false" ht="15" hidden="false" customHeight="false" outlineLevel="0" collapsed="false">
      <c r="A24" s="11" t="str">
        <f aca="false">IF(Products!A24="","",Products!A24)</f>
        <v/>
      </c>
      <c r="B24" s="11" t="str">
        <f aca="false">IF(Products!A24="","",Products!B24)</f>
        <v/>
      </c>
      <c r="C24" s="11" t="str">
        <f aca="false">IF(Products!A24="","",Products!C24)</f>
        <v/>
      </c>
      <c r="D24" s="11" t="str">
        <f aca="false">IF(A24="","",SUMIFS(StockMovements!$E$2:$E$60,StockMovements!$B$2:$B$60,A24,StockMovements!$D$2:$D$60,"receipt")+SUMIFS(StockMovements!$E$2:$E$60,StockMovements!$B$2:$B$60,A24,StockMovements!$D$2:$D$60,"production_in")+SUMIFS(StockMovements!$E$2:$E$60,StockMovements!$B$2:$B$60,A24,StockMovements!$D$2:$D$60,"adjustment")-SUMIFS(StockMovements!$E$2:$E$60,StockMovements!$B$2:$B$60,A24,StockMovements!$D$2:$D$60,"issue")-SUMIFS(StockMovements!$E$2:$E$60,StockMovements!$B$2:$B$60,A24,StockMovements!$D$2:$D$60,"production_out")-SUMIFS(StockMovements!$E$2:$E$60,StockMovements!$B$2:$B$60,A24,StockMovements!$D$2:$D$60,"transfer")-SUMIFS(StockMovements!$E$2:$E$60,StockMovements!$B$2:$B$60,A24,StockMovements!$D$2:$D$60,"scrap"))</f>
        <v/>
      </c>
      <c r="E24" s="11" t="str">
        <f aca="false">IF(A24="","",Products!E24)</f>
        <v/>
      </c>
      <c r="F24" s="11" t="str">
        <f aca="false">IF(A24="","",D24*E24)</f>
        <v/>
      </c>
      <c r="G24" s="11" t="str">
        <f aca="false">IF(A24="","",Products!F24)</f>
        <v/>
      </c>
      <c r="H24" s="14" t="str">
        <f aca="false">IF(A24="","",IF(D24&lt;G24,"REORDER","OK"))</f>
        <v/>
      </c>
      <c r="I24" s="15" t="str">
        <f aca="false">IF(A24="","",IFERROR(_xlfn.MAXIFS(StockMovements!$A$2:$A$60,StockMovements!$B$2:$B$60,A24),0))</f>
        <v/>
      </c>
      <c r="J24" s="11" t="str">
        <f aca="true">IF(OR(A24="",I24=0),"",TODAY()-I24)</f>
        <v/>
      </c>
      <c r="K24" s="11" t="str">
        <f aca="false">IF(A24="","",IF(I24=0,"never moved",IF(J24&lt;=30,"0-30",IF(J24&lt;=60,"31-60",IF(J24&lt;=90,"61-90","90+")))))</f>
        <v/>
      </c>
    </row>
    <row r="25" customFormat="false" ht="15" hidden="false" customHeight="false" outlineLevel="0" collapsed="false">
      <c r="A25" s="11" t="str">
        <f aca="false">IF(Products!A25="","",Products!A25)</f>
        <v/>
      </c>
      <c r="B25" s="11" t="str">
        <f aca="false">IF(Products!A25="","",Products!B25)</f>
        <v/>
      </c>
      <c r="C25" s="11" t="str">
        <f aca="false">IF(Products!A25="","",Products!C25)</f>
        <v/>
      </c>
      <c r="D25" s="11" t="str">
        <f aca="false">IF(A25="","",SUMIFS(StockMovements!$E$2:$E$60,StockMovements!$B$2:$B$60,A25,StockMovements!$D$2:$D$60,"receipt")+SUMIFS(StockMovements!$E$2:$E$60,StockMovements!$B$2:$B$60,A25,StockMovements!$D$2:$D$60,"production_in")+SUMIFS(StockMovements!$E$2:$E$60,StockMovements!$B$2:$B$60,A25,StockMovements!$D$2:$D$60,"adjustment")-SUMIFS(StockMovements!$E$2:$E$60,StockMovements!$B$2:$B$60,A25,StockMovements!$D$2:$D$60,"issue")-SUMIFS(StockMovements!$E$2:$E$60,StockMovements!$B$2:$B$60,A25,StockMovements!$D$2:$D$60,"production_out")-SUMIFS(StockMovements!$E$2:$E$60,StockMovements!$B$2:$B$60,A25,StockMovements!$D$2:$D$60,"transfer")-SUMIFS(StockMovements!$E$2:$E$60,StockMovements!$B$2:$B$60,A25,StockMovements!$D$2:$D$60,"scrap"))</f>
        <v/>
      </c>
      <c r="E25" s="11" t="str">
        <f aca="false">IF(A25="","",Products!E25)</f>
        <v/>
      </c>
      <c r="F25" s="11" t="str">
        <f aca="false">IF(A25="","",D25*E25)</f>
        <v/>
      </c>
      <c r="G25" s="11" t="str">
        <f aca="false">IF(A25="","",Products!F25)</f>
        <v/>
      </c>
      <c r="H25" s="14" t="str">
        <f aca="false">IF(A25="","",IF(D25&lt;G25,"REORDER","OK"))</f>
        <v/>
      </c>
      <c r="I25" s="15" t="str">
        <f aca="false">IF(A25="","",IFERROR(_xlfn.MAXIFS(StockMovements!$A$2:$A$60,StockMovements!$B$2:$B$60,A25),0))</f>
        <v/>
      </c>
      <c r="J25" s="11" t="str">
        <f aca="true">IF(OR(A25="",I25=0),"",TODAY()-I25)</f>
        <v/>
      </c>
      <c r="K25" s="11" t="str">
        <f aca="false">IF(A25="","",IF(I25=0,"never moved",IF(J25&lt;=30,"0-30",IF(J25&lt;=60,"31-60",IF(J25&lt;=90,"61-90","90+")))))</f>
        <v/>
      </c>
    </row>
    <row r="26" customFormat="false" ht="15" hidden="false" customHeight="false" outlineLevel="0" collapsed="false">
      <c r="A26" s="11" t="str">
        <f aca="false">IF(Products!A26="","",Products!A26)</f>
        <v/>
      </c>
      <c r="B26" s="11" t="str">
        <f aca="false">IF(Products!A26="","",Products!B26)</f>
        <v/>
      </c>
      <c r="C26" s="11" t="str">
        <f aca="false">IF(Products!A26="","",Products!C26)</f>
        <v/>
      </c>
      <c r="D26" s="11" t="str">
        <f aca="false">IF(A26="","",SUMIFS(StockMovements!$E$2:$E$60,StockMovements!$B$2:$B$60,A26,StockMovements!$D$2:$D$60,"receipt")+SUMIFS(StockMovements!$E$2:$E$60,StockMovements!$B$2:$B$60,A26,StockMovements!$D$2:$D$60,"production_in")+SUMIFS(StockMovements!$E$2:$E$60,StockMovements!$B$2:$B$60,A26,StockMovements!$D$2:$D$60,"adjustment")-SUMIFS(StockMovements!$E$2:$E$60,StockMovements!$B$2:$B$60,A26,StockMovements!$D$2:$D$60,"issue")-SUMIFS(StockMovements!$E$2:$E$60,StockMovements!$B$2:$B$60,A26,StockMovements!$D$2:$D$60,"production_out")-SUMIFS(StockMovements!$E$2:$E$60,StockMovements!$B$2:$B$60,A26,StockMovements!$D$2:$D$60,"transfer")-SUMIFS(StockMovements!$E$2:$E$60,StockMovements!$B$2:$B$60,A26,StockMovements!$D$2:$D$60,"scrap"))</f>
        <v/>
      </c>
      <c r="E26" s="11" t="str">
        <f aca="false">IF(A26="","",Products!E26)</f>
        <v/>
      </c>
      <c r="F26" s="11" t="str">
        <f aca="false">IF(A26="","",D26*E26)</f>
        <v/>
      </c>
      <c r="G26" s="11" t="str">
        <f aca="false">IF(A26="","",Products!F26)</f>
        <v/>
      </c>
      <c r="H26" s="14" t="str">
        <f aca="false">IF(A26="","",IF(D26&lt;G26,"REORDER","OK"))</f>
        <v/>
      </c>
      <c r="I26" s="15" t="str">
        <f aca="false">IF(A26="","",IFERROR(_xlfn.MAXIFS(StockMovements!$A$2:$A$60,StockMovements!$B$2:$B$60,A26),0))</f>
        <v/>
      </c>
      <c r="J26" s="11" t="str">
        <f aca="true">IF(OR(A26="",I26=0),"",TODAY()-I26)</f>
        <v/>
      </c>
      <c r="K26" s="11" t="str">
        <f aca="false">IF(A26="","",IF(I26=0,"never moved",IF(J26&lt;=30,"0-30",IF(J26&lt;=60,"31-60",IF(J26&lt;=90,"61-90","90+")))))</f>
        <v/>
      </c>
    </row>
    <row r="27" customFormat="false" ht="15" hidden="false" customHeight="false" outlineLevel="0" collapsed="false">
      <c r="A27" s="11" t="str">
        <f aca="false">IF(Products!A27="","",Products!A27)</f>
        <v/>
      </c>
      <c r="B27" s="11" t="str">
        <f aca="false">IF(Products!A27="","",Products!B27)</f>
        <v/>
      </c>
      <c r="C27" s="11" t="str">
        <f aca="false">IF(Products!A27="","",Products!C27)</f>
        <v/>
      </c>
      <c r="D27" s="11" t="str">
        <f aca="false">IF(A27="","",SUMIFS(StockMovements!$E$2:$E$60,StockMovements!$B$2:$B$60,A27,StockMovements!$D$2:$D$60,"receipt")+SUMIFS(StockMovements!$E$2:$E$60,StockMovements!$B$2:$B$60,A27,StockMovements!$D$2:$D$60,"production_in")+SUMIFS(StockMovements!$E$2:$E$60,StockMovements!$B$2:$B$60,A27,StockMovements!$D$2:$D$60,"adjustment")-SUMIFS(StockMovements!$E$2:$E$60,StockMovements!$B$2:$B$60,A27,StockMovements!$D$2:$D$60,"issue")-SUMIFS(StockMovements!$E$2:$E$60,StockMovements!$B$2:$B$60,A27,StockMovements!$D$2:$D$60,"production_out")-SUMIFS(StockMovements!$E$2:$E$60,StockMovements!$B$2:$B$60,A27,StockMovements!$D$2:$D$60,"transfer")-SUMIFS(StockMovements!$E$2:$E$60,StockMovements!$B$2:$B$60,A27,StockMovements!$D$2:$D$60,"scrap"))</f>
        <v/>
      </c>
      <c r="E27" s="11" t="str">
        <f aca="false">IF(A27="","",Products!E27)</f>
        <v/>
      </c>
      <c r="F27" s="11" t="str">
        <f aca="false">IF(A27="","",D27*E27)</f>
        <v/>
      </c>
      <c r="G27" s="11" t="str">
        <f aca="false">IF(A27="","",Products!F27)</f>
        <v/>
      </c>
      <c r="H27" s="14" t="str">
        <f aca="false">IF(A27="","",IF(D27&lt;G27,"REORDER","OK"))</f>
        <v/>
      </c>
      <c r="I27" s="15" t="str">
        <f aca="false">IF(A27="","",IFERROR(_xlfn.MAXIFS(StockMovements!$A$2:$A$60,StockMovements!$B$2:$B$60,A27),0))</f>
        <v/>
      </c>
      <c r="J27" s="11" t="str">
        <f aca="true">IF(OR(A27="",I27=0),"",TODAY()-I27)</f>
        <v/>
      </c>
      <c r="K27" s="11" t="str">
        <f aca="false">IF(A27="","",IF(I27=0,"never moved",IF(J27&lt;=30,"0-30",IF(J27&lt;=60,"31-60",IF(J27&lt;=90,"61-90","90+")))))</f>
        <v/>
      </c>
    </row>
    <row r="28" customFormat="false" ht="15" hidden="false" customHeight="false" outlineLevel="0" collapsed="false">
      <c r="A28" s="11" t="str">
        <f aca="false">IF(Products!A28="","",Products!A28)</f>
        <v/>
      </c>
      <c r="B28" s="11" t="str">
        <f aca="false">IF(Products!A28="","",Products!B28)</f>
        <v/>
      </c>
      <c r="C28" s="11" t="str">
        <f aca="false">IF(Products!A28="","",Products!C28)</f>
        <v/>
      </c>
      <c r="D28" s="11" t="str">
        <f aca="false">IF(A28="","",SUMIFS(StockMovements!$E$2:$E$60,StockMovements!$B$2:$B$60,A28,StockMovements!$D$2:$D$60,"receipt")+SUMIFS(StockMovements!$E$2:$E$60,StockMovements!$B$2:$B$60,A28,StockMovements!$D$2:$D$60,"production_in")+SUMIFS(StockMovements!$E$2:$E$60,StockMovements!$B$2:$B$60,A28,StockMovements!$D$2:$D$60,"adjustment")-SUMIFS(StockMovements!$E$2:$E$60,StockMovements!$B$2:$B$60,A28,StockMovements!$D$2:$D$60,"issue")-SUMIFS(StockMovements!$E$2:$E$60,StockMovements!$B$2:$B$60,A28,StockMovements!$D$2:$D$60,"production_out")-SUMIFS(StockMovements!$E$2:$E$60,StockMovements!$B$2:$B$60,A28,StockMovements!$D$2:$D$60,"transfer")-SUMIFS(StockMovements!$E$2:$E$60,StockMovements!$B$2:$B$60,A28,StockMovements!$D$2:$D$60,"scrap"))</f>
        <v/>
      </c>
      <c r="E28" s="11" t="str">
        <f aca="false">IF(A28="","",Products!E28)</f>
        <v/>
      </c>
      <c r="F28" s="11" t="str">
        <f aca="false">IF(A28="","",D28*E28)</f>
        <v/>
      </c>
      <c r="G28" s="11" t="str">
        <f aca="false">IF(A28="","",Products!F28)</f>
        <v/>
      </c>
      <c r="H28" s="14" t="str">
        <f aca="false">IF(A28="","",IF(D28&lt;G28,"REORDER","OK"))</f>
        <v/>
      </c>
      <c r="I28" s="15" t="str">
        <f aca="false">IF(A28="","",IFERROR(_xlfn.MAXIFS(StockMovements!$A$2:$A$60,StockMovements!$B$2:$B$60,A28),0))</f>
        <v/>
      </c>
      <c r="J28" s="11" t="str">
        <f aca="true">IF(OR(A28="",I28=0),"",TODAY()-I28)</f>
        <v/>
      </c>
      <c r="K28" s="11" t="str">
        <f aca="false">IF(A28="","",IF(I28=0,"never moved",IF(J28&lt;=30,"0-30",IF(J28&lt;=60,"31-60",IF(J28&lt;=90,"61-90","90+")))))</f>
        <v/>
      </c>
    </row>
    <row r="29" customFormat="false" ht="15" hidden="false" customHeight="false" outlineLevel="0" collapsed="false">
      <c r="A29" s="11" t="str">
        <f aca="false">IF(Products!A29="","",Products!A29)</f>
        <v/>
      </c>
      <c r="B29" s="11" t="str">
        <f aca="false">IF(Products!A29="","",Products!B29)</f>
        <v/>
      </c>
      <c r="C29" s="11" t="str">
        <f aca="false">IF(Products!A29="","",Products!C29)</f>
        <v/>
      </c>
      <c r="D29" s="11" t="str">
        <f aca="false">IF(A29="","",SUMIFS(StockMovements!$E$2:$E$60,StockMovements!$B$2:$B$60,A29,StockMovements!$D$2:$D$60,"receipt")+SUMIFS(StockMovements!$E$2:$E$60,StockMovements!$B$2:$B$60,A29,StockMovements!$D$2:$D$60,"production_in")+SUMIFS(StockMovements!$E$2:$E$60,StockMovements!$B$2:$B$60,A29,StockMovements!$D$2:$D$60,"adjustment")-SUMIFS(StockMovements!$E$2:$E$60,StockMovements!$B$2:$B$60,A29,StockMovements!$D$2:$D$60,"issue")-SUMIFS(StockMovements!$E$2:$E$60,StockMovements!$B$2:$B$60,A29,StockMovements!$D$2:$D$60,"production_out")-SUMIFS(StockMovements!$E$2:$E$60,StockMovements!$B$2:$B$60,A29,StockMovements!$D$2:$D$60,"transfer")-SUMIFS(StockMovements!$E$2:$E$60,StockMovements!$B$2:$B$60,A29,StockMovements!$D$2:$D$60,"scrap"))</f>
        <v/>
      </c>
      <c r="E29" s="11" t="str">
        <f aca="false">IF(A29="","",Products!E29)</f>
        <v/>
      </c>
      <c r="F29" s="11" t="str">
        <f aca="false">IF(A29="","",D29*E29)</f>
        <v/>
      </c>
      <c r="G29" s="11" t="str">
        <f aca="false">IF(A29="","",Products!F29)</f>
        <v/>
      </c>
      <c r="H29" s="14" t="str">
        <f aca="false">IF(A29="","",IF(D29&lt;G29,"REORDER","OK"))</f>
        <v/>
      </c>
      <c r="I29" s="15" t="str">
        <f aca="false">IF(A29="","",IFERROR(_xlfn.MAXIFS(StockMovements!$A$2:$A$60,StockMovements!$B$2:$B$60,A29),0))</f>
        <v/>
      </c>
      <c r="J29" s="11" t="str">
        <f aca="true">IF(OR(A29="",I29=0),"",TODAY()-I29)</f>
        <v/>
      </c>
      <c r="K29" s="11" t="str">
        <f aca="false">IF(A29="","",IF(I29=0,"never moved",IF(J29&lt;=30,"0-30",IF(J29&lt;=60,"31-60",IF(J29&lt;=90,"61-90","90+")))))</f>
        <v/>
      </c>
    </row>
    <row r="30" customFormat="false" ht="15" hidden="false" customHeight="false" outlineLevel="0" collapsed="false">
      <c r="A30" s="11" t="str">
        <f aca="false">IF(Products!A30="","",Products!A30)</f>
        <v/>
      </c>
      <c r="B30" s="11" t="str">
        <f aca="false">IF(Products!A30="","",Products!B30)</f>
        <v/>
      </c>
      <c r="C30" s="11" t="str">
        <f aca="false">IF(Products!A30="","",Products!C30)</f>
        <v/>
      </c>
      <c r="D30" s="11" t="str">
        <f aca="false">IF(A30="","",SUMIFS(StockMovements!$E$2:$E$60,StockMovements!$B$2:$B$60,A30,StockMovements!$D$2:$D$60,"receipt")+SUMIFS(StockMovements!$E$2:$E$60,StockMovements!$B$2:$B$60,A30,StockMovements!$D$2:$D$60,"production_in")+SUMIFS(StockMovements!$E$2:$E$60,StockMovements!$B$2:$B$60,A30,StockMovements!$D$2:$D$60,"adjustment")-SUMIFS(StockMovements!$E$2:$E$60,StockMovements!$B$2:$B$60,A30,StockMovements!$D$2:$D$60,"issue")-SUMIFS(StockMovements!$E$2:$E$60,StockMovements!$B$2:$B$60,A30,StockMovements!$D$2:$D$60,"production_out")-SUMIFS(StockMovements!$E$2:$E$60,StockMovements!$B$2:$B$60,A30,StockMovements!$D$2:$D$60,"transfer")-SUMIFS(StockMovements!$E$2:$E$60,StockMovements!$B$2:$B$60,A30,StockMovements!$D$2:$D$60,"scrap"))</f>
        <v/>
      </c>
      <c r="E30" s="11" t="str">
        <f aca="false">IF(A30="","",Products!E30)</f>
        <v/>
      </c>
      <c r="F30" s="11" t="str">
        <f aca="false">IF(A30="","",D30*E30)</f>
        <v/>
      </c>
      <c r="G30" s="11" t="str">
        <f aca="false">IF(A30="","",Products!F30)</f>
        <v/>
      </c>
      <c r="H30" s="14" t="str">
        <f aca="false">IF(A30="","",IF(D30&lt;G30,"REORDER","OK"))</f>
        <v/>
      </c>
      <c r="I30" s="15" t="str">
        <f aca="false">IF(A30="","",IFERROR(_xlfn.MAXIFS(StockMovements!$A$2:$A$60,StockMovements!$B$2:$B$60,A30),0))</f>
        <v/>
      </c>
      <c r="J30" s="11" t="str">
        <f aca="true">IF(OR(A30="",I30=0),"",TODAY()-I30)</f>
        <v/>
      </c>
      <c r="K30" s="11" t="str">
        <f aca="false">IF(A30="","",IF(I30=0,"never moved",IF(J30&lt;=30,"0-30",IF(J30&lt;=60,"31-60",IF(J30&lt;=90,"61-90","90+")))))</f>
        <v/>
      </c>
    </row>
    <row r="31" customFormat="false" ht="15" hidden="false" customHeight="false" outlineLevel="0" collapsed="false">
      <c r="A31" s="11" t="str">
        <f aca="false">IF(Products!A31="","",Products!A31)</f>
        <v/>
      </c>
      <c r="B31" s="11" t="str">
        <f aca="false">IF(Products!A31="","",Products!B31)</f>
        <v/>
      </c>
      <c r="C31" s="11" t="str">
        <f aca="false">IF(Products!A31="","",Products!C31)</f>
        <v/>
      </c>
      <c r="D31" s="11" t="str">
        <f aca="false">IF(A31="","",SUMIFS(StockMovements!$E$2:$E$60,StockMovements!$B$2:$B$60,A31,StockMovements!$D$2:$D$60,"receipt")+SUMIFS(StockMovements!$E$2:$E$60,StockMovements!$B$2:$B$60,A31,StockMovements!$D$2:$D$60,"production_in")+SUMIFS(StockMovements!$E$2:$E$60,StockMovements!$B$2:$B$60,A31,StockMovements!$D$2:$D$60,"adjustment")-SUMIFS(StockMovements!$E$2:$E$60,StockMovements!$B$2:$B$60,A31,StockMovements!$D$2:$D$60,"issue")-SUMIFS(StockMovements!$E$2:$E$60,StockMovements!$B$2:$B$60,A31,StockMovements!$D$2:$D$60,"production_out")-SUMIFS(StockMovements!$E$2:$E$60,StockMovements!$B$2:$B$60,A31,StockMovements!$D$2:$D$60,"transfer")-SUMIFS(StockMovements!$E$2:$E$60,StockMovements!$B$2:$B$60,A31,StockMovements!$D$2:$D$60,"scrap"))</f>
        <v/>
      </c>
      <c r="E31" s="11" t="str">
        <f aca="false">IF(A31="","",Products!E31)</f>
        <v/>
      </c>
      <c r="F31" s="11" t="str">
        <f aca="false">IF(A31="","",D31*E31)</f>
        <v/>
      </c>
      <c r="G31" s="11" t="str">
        <f aca="false">IF(A31="","",Products!F31)</f>
        <v/>
      </c>
      <c r="H31" s="14" t="str">
        <f aca="false">IF(A31="","",IF(D31&lt;G31,"REORDER","OK"))</f>
        <v/>
      </c>
      <c r="I31" s="15" t="str">
        <f aca="false">IF(A31="","",IFERROR(_xlfn.MAXIFS(StockMovements!$A$2:$A$60,StockMovements!$B$2:$B$60,A31),0))</f>
        <v/>
      </c>
      <c r="J31" s="11" t="str">
        <f aca="true">IF(OR(A31="",I31=0),"",TODAY()-I31)</f>
        <v/>
      </c>
      <c r="K31" s="11" t="str">
        <f aca="false">IF(A31="","",IF(I31=0,"never moved",IF(J31&lt;=30,"0-30",IF(J31&lt;=60,"31-60",IF(J31&lt;=90,"61-90","90+")))))</f>
        <v/>
      </c>
    </row>
    <row r="32" customFormat="false" ht="15" hidden="false" customHeight="false" outlineLevel="0" collapsed="false">
      <c r="A32" s="11" t="str">
        <f aca="false">IF(Products!A32="","",Products!A32)</f>
        <v/>
      </c>
      <c r="B32" s="11" t="str">
        <f aca="false">IF(Products!A32="","",Products!B32)</f>
        <v/>
      </c>
      <c r="C32" s="11" t="str">
        <f aca="false">IF(Products!A32="","",Products!C32)</f>
        <v/>
      </c>
      <c r="D32" s="11" t="str">
        <f aca="false">IF(A32="","",SUMIFS(StockMovements!$E$2:$E$60,StockMovements!$B$2:$B$60,A32,StockMovements!$D$2:$D$60,"receipt")+SUMIFS(StockMovements!$E$2:$E$60,StockMovements!$B$2:$B$60,A32,StockMovements!$D$2:$D$60,"production_in")+SUMIFS(StockMovements!$E$2:$E$60,StockMovements!$B$2:$B$60,A32,StockMovements!$D$2:$D$60,"adjustment")-SUMIFS(StockMovements!$E$2:$E$60,StockMovements!$B$2:$B$60,A32,StockMovements!$D$2:$D$60,"issue")-SUMIFS(StockMovements!$E$2:$E$60,StockMovements!$B$2:$B$60,A32,StockMovements!$D$2:$D$60,"production_out")-SUMIFS(StockMovements!$E$2:$E$60,StockMovements!$B$2:$B$60,A32,StockMovements!$D$2:$D$60,"transfer")-SUMIFS(StockMovements!$E$2:$E$60,StockMovements!$B$2:$B$60,A32,StockMovements!$D$2:$D$60,"scrap"))</f>
        <v/>
      </c>
      <c r="E32" s="11" t="str">
        <f aca="false">IF(A32="","",Products!E32)</f>
        <v/>
      </c>
      <c r="F32" s="11" t="str">
        <f aca="false">IF(A32="","",D32*E32)</f>
        <v/>
      </c>
      <c r="G32" s="11" t="str">
        <f aca="false">IF(A32="","",Products!F32)</f>
        <v/>
      </c>
      <c r="H32" s="14" t="str">
        <f aca="false">IF(A32="","",IF(D32&lt;G32,"REORDER","OK"))</f>
        <v/>
      </c>
      <c r="I32" s="15" t="str">
        <f aca="false">IF(A32="","",IFERROR(_xlfn.MAXIFS(StockMovements!$A$2:$A$60,StockMovements!$B$2:$B$60,A32),0))</f>
        <v/>
      </c>
      <c r="J32" s="11" t="str">
        <f aca="true">IF(OR(A32="",I32=0),"",TODAY()-I32)</f>
        <v/>
      </c>
      <c r="K32" s="11" t="str">
        <f aca="false">IF(A32="","",IF(I32=0,"never moved",IF(J32&lt;=30,"0-30",IF(J32&lt;=60,"31-60",IF(J32&lt;=90,"61-90","90+")))))</f>
        <v/>
      </c>
    </row>
    <row r="33" customFormat="false" ht="15" hidden="false" customHeight="false" outlineLevel="0" collapsed="false">
      <c r="A33" s="11" t="str">
        <f aca="false">IF(Products!A33="","",Products!A33)</f>
        <v/>
      </c>
      <c r="B33" s="11" t="str">
        <f aca="false">IF(Products!A33="","",Products!B33)</f>
        <v/>
      </c>
      <c r="C33" s="11" t="str">
        <f aca="false">IF(Products!A33="","",Products!C33)</f>
        <v/>
      </c>
      <c r="D33" s="11" t="str">
        <f aca="false">IF(A33="","",SUMIFS(StockMovements!$E$2:$E$60,StockMovements!$B$2:$B$60,A33,StockMovements!$D$2:$D$60,"receipt")+SUMIFS(StockMovements!$E$2:$E$60,StockMovements!$B$2:$B$60,A33,StockMovements!$D$2:$D$60,"production_in")+SUMIFS(StockMovements!$E$2:$E$60,StockMovements!$B$2:$B$60,A33,StockMovements!$D$2:$D$60,"adjustment")-SUMIFS(StockMovements!$E$2:$E$60,StockMovements!$B$2:$B$60,A33,StockMovements!$D$2:$D$60,"issue")-SUMIFS(StockMovements!$E$2:$E$60,StockMovements!$B$2:$B$60,A33,StockMovements!$D$2:$D$60,"production_out")-SUMIFS(StockMovements!$E$2:$E$60,StockMovements!$B$2:$B$60,A33,StockMovements!$D$2:$D$60,"transfer")-SUMIFS(StockMovements!$E$2:$E$60,StockMovements!$B$2:$B$60,A33,StockMovements!$D$2:$D$60,"scrap"))</f>
        <v/>
      </c>
      <c r="E33" s="11" t="str">
        <f aca="false">IF(A33="","",Products!E33)</f>
        <v/>
      </c>
      <c r="F33" s="11" t="str">
        <f aca="false">IF(A33="","",D33*E33)</f>
        <v/>
      </c>
      <c r="G33" s="11" t="str">
        <f aca="false">IF(A33="","",Products!F33)</f>
        <v/>
      </c>
      <c r="H33" s="14" t="str">
        <f aca="false">IF(A33="","",IF(D33&lt;G33,"REORDER","OK"))</f>
        <v/>
      </c>
      <c r="I33" s="15" t="str">
        <f aca="false">IF(A33="","",IFERROR(_xlfn.MAXIFS(StockMovements!$A$2:$A$60,StockMovements!$B$2:$B$60,A33),0))</f>
        <v/>
      </c>
      <c r="J33" s="11" t="str">
        <f aca="true">IF(OR(A33="",I33=0),"",TODAY()-I33)</f>
        <v/>
      </c>
      <c r="K33" s="11" t="str">
        <f aca="false">IF(A33="","",IF(I33=0,"never moved",IF(J33&lt;=30,"0-30",IF(J33&lt;=60,"31-60",IF(J33&lt;=90,"61-90","90+")))))</f>
        <v/>
      </c>
    </row>
    <row r="34" customFormat="false" ht="15" hidden="false" customHeight="false" outlineLevel="0" collapsed="false">
      <c r="A34" s="11" t="str">
        <f aca="false">IF(Products!A34="","",Products!A34)</f>
        <v/>
      </c>
      <c r="B34" s="11" t="str">
        <f aca="false">IF(Products!A34="","",Products!B34)</f>
        <v/>
      </c>
      <c r="C34" s="11" t="str">
        <f aca="false">IF(Products!A34="","",Products!C34)</f>
        <v/>
      </c>
      <c r="D34" s="11" t="str">
        <f aca="false">IF(A34="","",SUMIFS(StockMovements!$E$2:$E$60,StockMovements!$B$2:$B$60,A34,StockMovements!$D$2:$D$60,"receipt")+SUMIFS(StockMovements!$E$2:$E$60,StockMovements!$B$2:$B$60,A34,StockMovements!$D$2:$D$60,"production_in")+SUMIFS(StockMovements!$E$2:$E$60,StockMovements!$B$2:$B$60,A34,StockMovements!$D$2:$D$60,"adjustment")-SUMIFS(StockMovements!$E$2:$E$60,StockMovements!$B$2:$B$60,A34,StockMovements!$D$2:$D$60,"issue")-SUMIFS(StockMovements!$E$2:$E$60,StockMovements!$B$2:$B$60,A34,StockMovements!$D$2:$D$60,"production_out")-SUMIFS(StockMovements!$E$2:$E$60,StockMovements!$B$2:$B$60,A34,StockMovements!$D$2:$D$60,"transfer")-SUMIFS(StockMovements!$E$2:$E$60,StockMovements!$B$2:$B$60,A34,StockMovements!$D$2:$D$60,"scrap"))</f>
        <v/>
      </c>
      <c r="E34" s="11" t="str">
        <f aca="false">IF(A34="","",Products!E34)</f>
        <v/>
      </c>
      <c r="F34" s="11" t="str">
        <f aca="false">IF(A34="","",D34*E34)</f>
        <v/>
      </c>
      <c r="G34" s="11" t="str">
        <f aca="false">IF(A34="","",Products!F34)</f>
        <v/>
      </c>
      <c r="H34" s="14" t="str">
        <f aca="false">IF(A34="","",IF(D34&lt;G34,"REORDER","OK"))</f>
        <v/>
      </c>
      <c r="I34" s="15" t="str">
        <f aca="false">IF(A34="","",IFERROR(_xlfn.MAXIFS(StockMovements!$A$2:$A$60,StockMovements!$B$2:$B$60,A34),0))</f>
        <v/>
      </c>
      <c r="J34" s="11" t="str">
        <f aca="true">IF(OR(A34="",I34=0),"",TODAY()-I34)</f>
        <v/>
      </c>
      <c r="K34" s="11" t="str">
        <f aca="false">IF(A34="","",IF(I34=0,"never moved",IF(J34&lt;=30,"0-30",IF(J34&lt;=60,"31-60",IF(J34&lt;=90,"61-90","90+")))))</f>
        <v/>
      </c>
    </row>
    <row r="35" customFormat="false" ht="15" hidden="false" customHeight="false" outlineLevel="0" collapsed="false">
      <c r="A35" s="11" t="str">
        <f aca="false">IF(Products!A35="","",Products!A35)</f>
        <v/>
      </c>
      <c r="B35" s="11" t="str">
        <f aca="false">IF(Products!A35="","",Products!B35)</f>
        <v/>
      </c>
      <c r="C35" s="11" t="str">
        <f aca="false">IF(Products!A35="","",Products!C35)</f>
        <v/>
      </c>
      <c r="D35" s="11" t="str">
        <f aca="false">IF(A35="","",SUMIFS(StockMovements!$E$2:$E$60,StockMovements!$B$2:$B$60,A35,StockMovements!$D$2:$D$60,"receipt")+SUMIFS(StockMovements!$E$2:$E$60,StockMovements!$B$2:$B$60,A35,StockMovements!$D$2:$D$60,"production_in")+SUMIFS(StockMovements!$E$2:$E$60,StockMovements!$B$2:$B$60,A35,StockMovements!$D$2:$D$60,"adjustment")-SUMIFS(StockMovements!$E$2:$E$60,StockMovements!$B$2:$B$60,A35,StockMovements!$D$2:$D$60,"issue")-SUMIFS(StockMovements!$E$2:$E$60,StockMovements!$B$2:$B$60,A35,StockMovements!$D$2:$D$60,"production_out")-SUMIFS(StockMovements!$E$2:$E$60,StockMovements!$B$2:$B$60,A35,StockMovements!$D$2:$D$60,"transfer")-SUMIFS(StockMovements!$E$2:$E$60,StockMovements!$B$2:$B$60,A35,StockMovements!$D$2:$D$60,"scrap"))</f>
        <v/>
      </c>
      <c r="E35" s="11" t="str">
        <f aca="false">IF(A35="","",Products!E35)</f>
        <v/>
      </c>
      <c r="F35" s="11" t="str">
        <f aca="false">IF(A35="","",D35*E35)</f>
        <v/>
      </c>
      <c r="G35" s="11" t="str">
        <f aca="false">IF(A35="","",Products!F35)</f>
        <v/>
      </c>
      <c r="H35" s="14" t="str">
        <f aca="false">IF(A35="","",IF(D35&lt;G35,"REORDER","OK"))</f>
        <v/>
      </c>
      <c r="I35" s="15" t="str">
        <f aca="false">IF(A35="","",IFERROR(_xlfn.MAXIFS(StockMovements!$A$2:$A$60,StockMovements!$B$2:$B$60,A35),0))</f>
        <v/>
      </c>
      <c r="J35" s="11" t="str">
        <f aca="true">IF(OR(A35="",I35=0),"",TODAY()-I35)</f>
        <v/>
      </c>
      <c r="K35" s="11" t="str">
        <f aca="false">IF(A35="","",IF(I35=0,"never moved",IF(J35&lt;=30,"0-30",IF(J35&lt;=60,"31-60",IF(J35&lt;=90,"61-90","90+")))))</f>
        <v/>
      </c>
    </row>
    <row r="36" customFormat="false" ht="15" hidden="false" customHeight="false" outlineLevel="0" collapsed="false">
      <c r="A36" s="11" t="str">
        <f aca="false">IF(Products!A36="","",Products!A36)</f>
        <v/>
      </c>
      <c r="B36" s="11" t="str">
        <f aca="false">IF(Products!A36="","",Products!B36)</f>
        <v/>
      </c>
      <c r="C36" s="11" t="str">
        <f aca="false">IF(Products!A36="","",Products!C36)</f>
        <v/>
      </c>
      <c r="D36" s="11" t="str">
        <f aca="false">IF(A36="","",SUMIFS(StockMovements!$E$2:$E$60,StockMovements!$B$2:$B$60,A36,StockMovements!$D$2:$D$60,"receipt")+SUMIFS(StockMovements!$E$2:$E$60,StockMovements!$B$2:$B$60,A36,StockMovements!$D$2:$D$60,"production_in")+SUMIFS(StockMovements!$E$2:$E$60,StockMovements!$B$2:$B$60,A36,StockMovements!$D$2:$D$60,"adjustment")-SUMIFS(StockMovements!$E$2:$E$60,StockMovements!$B$2:$B$60,A36,StockMovements!$D$2:$D$60,"issue")-SUMIFS(StockMovements!$E$2:$E$60,StockMovements!$B$2:$B$60,A36,StockMovements!$D$2:$D$60,"production_out")-SUMIFS(StockMovements!$E$2:$E$60,StockMovements!$B$2:$B$60,A36,StockMovements!$D$2:$D$60,"transfer")-SUMIFS(StockMovements!$E$2:$E$60,StockMovements!$B$2:$B$60,A36,StockMovements!$D$2:$D$60,"scrap"))</f>
        <v/>
      </c>
      <c r="E36" s="11" t="str">
        <f aca="false">IF(A36="","",Products!E36)</f>
        <v/>
      </c>
      <c r="F36" s="11" t="str">
        <f aca="false">IF(A36="","",D36*E36)</f>
        <v/>
      </c>
      <c r="G36" s="11" t="str">
        <f aca="false">IF(A36="","",Products!F36)</f>
        <v/>
      </c>
      <c r="H36" s="14" t="str">
        <f aca="false">IF(A36="","",IF(D36&lt;G36,"REORDER","OK"))</f>
        <v/>
      </c>
      <c r="I36" s="15" t="str">
        <f aca="false">IF(A36="","",IFERROR(_xlfn.MAXIFS(StockMovements!$A$2:$A$60,StockMovements!$B$2:$B$60,A36),0))</f>
        <v/>
      </c>
      <c r="J36" s="11" t="str">
        <f aca="true">IF(OR(A36="",I36=0),"",TODAY()-I36)</f>
        <v/>
      </c>
      <c r="K36" s="11" t="str">
        <f aca="false">IF(A36="","",IF(I36=0,"never moved",IF(J36&lt;=30,"0-30",IF(J36&lt;=60,"31-60",IF(J36&lt;=90,"61-90","90+")))))</f>
        <v/>
      </c>
    </row>
    <row r="37" customFormat="false" ht="15" hidden="false" customHeight="false" outlineLevel="0" collapsed="false">
      <c r="A37" s="11" t="str">
        <f aca="false">IF(Products!A37="","",Products!A37)</f>
        <v/>
      </c>
      <c r="B37" s="11" t="str">
        <f aca="false">IF(Products!A37="","",Products!B37)</f>
        <v/>
      </c>
      <c r="C37" s="11" t="str">
        <f aca="false">IF(Products!A37="","",Products!C37)</f>
        <v/>
      </c>
      <c r="D37" s="11" t="str">
        <f aca="false">IF(A37="","",SUMIFS(StockMovements!$E$2:$E$60,StockMovements!$B$2:$B$60,A37,StockMovements!$D$2:$D$60,"receipt")+SUMIFS(StockMovements!$E$2:$E$60,StockMovements!$B$2:$B$60,A37,StockMovements!$D$2:$D$60,"production_in")+SUMIFS(StockMovements!$E$2:$E$60,StockMovements!$B$2:$B$60,A37,StockMovements!$D$2:$D$60,"adjustment")-SUMIFS(StockMovements!$E$2:$E$60,StockMovements!$B$2:$B$60,A37,StockMovements!$D$2:$D$60,"issue")-SUMIFS(StockMovements!$E$2:$E$60,StockMovements!$B$2:$B$60,A37,StockMovements!$D$2:$D$60,"production_out")-SUMIFS(StockMovements!$E$2:$E$60,StockMovements!$B$2:$B$60,A37,StockMovements!$D$2:$D$60,"transfer")-SUMIFS(StockMovements!$E$2:$E$60,StockMovements!$B$2:$B$60,A37,StockMovements!$D$2:$D$60,"scrap"))</f>
        <v/>
      </c>
      <c r="E37" s="11" t="str">
        <f aca="false">IF(A37="","",Products!E37)</f>
        <v/>
      </c>
      <c r="F37" s="11" t="str">
        <f aca="false">IF(A37="","",D37*E37)</f>
        <v/>
      </c>
      <c r="G37" s="11" t="str">
        <f aca="false">IF(A37="","",Products!F37)</f>
        <v/>
      </c>
      <c r="H37" s="14" t="str">
        <f aca="false">IF(A37="","",IF(D37&lt;G37,"REORDER","OK"))</f>
        <v/>
      </c>
      <c r="I37" s="15" t="str">
        <f aca="false">IF(A37="","",IFERROR(_xlfn.MAXIFS(StockMovements!$A$2:$A$60,StockMovements!$B$2:$B$60,A37),0))</f>
        <v/>
      </c>
      <c r="J37" s="11" t="str">
        <f aca="true">IF(OR(A37="",I37=0),"",TODAY()-I37)</f>
        <v/>
      </c>
      <c r="K37" s="11" t="str">
        <f aca="false">IF(A37="","",IF(I37=0,"never moved",IF(J37&lt;=30,"0-30",IF(J37&lt;=60,"31-60",IF(J37&lt;=90,"61-90","90+")))))</f>
        <v/>
      </c>
    </row>
    <row r="38" customFormat="false" ht="15" hidden="false" customHeight="false" outlineLevel="0" collapsed="false">
      <c r="A38" s="11" t="str">
        <f aca="false">IF(Products!A38="","",Products!A38)</f>
        <v/>
      </c>
      <c r="B38" s="11" t="str">
        <f aca="false">IF(Products!A38="","",Products!B38)</f>
        <v/>
      </c>
      <c r="C38" s="11" t="str">
        <f aca="false">IF(Products!A38="","",Products!C38)</f>
        <v/>
      </c>
      <c r="D38" s="11" t="str">
        <f aca="false">IF(A38="","",SUMIFS(StockMovements!$E$2:$E$60,StockMovements!$B$2:$B$60,A38,StockMovements!$D$2:$D$60,"receipt")+SUMIFS(StockMovements!$E$2:$E$60,StockMovements!$B$2:$B$60,A38,StockMovements!$D$2:$D$60,"production_in")+SUMIFS(StockMovements!$E$2:$E$60,StockMovements!$B$2:$B$60,A38,StockMovements!$D$2:$D$60,"adjustment")-SUMIFS(StockMovements!$E$2:$E$60,StockMovements!$B$2:$B$60,A38,StockMovements!$D$2:$D$60,"issue")-SUMIFS(StockMovements!$E$2:$E$60,StockMovements!$B$2:$B$60,A38,StockMovements!$D$2:$D$60,"production_out")-SUMIFS(StockMovements!$E$2:$E$60,StockMovements!$B$2:$B$60,A38,StockMovements!$D$2:$D$60,"transfer")-SUMIFS(StockMovements!$E$2:$E$60,StockMovements!$B$2:$B$60,A38,StockMovements!$D$2:$D$60,"scrap"))</f>
        <v/>
      </c>
      <c r="E38" s="11" t="str">
        <f aca="false">IF(A38="","",Products!E38)</f>
        <v/>
      </c>
      <c r="F38" s="11" t="str">
        <f aca="false">IF(A38="","",D38*E38)</f>
        <v/>
      </c>
      <c r="G38" s="11" t="str">
        <f aca="false">IF(A38="","",Products!F38)</f>
        <v/>
      </c>
      <c r="H38" s="14" t="str">
        <f aca="false">IF(A38="","",IF(D38&lt;G38,"REORDER","OK"))</f>
        <v/>
      </c>
      <c r="I38" s="15" t="str">
        <f aca="false">IF(A38="","",IFERROR(_xlfn.MAXIFS(StockMovements!$A$2:$A$60,StockMovements!$B$2:$B$60,A38),0))</f>
        <v/>
      </c>
      <c r="J38" s="11" t="str">
        <f aca="true">IF(OR(A38="",I38=0),"",TODAY()-I38)</f>
        <v/>
      </c>
      <c r="K38" s="11" t="str">
        <f aca="false">IF(A38="","",IF(I38=0,"never moved",IF(J38&lt;=30,"0-30",IF(J38&lt;=60,"31-60",IF(J38&lt;=90,"61-90","90+")))))</f>
        <v/>
      </c>
    </row>
    <row r="39" customFormat="false" ht="15" hidden="false" customHeight="false" outlineLevel="0" collapsed="false">
      <c r="A39" s="11" t="str">
        <f aca="false">IF(Products!A39="","",Products!A39)</f>
        <v/>
      </c>
      <c r="B39" s="11" t="str">
        <f aca="false">IF(Products!A39="","",Products!B39)</f>
        <v/>
      </c>
      <c r="C39" s="11" t="str">
        <f aca="false">IF(Products!A39="","",Products!C39)</f>
        <v/>
      </c>
      <c r="D39" s="11" t="str">
        <f aca="false">IF(A39="","",SUMIFS(StockMovements!$E$2:$E$60,StockMovements!$B$2:$B$60,A39,StockMovements!$D$2:$D$60,"receipt")+SUMIFS(StockMovements!$E$2:$E$60,StockMovements!$B$2:$B$60,A39,StockMovements!$D$2:$D$60,"production_in")+SUMIFS(StockMovements!$E$2:$E$60,StockMovements!$B$2:$B$60,A39,StockMovements!$D$2:$D$60,"adjustment")-SUMIFS(StockMovements!$E$2:$E$60,StockMovements!$B$2:$B$60,A39,StockMovements!$D$2:$D$60,"issue")-SUMIFS(StockMovements!$E$2:$E$60,StockMovements!$B$2:$B$60,A39,StockMovements!$D$2:$D$60,"production_out")-SUMIFS(StockMovements!$E$2:$E$60,StockMovements!$B$2:$B$60,A39,StockMovements!$D$2:$D$60,"transfer")-SUMIFS(StockMovements!$E$2:$E$60,StockMovements!$B$2:$B$60,A39,StockMovements!$D$2:$D$60,"scrap"))</f>
        <v/>
      </c>
      <c r="E39" s="11" t="str">
        <f aca="false">IF(A39="","",Products!E39)</f>
        <v/>
      </c>
      <c r="F39" s="11" t="str">
        <f aca="false">IF(A39="","",D39*E39)</f>
        <v/>
      </c>
      <c r="G39" s="11" t="str">
        <f aca="false">IF(A39="","",Products!F39)</f>
        <v/>
      </c>
      <c r="H39" s="14" t="str">
        <f aca="false">IF(A39="","",IF(D39&lt;G39,"REORDER","OK"))</f>
        <v/>
      </c>
      <c r="I39" s="15" t="str">
        <f aca="false">IF(A39="","",IFERROR(_xlfn.MAXIFS(StockMovements!$A$2:$A$60,StockMovements!$B$2:$B$60,A39),0))</f>
        <v/>
      </c>
      <c r="J39" s="11" t="str">
        <f aca="true">IF(OR(A39="",I39=0),"",TODAY()-I39)</f>
        <v/>
      </c>
      <c r="K39" s="11" t="str">
        <f aca="false">IF(A39="","",IF(I39=0,"never moved",IF(J39&lt;=30,"0-30",IF(J39&lt;=60,"31-60",IF(J39&lt;=90,"61-90","90+")))))</f>
        <v/>
      </c>
    </row>
    <row r="40" customFormat="false" ht="15" hidden="false" customHeight="false" outlineLevel="0" collapsed="false">
      <c r="A40" s="11" t="str">
        <f aca="false">IF(Products!A40="","",Products!A40)</f>
        <v/>
      </c>
      <c r="B40" s="11" t="str">
        <f aca="false">IF(Products!A40="","",Products!B40)</f>
        <v/>
      </c>
      <c r="C40" s="11" t="str">
        <f aca="false">IF(Products!A40="","",Products!C40)</f>
        <v/>
      </c>
      <c r="D40" s="11" t="str">
        <f aca="false">IF(A40="","",SUMIFS(StockMovements!$E$2:$E$60,StockMovements!$B$2:$B$60,A40,StockMovements!$D$2:$D$60,"receipt")+SUMIFS(StockMovements!$E$2:$E$60,StockMovements!$B$2:$B$60,A40,StockMovements!$D$2:$D$60,"production_in")+SUMIFS(StockMovements!$E$2:$E$60,StockMovements!$B$2:$B$60,A40,StockMovements!$D$2:$D$60,"adjustment")-SUMIFS(StockMovements!$E$2:$E$60,StockMovements!$B$2:$B$60,A40,StockMovements!$D$2:$D$60,"issue")-SUMIFS(StockMovements!$E$2:$E$60,StockMovements!$B$2:$B$60,A40,StockMovements!$D$2:$D$60,"production_out")-SUMIFS(StockMovements!$E$2:$E$60,StockMovements!$B$2:$B$60,A40,StockMovements!$D$2:$D$60,"transfer")-SUMIFS(StockMovements!$E$2:$E$60,StockMovements!$B$2:$B$60,A40,StockMovements!$D$2:$D$60,"scrap"))</f>
        <v/>
      </c>
      <c r="E40" s="11" t="str">
        <f aca="false">IF(A40="","",Products!E40)</f>
        <v/>
      </c>
      <c r="F40" s="11" t="str">
        <f aca="false">IF(A40="","",D40*E40)</f>
        <v/>
      </c>
      <c r="G40" s="11" t="str">
        <f aca="false">IF(A40="","",Products!F40)</f>
        <v/>
      </c>
      <c r="H40" s="14" t="str">
        <f aca="false">IF(A40="","",IF(D40&lt;G40,"REORDER","OK"))</f>
        <v/>
      </c>
      <c r="I40" s="15" t="str">
        <f aca="false">IF(A40="","",IFERROR(_xlfn.MAXIFS(StockMovements!$A$2:$A$60,StockMovements!$B$2:$B$60,A40),0))</f>
        <v/>
      </c>
      <c r="J40" s="11" t="str">
        <f aca="true">IF(OR(A40="",I40=0),"",TODAY()-I40)</f>
        <v/>
      </c>
      <c r="K40" s="11" t="str">
        <f aca="false">IF(A40="","",IF(I40=0,"never moved",IF(J40&lt;=30,"0-30",IF(J40&lt;=60,"31-60",IF(J40&lt;=90,"61-90","90+")))))</f>
        <v/>
      </c>
    </row>
    <row r="41" customFormat="false" ht="15" hidden="false" customHeight="false" outlineLevel="0" collapsed="false">
      <c r="A41" s="11" t="str">
        <f aca="false">IF(Products!A41="","",Products!A41)</f>
        <v/>
      </c>
      <c r="B41" s="11" t="str">
        <f aca="false">IF(Products!A41="","",Products!B41)</f>
        <v/>
      </c>
      <c r="C41" s="11" t="str">
        <f aca="false">IF(Products!A41="","",Products!C41)</f>
        <v/>
      </c>
      <c r="D41" s="11" t="str">
        <f aca="false">IF(A41="","",SUMIFS(StockMovements!$E$2:$E$60,StockMovements!$B$2:$B$60,A41,StockMovements!$D$2:$D$60,"receipt")+SUMIFS(StockMovements!$E$2:$E$60,StockMovements!$B$2:$B$60,A41,StockMovements!$D$2:$D$60,"production_in")+SUMIFS(StockMovements!$E$2:$E$60,StockMovements!$B$2:$B$60,A41,StockMovements!$D$2:$D$60,"adjustment")-SUMIFS(StockMovements!$E$2:$E$60,StockMovements!$B$2:$B$60,A41,StockMovements!$D$2:$D$60,"issue")-SUMIFS(StockMovements!$E$2:$E$60,StockMovements!$B$2:$B$60,A41,StockMovements!$D$2:$D$60,"production_out")-SUMIFS(StockMovements!$E$2:$E$60,StockMovements!$B$2:$B$60,A41,StockMovements!$D$2:$D$60,"transfer")-SUMIFS(StockMovements!$E$2:$E$60,StockMovements!$B$2:$B$60,A41,StockMovements!$D$2:$D$60,"scrap"))</f>
        <v/>
      </c>
      <c r="E41" s="11" t="str">
        <f aca="false">IF(A41="","",Products!E41)</f>
        <v/>
      </c>
      <c r="F41" s="11" t="str">
        <f aca="false">IF(A41="","",D41*E41)</f>
        <v/>
      </c>
      <c r="G41" s="11" t="str">
        <f aca="false">IF(A41="","",Products!F41)</f>
        <v/>
      </c>
      <c r="H41" s="14" t="str">
        <f aca="false">IF(A41="","",IF(D41&lt;G41,"REORDER","OK"))</f>
        <v/>
      </c>
      <c r="I41" s="15" t="str">
        <f aca="false">IF(A41="","",IFERROR(_xlfn.MAXIFS(StockMovements!$A$2:$A$60,StockMovements!$B$2:$B$60,A41),0))</f>
        <v/>
      </c>
      <c r="J41" s="11" t="str">
        <f aca="true">IF(OR(A41="",I41=0),"",TODAY()-I41)</f>
        <v/>
      </c>
      <c r="K41" s="11" t="str">
        <f aca="false">IF(A41="","",IF(I41=0,"never moved",IF(J41&lt;=30,"0-30",IF(J41&lt;=60,"31-60",IF(J41&lt;=90,"61-90","90+")))))</f>
        <v/>
      </c>
    </row>
    <row r="42" customFormat="false" ht="15" hidden="false" customHeight="false" outlineLevel="0" collapsed="false">
      <c r="A42" s="11" t="str">
        <f aca="false">IF(Products!A42="","",Products!A42)</f>
        <v/>
      </c>
      <c r="B42" s="11" t="str">
        <f aca="false">IF(Products!A42="","",Products!B42)</f>
        <v/>
      </c>
      <c r="C42" s="11" t="str">
        <f aca="false">IF(Products!A42="","",Products!C42)</f>
        <v/>
      </c>
      <c r="D42" s="11" t="str">
        <f aca="false">IF(A42="","",SUMIFS(StockMovements!$E$2:$E$60,StockMovements!$B$2:$B$60,A42,StockMovements!$D$2:$D$60,"receipt")+SUMIFS(StockMovements!$E$2:$E$60,StockMovements!$B$2:$B$60,A42,StockMovements!$D$2:$D$60,"production_in")+SUMIFS(StockMovements!$E$2:$E$60,StockMovements!$B$2:$B$60,A42,StockMovements!$D$2:$D$60,"adjustment")-SUMIFS(StockMovements!$E$2:$E$60,StockMovements!$B$2:$B$60,A42,StockMovements!$D$2:$D$60,"issue")-SUMIFS(StockMovements!$E$2:$E$60,StockMovements!$B$2:$B$60,A42,StockMovements!$D$2:$D$60,"production_out")-SUMIFS(StockMovements!$E$2:$E$60,StockMovements!$B$2:$B$60,A42,StockMovements!$D$2:$D$60,"transfer")-SUMIFS(StockMovements!$E$2:$E$60,StockMovements!$B$2:$B$60,A42,StockMovements!$D$2:$D$60,"scrap"))</f>
        <v/>
      </c>
      <c r="E42" s="11" t="str">
        <f aca="false">IF(A42="","",Products!E42)</f>
        <v/>
      </c>
      <c r="F42" s="11" t="str">
        <f aca="false">IF(A42="","",D42*E42)</f>
        <v/>
      </c>
      <c r="G42" s="11" t="str">
        <f aca="false">IF(A42="","",Products!F42)</f>
        <v/>
      </c>
      <c r="H42" s="14" t="str">
        <f aca="false">IF(A42="","",IF(D42&lt;G42,"REORDER","OK"))</f>
        <v/>
      </c>
      <c r="I42" s="15" t="str">
        <f aca="false">IF(A42="","",IFERROR(_xlfn.MAXIFS(StockMovements!$A$2:$A$60,StockMovements!$B$2:$B$60,A42),0))</f>
        <v/>
      </c>
      <c r="J42" s="11" t="str">
        <f aca="true">IF(OR(A42="",I42=0),"",TODAY()-I42)</f>
        <v/>
      </c>
      <c r="K42" s="11" t="str">
        <f aca="false">IF(A42="","",IF(I42=0,"never moved",IF(J42&lt;=30,"0-30",IF(J42&lt;=60,"31-60",IF(J42&lt;=90,"61-90","90+")))))</f>
        <v/>
      </c>
    </row>
    <row r="43" customFormat="false" ht="15" hidden="false" customHeight="false" outlineLevel="0" collapsed="false">
      <c r="A43" s="11" t="str">
        <f aca="false">IF(Products!A43="","",Products!A43)</f>
        <v/>
      </c>
      <c r="B43" s="11" t="str">
        <f aca="false">IF(Products!A43="","",Products!B43)</f>
        <v/>
      </c>
      <c r="C43" s="11" t="str">
        <f aca="false">IF(Products!A43="","",Products!C43)</f>
        <v/>
      </c>
      <c r="D43" s="11" t="str">
        <f aca="false">IF(A43="","",SUMIFS(StockMovements!$E$2:$E$60,StockMovements!$B$2:$B$60,A43,StockMovements!$D$2:$D$60,"receipt")+SUMIFS(StockMovements!$E$2:$E$60,StockMovements!$B$2:$B$60,A43,StockMovements!$D$2:$D$60,"production_in")+SUMIFS(StockMovements!$E$2:$E$60,StockMovements!$B$2:$B$60,A43,StockMovements!$D$2:$D$60,"adjustment")-SUMIFS(StockMovements!$E$2:$E$60,StockMovements!$B$2:$B$60,A43,StockMovements!$D$2:$D$60,"issue")-SUMIFS(StockMovements!$E$2:$E$60,StockMovements!$B$2:$B$60,A43,StockMovements!$D$2:$D$60,"production_out")-SUMIFS(StockMovements!$E$2:$E$60,StockMovements!$B$2:$B$60,A43,StockMovements!$D$2:$D$60,"transfer")-SUMIFS(StockMovements!$E$2:$E$60,StockMovements!$B$2:$B$60,A43,StockMovements!$D$2:$D$60,"scrap"))</f>
        <v/>
      </c>
      <c r="E43" s="11" t="str">
        <f aca="false">IF(A43="","",Products!E43)</f>
        <v/>
      </c>
      <c r="F43" s="11" t="str">
        <f aca="false">IF(A43="","",D43*E43)</f>
        <v/>
      </c>
      <c r="G43" s="11" t="str">
        <f aca="false">IF(A43="","",Products!F43)</f>
        <v/>
      </c>
      <c r="H43" s="14" t="str">
        <f aca="false">IF(A43="","",IF(D43&lt;G43,"REORDER","OK"))</f>
        <v/>
      </c>
      <c r="I43" s="15" t="str">
        <f aca="false">IF(A43="","",IFERROR(_xlfn.MAXIFS(StockMovements!$A$2:$A$60,StockMovements!$B$2:$B$60,A43),0))</f>
        <v/>
      </c>
      <c r="J43" s="11" t="str">
        <f aca="true">IF(OR(A43="",I43=0),"",TODAY()-I43)</f>
        <v/>
      </c>
      <c r="K43" s="11" t="str">
        <f aca="false">IF(A43="","",IF(I43=0,"never moved",IF(J43&lt;=30,"0-30",IF(J43&lt;=60,"31-60",IF(J43&lt;=90,"61-90","90+")))))</f>
        <v/>
      </c>
    </row>
    <row r="44" customFormat="false" ht="15" hidden="false" customHeight="false" outlineLevel="0" collapsed="false">
      <c r="A44" s="11" t="str">
        <f aca="false">IF(Products!A44="","",Products!A44)</f>
        <v/>
      </c>
      <c r="B44" s="11" t="str">
        <f aca="false">IF(Products!A44="","",Products!B44)</f>
        <v/>
      </c>
      <c r="C44" s="11" t="str">
        <f aca="false">IF(Products!A44="","",Products!C44)</f>
        <v/>
      </c>
      <c r="D44" s="11" t="str">
        <f aca="false">IF(A44="","",SUMIFS(StockMovements!$E$2:$E$60,StockMovements!$B$2:$B$60,A44,StockMovements!$D$2:$D$60,"receipt")+SUMIFS(StockMovements!$E$2:$E$60,StockMovements!$B$2:$B$60,A44,StockMovements!$D$2:$D$60,"production_in")+SUMIFS(StockMovements!$E$2:$E$60,StockMovements!$B$2:$B$60,A44,StockMovements!$D$2:$D$60,"adjustment")-SUMIFS(StockMovements!$E$2:$E$60,StockMovements!$B$2:$B$60,A44,StockMovements!$D$2:$D$60,"issue")-SUMIFS(StockMovements!$E$2:$E$60,StockMovements!$B$2:$B$60,A44,StockMovements!$D$2:$D$60,"production_out")-SUMIFS(StockMovements!$E$2:$E$60,StockMovements!$B$2:$B$60,A44,StockMovements!$D$2:$D$60,"transfer")-SUMIFS(StockMovements!$E$2:$E$60,StockMovements!$B$2:$B$60,A44,StockMovements!$D$2:$D$60,"scrap"))</f>
        <v/>
      </c>
      <c r="E44" s="11" t="str">
        <f aca="false">IF(A44="","",Products!E44)</f>
        <v/>
      </c>
      <c r="F44" s="11" t="str">
        <f aca="false">IF(A44="","",D44*E44)</f>
        <v/>
      </c>
      <c r="G44" s="11" t="str">
        <f aca="false">IF(A44="","",Products!F44)</f>
        <v/>
      </c>
      <c r="H44" s="14" t="str">
        <f aca="false">IF(A44="","",IF(D44&lt;G44,"REORDER","OK"))</f>
        <v/>
      </c>
      <c r="I44" s="15" t="str">
        <f aca="false">IF(A44="","",IFERROR(_xlfn.MAXIFS(StockMovements!$A$2:$A$60,StockMovements!$B$2:$B$60,A44),0))</f>
        <v/>
      </c>
      <c r="J44" s="11" t="str">
        <f aca="true">IF(OR(A44="",I44=0),"",TODAY()-I44)</f>
        <v/>
      </c>
      <c r="K44" s="11" t="str">
        <f aca="false">IF(A44="","",IF(I44=0,"never moved",IF(J44&lt;=30,"0-30",IF(J44&lt;=60,"31-60",IF(J44&lt;=90,"61-90","90+")))))</f>
        <v/>
      </c>
    </row>
    <row r="45" customFormat="false" ht="15" hidden="false" customHeight="false" outlineLevel="0" collapsed="false">
      <c r="A45" s="11" t="str">
        <f aca="false">IF(Products!A45="","",Products!A45)</f>
        <v/>
      </c>
      <c r="B45" s="11" t="str">
        <f aca="false">IF(Products!A45="","",Products!B45)</f>
        <v/>
      </c>
      <c r="C45" s="11" t="str">
        <f aca="false">IF(Products!A45="","",Products!C45)</f>
        <v/>
      </c>
      <c r="D45" s="11" t="str">
        <f aca="false">IF(A45="","",SUMIFS(StockMovements!$E$2:$E$60,StockMovements!$B$2:$B$60,A45,StockMovements!$D$2:$D$60,"receipt")+SUMIFS(StockMovements!$E$2:$E$60,StockMovements!$B$2:$B$60,A45,StockMovements!$D$2:$D$60,"production_in")+SUMIFS(StockMovements!$E$2:$E$60,StockMovements!$B$2:$B$60,A45,StockMovements!$D$2:$D$60,"adjustment")-SUMIFS(StockMovements!$E$2:$E$60,StockMovements!$B$2:$B$60,A45,StockMovements!$D$2:$D$60,"issue")-SUMIFS(StockMovements!$E$2:$E$60,StockMovements!$B$2:$B$60,A45,StockMovements!$D$2:$D$60,"production_out")-SUMIFS(StockMovements!$E$2:$E$60,StockMovements!$B$2:$B$60,A45,StockMovements!$D$2:$D$60,"transfer")-SUMIFS(StockMovements!$E$2:$E$60,StockMovements!$B$2:$B$60,A45,StockMovements!$D$2:$D$60,"scrap"))</f>
        <v/>
      </c>
      <c r="E45" s="11" t="str">
        <f aca="false">IF(A45="","",Products!E45)</f>
        <v/>
      </c>
      <c r="F45" s="11" t="str">
        <f aca="false">IF(A45="","",D45*E45)</f>
        <v/>
      </c>
      <c r="G45" s="11" t="str">
        <f aca="false">IF(A45="","",Products!F45)</f>
        <v/>
      </c>
      <c r="H45" s="14" t="str">
        <f aca="false">IF(A45="","",IF(D45&lt;G45,"REORDER","OK"))</f>
        <v/>
      </c>
      <c r="I45" s="15" t="str">
        <f aca="false">IF(A45="","",IFERROR(_xlfn.MAXIFS(StockMovements!$A$2:$A$60,StockMovements!$B$2:$B$60,A45),0))</f>
        <v/>
      </c>
      <c r="J45" s="11" t="str">
        <f aca="true">IF(OR(A45="",I45=0),"",TODAY()-I45)</f>
        <v/>
      </c>
      <c r="K45" s="11" t="str">
        <f aca="false">IF(A45="","",IF(I45=0,"never moved",IF(J45&lt;=30,"0-30",IF(J45&lt;=60,"31-60",IF(J45&lt;=90,"61-90","90+")))))</f>
        <v/>
      </c>
    </row>
    <row r="46" customFormat="false" ht="15" hidden="false" customHeight="false" outlineLevel="0" collapsed="false">
      <c r="A46" s="11" t="str">
        <f aca="false">IF(Products!A46="","",Products!A46)</f>
        <v/>
      </c>
      <c r="B46" s="11" t="str">
        <f aca="false">IF(Products!A46="","",Products!B46)</f>
        <v/>
      </c>
      <c r="C46" s="11" t="str">
        <f aca="false">IF(Products!A46="","",Products!C46)</f>
        <v/>
      </c>
      <c r="D46" s="11" t="str">
        <f aca="false">IF(A46="","",SUMIFS(StockMovements!$E$2:$E$60,StockMovements!$B$2:$B$60,A46,StockMovements!$D$2:$D$60,"receipt")+SUMIFS(StockMovements!$E$2:$E$60,StockMovements!$B$2:$B$60,A46,StockMovements!$D$2:$D$60,"production_in")+SUMIFS(StockMovements!$E$2:$E$60,StockMovements!$B$2:$B$60,A46,StockMovements!$D$2:$D$60,"adjustment")-SUMIFS(StockMovements!$E$2:$E$60,StockMovements!$B$2:$B$60,A46,StockMovements!$D$2:$D$60,"issue")-SUMIFS(StockMovements!$E$2:$E$60,StockMovements!$B$2:$B$60,A46,StockMovements!$D$2:$D$60,"production_out")-SUMIFS(StockMovements!$E$2:$E$60,StockMovements!$B$2:$B$60,A46,StockMovements!$D$2:$D$60,"transfer")-SUMIFS(StockMovements!$E$2:$E$60,StockMovements!$B$2:$B$60,A46,StockMovements!$D$2:$D$60,"scrap"))</f>
        <v/>
      </c>
      <c r="E46" s="11" t="str">
        <f aca="false">IF(A46="","",Products!E46)</f>
        <v/>
      </c>
      <c r="F46" s="11" t="str">
        <f aca="false">IF(A46="","",D46*E46)</f>
        <v/>
      </c>
      <c r="G46" s="11" t="str">
        <f aca="false">IF(A46="","",Products!F46)</f>
        <v/>
      </c>
      <c r="H46" s="14" t="str">
        <f aca="false">IF(A46="","",IF(D46&lt;G46,"REORDER","OK"))</f>
        <v/>
      </c>
      <c r="I46" s="15" t="str">
        <f aca="false">IF(A46="","",IFERROR(_xlfn.MAXIFS(StockMovements!$A$2:$A$60,StockMovements!$B$2:$B$60,A46),0))</f>
        <v/>
      </c>
      <c r="J46" s="11" t="str">
        <f aca="true">IF(OR(A46="",I46=0),"",TODAY()-I46)</f>
        <v/>
      </c>
      <c r="K46" s="11" t="str">
        <f aca="false">IF(A46="","",IF(I46=0,"never moved",IF(J46&lt;=30,"0-30",IF(J46&lt;=60,"31-60",IF(J46&lt;=90,"61-90","90+")))))</f>
        <v/>
      </c>
    </row>
    <row r="47" customFormat="false" ht="15" hidden="false" customHeight="false" outlineLevel="0" collapsed="false">
      <c r="A47" s="11" t="str">
        <f aca="false">IF(Products!A47="","",Products!A47)</f>
        <v/>
      </c>
      <c r="B47" s="11" t="str">
        <f aca="false">IF(Products!A47="","",Products!B47)</f>
        <v/>
      </c>
      <c r="C47" s="11" t="str">
        <f aca="false">IF(Products!A47="","",Products!C47)</f>
        <v/>
      </c>
      <c r="D47" s="11" t="str">
        <f aca="false">IF(A47="","",SUMIFS(StockMovements!$E$2:$E$60,StockMovements!$B$2:$B$60,A47,StockMovements!$D$2:$D$60,"receipt")+SUMIFS(StockMovements!$E$2:$E$60,StockMovements!$B$2:$B$60,A47,StockMovements!$D$2:$D$60,"production_in")+SUMIFS(StockMovements!$E$2:$E$60,StockMovements!$B$2:$B$60,A47,StockMovements!$D$2:$D$60,"adjustment")-SUMIFS(StockMovements!$E$2:$E$60,StockMovements!$B$2:$B$60,A47,StockMovements!$D$2:$D$60,"issue")-SUMIFS(StockMovements!$E$2:$E$60,StockMovements!$B$2:$B$60,A47,StockMovements!$D$2:$D$60,"production_out")-SUMIFS(StockMovements!$E$2:$E$60,StockMovements!$B$2:$B$60,A47,StockMovements!$D$2:$D$60,"transfer")-SUMIFS(StockMovements!$E$2:$E$60,StockMovements!$B$2:$B$60,A47,StockMovements!$D$2:$D$60,"scrap"))</f>
        <v/>
      </c>
      <c r="E47" s="11" t="str">
        <f aca="false">IF(A47="","",Products!E47)</f>
        <v/>
      </c>
      <c r="F47" s="11" t="str">
        <f aca="false">IF(A47="","",D47*E47)</f>
        <v/>
      </c>
      <c r="G47" s="11" t="str">
        <f aca="false">IF(A47="","",Products!F47)</f>
        <v/>
      </c>
      <c r="H47" s="14" t="str">
        <f aca="false">IF(A47="","",IF(D47&lt;G47,"REORDER","OK"))</f>
        <v/>
      </c>
      <c r="I47" s="15" t="str">
        <f aca="false">IF(A47="","",IFERROR(_xlfn.MAXIFS(StockMovements!$A$2:$A$60,StockMovements!$B$2:$B$60,A47),0))</f>
        <v/>
      </c>
      <c r="J47" s="11" t="str">
        <f aca="true">IF(OR(A47="",I47=0),"",TODAY()-I47)</f>
        <v/>
      </c>
      <c r="K47" s="11" t="str">
        <f aca="false">IF(A47="","",IF(I47=0,"never moved",IF(J47&lt;=30,"0-30",IF(J47&lt;=60,"31-60",IF(J47&lt;=90,"61-90","90+")))))</f>
        <v/>
      </c>
    </row>
    <row r="48" customFormat="false" ht="15" hidden="false" customHeight="false" outlineLevel="0" collapsed="false">
      <c r="A48" s="11" t="str">
        <f aca="false">IF(Products!A48="","",Products!A48)</f>
        <v/>
      </c>
      <c r="B48" s="11" t="str">
        <f aca="false">IF(Products!A48="","",Products!B48)</f>
        <v/>
      </c>
      <c r="C48" s="11" t="str">
        <f aca="false">IF(Products!A48="","",Products!C48)</f>
        <v/>
      </c>
      <c r="D48" s="11" t="str">
        <f aca="false">IF(A48="","",SUMIFS(StockMovements!$E$2:$E$60,StockMovements!$B$2:$B$60,A48,StockMovements!$D$2:$D$60,"receipt")+SUMIFS(StockMovements!$E$2:$E$60,StockMovements!$B$2:$B$60,A48,StockMovements!$D$2:$D$60,"production_in")+SUMIFS(StockMovements!$E$2:$E$60,StockMovements!$B$2:$B$60,A48,StockMovements!$D$2:$D$60,"adjustment")-SUMIFS(StockMovements!$E$2:$E$60,StockMovements!$B$2:$B$60,A48,StockMovements!$D$2:$D$60,"issue")-SUMIFS(StockMovements!$E$2:$E$60,StockMovements!$B$2:$B$60,A48,StockMovements!$D$2:$D$60,"production_out")-SUMIFS(StockMovements!$E$2:$E$60,StockMovements!$B$2:$B$60,A48,StockMovements!$D$2:$D$60,"transfer")-SUMIFS(StockMovements!$E$2:$E$60,StockMovements!$B$2:$B$60,A48,StockMovements!$D$2:$D$60,"scrap"))</f>
        <v/>
      </c>
      <c r="E48" s="11" t="str">
        <f aca="false">IF(A48="","",Products!E48)</f>
        <v/>
      </c>
      <c r="F48" s="11" t="str">
        <f aca="false">IF(A48="","",D48*E48)</f>
        <v/>
      </c>
      <c r="G48" s="11" t="str">
        <f aca="false">IF(A48="","",Products!F48)</f>
        <v/>
      </c>
      <c r="H48" s="14" t="str">
        <f aca="false">IF(A48="","",IF(D48&lt;G48,"REORDER","OK"))</f>
        <v/>
      </c>
      <c r="I48" s="15" t="str">
        <f aca="false">IF(A48="","",IFERROR(_xlfn.MAXIFS(StockMovements!$A$2:$A$60,StockMovements!$B$2:$B$60,A48),0))</f>
        <v/>
      </c>
      <c r="J48" s="11" t="str">
        <f aca="true">IF(OR(A48="",I48=0),"",TODAY()-I48)</f>
        <v/>
      </c>
      <c r="K48" s="11" t="str">
        <f aca="false">IF(A48="","",IF(I48=0,"never moved",IF(J48&lt;=30,"0-30",IF(J48&lt;=60,"31-60",IF(J48&lt;=90,"61-90","90+")))))</f>
        <v/>
      </c>
    </row>
    <row r="49" customFormat="false" ht="15" hidden="false" customHeight="false" outlineLevel="0" collapsed="false">
      <c r="A49" s="11" t="str">
        <f aca="false">IF(Products!A49="","",Products!A49)</f>
        <v/>
      </c>
      <c r="B49" s="11" t="str">
        <f aca="false">IF(Products!A49="","",Products!B49)</f>
        <v/>
      </c>
      <c r="C49" s="11" t="str">
        <f aca="false">IF(Products!A49="","",Products!C49)</f>
        <v/>
      </c>
      <c r="D49" s="11" t="str">
        <f aca="false">IF(A49="","",SUMIFS(StockMovements!$E$2:$E$60,StockMovements!$B$2:$B$60,A49,StockMovements!$D$2:$D$60,"receipt")+SUMIFS(StockMovements!$E$2:$E$60,StockMovements!$B$2:$B$60,A49,StockMovements!$D$2:$D$60,"production_in")+SUMIFS(StockMovements!$E$2:$E$60,StockMovements!$B$2:$B$60,A49,StockMovements!$D$2:$D$60,"adjustment")-SUMIFS(StockMovements!$E$2:$E$60,StockMovements!$B$2:$B$60,A49,StockMovements!$D$2:$D$60,"issue")-SUMIFS(StockMovements!$E$2:$E$60,StockMovements!$B$2:$B$60,A49,StockMovements!$D$2:$D$60,"production_out")-SUMIFS(StockMovements!$E$2:$E$60,StockMovements!$B$2:$B$60,A49,StockMovements!$D$2:$D$60,"transfer")-SUMIFS(StockMovements!$E$2:$E$60,StockMovements!$B$2:$B$60,A49,StockMovements!$D$2:$D$60,"scrap"))</f>
        <v/>
      </c>
      <c r="E49" s="11" t="str">
        <f aca="false">IF(A49="","",Products!E49)</f>
        <v/>
      </c>
      <c r="F49" s="11" t="str">
        <f aca="false">IF(A49="","",D49*E49)</f>
        <v/>
      </c>
      <c r="G49" s="11" t="str">
        <f aca="false">IF(A49="","",Products!F49)</f>
        <v/>
      </c>
      <c r="H49" s="14" t="str">
        <f aca="false">IF(A49="","",IF(D49&lt;G49,"REORDER","OK"))</f>
        <v/>
      </c>
      <c r="I49" s="15" t="str">
        <f aca="false">IF(A49="","",IFERROR(_xlfn.MAXIFS(StockMovements!$A$2:$A$60,StockMovements!$B$2:$B$60,A49),0))</f>
        <v/>
      </c>
      <c r="J49" s="11" t="str">
        <f aca="true">IF(OR(A49="",I49=0),"",TODAY()-I49)</f>
        <v/>
      </c>
      <c r="K49" s="11" t="str">
        <f aca="false">IF(A49="","",IF(I49=0,"never moved",IF(J49&lt;=30,"0-30",IF(J49&lt;=60,"31-60",IF(J49&lt;=90,"61-90","90+")))))</f>
        <v/>
      </c>
    </row>
    <row r="50" customFormat="false" ht="15" hidden="false" customHeight="false" outlineLevel="0" collapsed="false">
      <c r="A50" s="11" t="str">
        <f aca="false">IF(Products!A50="","",Products!A50)</f>
        <v/>
      </c>
      <c r="B50" s="11" t="str">
        <f aca="false">IF(Products!A50="","",Products!B50)</f>
        <v/>
      </c>
      <c r="C50" s="11" t="str">
        <f aca="false">IF(Products!A50="","",Products!C50)</f>
        <v/>
      </c>
      <c r="D50" s="11" t="str">
        <f aca="false">IF(A50="","",SUMIFS(StockMovements!$E$2:$E$60,StockMovements!$B$2:$B$60,A50,StockMovements!$D$2:$D$60,"receipt")+SUMIFS(StockMovements!$E$2:$E$60,StockMovements!$B$2:$B$60,A50,StockMovements!$D$2:$D$60,"production_in")+SUMIFS(StockMovements!$E$2:$E$60,StockMovements!$B$2:$B$60,A50,StockMovements!$D$2:$D$60,"adjustment")-SUMIFS(StockMovements!$E$2:$E$60,StockMovements!$B$2:$B$60,A50,StockMovements!$D$2:$D$60,"issue")-SUMIFS(StockMovements!$E$2:$E$60,StockMovements!$B$2:$B$60,A50,StockMovements!$D$2:$D$60,"production_out")-SUMIFS(StockMovements!$E$2:$E$60,StockMovements!$B$2:$B$60,A50,StockMovements!$D$2:$D$60,"transfer")-SUMIFS(StockMovements!$E$2:$E$60,StockMovements!$B$2:$B$60,A50,StockMovements!$D$2:$D$60,"scrap"))</f>
        <v/>
      </c>
      <c r="E50" s="11" t="str">
        <f aca="false">IF(A50="","",Products!E50)</f>
        <v/>
      </c>
      <c r="F50" s="11" t="str">
        <f aca="false">IF(A50="","",D50*E50)</f>
        <v/>
      </c>
      <c r="G50" s="11" t="str">
        <f aca="false">IF(A50="","",Products!F50)</f>
        <v/>
      </c>
      <c r="H50" s="14" t="str">
        <f aca="false">IF(A50="","",IF(D50&lt;G50,"REORDER","OK"))</f>
        <v/>
      </c>
      <c r="I50" s="15" t="str">
        <f aca="false">IF(A50="","",IFERROR(_xlfn.MAXIFS(StockMovements!$A$2:$A$60,StockMovements!$B$2:$B$60,A50),0))</f>
        <v/>
      </c>
      <c r="J50" s="11" t="str">
        <f aca="true">IF(OR(A50="",I50=0),"",TODAY()-I50)</f>
        <v/>
      </c>
      <c r="K50" s="11" t="str">
        <f aca="false">IF(A50="","",IF(I50=0,"never moved",IF(J50&lt;=30,"0-30",IF(J50&lt;=60,"31-60",IF(J50&lt;=90,"61-90","90+")))))</f>
        <v/>
      </c>
    </row>
    <row r="51" customFormat="false" ht="15" hidden="false" customHeight="false" outlineLevel="0" collapsed="false">
      <c r="A51" s="11" t="str">
        <f aca="false">IF(Products!A51="","",Products!A51)</f>
        <v/>
      </c>
      <c r="B51" s="11" t="str">
        <f aca="false">IF(Products!A51="","",Products!B51)</f>
        <v/>
      </c>
      <c r="C51" s="11" t="str">
        <f aca="false">IF(Products!A51="","",Products!C51)</f>
        <v/>
      </c>
      <c r="D51" s="11" t="str">
        <f aca="false">IF(A51="","",SUMIFS(StockMovements!$E$2:$E$60,StockMovements!$B$2:$B$60,A51,StockMovements!$D$2:$D$60,"receipt")+SUMIFS(StockMovements!$E$2:$E$60,StockMovements!$B$2:$B$60,A51,StockMovements!$D$2:$D$60,"production_in")+SUMIFS(StockMovements!$E$2:$E$60,StockMovements!$B$2:$B$60,A51,StockMovements!$D$2:$D$60,"adjustment")-SUMIFS(StockMovements!$E$2:$E$60,StockMovements!$B$2:$B$60,A51,StockMovements!$D$2:$D$60,"issue")-SUMIFS(StockMovements!$E$2:$E$60,StockMovements!$B$2:$B$60,A51,StockMovements!$D$2:$D$60,"production_out")-SUMIFS(StockMovements!$E$2:$E$60,StockMovements!$B$2:$B$60,A51,StockMovements!$D$2:$D$60,"transfer")-SUMIFS(StockMovements!$E$2:$E$60,StockMovements!$B$2:$B$60,A51,StockMovements!$D$2:$D$60,"scrap"))</f>
        <v/>
      </c>
      <c r="E51" s="11" t="str">
        <f aca="false">IF(A51="","",Products!E51)</f>
        <v/>
      </c>
      <c r="F51" s="11" t="str">
        <f aca="false">IF(A51="","",D51*E51)</f>
        <v/>
      </c>
      <c r="G51" s="11" t="str">
        <f aca="false">IF(A51="","",Products!F51)</f>
        <v/>
      </c>
      <c r="H51" s="14" t="str">
        <f aca="false">IF(A51="","",IF(D51&lt;G51,"REORDER","OK"))</f>
        <v/>
      </c>
      <c r="I51" s="15" t="str">
        <f aca="false">IF(A51="","",IFERROR(_xlfn.MAXIFS(StockMovements!$A$2:$A$60,StockMovements!$B$2:$B$60,A51),0))</f>
        <v/>
      </c>
      <c r="J51" s="11" t="str">
        <f aca="true">IF(OR(A51="",I51=0),"",TODAY()-I51)</f>
        <v/>
      </c>
      <c r="K51" s="11" t="str">
        <f aca="false">IF(A51="","",IF(I51=0,"never moved",IF(J51&lt;=30,"0-30",IF(J51&lt;=60,"31-60",IF(J51&lt;=90,"61-90","90+")))))</f>
        <v/>
      </c>
    </row>
    <row r="52" customFormat="false" ht="15" hidden="false" customHeight="false" outlineLevel="0" collapsed="false">
      <c r="A52" s="11" t="str">
        <f aca="false">IF(Products!A52="","",Products!A52)</f>
        <v/>
      </c>
      <c r="B52" s="11" t="str">
        <f aca="false">IF(Products!A52="","",Products!B52)</f>
        <v/>
      </c>
      <c r="C52" s="11" t="str">
        <f aca="false">IF(Products!A52="","",Products!C52)</f>
        <v/>
      </c>
      <c r="D52" s="11" t="str">
        <f aca="false">IF(A52="","",SUMIFS(StockMovements!$E$2:$E$60,StockMovements!$B$2:$B$60,A52,StockMovements!$D$2:$D$60,"receipt")+SUMIFS(StockMovements!$E$2:$E$60,StockMovements!$B$2:$B$60,A52,StockMovements!$D$2:$D$60,"production_in")+SUMIFS(StockMovements!$E$2:$E$60,StockMovements!$B$2:$B$60,A52,StockMovements!$D$2:$D$60,"adjustment")-SUMIFS(StockMovements!$E$2:$E$60,StockMovements!$B$2:$B$60,A52,StockMovements!$D$2:$D$60,"issue")-SUMIFS(StockMovements!$E$2:$E$60,StockMovements!$B$2:$B$60,A52,StockMovements!$D$2:$D$60,"production_out")-SUMIFS(StockMovements!$E$2:$E$60,StockMovements!$B$2:$B$60,A52,StockMovements!$D$2:$D$60,"transfer")-SUMIFS(StockMovements!$E$2:$E$60,StockMovements!$B$2:$B$60,A52,StockMovements!$D$2:$D$60,"scrap"))</f>
        <v/>
      </c>
      <c r="E52" s="11" t="str">
        <f aca="false">IF(A52="","",Products!E52)</f>
        <v/>
      </c>
      <c r="F52" s="11" t="str">
        <f aca="false">IF(A52="","",D52*E52)</f>
        <v/>
      </c>
      <c r="G52" s="11" t="str">
        <f aca="false">IF(A52="","",Products!F52)</f>
        <v/>
      </c>
      <c r="H52" s="14" t="str">
        <f aca="false">IF(A52="","",IF(D52&lt;G52,"REORDER","OK"))</f>
        <v/>
      </c>
      <c r="I52" s="15" t="str">
        <f aca="false">IF(A52="","",IFERROR(_xlfn.MAXIFS(StockMovements!$A$2:$A$60,StockMovements!$B$2:$B$60,A52),0))</f>
        <v/>
      </c>
      <c r="J52" s="11" t="str">
        <f aca="true">IF(OR(A52="",I52=0),"",TODAY()-I52)</f>
        <v/>
      </c>
      <c r="K52" s="11" t="str">
        <f aca="false">IF(A52="","",IF(I52=0,"never moved",IF(J52&lt;=30,"0-30",IF(J52&lt;=60,"31-60",IF(J52&lt;=90,"61-90","90+")))))</f>
        <v/>
      </c>
    </row>
    <row r="53" customFormat="false" ht="15" hidden="false" customHeight="false" outlineLevel="0" collapsed="false">
      <c r="A53" s="11" t="str">
        <f aca="false">IF(Products!A53="","",Products!A53)</f>
        <v/>
      </c>
      <c r="B53" s="11" t="str">
        <f aca="false">IF(Products!A53="","",Products!B53)</f>
        <v/>
      </c>
      <c r="C53" s="11" t="str">
        <f aca="false">IF(Products!A53="","",Products!C53)</f>
        <v/>
      </c>
      <c r="D53" s="11" t="str">
        <f aca="false">IF(A53="","",SUMIFS(StockMovements!$E$2:$E$60,StockMovements!$B$2:$B$60,A53,StockMovements!$D$2:$D$60,"receipt")+SUMIFS(StockMovements!$E$2:$E$60,StockMovements!$B$2:$B$60,A53,StockMovements!$D$2:$D$60,"production_in")+SUMIFS(StockMovements!$E$2:$E$60,StockMovements!$B$2:$B$60,A53,StockMovements!$D$2:$D$60,"adjustment")-SUMIFS(StockMovements!$E$2:$E$60,StockMovements!$B$2:$B$60,A53,StockMovements!$D$2:$D$60,"issue")-SUMIFS(StockMovements!$E$2:$E$60,StockMovements!$B$2:$B$60,A53,StockMovements!$D$2:$D$60,"production_out")-SUMIFS(StockMovements!$E$2:$E$60,StockMovements!$B$2:$B$60,A53,StockMovements!$D$2:$D$60,"transfer")-SUMIFS(StockMovements!$E$2:$E$60,StockMovements!$B$2:$B$60,A53,StockMovements!$D$2:$D$60,"scrap"))</f>
        <v/>
      </c>
      <c r="E53" s="11" t="str">
        <f aca="false">IF(A53="","",Products!E53)</f>
        <v/>
      </c>
      <c r="F53" s="11" t="str">
        <f aca="false">IF(A53="","",D53*E53)</f>
        <v/>
      </c>
      <c r="G53" s="11" t="str">
        <f aca="false">IF(A53="","",Products!F53)</f>
        <v/>
      </c>
      <c r="H53" s="14" t="str">
        <f aca="false">IF(A53="","",IF(D53&lt;G53,"REORDER","OK"))</f>
        <v/>
      </c>
      <c r="I53" s="15" t="str">
        <f aca="false">IF(A53="","",IFERROR(_xlfn.MAXIFS(StockMovements!$A$2:$A$60,StockMovements!$B$2:$B$60,A53),0))</f>
        <v/>
      </c>
      <c r="J53" s="11" t="str">
        <f aca="true">IF(OR(A53="",I53=0),"",TODAY()-I53)</f>
        <v/>
      </c>
      <c r="K53" s="11" t="str">
        <f aca="false">IF(A53="","",IF(I53=0,"never moved",IF(J53&lt;=30,"0-30",IF(J53&lt;=60,"31-60",IF(J53&lt;=90,"61-90","90+")))))</f>
        <v/>
      </c>
    </row>
    <row r="54" customFormat="false" ht="15" hidden="false" customHeight="false" outlineLevel="0" collapsed="false">
      <c r="A54" s="11" t="str">
        <f aca="false">IF(Products!A54="","",Products!A54)</f>
        <v/>
      </c>
      <c r="B54" s="11" t="str">
        <f aca="false">IF(Products!A54="","",Products!B54)</f>
        <v/>
      </c>
      <c r="C54" s="11" t="str">
        <f aca="false">IF(Products!A54="","",Products!C54)</f>
        <v/>
      </c>
      <c r="D54" s="11" t="str">
        <f aca="false">IF(A54="","",SUMIFS(StockMovements!$E$2:$E$60,StockMovements!$B$2:$B$60,A54,StockMovements!$D$2:$D$60,"receipt")+SUMIFS(StockMovements!$E$2:$E$60,StockMovements!$B$2:$B$60,A54,StockMovements!$D$2:$D$60,"production_in")+SUMIFS(StockMovements!$E$2:$E$60,StockMovements!$B$2:$B$60,A54,StockMovements!$D$2:$D$60,"adjustment")-SUMIFS(StockMovements!$E$2:$E$60,StockMovements!$B$2:$B$60,A54,StockMovements!$D$2:$D$60,"issue")-SUMIFS(StockMovements!$E$2:$E$60,StockMovements!$B$2:$B$60,A54,StockMovements!$D$2:$D$60,"production_out")-SUMIFS(StockMovements!$E$2:$E$60,StockMovements!$B$2:$B$60,A54,StockMovements!$D$2:$D$60,"transfer")-SUMIFS(StockMovements!$E$2:$E$60,StockMovements!$B$2:$B$60,A54,StockMovements!$D$2:$D$60,"scrap"))</f>
        <v/>
      </c>
      <c r="E54" s="11" t="str">
        <f aca="false">IF(A54="","",Products!E54)</f>
        <v/>
      </c>
      <c r="F54" s="11" t="str">
        <f aca="false">IF(A54="","",D54*E54)</f>
        <v/>
      </c>
      <c r="G54" s="11" t="str">
        <f aca="false">IF(A54="","",Products!F54)</f>
        <v/>
      </c>
      <c r="H54" s="14" t="str">
        <f aca="false">IF(A54="","",IF(D54&lt;G54,"REORDER","OK"))</f>
        <v/>
      </c>
      <c r="I54" s="15" t="str">
        <f aca="false">IF(A54="","",IFERROR(_xlfn.MAXIFS(StockMovements!$A$2:$A$60,StockMovements!$B$2:$B$60,A54),0))</f>
        <v/>
      </c>
      <c r="J54" s="11" t="str">
        <f aca="true">IF(OR(A54="",I54=0),"",TODAY()-I54)</f>
        <v/>
      </c>
      <c r="K54" s="11" t="str">
        <f aca="false">IF(A54="","",IF(I54=0,"never moved",IF(J54&lt;=30,"0-30",IF(J54&lt;=60,"31-60",IF(J54&lt;=90,"61-90","90+")))))</f>
        <v/>
      </c>
    </row>
    <row r="55" customFormat="false" ht="15" hidden="false" customHeight="false" outlineLevel="0" collapsed="false">
      <c r="A55" s="11" t="str">
        <f aca="false">IF(Products!A55="","",Products!A55)</f>
        <v/>
      </c>
      <c r="B55" s="11" t="str">
        <f aca="false">IF(Products!A55="","",Products!B55)</f>
        <v/>
      </c>
      <c r="C55" s="11" t="str">
        <f aca="false">IF(Products!A55="","",Products!C55)</f>
        <v/>
      </c>
      <c r="D55" s="11" t="str">
        <f aca="false">IF(A55="","",SUMIFS(StockMovements!$E$2:$E$60,StockMovements!$B$2:$B$60,A55,StockMovements!$D$2:$D$60,"receipt")+SUMIFS(StockMovements!$E$2:$E$60,StockMovements!$B$2:$B$60,A55,StockMovements!$D$2:$D$60,"production_in")+SUMIFS(StockMovements!$E$2:$E$60,StockMovements!$B$2:$B$60,A55,StockMovements!$D$2:$D$60,"adjustment")-SUMIFS(StockMovements!$E$2:$E$60,StockMovements!$B$2:$B$60,A55,StockMovements!$D$2:$D$60,"issue")-SUMIFS(StockMovements!$E$2:$E$60,StockMovements!$B$2:$B$60,A55,StockMovements!$D$2:$D$60,"production_out")-SUMIFS(StockMovements!$E$2:$E$60,StockMovements!$B$2:$B$60,A55,StockMovements!$D$2:$D$60,"transfer")-SUMIFS(StockMovements!$E$2:$E$60,StockMovements!$B$2:$B$60,A55,StockMovements!$D$2:$D$60,"scrap"))</f>
        <v/>
      </c>
      <c r="E55" s="11" t="str">
        <f aca="false">IF(A55="","",Products!E55)</f>
        <v/>
      </c>
      <c r="F55" s="11" t="str">
        <f aca="false">IF(A55="","",D55*E55)</f>
        <v/>
      </c>
      <c r="G55" s="11" t="str">
        <f aca="false">IF(A55="","",Products!F55)</f>
        <v/>
      </c>
      <c r="H55" s="14" t="str">
        <f aca="false">IF(A55="","",IF(D55&lt;G55,"REORDER","OK"))</f>
        <v/>
      </c>
      <c r="I55" s="15" t="str">
        <f aca="false">IF(A55="","",IFERROR(_xlfn.MAXIFS(StockMovements!$A$2:$A$60,StockMovements!$B$2:$B$60,A55),0))</f>
        <v/>
      </c>
      <c r="J55" s="11" t="str">
        <f aca="true">IF(OR(A55="",I55=0),"",TODAY()-I55)</f>
        <v/>
      </c>
      <c r="K55" s="11" t="str">
        <f aca="false">IF(A55="","",IF(I55=0,"never moved",IF(J55&lt;=30,"0-30",IF(J55&lt;=60,"31-60",IF(J55&lt;=90,"61-90","90+")))))</f>
        <v/>
      </c>
    </row>
    <row r="56" customFormat="false" ht="15" hidden="false" customHeight="false" outlineLevel="0" collapsed="false">
      <c r="A56" s="11" t="str">
        <f aca="false">IF(Products!A56="","",Products!A56)</f>
        <v/>
      </c>
      <c r="B56" s="11" t="str">
        <f aca="false">IF(Products!A56="","",Products!B56)</f>
        <v/>
      </c>
      <c r="C56" s="11" t="str">
        <f aca="false">IF(Products!A56="","",Products!C56)</f>
        <v/>
      </c>
      <c r="D56" s="11" t="str">
        <f aca="false">IF(A56="","",SUMIFS(StockMovements!$E$2:$E$60,StockMovements!$B$2:$B$60,A56,StockMovements!$D$2:$D$60,"receipt")+SUMIFS(StockMovements!$E$2:$E$60,StockMovements!$B$2:$B$60,A56,StockMovements!$D$2:$D$60,"production_in")+SUMIFS(StockMovements!$E$2:$E$60,StockMovements!$B$2:$B$60,A56,StockMovements!$D$2:$D$60,"adjustment")-SUMIFS(StockMovements!$E$2:$E$60,StockMovements!$B$2:$B$60,A56,StockMovements!$D$2:$D$60,"issue")-SUMIFS(StockMovements!$E$2:$E$60,StockMovements!$B$2:$B$60,A56,StockMovements!$D$2:$D$60,"production_out")-SUMIFS(StockMovements!$E$2:$E$60,StockMovements!$B$2:$B$60,A56,StockMovements!$D$2:$D$60,"transfer")-SUMIFS(StockMovements!$E$2:$E$60,StockMovements!$B$2:$B$60,A56,StockMovements!$D$2:$D$60,"scrap"))</f>
        <v/>
      </c>
      <c r="E56" s="11" t="str">
        <f aca="false">IF(A56="","",Products!E56)</f>
        <v/>
      </c>
      <c r="F56" s="11" t="str">
        <f aca="false">IF(A56="","",D56*E56)</f>
        <v/>
      </c>
      <c r="G56" s="11" t="str">
        <f aca="false">IF(A56="","",Products!F56)</f>
        <v/>
      </c>
      <c r="H56" s="14" t="str">
        <f aca="false">IF(A56="","",IF(D56&lt;G56,"REORDER","OK"))</f>
        <v/>
      </c>
      <c r="I56" s="15" t="str">
        <f aca="false">IF(A56="","",IFERROR(_xlfn.MAXIFS(StockMovements!$A$2:$A$60,StockMovements!$B$2:$B$60,A56),0))</f>
        <v/>
      </c>
      <c r="J56" s="11" t="str">
        <f aca="true">IF(OR(A56="",I56=0),"",TODAY()-I56)</f>
        <v/>
      </c>
      <c r="K56" s="11" t="str">
        <f aca="false">IF(A56="","",IF(I56=0,"never moved",IF(J56&lt;=30,"0-30",IF(J56&lt;=60,"31-60",IF(J56&lt;=90,"61-90","90+")))))</f>
        <v/>
      </c>
    </row>
    <row r="57" customFormat="false" ht="15" hidden="false" customHeight="false" outlineLevel="0" collapsed="false">
      <c r="A57" s="11" t="str">
        <f aca="false">IF(Products!A57="","",Products!A57)</f>
        <v/>
      </c>
      <c r="B57" s="11" t="str">
        <f aca="false">IF(Products!A57="","",Products!B57)</f>
        <v/>
      </c>
      <c r="C57" s="11" t="str">
        <f aca="false">IF(Products!A57="","",Products!C57)</f>
        <v/>
      </c>
      <c r="D57" s="11" t="str">
        <f aca="false">IF(A57="","",SUMIFS(StockMovements!$E$2:$E$60,StockMovements!$B$2:$B$60,A57,StockMovements!$D$2:$D$60,"receipt")+SUMIFS(StockMovements!$E$2:$E$60,StockMovements!$B$2:$B$60,A57,StockMovements!$D$2:$D$60,"production_in")+SUMIFS(StockMovements!$E$2:$E$60,StockMovements!$B$2:$B$60,A57,StockMovements!$D$2:$D$60,"adjustment")-SUMIFS(StockMovements!$E$2:$E$60,StockMovements!$B$2:$B$60,A57,StockMovements!$D$2:$D$60,"issue")-SUMIFS(StockMovements!$E$2:$E$60,StockMovements!$B$2:$B$60,A57,StockMovements!$D$2:$D$60,"production_out")-SUMIFS(StockMovements!$E$2:$E$60,StockMovements!$B$2:$B$60,A57,StockMovements!$D$2:$D$60,"transfer")-SUMIFS(StockMovements!$E$2:$E$60,StockMovements!$B$2:$B$60,A57,StockMovements!$D$2:$D$60,"scrap"))</f>
        <v/>
      </c>
      <c r="E57" s="11" t="str">
        <f aca="false">IF(A57="","",Products!E57)</f>
        <v/>
      </c>
      <c r="F57" s="11" t="str">
        <f aca="false">IF(A57="","",D57*E57)</f>
        <v/>
      </c>
      <c r="G57" s="11" t="str">
        <f aca="false">IF(A57="","",Products!F57)</f>
        <v/>
      </c>
      <c r="H57" s="14" t="str">
        <f aca="false">IF(A57="","",IF(D57&lt;G57,"REORDER","OK"))</f>
        <v/>
      </c>
      <c r="I57" s="15" t="str">
        <f aca="false">IF(A57="","",IFERROR(_xlfn.MAXIFS(StockMovements!$A$2:$A$60,StockMovements!$B$2:$B$60,A57),0))</f>
        <v/>
      </c>
      <c r="J57" s="11" t="str">
        <f aca="true">IF(OR(A57="",I57=0),"",TODAY()-I57)</f>
        <v/>
      </c>
      <c r="K57" s="11" t="str">
        <f aca="false">IF(A57="","",IF(I57=0,"never moved",IF(J57&lt;=30,"0-30",IF(J57&lt;=60,"31-60",IF(J57&lt;=90,"61-90","90+")))))</f>
        <v/>
      </c>
    </row>
    <row r="58" customFormat="false" ht="15" hidden="false" customHeight="false" outlineLevel="0" collapsed="false">
      <c r="A58" s="11" t="str">
        <f aca="false">IF(Products!A58="","",Products!A58)</f>
        <v/>
      </c>
      <c r="B58" s="11" t="str">
        <f aca="false">IF(Products!A58="","",Products!B58)</f>
        <v/>
      </c>
      <c r="C58" s="11" t="str">
        <f aca="false">IF(Products!A58="","",Products!C58)</f>
        <v/>
      </c>
      <c r="D58" s="11" t="str">
        <f aca="false">IF(A58="","",SUMIFS(StockMovements!$E$2:$E$60,StockMovements!$B$2:$B$60,A58,StockMovements!$D$2:$D$60,"receipt")+SUMIFS(StockMovements!$E$2:$E$60,StockMovements!$B$2:$B$60,A58,StockMovements!$D$2:$D$60,"production_in")+SUMIFS(StockMovements!$E$2:$E$60,StockMovements!$B$2:$B$60,A58,StockMovements!$D$2:$D$60,"adjustment")-SUMIFS(StockMovements!$E$2:$E$60,StockMovements!$B$2:$B$60,A58,StockMovements!$D$2:$D$60,"issue")-SUMIFS(StockMovements!$E$2:$E$60,StockMovements!$B$2:$B$60,A58,StockMovements!$D$2:$D$60,"production_out")-SUMIFS(StockMovements!$E$2:$E$60,StockMovements!$B$2:$B$60,A58,StockMovements!$D$2:$D$60,"transfer")-SUMIFS(StockMovements!$E$2:$E$60,StockMovements!$B$2:$B$60,A58,StockMovements!$D$2:$D$60,"scrap"))</f>
        <v/>
      </c>
      <c r="E58" s="11" t="str">
        <f aca="false">IF(A58="","",Products!E58)</f>
        <v/>
      </c>
      <c r="F58" s="11" t="str">
        <f aca="false">IF(A58="","",D58*E58)</f>
        <v/>
      </c>
      <c r="G58" s="11" t="str">
        <f aca="false">IF(A58="","",Products!F58)</f>
        <v/>
      </c>
      <c r="H58" s="14" t="str">
        <f aca="false">IF(A58="","",IF(D58&lt;G58,"REORDER","OK"))</f>
        <v/>
      </c>
      <c r="I58" s="15" t="str">
        <f aca="false">IF(A58="","",IFERROR(_xlfn.MAXIFS(StockMovements!$A$2:$A$60,StockMovements!$B$2:$B$60,A58),0))</f>
        <v/>
      </c>
      <c r="J58" s="11" t="str">
        <f aca="true">IF(OR(A58="",I58=0),"",TODAY()-I58)</f>
        <v/>
      </c>
      <c r="K58" s="11" t="str">
        <f aca="false">IF(A58="","",IF(I58=0,"never moved",IF(J58&lt;=30,"0-30",IF(J58&lt;=60,"31-60",IF(J58&lt;=90,"61-90","90+")))))</f>
        <v/>
      </c>
    </row>
    <row r="59" customFormat="false" ht="15" hidden="false" customHeight="false" outlineLevel="0" collapsed="false">
      <c r="A59" s="11" t="str">
        <f aca="false">IF(Products!A59="","",Products!A59)</f>
        <v/>
      </c>
      <c r="B59" s="11" t="str">
        <f aca="false">IF(Products!A59="","",Products!B59)</f>
        <v/>
      </c>
      <c r="C59" s="11" t="str">
        <f aca="false">IF(Products!A59="","",Products!C59)</f>
        <v/>
      </c>
      <c r="D59" s="11" t="str">
        <f aca="false">IF(A59="","",SUMIFS(StockMovements!$E$2:$E$60,StockMovements!$B$2:$B$60,A59,StockMovements!$D$2:$D$60,"receipt")+SUMIFS(StockMovements!$E$2:$E$60,StockMovements!$B$2:$B$60,A59,StockMovements!$D$2:$D$60,"production_in")+SUMIFS(StockMovements!$E$2:$E$60,StockMovements!$B$2:$B$60,A59,StockMovements!$D$2:$D$60,"adjustment")-SUMIFS(StockMovements!$E$2:$E$60,StockMovements!$B$2:$B$60,A59,StockMovements!$D$2:$D$60,"issue")-SUMIFS(StockMovements!$E$2:$E$60,StockMovements!$B$2:$B$60,A59,StockMovements!$D$2:$D$60,"production_out")-SUMIFS(StockMovements!$E$2:$E$60,StockMovements!$B$2:$B$60,A59,StockMovements!$D$2:$D$60,"transfer")-SUMIFS(StockMovements!$E$2:$E$60,StockMovements!$B$2:$B$60,A59,StockMovements!$D$2:$D$60,"scrap"))</f>
        <v/>
      </c>
      <c r="E59" s="11" t="str">
        <f aca="false">IF(A59="","",Products!E59)</f>
        <v/>
      </c>
      <c r="F59" s="11" t="str">
        <f aca="false">IF(A59="","",D59*E59)</f>
        <v/>
      </c>
      <c r="G59" s="11" t="str">
        <f aca="false">IF(A59="","",Products!F59)</f>
        <v/>
      </c>
      <c r="H59" s="14" t="str">
        <f aca="false">IF(A59="","",IF(D59&lt;G59,"REORDER","OK"))</f>
        <v/>
      </c>
      <c r="I59" s="15" t="str">
        <f aca="false">IF(A59="","",IFERROR(_xlfn.MAXIFS(StockMovements!$A$2:$A$60,StockMovements!$B$2:$B$60,A59),0))</f>
        <v/>
      </c>
      <c r="J59" s="11" t="str">
        <f aca="true">IF(OR(A59="",I59=0),"",TODAY()-I59)</f>
        <v/>
      </c>
      <c r="K59" s="11" t="str">
        <f aca="false">IF(A59="","",IF(I59=0,"never moved",IF(J59&lt;=30,"0-30",IF(J59&lt;=60,"31-60",IF(J59&lt;=90,"61-90","90+")))))</f>
        <v/>
      </c>
    </row>
    <row r="60" customFormat="false" ht="15" hidden="false" customHeight="false" outlineLevel="0" collapsed="false">
      <c r="A60" s="11" t="str">
        <f aca="false">IF(Products!A60="","",Products!A60)</f>
        <v/>
      </c>
      <c r="B60" s="11" t="str">
        <f aca="false">IF(Products!A60="","",Products!B60)</f>
        <v/>
      </c>
      <c r="C60" s="11" t="str">
        <f aca="false">IF(Products!A60="","",Products!C60)</f>
        <v/>
      </c>
      <c r="D60" s="11" t="str">
        <f aca="false">IF(A60="","",SUMIFS(StockMovements!$E$2:$E$60,StockMovements!$B$2:$B$60,A60,StockMovements!$D$2:$D$60,"receipt")+SUMIFS(StockMovements!$E$2:$E$60,StockMovements!$B$2:$B$60,A60,StockMovements!$D$2:$D$60,"production_in")+SUMIFS(StockMovements!$E$2:$E$60,StockMovements!$B$2:$B$60,A60,StockMovements!$D$2:$D$60,"adjustment")-SUMIFS(StockMovements!$E$2:$E$60,StockMovements!$B$2:$B$60,A60,StockMovements!$D$2:$D$60,"issue")-SUMIFS(StockMovements!$E$2:$E$60,StockMovements!$B$2:$B$60,A60,StockMovements!$D$2:$D$60,"production_out")-SUMIFS(StockMovements!$E$2:$E$60,StockMovements!$B$2:$B$60,A60,StockMovements!$D$2:$D$60,"transfer")-SUMIFS(StockMovements!$E$2:$E$60,StockMovements!$B$2:$B$60,A60,StockMovements!$D$2:$D$60,"scrap"))</f>
        <v/>
      </c>
      <c r="E60" s="11" t="str">
        <f aca="false">IF(A60="","",Products!E60)</f>
        <v/>
      </c>
      <c r="F60" s="11" t="str">
        <f aca="false">IF(A60="","",D60*E60)</f>
        <v/>
      </c>
      <c r="G60" s="11" t="str">
        <f aca="false">IF(A60="","",Products!F60)</f>
        <v/>
      </c>
      <c r="H60" s="14" t="str">
        <f aca="false">IF(A60="","",IF(D60&lt;G60,"REORDER","OK"))</f>
        <v/>
      </c>
      <c r="I60" s="15" t="str">
        <f aca="false">IF(A60="","",IFERROR(_xlfn.MAXIFS(StockMovements!$A$2:$A$60,StockMovements!$B$2:$B$60,A60),0))</f>
        <v/>
      </c>
      <c r="J60" s="11" t="str">
        <f aca="true">IF(OR(A60="",I60=0),"",TODAY()-I60)</f>
        <v/>
      </c>
      <c r="K60" s="11" t="str">
        <f aca="false">IF(A60="","",IF(I60=0,"never moved",IF(J60&lt;=30,"0-30",IF(J60&lt;=60,"31-60",IF(J60&lt;=90,"61-90","90+")))))</f>
        <v/>
      </c>
    </row>
  </sheetData>
  <conditionalFormatting sqref="H2:H60">
    <cfRule type="cellIs" priority="2" operator="equal" aboveAverage="0" equalAverage="0" bottom="0" percent="0" rank="0" text="" dxfId="6">
      <formula>"REORDER"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20"/>
    <col collapsed="false" customWidth="true" hidden="false" outlineLevel="0" max="13" min="3" style="0" width="14"/>
  </cols>
  <sheetData>
    <row r="1" customFormat="false" ht="23.85" hidden="false" customHeight="false" outlineLevel="0" collapsed="false">
      <c r="A1" s="7" t="s">
        <v>17</v>
      </c>
      <c r="B1" s="7" t="s">
        <v>18</v>
      </c>
      <c r="C1" s="7" t="s">
        <v>20</v>
      </c>
      <c r="D1" s="7" t="s">
        <v>82</v>
      </c>
      <c r="E1" s="7" t="s">
        <v>94</v>
      </c>
      <c r="F1" s="7" t="s">
        <v>95</v>
      </c>
      <c r="G1" s="7" t="s">
        <v>96</v>
      </c>
      <c r="H1" s="7" t="s">
        <v>97</v>
      </c>
      <c r="I1" s="7" t="s">
        <v>98</v>
      </c>
      <c r="J1" s="7" t="s">
        <v>99</v>
      </c>
      <c r="K1" s="7" t="s">
        <v>100</v>
      </c>
      <c r="L1" s="7" t="s">
        <v>101</v>
      </c>
      <c r="M1" s="7" t="s">
        <v>102</v>
      </c>
    </row>
    <row r="2" customFormat="false" ht="15" hidden="false" customHeight="false" outlineLevel="0" collapsed="false">
      <c r="A2" s="11" t="str">
        <f aca="false">IF(Machines!A2="","",Machines!A2)</f>
        <v>PRESS-01</v>
      </c>
      <c r="B2" s="11" t="str">
        <f aca="false">IF(Machines!A2="","",Machines!B2)</f>
        <v>Hydraulic Press 1</v>
      </c>
      <c r="C2" s="11" t="n">
        <f aca="false">IF(A2="","",Machines!D2)</f>
        <v>120</v>
      </c>
      <c r="D2" s="11" t="n">
        <f aca="false">SUMIFS(WorkOrders!$M$2:$M$60,WorkOrders!$C$2:$C$60,A2)</f>
        <v>240</v>
      </c>
      <c r="E2" s="11" t="n">
        <f aca="false">SUMIFS(WorkOrders!$E$2:$E$60,WorkOrders!$C$2:$C$60,A2)</f>
        <v>470</v>
      </c>
      <c r="F2" s="11" t="n">
        <f aca="false">SUMIFS(WorkOrders!$F$2:$F$60,WorkOrders!$C$2:$C$60,A2)</f>
        <v>12</v>
      </c>
      <c r="G2" s="11" t="n">
        <f aca="false">E2-F2</f>
        <v>458</v>
      </c>
      <c r="H2" s="11" t="n">
        <f aca="false">SUMIFS(Downtime!$G$2:$G$60,Downtime!$A$2:$A$60,A2)</f>
        <v>40</v>
      </c>
      <c r="I2" s="11" t="n">
        <f aca="false">MAX(0,D2-H2)</f>
        <v>200</v>
      </c>
      <c r="J2" s="16" t="n">
        <f aca="false">IF(A2="","",IF(D2=0,0,MIN(1,I2/D2)))</f>
        <v>0.833333333333333</v>
      </c>
      <c r="K2" s="16" t="n">
        <f aca="false">IF(A2="","",IF(OR(I2=0,C2=0),0,MIN(1,E2/((I2/60)*C2))))</f>
        <v>1</v>
      </c>
      <c r="L2" s="16" t="n">
        <f aca="false">IF(A2="","",IF(E2=0,0,MIN(1,MAX(0,G2/E2))))</f>
        <v>0.974468085106383</v>
      </c>
      <c r="M2" s="16" t="n">
        <f aca="false">IF(A2="","",J2*K2*L2)</f>
        <v>0.812056737588653</v>
      </c>
    </row>
    <row r="3" customFormat="false" ht="15" hidden="false" customHeight="false" outlineLevel="0" collapsed="false">
      <c r="A3" s="11" t="str">
        <f aca="false">IF(Machines!A3="","",Machines!A3)</f>
        <v>PRESS-02</v>
      </c>
      <c r="B3" s="11" t="str">
        <f aca="false">IF(Machines!A3="","",Machines!B3)</f>
        <v>Hydraulic Press 2</v>
      </c>
      <c r="C3" s="11" t="n">
        <f aca="false">IF(A3="","",Machines!D3)</f>
        <v>100</v>
      </c>
      <c r="D3" s="11" t="n">
        <f aca="false">SUMIFS(WorkOrders!$M$2:$M$60,WorkOrders!$C$2:$C$60,A3)</f>
        <v>0</v>
      </c>
      <c r="E3" s="11" t="n">
        <f aca="false">SUMIFS(WorkOrders!$E$2:$E$60,WorkOrders!$C$2:$C$60,A3)</f>
        <v>0</v>
      </c>
      <c r="F3" s="11" t="n">
        <f aca="false">SUMIFS(WorkOrders!$F$2:$F$60,WorkOrders!$C$2:$C$60,A3)</f>
        <v>0</v>
      </c>
      <c r="G3" s="11" t="n">
        <f aca="false">E3-F3</f>
        <v>0</v>
      </c>
      <c r="H3" s="11" t="n">
        <f aca="false">SUMIFS(Downtime!$G$2:$G$60,Downtime!$A$2:$A$60,A3)</f>
        <v>0</v>
      </c>
      <c r="I3" s="11" t="n">
        <f aca="false">MAX(0,D3-H3)</f>
        <v>0</v>
      </c>
      <c r="J3" s="16" t="n">
        <f aca="false">IF(A3="","",IF(D3=0,0,MIN(1,I3/D3)))</f>
        <v>0</v>
      </c>
      <c r="K3" s="16" t="n">
        <f aca="false">IF(A3="","",IF(OR(I3=0,C3=0),0,MIN(1,E3/((I3/60)*C3))))</f>
        <v>0</v>
      </c>
      <c r="L3" s="16" t="n">
        <f aca="false">IF(A3="","",IF(E3=0,0,MIN(1,MAX(0,G3/E3))))</f>
        <v>0</v>
      </c>
      <c r="M3" s="16" t="n">
        <f aca="false">IF(A3="","",J3*K3*L3)</f>
        <v>0</v>
      </c>
    </row>
    <row r="4" customFormat="false" ht="15" hidden="false" customHeight="false" outlineLevel="0" collapsed="false">
      <c r="A4" s="11" t="str">
        <f aca="false">IF(Machines!A4="","",Machines!A4)</f>
        <v/>
      </c>
      <c r="B4" s="11" t="str">
        <f aca="false">IF(Machines!A4="","",Machines!B4)</f>
        <v/>
      </c>
      <c r="C4" s="11" t="str">
        <f aca="false">IF(A4="","",Machines!D4)</f>
        <v/>
      </c>
      <c r="D4" s="11" t="n">
        <f aca="false">SUMIFS(WorkOrders!$M$2:$M$60,WorkOrders!$C$2:$C$60,A4)</f>
        <v>0</v>
      </c>
      <c r="E4" s="11" t="n">
        <f aca="false">SUMIFS(WorkOrders!$E$2:$E$60,WorkOrders!$C$2:$C$60,A4)</f>
        <v>0</v>
      </c>
      <c r="F4" s="11" t="n">
        <f aca="false">SUMIFS(WorkOrders!$F$2:$F$60,WorkOrders!$C$2:$C$60,A4)</f>
        <v>0</v>
      </c>
      <c r="G4" s="11" t="n">
        <f aca="false">E4-F4</f>
        <v>0</v>
      </c>
      <c r="H4" s="11" t="n">
        <f aca="false">SUMIFS(Downtime!$G$2:$G$60,Downtime!$A$2:$A$60,A4)</f>
        <v>0</v>
      </c>
      <c r="I4" s="11" t="n">
        <f aca="false">MAX(0,D4-H4)</f>
        <v>0</v>
      </c>
      <c r="J4" s="16" t="str">
        <f aca="false">IF(A4="","",IF(D4=0,0,MIN(1,I4/D4)))</f>
        <v/>
      </c>
      <c r="K4" s="16" t="str">
        <f aca="false">IF(A4="","",IF(OR(I4=0,C4=0),0,MIN(1,E4/((I4/60)*C4))))</f>
        <v/>
      </c>
      <c r="L4" s="16" t="str">
        <f aca="false">IF(A4="","",IF(E4=0,0,MIN(1,MAX(0,G4/E4))))</f>
        <v/>
      </c>
      <c r="M4" s="16" t="str">
        <f aca="false">IF(A4="","",J4*K4*L4)</f>
        <v/>
      </c>
    </row>
    <row r="5" customFormat="false" ht="15" hidden="false" customHeight="false" outlineLevel="0" collapsed="false">
      <c r="A5" s="11" t="str">
        <f aca="false">IF(Machines!A5="","",Machines!A5)</f>
        <v/>
      </c>
      <c r="B5" s="11" t="str">
        <f aca="false">IF(Machines!A5="","",Machines!B5)</f>
        <v/>
      </c>
      <c r="C5" s="11" t="str">
        <f aca="false">IF(A5="","",Machines!D5)</f>
        <v/>
      </c>
      <c r="D5" s="11" t="n">
        <f aca="false">SUMIFS(WorkOrders!$M$2:$M$60,WorkOrders!$C$2:$C$60,A5)</f>
        <v>0</v>
      </c>
      <c r="E5" s="11" t="n">
        <f aca="false">SUMIFS(WorkOrders!$E$2:$E$60,WorkOrders!$C$2:$C$60,A5)</f>
        <v>0</v>
      </c>
      <c r="F5" s="11" t="n">
        <f aca="false">SUMIFS(WorkOrders!$F$2:$F$60,WorkOrders!$C$2:$C$60,A5)</f>
        <v>0</v>
      </c>
      <c r="G5" s="11" t="n">
        <f aca="false">E5-F5</f>
        <v>0</v>
      </c>
      <c r="H5" s="11" t="n">
        <f aca="false">SUMIFS(Downtime!$G$2:$G$60,Downtime!$A$2:$A$60,A5)</f>
        <v>0</v>
      </c>
      <c r="I5" s="11" t="n">
        <f aca="false">MAX(0,D5-H5)</f>
        <v>0</v>
      </c>
      <c r="J5" s="16" t="str">
        <f aca="false">IF(A5="","",IF(D5=0,0,MIN(1,I5/D5)))</f>
        <v/>
      </c>
      <c r="K5" s="16" t="str">
        <f aca="false">IF(A5="","",IF(OR(I5=0,C5=0),0,MIN(1,E5/((I5/60)*C5))))</f>
        <v/>
      </c>
      <c r="L5" s="16" t="str">
        <f aca="false">IF(A5="","",IF(E5=0,0,MIN(1,MAX(0,G5/E5))))</f>
        <v/>
      </c>
      <c r="M5" s="16" t="str">
        <f aca="false">IF(A5="","",J5*K5*L5)</f>
        <v/>
      </c>
    </row>
    <row r="6" customFormat="false" ht="15" hidden="false" customHeight="false" outlineLevel="0" collapsed="false">
      <c r="A6" s="11" t="str">
        <f aca="false">IF(Machines!A6="","",Machines!A6)</f>
        <v/>
      </c>
      <c r="B6" s="11" t="str">
        <f aca="false">IF(Machines!A6="","",Machines!B6)</f>
        <v/>
      </c>
      <c r="C6" s="11" t="str">
        <f aca="false">IF(A6="","",Machines!D6)</f>
        <v/>
      </c>
      <c r="D6" s="11" t="n">
        <f aca="false">SUMIFS(WorkOrders!$M$2:$M$60,WorkOrders!$C$2:$C$60,A6)</f>
        <v>0</v>
      </c>
      <c r="E6" s="11" t="n">
        <f aca="false">SUMIFS(WorkOrders!$E$2:$E$60,WorkOrders!$C$2:$C$60,A6)</f>
        <v>0</v>
      </c>
      <c r="F6" s="11" t="n">
        <f aca="false">SUMIFS(WorkOrders!$F$2:$F$60,WorkOrders!$C$2:$C$60,A6)</f>
        <v>0</v>
      </c>
      <c r="G6" s="11" t="n">
        <f aca="false">E6-F6</f>
        <v>0</v>
      </c>
      <c r="H6" s="11" t="n">
        <f aca="false">SUMIFS(Downtime!$G$2:$G$60,Downtime!$A$2:$A$60,A6)</f>
        <v>0</v>
      </c>
      <c r="I6" s="11" t="n">
        <f aca="false">MAX(0,D6-H6)</f>
        <v>0</v>
      </c>
      <c r="J6" s="16" t="str">
        <f aca="false">IF(A6="","",IF(D6=0,0,MIN(1,I6/D6)))</f>
        <v/>
      </c>
      <c r="K6" s="16" t="str">
        <f aca="false">IF(A6="","",IF(OR(I6=0,C6=0),0,MIN(1,E6/((I6/60)*C6))))</f>
        <v/>
      </c>
      <c r="L6" s="16" t="str">
        <f aca="false">IF(A6="","",IF(E6=0,0,MIN(1,MAX(0,G6/E6))))</f>
        <v/>
      </c>
      <c r="M6" s="16" t="str">
        <f aca="false">IF(A6="","",J6*K6*L6)</f>
        <v/>
      </c>
    </row>
    <row r="7" customFormat="false" ht="15" hidden="false" customHeight="false" outlineLevel="0" collapsed="false">
      <c r="A7" s="11" t="str">
        <f aca="false">IF(Machines!A7="","",Machines!A7)</f>
        <v/>
      </c>
      <c r="B7" s="11" t="str">
        <f aca="false">IF(Machines!A7="","",Machines!B7)</f>
        <v/>
      </c>
      <c r="C7" s="11" t="str">
        <f aca="false">IF(A7="","",Machines!D7)</f>
        <v/>
      </c>
      <c r="D7" s="11" t="n">
        <f aca="false">SUMIFS(WorkOrders!$M$2:$M$60,WorkOrders!$C$2:$C$60,A7)</f>
        <v>0</v>
      </c>
      <c r="E7" s="11" t="n">
        <f aca="false">SUMIFS(WorkOrders!$E$2:$E$60,WorkOrders!$C$2:$C$60,A7)</f>
        <v>0</v>
      </c>
      <c r="F7" s="11" t="n">
        <f aca="false">SUMIFS(WorkOrders!$F$2:$F$60,WorkOrders!$C$2:$C$60,A7)</f>
        <v>0</v>
      </c>
      <c r="G7" s="11" t="n">
        <f aca="false">E7-F7</f>
        <v>0</v>
      </c>
      <c r="H7" s="11" t="n">
        <f aca="false">SUMIFS(Downtime!$G$2:$G$60,Downtime!$A$2:$A$60,A7)</f>
        <v>0</v>
      </c>
      <c r="I7" s="11" t="n">
        <f aca="false">MAX(0,D7-H7)</f>
        <v>0</v>
      </c>
      <c r="J7" s="16" t="str">
        <f aca="false">IF(A7="","",IF(D7=0,0,MIN(1,I7/D7)))</f>
        <v/>
      </c>
      <c r="K7" s="16" t="str">
        <f aca="false">IF(A7="","",IF(OR(I7=0,C7=0),0,MIN(1,E7/((I7/60)*C7))))</f>
        <v/>
      </c>
      <c r="L7" s="16" t="str">
        <f aca="false">IF(A7="","",IF(E7=0,0,MIN(1,MAX(0,G7/E7))))</f>
        <v/>
      </c>
      <c r="M7" s="16" t="str">
        <f aca="false">IF(A7="","",J7*K7*L7)</f>
        <v/>
      </c>
    </row>
    <row r="8" customFormat="false" ht="15" hidden="false" customHeight="false" outlineLevel="0" collapsed="false">
      <c r="A8" s="11" t="str">
        <f aca="false">IF(Machines!A8="","",Machines!A8)</f>
        <v/>
      </c>
      <c r="B8" s="11" t="str">
        <f aca="false">IF(Machines!A8="","",Machines!B8)</f>
        <v/>
      </c>
      <c r="C8" s="11" t="str">
        <f aca="false">IF(A8="","",Machines!D8)</f>
        <v/>
      </c>
      <c r="D8" s="11" t="n">
        <f aca="false">SUMIFS(WorkOrders!$M$2:$M$60,WorkOrders!$C$2:$C$60,A8)</f>
        <v>0</v>
      </c>
      <c r="E8" s="11" t="n">
        <f aca="false">SUMIFS(WorkOrders!$E$2:$E$60,WorkOrders!$C$2:$C$60,A8)</f>
        <v>0</v>
      </c>
      <c r="F8" s="11" t="n">
        <f aca="false">SUMIFS(WorkOrders!$F$2:$F$60,WorkOrders!$C$2:$C$60,A8)</f>
        <v>0</v>
      </c>
      <c r="G8" s="11" t="n">
        <f aca="false">E8-F8</f>
        <v>0</v>
      </c>
      <c r="H8" s="11" t="n">
        <f aca="false">SUMIFS(Downtime!$G$2:$G$60,Downtime!$A$2:$A$60,A8)</f>
        <v>0</v>
      </c>
      <c r="I8" s="11" t="n">
        <f aca="false">MAX(0,D8-H8)</f>
        <v>0</v>
      </c>
      <c r="J8" s="16" t="str">
        <f aca="false">IF(A8="","",IF(D8=0,0,MIN(1,I8/D8)))</f>
        <v/>
      </c>
      <c r="K8" s="16" t="str">
        <f aca="false">IF(A8="","",IF(OR(I8=0,C8=0),0,MIN(1,E8/((I8/60)*C8))))</f>
        <v/>
      </c>
      <c r="L8" s="16" t="str">
        <f aca="false">IF(A8="","",IF(E8=0,0,MIN(1,MAX(0,G8/E8))))</f>
        <v/>
      </c>
      <c r="M8" s="16" t="str">
        <f aca="false">IF(A8="","",J8*K8*L8)</f>
        <v/>
      </c>
    </row>
    <row r="9" customFormat="false" ht="15" hidden="false" customHeight="false" outlineLevel="0" collapsed="false">
      <c r="A9" s="11" t="str">
        <f aca="false">IF(Machines!A9="","",Machines!A9)</f>
        <v/>
      </c>
      <c r="B9" s="11" t="str">
        <f aca="false">IF(Machines!A9="","",Machines!B9)</f>
        <v/>
      </c>
      <c r="C9" s="11" t="str">
        <f aca="false">IF(A9="","",Machines!D9)</f>
        <v/>
      </c>
      <c r="D9" s="11" t="n">
        <f aca="false">SUMIFS(WorkOrders!$M$2:$M$60,WorkOrders!$C$2:$C$60,A9)</f>
        <v>0</v>
      </c>
      <c r="E9" s="11" t="n">
        <f aca="false">SUMIFS(WorkOrders!$E$2:$E$60,WorkOrders!$C$2:$C$60,A9)</f>
        <v>0</v>
      </c>
      <c r="F9" s="11" t="n">
        <f aca="false">SUMIFS(WorkOrders!$F$2:$F$60,WorkOrders!$C$2:$C$60,A9)</f>
        <v>0</v>
      </c>
      <c r="G9" s="11" t="n">
        <f aca="false">E9-F9</f>
        <v>0</v>
      </c>
      <c r="H9" s="11" t="n">
        <f aca="false">SUMIFS(Downtime!$G$2:$G$60,Downtime!$A$2:$A$60,A9)</f>
        <v>0</v>
      </c>
      <c r="I9" s="11" t="n">
        <f aca="false">MAX(0,D9-H9)</f>
        <v>0</v>
      </c>
      <c r="J9" s="16" t="str">
        <f aca="false">IF(A9="","",IF(D9=0,0,MIN(1,I9/D9)))</f>
        <v/>
      </c>
      <c r="K9" s="16" t="str">
        <f aca="false">IF(A9="","",IF(OR(I9=0,C9=0),0,MIN(1,E9/((I9/60)*C9))))</f>
        <v/>
      </c>
      <c r="L9" s="16" t="str">
        <f aca="false">IF(A9="","",IF(E9=0,0,MIN(1,MAX(0,G9/E9))))</f>
        <v/>
      </c>
      <c r="M9" s="16" t="str">
        <f aca="false">IF(A9="","",J9*K9*L9)</f>
        <v/>
      </c>
    </row>
    <row r="10" customFormat="false" ht="15" hidden="false" customHeight="false" outlineLevel="0" collapsed="false">
      <c r="A10" s="11" t="str">
        <f aca="false">IF(Machines!A10="","",Machines!A10)</f>
        <v/>
      </c>
      <c r="B10" s="11" t="str">
        <f aca="false">IF(Machines!A10="","",Machines!B10)</f>
        <v/>
      </c>
      <c r="C10" s="11" t="str">
        <f aca="false">IF(A10="","",Machines!D10)</f>
        <v/>
      </c>
      <c r="D10" s="11" t="n">
        <f aca="false">SUMIFS(WorkOrders!$M$2:$M$60,WorkOrders!$C$2:$C$60,A10)</f>
        <v>0</v>
      </c>
      <c r="E10" s="11" t="n">
        <f aca="false">SUMIFS(WorkOrders!$E$2:$E$60,WorkOrders!$C$2:$C$60,A10)</f>
        <v>0</v>
      </c>
      <c r="F10" s="11" t="n">
        <f aca="false">SUMIFS(WorkOrders!$F$2:$F$60,WorkOrders!$C$2:$C$60,A10)</f>
        <v>0</v>
      </c>
      <c r="G10" s="11" t="n">
        <f aca="false">E10-F10</f>
        <v>0</v>
      </c>
      <c r="H10" s="11" t="n">
        <f aca="false">SUMIFS(Downtime!$G$2:$G$60,Downtime!$A$2:$A$60,A10)</f>
        <v>0</v>
      </c>
      <c r="I10" s="11" t="n">
        <f aca="false">MAX(0,D10-H10)</f>
        <v>0</v>
      </c>
      <c r="J10" s="16" t="str">
        <f aca="false">IF(A10="","",IF(D10=0,0,MIN(1,I10/D10)))</f>
        <v/>
      </c>
      <c r="K10" s="16" t="str">
        <f aca="false">IF(A10="","",IF(OR(I10=0,C10=0),0,MIN(1,E10/((I10/60)*C10))))</f>
        <v/>
      </c>
      <c r="L10" s="16" t="str">
        <f aca="false">IF(A10="","",IF(E10=0,0,MIN(1,MAX(0,G10/E10))))</f>
        <v/>
      </c>
      <c r="M10" s="16" t="str">
        <f aca="false">IF(A10="","",J10*K10*L10)</f>
        <v/>
      </c>
    </row>
    <row r="11" customFormat="false" ht="15" hidden="false" customHeight="false" outlineLevel="0" collapsed="false">
      <c r="A11" s="11" t="str">
        <f aca="false">IF(Machines!A11="","",Machines!A11)</f>
        <v/>
      </c>
      <c r="B11" s="11" t="str">
        <f aca="false">IF(Machines!A11="","",Machines!B11)</f>
        <v/>
      </c>
      <c r="C11" s="11" t="str">
        <f aca="false">IF(A11="","",Machines!D11)</f>
        <v/>
      </c>
      <c r="D11" s="11" t="n">
        <f aca="false">SUMIFS(WorkOrders!$M$2:$M$60,WorkOrders!$C$2:$C$60,A11)</f>
        <v>0</v>
      </c>
      <c r="E11" s="11" t="n">
        <f aca="false">SUMIFS(WorkOrders!$E$2:$E$60,WorkOrders!$C$2:$C$60,A11)</f>
        <v>0</v>
      </c>
      <c r="F11" s="11" t="n">
        <f aca="false">SUMIFS(WorkOrders!$F$2:$F$60,WorkOrders!$C$2:$C$60,A11)</f>
        <v>0</v>
      </c>
      <c r="G11" s="11" t="n">
        <f aca="false">E11-F11</f>
        <v>0</v>
      </c>
      <c r="H11" s="11" t="n">
        <f aca="false">SUMIFS(Downtime!$G$2:$G$60,Downtime!$A$2:$A$60,A11)</f>
        <v>0</v>
      </c>
      <c r="I11" s="11" t="n">
        <f aca="false">MAX(0,D11-H11)</f>
        <v>0</v>
      </c>
      <c r="J11" s="16" t="str">
        <f aca="false">IF(A11="","",IF(D11=0,0,MIN(1,I11/D11)))</f>
        <v/>
      </c>
      <c r="K11" s="16" t="str">
        <f aca="false">IF(A11="","",IF(OR(I11=0,C11=0),0,MIN(1,E11/((I11/60)*C11))))</f>
        <v/>
      </c>
      <c r="L11" s="16" t="str">
        <f aca="false">IF(A11="","",IF(E11=0,0,MIN(1,MAX(0,G11/E11))))</f>
        <v/>
      </c>
      <c r="M11" s="16" t="str">
        <f aca="false">IF(A11="","",J11*K11*L11)</f>
        <v/>
      </c>
    </row>
    <row r="12" customFormat="false" ht="15" hidden="false" customHeight="false" outlineLevel="0" collapsed="false">
      <c r="A12" s="11" t="str">
        <f aca="false">IF(Machines!A12="","",Machines!A12)</f>
        <v/>
      </c>
      <c r="B12" s="11" t="str">
        <f aca="false">IF(Machines!A12="","",Machines!B12)</f>
        <v/>
      </c>
      <c r="C12" s="11" t="str">
        <f aca="false">IF(A12="","",Machines!D12)</f>
        <v/>
      </c>
      <c r="D12" s="11" t="n">
        <f aca="false">SUMIFS(WorkOrders!$M$2:$M$60,WorkOrders!$C$2:$C$60,A12)</f>
        <v>0</v>
      </c>
      <c r="E12" s="11" t="n">
        <f aca="false">SUMIFS(WorkOrders!$E$2:$E$60,WorkOrders!$C$2:$C$60,A12)</f>
        <v>0</v>
      </c>
      <c r="F12" s="11" t="n">
        <f aca="false">SUMIFS(WorkOrders!$F$2:$F$60,WorkOrders!$C$2:$C$60,A12)</f>
        <v>0</v>
      </c>
      <c r="G12" s="11" t="n">
        <f aca="false">E12-F12</f>
        <v>0</v>
      </c>
      <c r="H12" s="11" t="n">
        <f aca="false">SUMIFS(Downtime!$G$2:$G$60,Downtime!$A$2:$A$60,A12)</f>
        <v>0</v>
      </c>
      <c r="I12" s="11" t="n">
        <f aca="false">MAX(0,D12-H12)</f>
        <v>0</v>
      </c>
      <c r="J12" s="16" t="str">
        <f aca="false">IF(A12="","",IF(D12=0,0,MIN(1,I12/D12)))</f>
        <v/>
      </c>
      <c r="K12" s="16" t="str">
        <f aca="false">IF(A12="","",IF(OR(I12=0,C12=0),0,MIN(1,E12/((I12/60)*C12))))</f>
        <v/>
      </c>
      <c r="L12" s="16" t="str">
        <f aca="false">IF(A12="","",IF(E12=0,0,MIN(1,MAX(0,G12/E12))))</f>
        <v/>
      </c>
      <c r="M12" s="16" t="str">
        <f aca="false">IF(A12="","",J12*K12*L12)</f>
        <v/>
      </c>
    </row>
    <row r="13" customFormat="false" ht="15" hidden="false" customHeight="false" outlineLevel="0" collapsed="false">
      <c r="A13" s="11" t="str">
        <f aca="false">IF(Machines!A13="","",Machines!A13)</f>
        <v/>
      </c>
      <c r="B13" s="11" t="str">
        <f aca="false">IF(Machines!A13="","",Machines!B13)</f>
        <v/>
      </c>
      <c r="C13" s="11" t="str">
        <f aca="false">IF(A13="","",Machines!D13)</f>
        <v/>
      </c>
      <c r="D13" s="11" t="n">
        <f aca="false">SUMIFS(WorkOrders!$M$2:$M$60,WorkOrders!$C$2:$C$60,A13)</f>
        <v>0</v>
      </c>
      <c r="E13" s="11" t="n">
        <f aca="false">SUMIFS(WorkOrders!$E$2:$E$60,WorkOrders!$C$2:$C$60,A13)</f>
        <v>0</v>
      </c>
      <c r="F13" s="11" t="n">
        <f aca="false">SUMIFS(WorkOrders!$F$2:$F$60,WorkOrders!$C$2:$C$60,A13)</f>
        <v>0</v>
      </c>
      <c r="G13" s="11" t="n">
        <f aca="false">E13-F13</f>
        <v>0</v>
      </c>
      <c r="H13" s="11" t="n">
        <f aca="false">SUMIFS(Downtime!$G$2:$G$60,Downtime!$A$2:$A$60,A13)</f>
        <v>0</v>
      </c>
      <c r="I13" s="11" t="n">
        <f aca="false">MAX(0,D13-H13)</f>
        <v>0</v>
      </c>
      <c r="J13" s="16" t="str">
        <f aca="false">IF(A13="","",IF(D13=0,0,MIN(1,I13/D13)))</f>
        <v/>
      </c>
      <c r="K13" s="16" t="str">
        <f aca="false">IF(A13="","",IF(OR(I13=0,C13=0),0,MIN(1,E13/((I13/60)*C13))))</f>
        <v/>
      </c>
      <c r="L13" s="16" t="str">
        <f aca="false">IF(A13="","",IF(E13=0,0,MIN(1,MAX(0,G13/E13))))</f>
        <v/>
      </c>
      <c r="M13" s="16" t="str">
        <f aca="false">IF(A13="","",J13*K13*L13)</f>
        <v/>
      </c>
    </row>
    <row r="14" customFormat="false" ht="15" hidden="false" customHeight="false" outlineLevel="0" collapsed="false">
      <c r="A14" s="11" t="str">
        <f aca="false">IF(Machines!A14="","",Machines!A14)</f>
        <v/>
      </c>
      <c r="B14" s="11" t="str">
        <f aca="false">IF(Machines!A14="","",Machines!B14)</f>
        <v/>
      </c>
      <c r="C14" s="11" t="str">
        <f aca="false">IF(A14="","",Machines!D14)</f>
        <v/>
      </c>
      <c r="D14" s="11" t="n">
        <f aca="false">SUMIFS(WorkOrders!$M$2:$M$60,WorkOrders!$C$2:$C$60,A14)</f>
        <v>0</v>
      </c>
      <c r="E14" s="11" t="n">
        <f aca="false">SUMIFS(WorkOrders!$E$2:$E$60,WorkOrders!$C$2:$C$60,A14)</f>
        <v>0</v>
      </c>
      <c r="F14" s="11" t="n">
        <f aca="false">SUMIFS(WorkOrders!$F$2:$F$60,WorkOrders!$C$2:$C$60,A14)</f>
        <v>0</v>
      </c>
      <c r="G14" s="11" t="n">
        <f aca="false">E14-F14</f>
        <v>0</v>
      </c>
      <c r="H14" s="11" t="n">
        <f aca="false">SUMIFS(Downtime!$G$2:$G$60,Downtime!$A$2:$A$60,A14)</f>
        <v>0</v>
      </c>
      <c r="I14" s="11" t="n">
        <f aca="false">MAX(0,D14-H14)</f>
        <v>0</v>
      </c>
      <c r="J14" s="16" t="str">
        <f aca="false">IF(A14="","",IF(D14=0,0,MIN(1,I14/D14)))</f>
        <v/>
      </c>
      <c r="K14" s="16" t="str">
        <f aca="false">IF(A14="","",IF(OR(I14=0,C14=0),0,MIN(1,E14/((I14/60)*C14))))</f>
        <v/>
      </c>
      <c r="L14" s="16" t="str">
        <f aca="false">IF(A14="","",IF(E14=0,0,MIN(1,MAX(0,G14/E14))))</f>
        <v/>
      </c>
      <c r="M14" s="16" t="str">
        <f aca="false">IF(A14="","",J14*K14*L14)</f>
        <v/>
      </c>
    </row>
    <row r="15" customFormat="false" ht="15" hidden="false" customHeight="false" outlineLevel="0" collapsed="false">
      <c r="A15" s="11" t="str">
        <f aca="false">IF(Machines!A15="","",Machines!A15)</f>
        <v/>
      </c>
      <c r="B15" s="11" t="str">
        <f aca="false">IF(Machines!A15="","",Machines!B15)</f>
        <v/>
      </c>
      <c r="C15" s="11" t="str">
        <f aca="false">IF(A15="","",Machines!D15)</f>
        <v/>
      </c>
      <c r="D15" s="11" t="n">
        <f aca="false">SUMIFS(WorkOrders!$M$2:$M$60,WorkOrders!$C$2:$C$60,A15)</f>
        <v>0</v>
      </c>
      <c r="E15" s="11" t="n">
        <f aca="false">SUMIFS(WorkOrders!$E$2:$E$60,WorkOrders!$C$2:$C$60,A15)</f>
        <v>0</v>
      </c>
      <c r="F15" s="11" t="n">
        <f aca="false">SUMIFS(WorkOrders!$F$2:$F$60,WorkOrders!$C$2:$C$60,A15)</f>
        <v>0</v>
      </c>
      <c r="G15" s="11" t="n">
        <f aca="false">E15-F15</f>
        <v>0</v>
      </c>
      <c r="H15" s="11" t="n">
        <f aca="false">SUMIFS(Downtime!$G$2:$G$60,Downtime!$A$2:$A$60,A15)</f>
        <v>0</v>
      </c>
      <c r="I15" s="11" t="n">
        <f aca="false">MAX(0,D15-H15)</f>
        <v>0</v>
      </c>
      <c r="J15" s="16" t="str">
        <f aca="false">IF(A15="","",IF(D15=0,0,MIN(1,I15/D15)))</f>
        <v/>
      </c>
      <c r="K15" s="16" t="str">
        <f aca="false">IF(A15="","",IF(OR(I15=0,C15=0),0,MIN(1,E15/((I15/60)*C15))))</f>
        <v/>
      </c>
      <c r="L15" s="16" t="str">
        <f aca="false">IF(A15="","",IF(E15=0,0,MIN(1,MAX(0,G15/E15))))</f>
        <v/>
      </c>
      <c r="M15" s="16" t="str">
        <f aca="false">IF(A15="","",J15*K15*L15)</f>
        <v/>
      </c>
    </row>
    <row r="16" customFormat="false" ht="15" hidden="false" customHeight="false" outlineLevel="0" collapsed="false">
      <c r="A16" s="11" t="str">
        <f aca="false">IF(Machines!A16="","",Machines!A16)</f>
        <v/>
      </c>
      <c r="B16" s="11" t="str">
        <f aca="false">IF(Machines!A16="","",Machines!B16)</f>
        <v/>
      </c>
      <c r="C16" s="11" t="str">
        <f aca="false">IF(A16="","",Machines!D16)</f>
        <v/>
      </c>
      <c r="D16" s="11" t="n">
        <f aca="false">SUMIFS(WorkOrders!$M$2:$M$60,WorkOrders!$C$2:$C$60,A16)</f>
        <v>0</v>
      </c>
      <c r="E16" s="11" t="n">
        <f aca="false">SUMIFS(WorkOrders!$E$2:$E$60,WorkOrders!$C$2:$C$60,A16)</f>
        <v>0</v>
      </c>
      <c r="F16" s="11" t="n">
        <f aca="false">SUMIFS(WorkOrders!$F$2:$F$60,WorkOrders!$C$2:$C$60,A16)</f>
        <v>0</v>
      </c>
      <c r="G16" s="11" t="n">
        <f aca="false">E16-F16</f>
        <v>0</v>
      </c>
      <c r="H16" s="11" t="n">
        <f aca="false">SUMIFS(Downtime!$G$2:$G$60,Downtime!$A$2:$A$60,A16)</f>
        <v>0</v>
      </c>
      <c r="I16" s="11" t="n">
        <f aca="false">MAX(0,D16-H16)</f>
        <v>0</v>
      </c>
      <c r="J16" s="16" t="str">
        <f aca="false">IF(A16="","",IF(D16=0,0,MIN(1,I16/D16)))</f>
        <v/>
      </c>
      <c r="K16" s="16" t="str">
        <f aca="false">IF(A16="","",IF(OR(I16=0,C16=0),0,MIN(1,E16/((I16/60)*C16))))</f>
        <v/>
      </c>
      <c r="L16" s="16" t="str">
        <f aca="false">IF(A16="","",IF(E16=0,0,MIN(1,MAX(0,G16/E16))))</f>
        <v/>
      </c>
      <c r="M16" s="16" t="str">
        <f aca="false">IF(A16="","",J16*K16*L16)</f>
        <v/>
      </c>
    </row>
    <row r="17" customFormat="false" ht="15" hidden="false" customHeight="false" outlineLevel="0" collapsed="false">
      <c r="A17" s="11" t="str">
        <f aca="false">IF(Machines!A17="","",Machines!A17)</f>
        <v/>
      </c>
      <c r="B17" s="11" t="str">
        <f aca="false">IF(Machines!A17="","",Machines!B17)</f>
        <v/>
      </c>
      <c r="C17" s="11" t="str">
        <f aca="false">IF(A17="","",Machines!D17)</f>
        <v/>
      </c>
      <c r="D17" s="11" t="n">
        <f aca="false">SUMIFS(WorkOrders!$M$2:$M$60,WorkOrders!$C$2:$C$60,A17)</f>
        <v>0</v>
      </c>
      <c r="E17" s="11" t="n">
        <f aca="false">SUMIFS(WorkOrders!$E$2:$E$60,WorkOrders!$C$2:$C$60,A17)</f>
        <v>0</v>
      </c>
      <c r="F17" s="11" t="n">
        <f aca="false">SUMIFS(WorkOrders!$F$2:$F$60,WorkOrders!$C$2:$C$60,A17)</f>
        <v>0</v>
      </c>
      <c r="G17" s="11" t="n">
        <f aca="false">E17-F17</f>
        <v>0</v>
      </c>
      <c r="H17" s="11" t="n">
        <f aca="false">SUMIFS(Downtime!$G$2:$G$60,Downtime!$A$2:$A$60,A17)</f>
        <v>0</v>
      </c>
      <c r="I17" s="11" t="n">
        <f aca="false">MAX(0,D17-H17)</f>
        <v>0</v>
      </c>
      <c r="J17" s="16" t="str">
        <f aca="false">IF(A17="","",IF(D17=0,0,MIN(1,I17/D17)))</f>
        <v/>
      </c>
      <c r="K17" s="16" t="str">
        <f aca="false">IF(A17="","",IF(OR(I17=0,C17=0),0,MIN(1,E17/((I17/60)*C17))))</f>
        <v/>
      </c>
      <c r="L17" s="16" t="str">
        <f aca="false">IF(A17="","",IF(E17=0,0,MIN(1,MAX(0,G17/E17))))</f>
        <v/>
      </c>
      <c r="M17" s="16" t="str">
        <f aca="false">IF(A17="","",J17*K17*L17)</f>
        <v/>
      </c>
    </row>
    <row r="18" customFormat="false" ht="15" hidden="false" customHeight="false" outlineLevel="0" collapsed="false">
      <c r="A18" s="11" t="str">
        <f aca="false">IF(Machines!A18="","",Machines!A18)</f>
        <v/>
      </c>
      <c r="B18" s="11" t="str">
        <f aca="false">IF(Machines!A18="","",Machines!B18)</f>
        <v/>
      </c>
      <c r="C18" s="11" t="str">
        <f aca="false">IF(A18="","",Machines!D18)</f>
        <v/>
      </c>
      <c r="D18" s="11" t="n">
        <f aca="false">SUMIFS(WorkOrders!$M$2:$M$60,WorkOrders!$C$2:$C$60,A18)</f>
        <v>0</v>
      </c>
      <c r="E18" s="11" t="n">
        <f aca="false">SUMIFS(WorkOrders!$E$2:$E$60,WorkOrders!$C$2:$C$60,A18)</f>
        <v>0</v>
      </c>
      <c r="F18" s="11" t="n">
        <f aca="false">SUMIFS(WorkOrders!$F$2:$F$60,WorkOrders!$C$2:$C$60,A18)</f>
        <v>0</v>
      </c>
      <c r="G18" s="11" t="n">
        <f aca="false">E18-F18</f>
        <v>0</v>
      </c>
      <c r="H18" s="11" t="n">
        <f aca="false">SUMIFS(Downtime!$G$2:$G$60,Downtime!$A$2:$A$60,A18)</f>
        <v>0</v>
      </c>
      <c r="I18" s="11" t="n">
        <f aca="false">MAX(0,D18-H18)</f>
        <v>0</v>
      </c>
      <c r="J18" s="16" t="str">
        <f aca="false">IF(A18="","",IF(D18=0,0,MIN(1,I18/D18)))</f>
        <v/>
      </c>
      <c r="K18" s="16" t="str">
        <f aca="false">IF(A18="","",IF(OR(I18=0,C18=0),0,MIN(1,E18/((I18/60)*C18))))</f>
        <v/>
      </c>
      <c r="L18" s="16" t="str">
        <f aca="false">IF(A18="","",IF(E18=0,0,MIN(1,MAX(0,G18/E18))))</f>
        <v/>
      </c>
      <c r="M18" s="16" t="str">
        <f aca="false">IF(A18="","",J18*K18*L18)</f>
        <v/>
      </c>
    </row>
    <row r="19" customFormat="false" ht="15" hidden="false" customHeight="false" outlineLevel="0" collapsed="false">
      <c r="A19" s="11" t="str">
        <f aca="false">IF(Machines!A19="","",Machines!A19)</f>
        <v/>
      </c>
      <c r="B19" s="11" t="str">
        <f aca="false">IF(Machines!A19="","",Machines!B19)</f>
        <v/>
      </c>
      <c r="C19" s="11" t="str">
        <f aca="false">IF(A19="","",Machines!D19)</f>
        <v/>
      </c>
      <c r="D19" s="11" t="n">
        <f aca="false">SUMIFS(WorkOrders!$M$2:$M$60,WorkOrders!$C$2:$C$60,A19)</f>
        <v>0</v>
      </c>
      <c r="E19" s="11" t="n">
        <f aca="false">SUMIFS(WorkOrders!$E$2:$E$60,WorkOrders!$C$2:$C$60,A19)</f>
        <v>0</v>
      </c>
      <c r="F19" s="11" t="n">
        <f aca="false">SUMIFS(WorkOrders!$F$2:$F$60,WorkOrders!$C$2:$C$60,A19)</f>
        <v>0</v>
      </c>
      <c r="G19" s="11" t="n">
        <f aca="false">E19-F19</f>
        <v>0</v>
      </c>
      <c r="H19" s="11" t="n">
        <f aca="false">SUMIFS(Downtime!$G$2:$G$60,Downtime!$A$2:$A$60,A19)</f>
        <v>0</v>
      </c>
      <c r="I19" s="11" t="n">
        <f aca="false">MAX(0,D19-H19)</f>
        <v>0</v>
      </c>
      <c r="J19" s="16" t="str">
        <f aca="false">IF(A19="","",IF(D19=0,0,MIN(1,I19/D19)))</f>
        <v/>
      </c>
      <c r="K19" s="16" t="str">
        <f aca="false">IF(A19="","",IF(OR(I19=0,C19=0),0,MIN(1,E19/((I19/60)*C19))))</f>
        <v/>
      </c>
      <c r="L19" s="16" t="str">
        <f aca="false">IF(A19="","",IF(E19=0,0,MIN(1,MAX(0,G19/E19))))</f>
        <v/>
      </c>
      <c r="M19" s="16" t="str">
        <f aca="false">IF(A19="","",J19*K19*L19)</f>
        <v/>
      </c>
    </row>
    <row r="20" customFormat="false" ht="15" hidden="false" customHeight="false" outlineLevel="0" collapsed="false">
      <c r="A20" s="11" t="str">
        <f aca="false">IF(Machines!A20="","",Machines!A20)</f>
        <v/>
      </c>
      <c r="B20" s="11" t="str">
        <f aca="false">IF(Machines!A20="","",Machines!B20)</f>
        <v/>
      </c>
      <c r="C20" s="11" t="str">
        <f aca="false">IF(A20="","",Machines!D20)</f>
        <v/>
      </c>
      <c r="D20" s="11" t="n">
        <f aca="false">SUMIFS(WorkOrders!$M$2:$M$60,WorkOrders!$C$2:$C$60,A20)</f>
        <v>0</v>
      </c>
      <c r="E20" s="11" t="n">
        <f aca="false">SUMIFS(WorkOrders!$E$2:$E$60,WorkOrders!$C$2:$C$60,A20)</f>
        <v>0</v>
      </c>
      <c r="F20" s="11" t="n">
        <f aca="false">SUMIFS(WorkOrders!$F$2:$F$60,WorkOrders!$C$2:$C$60,A20)</f>
        <v>0</v>
      </c>
      <c r="G20" s="11" t="n">
        <f aca="false">E20-F20</f>
        <v>0</v>
      </c>
      <c r="H20" s="11" t="n">
        <f aca="false">SUMIFS(Downtime!$G$2:$G$60,Downtime!$A$2:$A$60,A20)</f>
        <v>0</v>
      </c>
      <c r="I20" s="11" t="n">
        <f aca="false">MAX(0,D20-H20)</f>
        <v>0</v>
      </c>
      <c r="J20" s="16" t="str">
        <f aca="false">IF(A20="","",IF(D20=0,0,MIN(1,I20/D20)))</f>
        <v/>
      </c>
      <c r="K20" s="16" t="str">
        <f aca="false">IF(A20="","",IF(OR(I20=0,C20=0),0,MIN(1,E20/((I20/60)*C20))))</f>
        <v/>
      </c>
      <c r="L20" s="16" t="str">
        <f aca="false">IF(A20="","",IF(E20=0,0,MIN(1,MAX(0,G20/E20))))</f>
        <v/>
      </c>
      <c r="M20" s="16" t="str">
        <f aca="false">IF(A20="","",J20*K20*L20)</f>
        <v/>
      </c>
    </row>
    <row r="21" customFormat="false" ht="15" hidden="false" customHeight="false" outlineLevel="0" collapsed="false">
      <c r="A21" s="11" t="str">
        <f aca="false">IF(Machines!A21="","",Machines!A21)</f>
        <v/>
      </c>
      <c r="B21" s="11" t="str">
        <f aca="false">IF(Machines!A21="","",Machines!B21)</f>
        <v/>
      </c>
      <c r="C21" s="11" t="str">
        <f aca="false">IF(A21="","",Machines!D21)</f>
        <v/>
      </c>
      <c r="D21" s="11" t="n">
        <f aca="false">SUMIFS(WorkOrders!$M$2:$M$60,WorkOrders!$C$2:$C$60,A21)</f>
        <v>0</v>
      </c>
      <c r="E21" s="11" t="n">
        <f aca="false">SUMIFS(WorkOrders!$E$2:$E$60,WorkOrders!$C$2:$C$60,A21)</f>
        <v>0</v>
      </c>
      <c r="F21" s="11" t="n">
        <f aca="false">SUMIFS(WorkOrders!$F$2:$F$60,WorkOrders!$C$2:$C$60,A21)</f>
        <v>0</v>
      </c>
      <c r="G21" s="11" t="n">
        <f aca="false">E21-F21</f>
        <v>0</v>
      </c>
      <c r="H21" s="11" t="n">
        <f aca="false">SUMIFS(Downtime!$G$2:$G$60,Downtime!$A$2:$A$60,A21)</f>
        <v>0</v>
      </c>
      <c r="I21" s="11" t="n">
        <f aca="false">MAX(0,D21-H21)</f>
        <v>0</v>
      </c>
      <c r="J21" s="16" t="str">
        <f aca="false">IF(A21="","",IF(D21=0,0,MIN(1,I21/D21)))</f>
        <v/>
      </c>
      <c r="K21" s="16" t="str">
        <f aca="false">IF(A21="","",IF(OR(I21=0,C21=0),0,MIN(1,E21/((I21/60)*C21))))</f>
        <v/>
      </c>
      <c r="L21" s="16" t="str">
        <f aca="false">IF(A21="","",IF(E21=0,0,MIN(1,MAX(0,G21/E21))))</f>
        <v/>
      </c>
      <c r="M21" s="16" t="str">
        <f aca="false">IF(A21="","",J21*K21*L21)</f>
        <v/>
      </c>
    </row>
    <row r="22" customFormat="false" ht="15" hidden="false" customHeight="false" outlineLevel="0" collapsed="false">
      <c r="A22" s="11" t="str">
        <f aca="false">IF(Machines!A22="","",Machines!A22)</f>
        <v/>
      </c>
      <c r="B22" s="11" t="str">
        <f aca="false">IF(Machines!A22="","",Machines!B22)</f>
        <v/>
      </c>
      <c r="C22" s="11" t="str">
        <f aca="false">IF(A22="","",Machines!D22)</f>
        <v/>
      </c>
      <c r="D22" s="11" t="n">
        <f aca="false">SUMIFS(WorkOrders!$M$2:$M$60,WorkOrders!$C$2:$C$60,A22)</f>
        <v>0</v>
      </c>
      <c r="E22" s="11" t="n">
        <f aca="false">SUMIFS(WorkOrders!$E$2:$E$60,WorkOrders!$C$2:$C$60,A22)</f>
        <v>0</v>
      </c>
      <c r="F22" s="11" t="n">
        <f aca="false">SUMIFS(WorkOrders!$F$2:$F$60,WorkOrders!$C$2:$C$60,A22)</f>
        <v>0</v>
      </c>
      <c r="G22" s="11" t="n">
        <f aca="false">E22-F22</f>
        <v>0</v>
      </c>
      <c r="H22" s="11" t="n">
        <f aca="false">SUMIFS(Downtime!$G$2:$G$60,Downtime!$A$2:$A$60,A22)</f>
        <v>0</v>
      </c>
      <c r="I22" s="11" t="n">
        <f aca="false">MAX(0,D22-H22)</f>
        <v>0</v>
      </c>
      <c r="J22" s="16" t="str">
        <f aca="false">IF(A22="","",IF(D22=0,0,MIN(1,I22/D22)))</f>
        <v/>
      </c>
      <c r="K22" s="16" t="str">
        <f aca="false">IF(A22="","",IF(OR(I22=0,C22=0),0,MIN(1,E22/((I22/60)*C22))))</f>
        <v/>
      </c>
      <c r="L22" s="16" t="str">
        <f aca="false">IF(A22="","",IF(E22=0,0,MIN(1,MAX(0,G22/E22))))</f>
        <v/>
      </c>
      <c r="M22" s="16" t="str">
        <f aca="false">IF(A22="","",J22*K22*L22)</f>
        <v/>
      </c>
    </row>
    <row r="23" customFormat="false" ht="15" hidden="false" customHeight="false" outlineLevel="0" collapsed="false">
      <c r="A23" s="11" t="str">
        <f aca="false">IF(Machines!A23="","",Machines!A23)</f>
        <v/>
      </c>
      <c r="B23" s="11" t="str">
        <f aca="false">IF(Machines!A23="","",Machines!B23)</f>
        <v/>
      </c>
      <c r="C23" s="11" t="str">
        <f aca="false">IF(A23="","",Machines!D23)</f>
        <v/>
      </c>
      <c r="D23" s="11" t="n">
        <f aca="false">SUMIFS(WorkOrders!$M$2:$M$60,WorkOrders!$C$2:$C$60,A23)</f>
        <v>0</v>
      </c>
      <c r="E23" s="11" t="n">
        <f aca="false">SUMIFS(WorkOrders!$E$2:$E$60,WorkOrders!$C$2:$C$60,A23)</f>
        <v>0</v>
      </c>
      <c r="F23" s="11" t="n">
        <f aca="false">SUMIFS(WorkOrders!$F$2:$F$60,WorkOrders!$C$2:$C$60,A23)</f>
        <v>0</v>
      </c>
      <c r="G23" s="11" t="n">
        <f aca="false">E23-F23</f>
        <v>0</v>
      </c>
      <c r="H23" s="11" t="n">
        <f aca="false">SUMIFS(Downtime!$G$2:$G$60,Downtime!$A$2:$A$60,A23)</f>
        <v>0</v>
      </c>
      <c r="I23" s="11" t="n">
        <f aca="false">MAX(0,D23-H23)</f>
        <v>0</v>
      </c>
      <c r="J23" s="16" t="str">
        <f aca="false">IF(A23="","",IF(D23=0,0,MIN(1,I23/D23)))</f>
        <v/>
      </c>
      <c r="K23" s="16" t="str">
        <f aca="false">IF(A23="","",IF(OR(I23=0,C23=0),0,MIN(1,E23/((I23/60)*C23))))</f>
        <v/>
      </c>
      <c r="L23" s="16" t="str">
        <f aca="false">IF(A23="","",IF(E23=0,0,MIN(1,MAX(0,G23/E23))))</f>
        <v/>
      </c>
      <c r="M23" s="16" t="str">
        <f aca="false">IF(A23="","",J23*K23*L23)</f>
        <v/>
      </c>
    </row>
    <row r="24" customFormat="false" ht="15" hidden="false" customHeight="false" outlineLevel="0" collapsed="false">
      <c r="A24" s="11" t="str">
        <f aca="false">IF(Machines!A24="","",Machines!A24)</f>
        <v/>
      </c>
      <c r="B24" s="11" t="str">
        <f aca="false">IF(Machines!A24="","",Machines!B24)</f>
        <v/>
      </c>
      <c r="C24" s="11" t="str">
        <f aca="false">IF(A24="","",Machines!D24)</f>
        <v/>
      </c>
      <c r="D24" s="11" t="n">
        <f aca="false">SUMIFS(WorkOrders!$M$2:$M$60,WorkOrders!$C$2:$C$60,A24)</f>
        <v>0</v>
      </c>
      <c r="E24" s="11" t="n">
        <f aca="false">SUMIFS(WorkOrders!$E$2:$E$60,WorkOrders!$C$2:$C$60,A24)</f>
        <v>0</v>
      </c>
      <c r="F24" s="11" t="n">
        <f aca="false">SUMIFS(WorkOrders!$F$2:$F$60,WorkOrders!$C$2:$C$60,A24)</f>
        <v>0</v>
      </c>
      <c r="G24" s="11" t="n">
        <f aca="false">E24-F24</f>
        <v>0</v>
      </c>
      <c r="H24" s="11" t="n">
        <f aca="false">SUMIFS(Downtime!$G$2:$G$60,Downtime!$A$2:$A$60,A24)</f>
        <v>0</v>
      </c>
      <c r="I24" s="11" t="n">
        <f aca="false">MAX(0,D24-H24)</f>
        <v>0</v>
      </c>
      <c r="J24" s="16" t="str">
        <f aca="false">IF(A24="","",IF(D24=0,0,MIN(1,I24/D24)))</f>
        <v/>
      </c>
      <c r="K24" s="16" t="str">
        <f aca="false">IF(A24="","",IF(OR(I24=0,C24=0),0,MIN(1,E24/((I24/60)*C24))))</f>
        <v/>
      </c>
      <c r="L24" s="16" t="str">
        <f aca="false">IF(A24="","",IF(E24=0,0,MIN(1,MAX(0,G24/E24))))</f>
        <v/>
      </c>
      <c r="M24" s="16" t="str">
        <f aca="false">IF(A24="","",J24*K24*L24)</f>
        <v/>
      </c>
    </row>
    <row r="25" customFormat="false" ht="15" hidden="false" customHeight="false" outlineLevel="0" collapsed="false">
      <c r="A25" s="11" t="str">
        <f aca="false">IF(Machines!A25="","",Machines!A25)</f>
        <v/>
      </c>
      <c r="B25" s="11" t="str">
        <f aca="false">IF(Machines!A25="","",Machines!B25)</f>
        <v/>
      </c>
      <c r="C25" s="11" t="str">
        <f aca="false">IF(A25="","",Machines!D25)</f>
        <v/>
      </c>
      <c r="D25" s="11" t="n">
        <f aca="false">SUMIFS(WorkOrders!$M$2:$M$60,WorkOrders!$C$2:$C$60,A25)</f>
        <v>0</v>
      </c>
      <c r="E25" s="11" t="n">
        <f aca="false">SUMIFS(WorkOrders!$E$2:$E$60,WorkOrders!$C$2:$C$60,A25)</f>
        <v>0</v>
      </c>
      <c r="F25" s="11" t="n">
        <f aca="false">SUMIFS(WorkOrders!$F$2:$F$60,WorkOrders!$C$2:$C$60,A25)</f>
        <v>0</v>
      </c>
      <c r="G25" s="11" t="n">
        <f aca="false">E25-F25</f>
        <v>0</v>
      </c>
      <c r="H25" s="11" t="n">
        <f aca="false">SUMIFS(Downtime!$G$2:$G$60,Downtime!$A$2:$A$60,A25)</f>
        <v>0</v>
      </c>
      <c r="I25" s="11" t="n">
        <f aca="false">MAX(0,D25-H25)</f>
        <v>0</v>
      </c>
      <c r="J25" s="16" t="str">
        <f aca="false">IF(A25="","",IF(D25=0,0,MIN(1,I25/D25)))</f>
        <v/>
      </c>
      <c r="K25" s="16" t="str">
        <f aca="false">IF(A25="","",IF(OR(I25=0,C25=0),0,MIN(1,E25/((I25/60)*C25))))</f>
        <v/>
      </c>
      <c r="L25" s="16" t="str">
        <f aca="false">IF(A25="","",IF(E25=0,0,MIN(1,MAX(0,G25/E25))))</f>
        <v/>
      </c>
      <c r="M25" s="16" t="str">
        <f aca="false">IF(A25="","",J25*K25*L25)</f>
        <v/>
      </c>
    </row>
    <row r="26" customFormat="false" ht="15" hidden="false" customHeight="false" outlineLevel="0" collapsed="false">
      <c r="A26" s="11" t="str">
        <f aca="false">IF(Machines!A26="","",Machines!A26)</f>
        <v/>
      </c>
      <c r="B26" s="11" t="str">
        <f aca="false">IF(Machines!A26="","",Machines!B26)</f>
        <v/>
      </c>
      <c r="C26" s="11" t="str">
        <f aca="false">IF(A26="","",Machines!D26)</f>
        <v/>
      </c>
      <c r="D26" s="11" t="n">
        <f aca="false">SUMIFS(WorkOrders!$M$2:$M$60,WorkOrders!$C$2:$C$60,A26)</f>
        <v>0</v>
      </c>
      <c r="E26" s="11" t="n">
        <f aca="false">SUMIFS(WorkOrders!$E$2:$E$60,WorkOrders!$C$2:$C$60,A26)</f>
        <v>0</v>
      </c>
      <c r="F26" s="11" t="n">
        <f aca="false">SUMIFS(WorkOrders!$F$2:$F$60,WorkOrders!$C$2:$C$60,A26)</f>
        <v>0</v>
      </c>
      <c r="G26" s="11" t="n">
        <f aca="false">E26-F26</f>
        <v>0</v>
      </c>
      <c r="H26" s="11" t="n">
        <f aca="false">SUMIFS(Downtime!$G$2:$G$60,Downtime!$A$2:$A$60,A26)</f>
        <v>0</v>
      </c>
      <c r="I26" s="11" t="n">
        <f aca="false">MAX(0,D26-H26)</f>
        <v>0</v>
      </c>
      <c r="J26" s="16" t="str">
        <f aca="false">IF(A26="","",IF(D26=0,0,MIN(1,I26/D26)))</f>
        <v/>
      </c>
      <c r="K26" s="16" t="str">
        <f aca="false">IF(A26="","",IF(OR(I26=0,C26=0),0,MIN(1,E26/((I26/60)*C26))))</f>
        <v/>
      </c>
      <c r="L26" s="16" t="str">
        <f aca="false">IF(A26="","",IF(E26=0,0,MIN(1,MAX(0,G26/E26))))</f>
        <v/>
      </c>
      <c r="M26" s="16" t="str">
        <f aca="false">IF(A26="","",J26*K26*L26)</f>
        <v/>
      </c>
    </row>
    <row r="27" customFormat="false" ht="15" hidden="false" customHeight="false" outlineLevel="0" collapsed="false">
      <c r="A27" s="11" t="str">
        <f aca="false">IF(Machines!A27="","",Machines!A27)</f>
        <v/>
      </c>
      <c r="B27" s="11" t="str">
        <f aca="false">IF(Machines!A27="","",Machines!B27)</f>
        <v/>
      </c>
      <c r="C27" s="11" t="str">
        <f aca="false">IF(A27="","",Machines!D27)</f>
        <v/>
      </c>
      <c r="D27" s="11" t="n">
        <f aca="false">SUMIFS(WorkOrders!$M$2:$M$60,WorkOrders!$C$2:$C$60,A27)</f>
        <v>0</v>
      </c>
      <c r="E27" s="11" t="n">
        <f aca="false">SUMIFS(WorkOrders!$E$2:$E$60,WorkOrders!$C$2:$C$60,A27)</f>
        <v>0</v>
      </c>
      <c r="F27" s="11" t="n">
        <f aca="false">SUMIFS(WorkOrders!$F$2:$F$60,WorkOrders!$C$2:$C$60,A27)</f>
        <v>0</v>
      </c>
      <c r="G27" s="11" t="n">
        <f aca="false">E27-F27</f>
        <v>0</v>
      </c>
      <c r="H27" s="11" t="n">
        <f aca="false">SUMIFS(Downtime!$G$2:$G$60,Downtime!$A$2:$A$60,A27)</f>
        <v>0</v>
      </c>
      <c r="I27" s="11" t="n">
        <f aca="false">MAX(0,D27-H27)</f>
        <v>0</v>
      </c>
      <c r="J27" s="16" t="str">
        <f aca="false">IF(A27="","",IF(D27=0,0,MIN(1,I27/D27)))</f>
        <v/>
      </c>
      <c r="K27" s="16" t="str">
        <f aca="false">IF(A27="","",IF(OR(I27=0,C27=0),0,MIN(1,E27/((I27/60)*C27))))</f>
        <v/>
      </c>
      <c r="L27" s="16" t="str">
        <f aca="false">IF(A27="","",IF(E27=0,0,MIN(1,MAX(0,G27/E27))))</f>
        <v/>
      </c>
      <c r="M27" s="16" t="str">
        <f aca="false">IF(A27="","",J27*K27*L27)</f>
        <v/>
      </c>
    </row>
    <row r="28" customFormat="false" ht="15" hidden="false" customHeight="false" outlineLevel="0" collapsed="false">
      <c r="A28" s="11" t="str">
        <f aca="false">IF(Machines!A28="","",Machines!A28)</f>
        <v/>
      </c>
      <c r="B28" s="11" t="str">
        <f aca="false">IF(Machines!A28="","",Machines!B28)</f>
        <v/>
      </c>
      <c r="C28" s="11" t="str">
        <f aca="false">IF(A28="","",Machines!D28)</f>
        <v/>
      </c>
      <c r="D28" s="11" t="n">
        <f aca="false">SUMIFS(WorkOrders!$M$2:$M$60,WorkOrders!$C$2:$C$60,A28)</f>
        <v>0</v>
      </c>
      <c r="E28" s="11" t="n">
        <f aca="false">SUMIFS(WorkOrders!$E$2:$E$60,WorkOrders!$C$2:$C$60,A28)</f>
        <v>0</v>
      </c>
      <c r="F28" s="11" t="n">
        <f aca="false">SUMIFS(WorkOrders!$F$2:$F$60,WorkOrders!$C$2:$C$60,A28)</f>
        <v>0</v>
      </c>
      <c r="G28" s="11" t="n">
        <f aca="false">E28-F28</f>
        <v>0</v>
      </c>
      <c r="H28" s="11" t="n">
        <f aca="false">SUMIFS(Downtime!$G$2:$G$60,Downtime!$A$2:$A$60,A28)</f>
        <v>0</v>
      </c>
      <c r="I28" s="11" t="n">
        <f aca="false">MAX(0,D28-H28)</f>
        <v>0</v>
      </c>
      <c r="J28" s="16" t="str">
        <f aca="false">IF(A28="","",IF(D28=0,0,MIN(1,I28/D28)))</f>
        <v/>
      </c>
      <c r="K28" s="16" t="str">
        <f aca="false">IF(A28="","",IF(OR(I28=0,C28=0),0,MIN(1,E28/((I28/60)*C28))))</f>
        <v/>
      </c>
      <c r="L28" s="16" t="str">
        <f aca="false">IF(A28="","",IF(E28=0,0,MIN(1,MAX(0,G28/E28))))</f>
        <v/>
      </c>
      <c r="M28" s="16" t="str">
        <f aca="false">IF(A28="","",J28*K28*L28)</f>
        <v/>
      </c>
    </row>
    <row r="29" customFormat="false" ht="15" hidden="false" customHeight="false" outlineLevel="0" collapsed="false">
      <c r="A29" s="11" t="str">
        <f aca="false">IF(Machines!A29="","",Machines!A29)</f>
        <v/>
      </c>
      <c r="B29" s="11" t="str">
        <f aca="false">IF(Machines!A29="","",Machines!B29)</f>
        <v/>
      </c>
      <c r="C29" s="11" t="str">
        <f aca="false">IF(A29="","",Machines!D29)</f>
        <v/>
      </c>
      <c r="D29" s="11" t="n">
        <f aca="false">SUMIFS(WorkOrders!$M$2:$M$60,WorkOrders!$C$2:$C$60,A29)</f>
        <v>0</v>
      </c>
      <c r="E29" s="11" t="n">
        <f aca="false">SUMIFS(WorkOrders!$E$2:$E$60,WorkOrders!$C$2:$C$60,A29)</f>
        <v>0</v>
      </c>
      <c r="F29" s="11" t="n">
        <f aca="false">SUMIFS(WorkOrders!$F$2:$F$60,WorkOrders!$C$2:$C$60,A29)</f>
        <v>0</v>
      </c>
      <c r="G29" s="11" t="n">
        <f aca="false">E29-F29</f>
        <v>0</v>
      </c>
      <c r="H29" s="11" t="n">
        <f aca="false">SUMIFS(Downtime!$G$2:$G$60,Downtime!$A$2:$A$60,A29)</f>
        <v>0</v>
      </c>
      <c r="I29" s="11" t="n">
        <f aca="false">MAX(0,D29-H29)</f>
        <v>0</v>
      </c>
      <c r="J29" s="16" t="str">
        <f aca="false">IF(A29="","",IF(D29=0,0,MIN(1,I29/D29)))</f>
        <v/>
      </c>
      <c r="K29" s="16" t="str">
        <f aca="false">IF(A29="","",IF(OR(I29=0,C29=0),0,MIN(1,E29/((I29/60)*C29))))</f>
        <v/>
      </c>
      <c r="L29" s="16" t="str">
        <f aca="false">IF(A29="","",IF(E29=0,0,MIN(1,MAX(0,G29/E29))))</f>
        <v/>
      </c>
      <c r="M29" s="16" t="str">
        <f aca="false">IF(A29="","",J29*K29*L29)</f>
        <v/>
      </c>
    </row>
    <row r="30" customFormat="false" ht="15" hidden="false" customHeight="false" outlineLevel="0" collapsed="false">
      <c r="A30" s="11" t="str">
        <f aca="false">IF(Machines!A30="","",Machines!A30)</f>
        <v/>
      </c>
      <c r="B30" s="11" t="str">
        <f aca="false">IF(Machines!A30="","",Machines!B30)</f>
        <v/>
      </c>
      <c r="C30" s="11" t="str">
        <f aca="false">IF(A30="","",Machines!D30)</f>
        <v/>
      </c>
      <c r="D30" s="11" t="n">
        <f aca="false">SUMIFS(WorkOrders!$M$2:$M$60,WorkOrders!$C$2:$C$60,A30)</f>
        <v>0</v>
      </c>
      <c r="E30" s="11" t="n">
        <f aca="false">SUMIFS(WorkOrders!$E$2:$E$60,WorkOrders!$C$2:$C$60,A30)</f>
        <v>0</v>
      </c>
      <c r="F30" s="11" t="n">
        <f aca="false">SUMIFS(WorkOrders!$F$2:$F$60,WorkOrders!$C$2:$C$60,A30)</f>
        <v>0</v>
      </c>
      <c r="G30" s="11" t="n">
        <f aca="false">E30-F30</f>
        <v>0</v>
      </c>
      <c r="H30" s="11" t="n">
        <f aca="false">SUMIFS(Downtime!$G$2:$G$60,Downtime!$A$2:$A$60,A30)</f>
        <v>0</v>
      </c>
      <c r="I30" s="11" t="n">
        <f aca="false">MAX(0,D30-H30)</f>
        <v>0</v>
      </c>
      <c r="J30" s="16" t="str">
        <f aca="false">IF(A30="","",IF(D30=0,0,MIN(1,I30/D30)))</f>
        <v/>
      </c>
      <c r="K30" s="16" t="str">
        <f aca="false">IF(A30="","",IF(OR(I30=0,C30=0),0,MIN(1,E30/((I30/60)*C30))))</f>
        <v/>
      </c>
      <c r="L30" s="16" t="str">
        <f aca="false">IF(A30="","",IF(E30=0,0,MIN(1,MAX(0,G30/E30))))</f>
        <v/>
      </c>
      <c r="M30" s="16" t="str">
        <f aca="false">IF(A30="","",J30*K30*L30)</f>
        <v/>
      </c>
    </row>
    <row r="31" customFormat="false" ht="15" hidden="false" customHeight="false" outlineLevel="0" collapsed="false">
      <c r="A31" s="11" t="str">
        <f aca="false">IF(Machines!A31="","",Machines!A31)</f>
        <v/>
      </c>
      <c r="B31" s="11" t="str">
        <f aca="false">IF(Machines!A31="","",Machines!B31)</f>
        <v/>
      </c>
      <c r="C31" s="11" t="str">
        <f aca="false">IF(A31="","",Machines!D31)</f>
        <v/>
      </c>
      <c r="D31" s="11" t="n">
        <f aca="false">SUMIFS(WorkOrders!$M$2:$M$60,WorkOrders!$C$2:$C$60,A31)</f>
        <v>0</v>
      </c>
      <c r="E31" s="11" t="n">
        <f aca="false">SUMIFS(WorkOrders!$E$2:$E$60,WorkOrders!$C$2:$C$60,A31)</f>
        <v>0</v>
      </c>
      <c r="F31" s="11" t="n">
        <f aca="false">SUMIFS(WorkOrders!$F$2:$F$60,WorkOrders!$C$2:$C$60,A31)</f>
        <v>0</v>
      </c>
      <c r="G31" s="11" t="n">
        <f aca="false">E31-F31</f>
        <v>0</v>
      </c>
      <c r="H31" s="11" t="n">
        <f aca="false">SUMIFS(Downtime!$G$2:$G$60,Downtime!$A$2:$A$60,A31)</f>
        <v>0</v>
      </c>
      <c r="I31" s="11" t="n">
        <f aca="false">MAX(0,D31-H31)</f>
        <v>0</v>
      </c>
      <c r="J31" s="16" t="str">
        <f aca="false">IF(A31="","",IF(D31=0,0,MIN(1,I31/D31)))</f>
        <v/>
      </c>
      <c r="K31" s="16" t="str">
        <f aca="false">IF(A31="","",IF(OR(I31=0,C31=0),0,MIN(1,E31/((I31/60)*C31))))</f>
        <v/>
      </c>
      <c r="L31" s="16" t="str">
        <f aca="false">IF(A31="","",IF(E31=0,0,MIN(1,MAX(0,G31/E31))))</f>
        <v/>
      </c>
      <c r="M31" s="16" t="str">
        <f aca="false">IF(A31="","",J31*K31*L31)</f>
        <v/>
      </c>
    </row>
    <row r="32" customFormat="false" ht="15" hidden="false" customHeight="false" outlineLevel="0" collapsed="false">
      <c r="A32" s="11" t="str">
        <f aca="false">IF(Machines!A32="","",Machines!A32)</f>
        <v/>
      </c>
      <c r="B32" s="11" t="str">
        <f aca="false">IF(Machines!A32="","",Machines!B32)</f>
        <v/>
      </c>
      <c r="C32" s="11" t="str">
        <f aca="false">IF(A32="","",Machines!D32)</f>
        <v/>
      </c>
      <c r="D32" s="11" t="n">
        <f aca="false">SUMIFS(WorkOrders!$M$2:$M$60,WorkOrders!$C$2:$C$60,A32)</f>
        <v>0</v>
      </c>
      <c r="E32" s="11" t="n">
        <f aca="false">SUMIFS(WorkOrders!$E$2:$E$60,WorkOrders!$C$2:$C$60,A32)</f>
        <v>0</v>
      </c>
      <c r="F32" s="11" t="n">
        <f aca="false">SUMIFS(WorkOrders!$F$2:$F$60,WorkOrders!$C$2:$C$60,A32)</f>
        <v>0</v>
      </c>
      <c r="G32" s="11" t="n">
        <f aca="false">E32-F32</f>
        <v>0</v>
      </c>
      <c r="H32" s="11" t="n">
        <f aca="false">SUMIFS(Downtime!$G$2:$G$60,Downtime!$A$2:$A$60,A32)</f>
        <v>0</v>
      </c>
      <c r="I32" s="11" t="n">
        <f aca="false">MAX(0,D32-H32)</f>
        <v>0</v>
      </c>
      <c r="J32" s="16" t="str">
        <f aca="false">IF(A32="","",IF(D32=0,0,MIN(1,I32/D32)))</f>
        <v/>
      </c>
      <c r="K32" s="16" t="str">
        <f aca="false">IF(A32="","",IF(OR(I32=0,C32=0),0,MIN(1,E32/((I32/60)*C32))))</f>
        <v/>
      </c>
      <c r="L32" s="16" t="str">
        <f aca="false">IF(A32="","",IF(E32=0,0,MIN(1,MAX(0,G32/E32))))</f>
        <v/>
      </c>
      <c r="M32" s="16" t="str">
        <f aca="false">IF(A32="","",J32*K32*L32)</f>
        <v/>
      </c>
    </row>
    <row r="33" customFormat="false" ht="15" hidden="false" customHeight="false" outlineLevel="0" collapsed="false">
      <c r="A33" s="11" t="str">
        <f aca="false">IF(Machines!A33="","",Machines!A33)</f>
        <v/>
      </c>
      <c r="B33" s="11" t="str">
        <f aca="false">IF(Machines!A33="","",Machines!B33)</f>
        <v/>
      </c>
      <c r="C33" s="11" t="str">
        <f aca="false">IF(A33="","",Machines!D33)</f>
        <v/>
      </c>
      <c r="D33" s="11" t="n">
        <f aca="false">SUMIFS(WorkOrders!$M$2:$M$60,WorkOrders!$C$2:$C$60,A33)</f>
        <v>0</v>
      </c>
      <c r="E33" s="11" t="n">
        <f aca="false">SUMIFS(WorkOrders!$E$2:$E$60,WorkOrders!$C$2:$C$60,A33)</f>
        <v>0</v>
      </c>
      <c r="F33" s="11" t="n">
        <f aca="false">SUMIFS(WorkOrders!$F$2:$F$60,WorkOrders!$C$2:$C$60,A33)</f>
        <v>0</v>
      </c>
      <c r="G33" s="11" t="n">
        <f aca="false">E33-F33</f>
        <v>0</v>
      </c>
      <c r="H33" s="11" t="n">
        <f aca="false">SUMIFS(Downtime!$G$2:$G$60,Downtime!$A$2:$A$60,A33)</f>
        <v>0</v>
      </c>
      <c r="I33" s="11" t="n">
        <f aca="false">MAX(0,D33-H33)</f>
        <v>0</v>
      </c>
      <c r="J33" s="16" t="str">
        <f aca="false">IF(A33="","",IF(D33=0,0,MIN(1,I33/D33)))</f>
        <v/>
      </c>
      <c r="K33" s="16" t="str">
        <f aca="false">IF(A33="","",IF(OR(I33=0,C33=0),0,MIN(1,E33/((I33/60)*C33))))</f>
        <v/>
      </c>
      <c r="L33" s="16" t="str">
        <f aca="false">IF(A33="","",IF(E33=0,0,MIN(1,MAX(0,G33/E33))))</f>
        <v/>
      </c>
      <c r="M33" s="16" t="str">
        <f aca="false">IF(A33="","",J33*K33*L33)</f>
        <v/>
      </c>
    </row>
    <row r="34" customFormat="false" ht="15" hidden="false" customHeight="false" outlineLevel="0" collapsed="false">
      <c r="A34" s="11" t="str">
        <f aca="false">IF(Machines!A34="","",Machines!A34)</f>
        <v/>
      </c>
      <c r="B34" s="11" t="str">
        <f aca="false">IF(Machines!A34="","",Machines!B34)</f>
        <v/>
      </c>
      <c r="C34" s="11" t="str">
        <f aca="false">IF(A34="","",Machines!D34)</f>
        <v/>
      </c>
      <c r="D34" s="11" t="n">
        <f aca="false">SUMIFS(WorkOrders!$M$2:$M$60,WorkOrders!$C$2:$C$60,A34)</f>
        <v>0</v>
      </c>
      <c r="E34" s="11" t="n">
        <f aca="false">SUMIFS(WorkOrders!$E$2:$E$60,WorkOrders!$C$2:$C$60,A34)</f>
        <v>0</v>
      </c>
      <c r="F34" s="11" t="n">
        <f aca="false">SUMIFS(WorkOrders!$F$2:$F$60,WorkOrders!$C$2:$C$60,A34)</f>
        <v>0</v>
      </c>
      <c r="G34" s="11" t="n">
        <f aca="false">E34-F34</f>
        <v>0</v>
      </c>
      <c r="H34" s="11" t="n">
        <f aca="false">SUMIFS(Downtime!$G$2:$G$60,Downtime!$A$2:$A$60,A34)</f>
        <v>0</v>
      </c>
      <c r="I34" s="11" t="n">
        <f aca="false">MAX(0,D34-H34)</f>
        <v>0</v>
      </c>
      <c r="J34" s="16" t="str">
        <f aca="false">IF(A34="","",IF(D34=0,0,MIN(1,I34/D34)))</f>
        <v/>
      </c>
      <c r="K34" s="16" t="str">
        <f aca="false">IF(A34="","",IF(OR(I34=0,C34=0),0,MIN(1,E34/((I34/60)*C34))))</f>
        <v/>
      </c>
      <c r="L34" s="16" t="str">
        <f aca="false">IF(A34="","",IF(E34=0,0,MIN(1,MAX(0,G34/E34))))</f>
        <v/>
      </c>
      <c r="M34" s="16" t="str">
        <f aca="false">IF(A34="","",J34*K34*L34)</f>
        <v/>
      </c>
    </row>
    <row r="35" customFormat="false" ht="15" hidden="false" customHeight="false" outlineLevel="0" collapsed="false">
      <c r="A35" s="11" t="str">
        <f aca="false">IF(Machines!A35="","",Machines!A35)</f>
        <v/>
      </c>
      <c r="B35" s="11" t="str">
        <f aca="false">IF(Machines!A35="","",Machines!B35)</f>
        <v/>
      </c>
      <c r="C35" s="11" t="str">
        <f aca="false">IF(A35="","",Machines!D35)</f>
        <v/>
      </c>
      <c r="D35" s="11" t="n">
        <f aca="false">SUMIFS(WorkOrders!$M$2:$M$60,WorkOrders!$C$2:$C$60,A35)</f>
        <v>0</v>
      </c>
      <c r="E35" s="11" t="n">
        <f aca="false">SUMIFS(WorkOrders!$E$2:$E$60,WorkOrders!$C$2:$C$60,A35)</f>
        <v>0</v>
      </c>
      <c r="F35" s="11" t="n">
        <f aca="false">SUMIFS(WorkOrders!$F$2:$F$60,WorkOrders!$C$2:$C$60,A35)</f>
        <v>0</v>
      </c>
      <c r="G35" s="11" t="n">
        <f aca="false">E35-F35</f>
        <v>0</v>
      </c>
      <c r="H35" s="11" t="n">
        <f aca="false">SUMIFS(Downtime!$G$2:$G$60,Downtime!$A$2:$A$60,A35)</f>
        <v>0</v>
      </c>
      <c r="I35" s="11" t="n">
        <f aca="false">MAX(0,D35-H35)</f>
        <v>0</v>
      </c>
      <c r="J35" s="16" t="str">
        <f aca="false">IF(A35="","",IF(D35=0,0,MIN(1,I35/D35)))</f>
        <v/>
      </c>
      <c r="K35" s="16" t="str">
        <f aca="false">IF(A35="","",IF(OR(I35=0,C35=0),0,MIN(1,E35/((I35/60)*C35))))</f>
        <v/>
      </c>
      <c r="L35" s="16" t="str">
        <f aca="false">IF(A35="","",IF(E35=0,0,MIN(1,MAX(0,G35/E35))))</f>
        <v/>
      </c>
      <c r="M35" s="16" t="str">
        <f aca="false">IF(A35="","",J35*K35*L35)</f>
        <v/>
      </c>
    </row>
    <row r="36" customFormat="false" ht="15" hidden="false" customHeight="false" outlineLevel="0" collapsed="false">
      <c r="A36" s="11" t="str">
        <f aca="false">IF(Machines!A36="","",Machines!A36)</f>
        <v/>
      </c>
      <c r="B36" s="11" t="str">
        <f aca="false">IF(Machines!A36="","",Machines!B36)</f>
        <v/>
      </c>
      <c r="C36" s="11" t="str">
        <f aca="false">IF(A36="","",Machines!D36)</f>
        <v/>
      </c>
      <c r="D36" s="11" t="n">
        <f aca="false">SUMIFS(WorkOrders!$M$2:$M$60,WorkOrders!$C$2:$C$60,A36)</f>
        <v>0</v>
      </c>
      <c r="E36" s="11" t="n">
        <f aca="false">SUMIFS(WorkOrders!$E$2:$E$60,WorkOrders!$C$2:$C$60,A36)</f>
        <v>0</v>
      </c>
      <c r="F36" s="11" t="n">
        <f aca="false">SUMIFS(WorkOrders!$F$2:$F$60,WorkOrders!$C$2:$C$60,A36)</f>
        <v>0</v>
      </c>
      <c r="G36" s="11" t="n">
        <f aca="false">E36-F36</f>
        <v>0</v>
      </c>
      <c r="H36" s="11" t="n">
        <f aca="false">SUMIFS(Downtime!$G$2:$G$60,Downtime!$A$2:$A$60,A36)</f>
        <v>0</v>
      </c>
      <c r="I36" s="11" t="n">
        <f aca="false">MAX(0,D36-H36)</f>
        <v>0</v>
      </c>
      <c r="J36" s="16" t="str">
        <f aca="false">IF(A36="","",IF(D36=0,0,MIN(1,I36/D36)))</f>
        <v/>
      </c>
      <c r="K36" s="16" t="str">
        <f aca="false">IF(A36="","",IF(OR(I36=0,C36=0),0,MIN(1,E36/((I36/60)*C36))))</f>
        <v/>
      </c>
      <c r="L36" s="16" t="str">
        <f aca="false">IF(A36="","",IF(E36=0,0,MIN(1,MAX(0,G36/E36))))</f>
        <v/>
      </c>
      <c r="M36" s="16" t="str">
        <f aca="false">IF(A36="","",J36*K36*L36)</f>
        <v/>
      </c>
    </row>
    <row r="37" customFormat="false" ht="15" hidden="false" customHeight="false" outlineLevel="0" collapsed="false">
      <c r="A37" s="11" t="str">
        <f aca="false">IF(Machines!A37="","",Machines!A37)</f>
        <v/>
      </c>
      <c r="B37" s="11" t="str">
        <f aca="false">IF(Machines!A37="","",Machines!B37)</f>
        <v/>
      </c>
      <c r="C37" s="11" t="str">
        <f aca="false">IF(A37="","",Machines!D37)</f>
        <v/>
      </c>
      <c r="D37" s="11" t="n">
        <f aca="false">SUMIFS(WorkOrders!$M$2:$M$60,WorkOrders!$C$2:$C$60,A37)</f>
        <v>0</v>
      </c>
      <c r="E37" s="11" t="n">
        <f aca="false">SUMIFS(WorkOrders!$E$2:$E$60,WorkOrders!$C$2:$C$60,A37)</f>
        <v>0</v>
      </c>
      <c r="F37" s="11" t="n">
        <f aca="false">SUMIFS(WorkOrders!$F$2:$F$60,WorkOrders!$C$2:$C$60,A37)</f>
        <v>0</v>
      </c>
      <c r="G37" s="11" t="n">
        <f aca="false">E37-F37</f>
        <v>0</v>
      </c>
      <c r="H37" s="11" t="n">
        <f aca="false">SUMIFS(Downtime!$G$2:$G$60,Downtime!$A$2:$A$60,A37)</f>
        <v>0</v>
      </c>
      <c r="I37" s="11" t="n">
        <f aca="false">MAX(0,D37-H37)</f>
        <v>0</v>
      </c>
      <c r="J37" s="16" t="str">
        <f aca="false">IF(A37="","",IF(D37=0,0,MIN(1,I37/D37)))</f>
        <v/>
      </c>
      <c r="K37" s="16" t="str">
        <f aca="false">IF(A37="","",IF(OR(I37=0,C37=0),0,MIN(1,E37/((I37/60)*C37))))</f>
        <v/>
      </c>
      <c r="L37" s="16" t="str">
        <f aca="false">IF(A37="","",IF(E37=0,0,MIN(1,MAX(0,G37/E37))))</f>
        <v/>
      </c>
      <c r="M37" s="16" t="str">
        <f aca="false">IF(A37="","",J37*K37*L37)</f>
        <v/>
      </c>
    </row>
    <row r="38" customFormat="false" ht="15" hidden="false" customHeight="false" outlineLevel="0" collapsed="false">
      <c r="A38" s="11" t="str">
        <f aca="false">IF(Machines!A38="","",Machines!A38)</f>
        <v/>
      </c>
      <c r="B38" s="11" t="str">
        <f aca="false">IF(Machines!A38="","",Machines!B38)</f>
        <v/>
      </c>
      <c r="C38" s="11" t="str">
        <f aca="false">IF(A38="","",Machines!D38)</f>
        <v/>
      </c>
      <c r="D38" s="11" t="n">
        <f aca="false">SUMIFS(WorkOrders!$M$2:$M$60,WorkOrders!$C$2:$C$60,A38)</f>
        <v>0</v>
      </c>
      <c r="E38" s="11" t="n">
        <f aca="false">SUMIFS(WorkOrders!$E$2:$E$60,WorkOrders!$C$2:$C$60,A38)</f>
        <v>0</v>
      </c>
      <c r="F38" s="11" t="n">
        <f aca="false">SUMIFS(WorkOrders!$F$2:$F$60,WorkOrders!$C$2:$C$60,A38)</f>
        <v>0</v>
      </c>
      <c r="G38" s="11" t="n">
        <f aca="false">E38-F38</f>
        <v>0</v>
      </c>
      <c r="H38" s="11" t="n">
        <f aca="false">SUMIFS(Downtime!$G$2:$G$60,Downtime!$A$2:$A$60,A38)</f>
        <v>0</v>
      </c>
      <c r="I38" s="11" t="n">
        <f aca="false">MAX(0,D38-H38)</f>
        <v>0</v>
      </c>
      <c r="J38" s="16" t="str">
        <f aca="false">IF(A38="","",IF(D38=0,0,MIN(1,I38/D38)))</f>
        <v/>
      </c>
      <c r="K38" s="16" t="str">
        <f aca="false">IF(A38="","",IF(OR(I38=0,C38=0),0,MIN(1,E38/((I38/60)*C38))))</f>
        <v/>
      </c>
      <c r="L38" s="16" t="str">
        <f aca="false">IF(A38="","",IF(E38=0,0,MIN(1,MAX(0,G38/E38))))</f>
        <v/>
      </c>
      <c r="M38" s="16" t="str">
        <f aca="false">IF(A38="","",J38*K38*L38)</f>
        <v/>
      </c>
    </row>
    <row r="39" customFormat="false" ht="15" hidden="false" customHeight="false" outlineLevel="0" collapsed="false">
      <c r="A39" s="11" t="str">
        <f aca="false">IF(Machines!A39="","",Machines!A39)</f>
        <v/>
      </c>
      <c r="B39" s="11" t="str">
        <f aca="false">IF(Machines!A39="","",Machines!B39)</f>
        <v/>
      </c>
      <c r="C39" s="11" t="str">
        <f aca="false">IF(A39="","",Machines!D39)</f>
        <v/>
      </c>
      <c r="D39" s="11" t="n">
        <f aca="false">SUMIFS(WorkOrders!$M$2:$M$60,WorkOrders!$C$2:$C$60,A39)</f>
        <v>0</v>
      </c>
      <c r="E39" s="11" t="n">
        <f aca="false">SUMIFS(WorkOrders!$E$2:$E$60,WorkOrders!$C$2:$C$60,A39)</f>
        <v>0</v>
      </c>
      <c r="F39" s="11" t="n">
        <f aca="false">SUMIFS(WorkOrders!$F$2:$F$60,WorkOrders!$C$2:$C$60,A39)</f>
        <v>0</v>
      </c>
      <c r="G39" s="11" t="n">
        <f aca="false">E39-F39</f>
        <v>0</v>
      </c>
      <c r="H39" s="11" t="n">
        <f aca="false">SUMIFS(Downtime!$G$2:$G$60,Downtime!$A$2:$A$60,A39)</f>
        <v>0</v>
      </c>
      <c r="I39" s="11" t="n">
        <f aca="false">MAX(0,D39-H39)</f>
        <v>0</v>
      </c>
      <c r="J39" s="16" t="str">
        <f aca="false">IF(A39="","",IF(D39=0,0,MIN(1,I39/D39)))</f>
        <v/>
      </c>
      <c r="K39" s="16" t="str">
        <f aca="false">IF(A39="","",IF(OR(I39=0,C39=0),0,MIN(1,E39/((I39/60)*C39))))</f>
        <v/>
      </c>
      <c r="L39" s="16" t="str">
        <f aca="false">IF(A39="","",IF(E39=0,0,MIN(1,MAX(0,G39/E39))))</f>
        <v/>
      </c>
      <c r="M39" s="16" t="str">
        <f aca="false">IF(A39="","",J39*K39*L39)</f>
        <v/>
      </c>
    </row>
    <row r="40" customFormat="false" ht="15" hidden="false" customHeight="false" outlineLevel="0" collapsed="false">
      <c r="A40" s="11" t="str">
        <f aca="false">IF(Machines!A40="","",Machines!A40)</f>
        <v/>
      </c>
      <c r="B40" s="11" t="str">
        <f aca="false">IF(Machines!A40="","",Machines!B40)</f>
        <v/>
      </c>
      <c r="C40" s="11" t="str">
        <f aca="false">IF(A40="","",Machines!D40)</f>
        <v/>
      </c>
      <c r="D40" s="11" t="n">
        <f aca="false">SUMIFS(WorkOrders!$M$2:$M$60,WorkOrders!$C$2:$C$60,A40)</f>
        <v>0</v>
      </c>
      <c r="E40" s="11" t="n">
        <f aca="false">SUMIFS(WorkOrders!$E$2:$E$60,WorkOrders!$C$2:$C$60,A40)</f>
        <v>0</v>
      </c>
      <c r="F40" s="11" t="n">
        <f aca="false">SUMIFS(WorkOrders!$F$2:$F$60,WorkOrders!$C$2:$C$60,A40)</f>
        <v>0</v>
      </c>
      <c r="G40" s="11" t="n">
        <f aca="false">E40-F40</f>
        <v>0</v>
      </c>
      <c r="H40" s="11" t="n">
        <f aca="false">SUMIFS(Downtime!$G$2:$G$60,Downtime!$A$2:$A$60,A40)</f>
        <v>0</v>
      </c>
      <c r="I40" s="11" t="n">
        <f aca="false">MAX(0,D40-H40)</f>
        <v>0</v>
      </c>
      <c r="J40" s="16" t="str">
        <f aca="false">IF(A40="","",IF(D40=0,0,MIN(1,I40/D40)))</f>
        <v/>
      </c>
      <c r="K40" s="16" t="str">
        <f aca="false">IF(A40="","",IF(OR(I40=0,C40=0),0,MIN(1,E40/((I40/60)*C40))))</f>
        <v/>
      </c>
      <c r="L40" s="16" t="str">
        <f aca="false">IF(A40="","",IF(E40=0,0,MIN(1,MAX(0,G40/E40))))</f>
        <v/>
      </c>
      <c r="M40" s="16" t="str">
        <f aca="false">IF(A40="","",J40*K40*L40)</f>
        <v/>
      </c>
    </row>
    <row r="41" customFormat="false" ht="15" hidden="false" customHeight="false" outlineLevel="0" collapsed="false">
      <c r="A41" s="11" t="str">
        <f aca="false">IF(Machines!A41="","",Machines!A41)</f>
        <v/>
      </c>
      <c r="B41" s="11" t="str">
        <f aca="false">IF(Machines!A41="","",Machines!B41)</f>
        <v/>
      </c>
      <c r="C41" s="11" t="str">
        <f aca="false">IF(A41="","",Machines!D41)</f>
        <v/>
      </c>
      <c r="D41" s="11" t="n">
        <f aca="false">SUMIFS(WorkOrders!$M$2:$M$60,WorkOrders!$C$2:$C$60,A41)</f>
        <v>0</v>
      </c>
      <c r="E41" s="11" t="n">
        <f aca="false">SUMIFS(WorkOrders!$E$2:$E$60,WorkOrders!$C$2:$C$60,A41)</f>
        <v>0</v>
      </c>
      <c r="F41" s="11" t="n">
        <f aca="false">SUMIFS(WorkOrders!$F$2:$F$60,WorkOrders!$C$2:$C$60,A41)</f>
        <v>0</v>
      </c>
      <c r="G41" s="11" t="n">
        <f aca="false">E41-F41</f>
        <v>0</v>
      </c>
      <c r="H41" s="11" t="n">
        <f aca="false">SUMIFS(Downtime!$G$2:$G$60,Downtime!$A$2:$A$60,A41)</f>
        <v>0</v>
      </c>
      <c r="I41" s="11" t="n">
        <f aca="false">MAX(0,D41-H41)</f>
        <v>0</v>
      </c>
      <c r="J41" s="16" t="str">
        <f aca="false">IF(A41="","",IF(D41=0,0,MIN(1,I41/D41)))</f>
        <v/>
      </c>
      <c r="K41" s="16" t="str">
        <f aca="false">IF(A41="","",IF(OR(I41=0,C41=0),0,MIN(1,E41/((I41/60)*C41))))</f>
        <v/>
      </c>
      <c r="L41" s="16" t="str">
        <f aca="false">IF(A41="","",IF(E41=0,0,MIN(1,MAX(0,G41/E41))))</f>
        <v/>
      </c>
      <c r="M41" s="16" t="str">
        <f aca="false">IF(A41="","",J41*K41*L41)</f>
        <v/>
      </c>
    </row>
    <row r="42" customFormat="false" ht="15" hidden="false" customHeight="false" outlineLevel="0" collapsed="false">
      <c r="A42" s="11" t="str">
        <f aca="false">IF(Machines!A42="","",Machines!A42)</f>
        <v/>
      </c>
      <c r="B42" s="11" t="str">
        <f aca="false">IF(Machines!A42="","",Machines!B42)</f>
        <v/>
      </c>
      <c r="C42" s="11" t="str">
        <f aca="false">IF(A42="","",Machines!D42)</f>
        <v/>
      </c>
      <c r="D42" s="11" t="n">
        <f aca="false">SUMIFS(WorkOrders!$M$2:$M$60,WorkOrders!$C$2:$C$60,A42)</f>
        <v>0</v>
      </c>
      <c r="E42" s="11" t="n">
        <f aca="false">SUMIFS(WorkOrders!$E$2:$E$60,WorkOrders!$C$2:$C$60,A42)</f>
        <v>0</v>
      </c>
      <c r="F42" s="11" t="n">
        <f aca="false">SUMIFS(WorkOrders!$F$2:$F$60,WorkOrders!$C$2:$C$60,A42)</f>
        <v>0</v>
      </c>
      <c r="G42" s="11" t="n">
        <f aca="false">E42-F42</f>
        <v>0</v>
      </c>
      <c r="H42" s="11" t="n">
        <f aca="false">SUMIFS(Downtime!$G$2:$G$60,Downtime!$A$2:$A$60,A42)</f>
        <v>0</v>
      </c>
      <c r="I42" s="11" t="n">
        <f aca="false">MAX(0,D42-H42)</f>
        <v>0</v>
      </c>
      <c r="J42" s="16" t="str">
        <f aca="false">IF(A42="","",IF(D42=0,0,MIN(1,I42/D42)))</f>
        <v/>
      </c>
      <c r="K42" s="16" t="str">
        <f aca="false">IF(A42="","",IF(OR(I42=0,C42=0),0,MIN(1,E42/((I42/60)*C42))))</f>
        <v/>
      </c>
      <c r="L42" s="16" t="str">
        <f aca="false">IF(A42="","",IF(E42=0,0,MIN(1,MAX(0,G42/E42))))</f>
        <v/>
      </c>
      <c r="M42" s="16" t="str">
        <f aca="false">IF(A42="","",J42*K42*L42)</f>
        <v/>
      </c>
    </row>
    <row r="43" customFormat="false" ht="15" hidden="false" customHeight="false" outlineLevel="0" collapsed="false">
      <c r="A43" s="11" t="str">
        <f aca="false">IF(Machines!A43="","",Machines!A43)</f>
        <v/>
      </c>
      <c r="B43" s="11" t="str">
        <f aca="false">IF(Machines!A43="","",Machines!B43)</f>
        <v/>
      </c>
      <c r="C43" s="11" t="str">
        <f aca="false">IF(A43="","",Machines!D43)</f>
        <v/>
      </c>
      <c r="D43" s="11" t="n">
        <f aca="false">SUMIFS(WorkOrders!$M$2:$M$60,WorkOrders!$C$2:$C$60,A43)</f>
        <v>0</v>
      </c>
      <c r="E43" s="11" t="n">
        <f aca="false">SUMIFS(WorkOrders!$E$2:$E$60,WorkOrders!$C$2:$C$60,A43)</f>
        <v>0</v>
      </c>
      <c r="F43" s="11" t="n">
        <f aca="false">SUMIFS(WorkOrders!$F$2:$F$60,WorkOrders!$C$2:$C$60,A43)</f>
        <v>0</v>
      </c>
      <c r="G43" s="11" t="n">
        <f aca="false">E43-F43</f>
        <v>0</v>
      </c>
      <c r="H43" s="11" t="n">
        <f aca="false">SUMIFS(Downtime!$G$2:$G$60,Downtime!$A$2:$A$60,A43)</f>
        <v>0</v>
      </c>
      <c r="I43" s="11" t="n">
        <f aca="false">MAX(0,D43-H43)</f>
        <v>0</v>
      </c>
      <c r="J43" s="16" t="str">
        <f aca="false">IF(A43="","",IF(D43=0,0,MIN(1,I43/D43)))</f>
        <v/>
      </c>
      <c r="K43" s="16" t="str">
        <f aca="false">IF(A43="","",IF(OR(I43=0,C43=0),0,MIN(1,E43/((I43/60)*C43))))</f>
        <v/>
      </c>
      <c r="L43" s="16" t="str">
        <f aca="false">IF(A43="","",IF(E43=0,0,MIN(1,MAX(0,G43/E43))))</f>
        <v/>
      </c>
      <c r="M43" s="16" t="str">
        <f aca="false">IF(A43="","",J43*K43*L43)</f>
        <v/>
      </c>
    </row>
    <row r="44" customFormat="false" ht="15" hidden="false" customHeight="false" outlineLevel="0" collapsed="false">
      <c r="A44" s="11" t="str">
        <f aca="false">IF(Machines!A44="","",Machines!A44)</f>
        <v/>
      </c>
      <c r="B44" s="11" t="str">
        <f aca="false">IF(Machines!A44="","",Machines!B44)</f>
        <v/>
      </c>
      <c r="C44" s="11" t="str">
        <f aca="false">IF(A44="","",Machines!D44)</f>
        <v/>
      </c>
      <c r="D44" s="11" t="n">
        <f aca="false">SUMIFS(WorkOrders!$M$2:$M$60,WorkOrders!$C$2:$C$60,A44)</f>
        <v>0</v>
      </c>
      <c r="E44" s="11" t="n">
        <f aca="false">SUMIFS(WorkOrders!$E$2:$E$60,WorkOrders!$C$2:$C$60,A44)</f>
        <v>0</v>
      </c>
      <c r="F44" s="11" t="n">
        <f aca="false">SUMIFS(WorkOrders!$F$2:$F$60,WorkOrders!$C$2:$C$60,A44)</f>
        <v>0</v>
      </c>
      <c r="G44" s="11" t="n">
        <f aca="false">E44-F44</f>
        <v>0</v>
      </c>
      <c r="H44" s="11" t="n">
        <f aca="false">SUMIFS(Downtime!$G$2:$G$60,Downtime!$A$2:$A$60,A44)</f>
        <v>0</v>
      </c>
      <c r="I44" s="11" t="n">
        <f aca="false">MAX(0,D44-H44)</f>
        <v>0</v>
      </c>
      <c r="J44" s="16" t="str">
        <f aca="false">IF(A44="","",IF(D44=0,0,MIN(1,I44/D44)))</f>
        <v/>
      </c>
      <c r="K44" s="16" t="str">
        <f aca="false">IF(A44="","",IF(OR(I44=0,C44=0),0,MIN(1,E44/((I44/60)*C44))))</f>
        <v/>
      </c>
      <c r="L44" s="16" t="str">
        <f aca="false">IF(A44="","",IF(E44=0,0,MIN(1,MAX(0,G44/E44))))</f>
        <v/>
      </c>
      <c r="M44" s="16" t="str">
        <f aca="false">IF(A44="","",J44*K44*L44)</f>
        <v/>
      </c>
    </row>
    <row r="45" customFormat="false" ht="15" hidden="false" customHeight="false" outlineLevel="0" collapsed="false">
      <c r="A45" s="11" t="str">
        <f aca="false">IF(Machines!A45="","",Machines!A45)</f>
        <v/>
      </c>
      <c r="B45" s="11" t="str">
        <f aca="false">IF(Machines!A45="","",Machines!B45)</f>
        <v/>
      </c>
      <c r="C45" s="11" t="str">
        <f aca="false">IF(A45="","",Machines!D45)</f>
        <v/>
      </c>
      <c r="D45" s="11" t="n">
        <f aca="false">SUMIFS(WorkOrders!$M$2:$M$60,WorkOrders!$C$2:$C$60,A45)</f>
        <v>0</v>
      </c>
      <c r="E45" s="11" t="n">
        <f aca="false">SUMIFS(WorkOrders!$E$2:$E$60,WorkOrders!$C$2:$C$60,A45)</f>
        <v>0</v>
      </c>
      <c r="F45" s="11" t="n">
        <f aca="false">SUMIFS(WorkOrders!$F$2:$F$60,WorkOrders!$C$2:$C$60,A45)</f>
        <v>0</v>
      </c>
      <c r="G45" s="11" t="n">
        <f aca="false">E45-F45</f>
        <v>0</v>
      </c>
      <c r="H45" s="11" t="n">
        <f aca="false">SUMIFS(Downtime!$G$2:$G$60,Downtime!$A$2:$A$60,A45)</f>
        <v>0</v>
      </c>
      <c r="I45" s="11" t="n">
        <f aca="false">MAX(0,D45-H45)</f>
        <v>0</v>
      </c>
      <c r="J45" s="16" t="str">
        <f aca="false">IF(A45="","",IF(D45=0,0,MIN(1,I45/D45)))</f>
        <v/>
      </c>
      <c r="K45" s="16" t="str">
        <f aca="false">IF(A45="","",IF(OR(I45=0,C45=0),0,MIN(1,E45/((I45/60)*C45))))</f>
        <v/>
      </c>
      <c r="L45" s="16" t="str">
        <f aca="false">IF(A45="","",IF(E45=0,0,MIN(1,MAX(0,G45/E45))))</f>
        <v/>
      </c>
      <c r="M45" s="16" t="str">
        <f aca="false">IF(A45="","",J45*K45*L45)</f>
        <v/>
      </c>
    </row>
    <row r="46" customFormat="false" ht="15" hidden="false" customHeight="false" outlineLevel="0" collapsed="false">
      <c r="A46" s="11" t="str">
        <f aca="false">IF(Machines!A46="","",Machines!A46)</f>
        <v/>
      </c>
      <c r="B46" s="11" t="str">
        <f aca="false">IF(Machines!A46="","",Machines!B46)</f>
        <v/>
      </c>
      <c r="C46" s="11" t="str">
        <f aca="false">IF(A46="","",Machines!D46)</f>
        <v/>
      </c>
      <c r="D46" s="11" t="n">
        <f aca="false">SUMIFS(WorkOrders!$M$2:$M$60,WorkOrders!$C$2:$C$60,A46)</f>
        <v>0</v>
      </c>
      <c r="E46" s="11" t="n">
        <f aca="false">SUMIFS(WorkOrders!$E$2:$E$60,WorkOrders!$C$2:$C$60,A46)</f>
        <v>0</v>
      </c>
      <c r="F46" s="11" t="n">
        <f aca="false">SUMIFS(WorkOrders!$F$2:$F$60,WorkOrders!$C$2:$C$60,A46)</f>
        <v>0</v>
      </c>
      <c r="G46" s="11" t="n">
        <f aca="false">E46-F46</f>
        <v>0</v>
      </c>
      <c r="H46" s="11" t="n">
        <f aca="false">SUMIFS(Downtime!$G$2:$G$60,Downtime!$A$2:$A$60,A46)</f>
        <v>0</v>
      </c>
      <c r="I46" s="11" t="n">
        <f aca="false">MAX(0,D46-H46)</f>
        <v>0</v>
      </c>
      <c r="J46" s="16" t="str">
        <f aca="false">IF(A46="","",IF(D46=0,0,MIN(1,I46/D46)))</f>
        <v/>
      </c>
      <c r="K46" s="16" t="str">
        <f aca="false">IF(A46="","",IF(OR(I46=0,C46=0),0,MIN(1,E46/((I46/60)*C46))))</f>
        <v/>
      </c>
      <c r="L46" s="16" t="str">
        <f aca="false">IF(A46="","",IF(E46=0,0,MIN(1,MAX(0,G46/E46))))</f>
        <v/>
      </c>
      <c r="M46" s="16" t="str">
        <f aca="false">IF(A46="","",J46*K46*L46)</f>
        <v/>
      </c>
    </row>
    <row r="47" customFormat="false" ht="15" hidden="false" customHeight="false" outlineLevel="0" collapsed="false">
      <c r="A47" s="11" t="str">
        <f aca="false">IF(Machines!A47="","",Machines!A47)</f>
        <v/>
      </c>
      <c r="B47" s="11" t="str">
        <f aca="false">IF(Machines!A47="","",Machines!B47)</f>
        <v/>
      </c>
      <c r="C47" s="11" t="str">
        <f aca="false">IF(A47="","",Machines!D47)</f>
        <v/>
      </c>
      <c r="D47" s="11" t="n">
        <f aca="false">SUMIFS(WorkOrders!$M$2:$M$60,WorkOrders!$C$2:$C$60,A47)</f>
        <v>0</v>
      </c>
      <c r="E47" s="11" t="n">
        <f aca="false">SUMIFS(WorkOrders!$E$2:$E$60,WorkOrders!$C$2:$C$60,A47)</f>
        <v>0</v>
      </c>
      <c r="F47" s="11" t="n">
        <f aca="false">SUMIFS(WorkOrders!$F$2:$F$60,WorkOrders!$C$2:$C$60,A47)</f>
        <v>0</v>
      </c>
      <c r="G47" s="11" t="n">
        <f aca="false">E47-F47</f>
        <v>0</v>
      </c>
      <c r="H47" s="11" t="n">
        <f aca="false">SUMIFS(Downtime!$G$2:$G$60,Downtime!$A$2:$A$60,A47)</f>
        <v>0</v>
      </c>
      <c r="I47" s="11" t="n">
        <f aca="false">MAX(0,D47-H47)</f>
        <v>0</v>
      </c>
      <c r="J47" s="16" t="str">
        <f aca="false">IF(A47="","",IF(D47=0,0,MIN(1,I47/D47)))</f>
        <v/>
      </c>
      <c r="K47" s="16" t="str">
        <f aca="false">IF(A47="","",IF(OR(I47=0,C47=0),0,MIN(1,E47/((I47/60)*C47))))</f>
        <v/>
      </c>
      <c r="L47" s="16" t="str">
        <f aca="false">IF(A47="","",IF(E47=0,0,MIN(1,MAX(0,G47/E47))))</f>
        <v/>
      </c>
      <c r="M47" s="16" t="str">
        <f aca="false">IF(A47="","",J47*K47*L47)</f>
        <v/>
      </c>
    </row>
    <row r="48" customFormat="false" ht="15" hidden="false" customHeight="false" outlineLevel="0" collapsed="false">
      <c r="A48" s="11" t="str">
        <f aca="false">IF(Machines!A48="","",Machines!A48)</f>
        <v/>
      </c>
      <c r="B48" s="11" t="str">
        <f aca="false">IF(Machines!A48="","",Machines!B48)</f>
        <v/>
      </c>
      <c r="C48" s="11" t="str">
        <f aca="false">IF(A48="","",Machines!D48)</f>
        <v/>
      </c>
      <c r="D48" s="11" t="n">
        <f aca="false">SUMIFS(WorkOrders!$M$2:$M$60,WorkOrders!$C$2:$C$60,A48)</f>
        <v>0</v>
      </c>
      <c r="E48" s="11" t="n">
        <f aca="false">SUMIFS(WorkOrders!$E$2:$E$60,WorkOrders!$C$2:$C$60,A48)</f>
        <v>0</v>
      </c>
      <c r="F48" s="11" t="n">
        <f aca="false">SUMIFS(WorkOrders!$F$2:$F$60,WorkOrders!$C$2:$C$60,A48)</f>
        <v>0</v>
      </c>
      <c r="G48" s="11" t="n">
        <f aca="false">E48-F48</f>
        <v>0</v>
      </c>
      <c r="H48" s="11" t="n">
        <f aca="false">SUMIFS(Downtime!$G$2:$G$60,Downtime!$A$2:$A$60,A48)</f>
        <v>0</v>
      </c>
      <c r="I48" s="11" t="n">
        <f aca="false">MAX(0,D48-H48)</f>
        <v>0</v>
      </c>
      <c r="J48" s="16" t="str">
        <f aca="false">IF(A48="","",IF(D48=0,0,MIN(1,I48/D48)))</f>
        <v/>
      </c>
      <c r="K48" s="16" t="str">
        <f aca="false">IF(A48="","",IF(OR(I48=0,C48=0),0,MIN(1,E48/((I48/60)*C48))))</f>
        <v/>
      </c>
      <c r="L48" s="16" t="str">
        <f aca="false">IF(A48="","",IF(E48=0,0,MIN(1,MAX(0,G48/E48))))</f>
        <v/>
      </c>
      <c r="M48" s="16" t="str">
        <f aca="false">IF(A48="","",J48*K48*L48)</f>
        <v/>
      </c>
    </row>
    <row r="49" customFormat="false" ht="15" hidden="false" customHeight="false" outlineLevel="0" collapsed="false">
      <c r="A49" s="11" t="str">
        <f aca="false">IF(Machines!A49="","",Machines!A49)</f>
        <v/>
      </c>
      <c r="B49" s="11" t="str">
        <f aca="false">IF(Machines!A49="","",Machines!B49)</f>
        <v/>
      </c>
      <c r="C49" s="11" t="str">
        <f aca="false">IF(A49="","",Machines!D49)</f>
        <v/>
      </c>
      <c r="D49" s="11" t="n">
        <f aca="false">SUMIFS(WorkOrders!$M$2:$M$60,WorkOrders!$C$2:$C$60,A49)</f>
        <v>0</v>
      </c>
      <c r="E49" s="11" t="n">
        <f aca="false">SUMIFS(WorkOrders!$E$2:$E$60,WorkOrders!$C$2:$C$60,A49)</f>
        <v>0</v>
      </c>
      <c r="F49" s="11" t="n">
        <f aca="false">SUMIFS(WorkOrders!$F$2:$F$60,WorkOrders!$C$2:$C$60,A49)</f>
        <v>0</v>
      </c>
      <c r="G49" s="11" t="n">
        <f aca="false">E49-F49</f>
        <v>0</v>
      </c>
      <c r="H49" s="11" t="n">
        <f aca="false">SUMIFS(Downtime!$G$2:$G$60,Downtime!$A$2:$A$60,A49)</f>
        <v>0</v>
      </c>
      <c r="I49" s="11" t="n">
        <f aca="false">MAX(0,D49-H49)</f>
        <v>0</v>
      </c>
      <c r="J49" s="16" t="str">
        <f aca="false">IF(A49="","",IF(D49=0,0,MIN(1,I49/D49)))</f>
        <v/>
      </c>
      <c r="K49" s="16" t="str">
        <f aca="false">IF(A49="","",IF(OR(I49=0,C49=0),0,MIN(1,E49/((I49/60)*C49))))</f>
        <v/>
      </c>
      <c r="L49" s="16" t="str">
        <f aca="false">IF(A49="","",IF(E49=0,0,MIN(1,MAX(0,G49/E49))))</f>
        <v/>
      </c>
      <c r="M49" s="16" t="str">
        <f aca="false">IF(A49="","",J49*K49*L49)</f>
        <v/>
      </c>
    </row>
    <row r="50" customFormat="false" ht="15" hidden="false" customHeight="false" outlineLevel="0" collapsed="false">
      <c r="A50" s="11" t="str">
        <f aca="false">IF(Machines!A50="","",Machines!A50)</f>
        <v/>
      </c>
      <c r="B50" s="11" t="str">
        <f aca="false">IF(Machines!A50="","",Machines!B50)</f>
        <v/>
      </c>
      <c r="C50" s="11" t="str">
        <f aca="false">IF(A50="","",Machines!D50)</f>
        <v/>
      </c>
      <c r="D50" s="11" t="n">
        <f aca="false">SUMIFS(WorkOrders!$M$2:$M$60,WorkOrders!$C$2:$C$60,A50)</f>
        <v>0</v>
      </c>
      <c r="E50" s="11" t="n">
        <f aca="false">SUMIFS(WorkOrders!$E$2:$E$60,WorkOrders!$C$2:$C$60,A50)</f>
        <v>0</v>
      </c>
      <c r="F50" s="11" t="n">
        <f aca="false">SUMIFS(WorkOrders!$F$2:$F$60,WorkOrders!$C$2:$C$60,A50)</f>
        <v>0</v>
      </c>
      <c r="G50" s="11" t="n">
        <f aca="false">E50-F50</f>
        <v>0</v>
      </c>
      <c r="H50" s="11" t="n">
        <f aca="false">SUMIFS(Downtime!$G$2:$G$60,Downtime!$A$2:$A$60,A50)</f>
        <v>0</v>
      </c>
      <c r="I50" s="11" t="n">
        <f aca="false">MAX(0,D50-H50)</f>
        <v>0</v>
      </c>
      <c r="J50" s="16" t="str">
        <f aca="false">IF(A50="","",IF(D50=0,0,MIN(1,I50/D50)))</f>
        <v/>
      </c>
      <c r="K50" s="16" t="str">
        <f aca="false">IF(A50="","",IF(OR(I50=0,C50=0),0,MIN(1,E50/((I50/60)*C50))))</f>
        <v/>
      </c>
      <c r="L50" s="16" t="str">
        <f aca="false">IF(A50="","",IF(E50=0,0,MIN(1,MAX(0,G50/E50))))</f>
        <v/>
      </c>
      <c r="M50" s="16" t="str">
        <f aca="false">IF(A50="","",J50*K50*L50)</f>
        <v/>
      </c>
    </row>
    <row r="51" customFormat="false" ht="15" hidden="false" customHeight="false" outlineLevel="0" collapsed="false">
      <c r="A51" s="11" t="str">
        <f aca="false">IF(Machines!A51="","",Machines!A51)</f>
        <v/>
      </c>
      <c r="B51" s="11" t="str">
        <f aca="false">IF(Machines!A51="","",Machines!B51)</f>
        <v/>
      </c>
      <c r="C51" s="11" t="str">
        <f aca="false">IF(A51="","",Machines!D51)</f>
        <v/>
      </c>
      <c r="D51" s="11" t="n">
        <f aca="false">SUMIFS(WorkOrders!$M$2:$M$60,WorkOrders!$C$2:$C$60,A51)</f>
        <v>0</v>
      </c>
      <c r="E51" s="11" t="n">
        <f aca="false">SUMIFS(WorkOrders!$E$2:$E$60,WorkOrders!$C$2:$C$60,A51)</f>
        <v>0</v>
      </c>
      <c r="F51" s="11" t="n">
        <f aca="false">SUMIFS(WorkOrders!$F$2:$F$60,WorkOrders!$C$2:$C$60,A51)</f>
        <v>0</v>
      </c>
      <c r="G51" s="11" t="n">
        <f aca="false">E51-F51</f>
        <v>0</v>
      </c>
      <c r="H51" s="11" t="n">
        <f aca="false">SUMIFS(Downtime!$G$2:$G$60,Downtime!$A$2:$A$60,A51)</f>
        <v>0</v>
      </c>
      <c r="I51" s="11" t="n">
        <f aca="false">MAX(0,D51-H51)</f>
        <v>0</v>
      </c>
      <c r="J51" s="16" t="str">
        <f aca="false">IF(A51="","",IF(D51=0,0,MIN(1,I51/D51)))</f>
        <v/>
      </c>
      <c r="K51" s="16" t="str">
        <f aca="false">IF(A51="","",IF(OR(I51=0,C51=0),0,MIN(1,E51/((I51/60)*C51))))</f>
        <v/>
      </c>
      <c r="L51" s="16" t="str">
        <f aca="false">IF(A51="","",IF(E51=0,0,MIN(1,MAX(0,G51/E51))))</f>
        <v/>
      </c>
      <c r="M51" s="16" t="str">
        <f aca="false">IF(A51="","",J51*K51*L51)</f>
        <v/>
      </c>
    </row>
    <row r="52" customFormat="false" ht="15" hidden="false" customHeight="false" outlineLevel="0" collapsed="false">
      <c r="A52" s="11" t="str">
        <f aca="false">IF(Machines!A52="","",Machines!A52)</f>
        <v/>
      </c>
      <c r="B52" s="11" t="str">
        <f aca="false">IF(Machines!A52="","",Machines!B52)</f>
        <v/>
      </c>
      <c r="C52" s="11" t="str">
        <f aca="false">IF(A52="","",Machines!D52)</f>
        <v/>
      </c>
      <c r="D52" s="11" t="n">
        <f aca="false">SUMIFS(WorkOrders!$M$2:$M$60,WorkOrders!$C$2:$C$60,A52)</f>
        <v>0</v>
      </c>
      <c r="E52" s="11" t="n">
        <f aca="false">SUMIFS(WorkOrders!$E$2:$E$60,WorkOrders!$C$2:$C$60,A52)</f>
        <v>0</v>
      </c>
      <c r="F52" s="11" t="n">
        <f aca="false">SUMIFS(WorkOrders!$F$2:$F$60,WorkOrders!$C$2:$C$60,A52)</f>
        <v>0</v>
      </c>
      <c r="G52" s="11" t="n">
        <f aca="false">E52-F52</f>
        <v>0</v>
      </c>
      <c r="H52" s="11" t="n">
        <f aca="false">SUMIFS(Downtime!$G$2:$G$60,Downtime!$A$2:$A$60,A52)</f>
        <v>0</v>
      </c>
      <c r="I52" s="11" t="n">
        <f aca="false">MAX(0,D52-H52)</f>
        <v>0</v>
      </c>
      <c r="J52" s="16" t="str">
        <f aca="false">IF(A52="","",IF(D52=0,0,MIN(1,I52/D52)))</f>
        <v/>
      </c>
      <c r="K52" s="16" t="str">
        <f aca="false">IF(A52="","",IF(OR(I52=0,C52=0),0,MIN(1,E52/((I52/60)*C52))))</f>
        <v/>
      </c>
      <c r="L52" s="16" t="str">
        <f aca="false">IF(A52="","",IF(E52=0,0,MIN(1,MAX(0,G52/E52))))</f>
        <v/>
      </c>
      <c r="M52" s="16" t="str">
        <f aca="false">IF(A52="","",J52*K52*L52)</f>
        <v/>
      </c>
    </row>
    <row r="53" customFormat="false" ht="15" hidden="false" customHeight="false" outlineLevel="0" collapsed="false">
      <c r="A53" s="11" t="str">
        <f aca="false">IF(Machines!A53="","",Machines!A53)</f>
        <v/>
      </c>
      <c r="B53" s="11" t="str">
        <f aca="false">IF(Machines!A53="","",Machines!B53)</f>
        <v/>
      </c>
      <c r="C53" s="11" t="str">
        <f aca="false">IF(A53="","",Machines!D53)</f>
        <v/>
      </c>
      <c r="D53" s="11" t="n">
        <f aca="false">SUMIFS(WorkOrders!$M$2:$M$60,WorkOrders!$C$2:$C$60,A53)</f>
        <v>0</v>
      </c>
      <c r="E53" s="11" t="n">
        <f aca="false">SUMIFS(WorkOrders!$E$2:$E$60,WorkOrders!$C$2:$C$60,A53)</f>
        <v>0</v>
      </c>
      <c r="F53" s="11" t="n">
        <f aca="false">SUMIFS(WorkOrders!$F$2:$F$60,WorkOrders!$C$2:$C$60,A53)</f>
        <v>0</v>
      </c>
      <c r="G53" s="11" t="n">
        <f aca="false">E53-F53</f>
        <v>0</v>
      </c>
      <c r="H53" s="11" t="n">
        <f aca="false">SUMIFS(Downtime!$G$2:$G$60,Downtime!$A$2:$A$60,A53)</f>
        <v>0</v>
      </c>
      <c r="I53" s="11" t="n">
        <f aca="false">MAX(0,D53-H53)</f>
        <v>0</v>
      </c>
      <c r="J53" s="16" t="str">
        <f aca="false">IF(A53="","",IF(D53=0,0,MIN(1,I53/D53)))</f>
        <v/>
      </c>
      <c r="K53" s="16" t="str">
        <f aca="false">IF(A53="","",IF(OR(I53=0,C53=0),0,MIN(1,E53/((I53/60)*C53))))</f>
        <v/>
      </c>
      <c r="L53" s="16" t="str">
        <f aca="false">IF(A53="","",IF(E53=0,0,MIN(1,MAX(0,G53/E53))))</f>
        <v/>
      </c>
      <c r="M53" s="16" t="str">
        <f aca="false">IF(A53="","",J53*K53*L53)</f>
        <v/>
      </c>
    </row>
    <row r="54" customFormat="false" ht="15" hidden="false" customHeight="false" outlineLevel="0" collapsed="false">
      <c r="A54" s="11" t="str">
        <f aca="false">IF(Machines!A54="","",Machines!A54)</f>
        <v/>
      </c>
      <c r="B54" s="11" t="str">
        <f aca="false">IF(Machines!A54="","",Machines!B54)</f>
        <v/>
      </c>
      <c r="C54" s="11" t="str">
        <f aca="false">IF(A54="","",Machines!D54)</f>
        <v/>
      </c>
      <c r="D54" s="11" t="n">
        <f aca="false">SUMIFS(WorkOrders!$M$2:$M$60,WorkOrders!$C$2:$C$60,A54)</f>
        <v>0</v>
      </c>
      <c r="E54" s="11" t="n">
        <f aca="false">SUMIFS(WorkOrders!$E$2:$E$60,WorkOrders!$C$2:$C$60,A54)</f>
        <v>0</v>
      </c>
      <c r="F54" s="11" t="n">
        <f aca="false">SUMIFS(WorkOrders!$F$2:$F$60,WorkOrders!$C$2:$C$60,A54)</f>
        <v>0</v>
      </c>
      <c r="G54" s="11" t="n">
        <f aca="false">E54-F54</f>
        <v>0</v>
      </c>
      <c r="H54" s="11" t="n">
        <f aca="false">SUMIFS(Downtime!$G$2:$G$60,Downtime!$A$2:$A$60,A54)</f>
        <v>0</v>
      </c>
      <c r="I54" s="11" t="n">
        <f aca="false">MAX(0,D54-H54)</f>
        <v>0</v>
      </c>
      <c r="J54" s="16" t="str">
        <f aca="false">IF(A54="","",IF(D54=0,0,MIN(1,I54/D54)))</f>
        <v/>
      </c>
      <c r="K54" s="16" t="str">
        <f aca="false">IF(A54="","",IF(OR(I54=0,C54=0),0,MIN(1,E54/((I54/60)*C54))))</f>
        <v/>
      </c>
      <c r="L54" s="16" t="str">
        <f aca="false">IF(A54="","",IF(E54=0,0,MIN(1,MAX(0,G54/E54))))</f>
        <v/>
      </c>
      <c r="M54" s="16" t="str">
        <f aca="false">IF(A54="","",J54*K54*L54)</f>
        <v/>
      </c>
    </row>
    <row r="55" customFormat="false" ht="15" hidden="false" customHeight="false" outlineLevel="0" collapsed="false">
      <c r="A55" s="11" t="str">
        <f aca="false">IF(Machines!A55="","",Machines!A55)</f>
        <v/>
      </c>
      <c r="B55" s="11" t="str">
        <f aca="false">IF(Machines!A55="","",Machines!B55)</f>
        <v/>
      </c>
      <c r="C55" s="11" t="str">
        <f aca="false">IF(A55="","",Machines!D55)</f>
        <v/>
      </c>
      <c r="D55" s="11" t="n">
        <f aca="false">SUMIFS(WorkOrders!$M$2:$M$60,WorkOrders!$C$2:$C$60,A55)</f>
        <v>0</v>
      </c>
      <c r="E55" s="11" t="n">
        <f aca="false">SUMIFS(WorkOrders!$E$2:$E$60,WorkOrders!$C$2:$C$60,A55)</f>
        <v>0</v>
      </c>
      <c r="F55" s="11" t="n">
        <f aca="false">SUMIFS(WorkOrders!$F$2:$F$60,WorkOrders!$C$2:$C$60,A55)</f>
        <v>0</v>
      </c>
      <c r="G55" s="11" t="n">
        <f aca="false">E55-F55</f>
        <v>0</v>
      </c>
      <c r="H55" s="11" t="n">
        <f aca="false">SUMIFS(Downtime!$G$2:$G$60,Downtime!$A$2:$A$60,A55)</f>
        <v>0</v>
      </c>
      <c r="I55" s="11" t="n">
        <f aca="false">MAX(0,D55-H55)</f>
        <v>0</v>
      </c>
      <c r="J55" s="16" t="str">
        <f aca="false">IF(A55="","",IF(D55=0,0,MIN(1,I55/D55)))</f>
        <v/>
      </c>
      <c r="K55" s="16" t="str">
        <f aca="false">IF(A55="","",IF(OR(I55=0,C55=0),0,MIN(1,E55/((I55/60)*C55))))</f>
        <v/>
      </c>
      <c r="L55" s="16" t="str">
        <f aca="false">IF(A55="","",IF(E55=0,0,MIN(1,MAX(0,G55/E55))))</f>
        <v/>
      </c>
      <c r="M55" s="16" t="str">
        <f aca="false">IF(A55="","",J55*K55*L55)</f>
        <v/>
      </c>
    </row>
    <row r="56" customFormat="false" ht="15" hidden="false" customHeight="false" outlineLevel="0" collapsed="false">
      <c r="A56" s="11" t="str">
        <f aca="false">IF(Machines!A56="","",Machines!A56)</f>
        <v/>
      </c>
      <c r="B56" s="11" t="str">
        <f aca="false">IF(Machines!A56="","",Machines!B56)</f>
        <v/>
      </c>
      <c r="C56" s="11" t="str">
        <f aca="false">IF(A56="","",Machines!D56)</f>
        <v/>
      </c>
      <c r="D56" s="11" t="n">
        <f aca="false">SUMIFS(WorkOrders!$M$2:$M$60,WorkOrders!$C$2:$C$60,A56)</f>
        <v>0</v>
      </c>
      <c r="E56" s="11" t="n">
        <f aca="false">SUMIFS(WorkOrders!$E$2:$E$60,WorkOrders!$C$2:$C$60,A56)</f>
        <v>0</v>
      </c>
      <c r="F56" s="11" t="n">
        <f aca="false">SUMIFS(WorkOrders!$F$2:$F$60,WorkOrders!$C$2:$C$60,A56)</f>
        <v>0</v>
      </c>
      <c r="G56" s="11" t="n">
        <f aca="false">E56-F56</f>
        <v>0</v>
      </c>
      <c r="H56" s="11" t="n">
        <f aca="false">SUMIFS(Downtime!$G$2:$G$60,Downtime!$A$2:$A$60,A56)</f>
        <v>0</v>
      </c>
      <c r="I56" s="11" t="n">
        <f aca="false">MAX(0,D56-H56)</f>
        <v>0</v>
      </c>
      <c r="J56" s="16" t="str">
        <f aca="false">IF(A56="","",IF(D56=0,0,MIN(1,I56/D56)))</f>
        <v/>
      </c>
      <c r="K56" s="16" t="str">
        <f aca="false">IF(A56="","",IF(OR(I56=0,C56=0),0,MIN(1,E56/((I56/60)*C56))))</f>
        <v/>
      </c>
      <c r="L56" s="16" t="str">
        <f aca="false">IF(A56="","",IF(E56=0,0,MIN(1,MAX(0,G56/E56))))</f>
        <v/>
      </c>
      <c r="M56" s="16" t="str">
        <f aca="false">IF(A56="","",J56*K56*L56)</f>
        <v/>
      </c>
    </row>
    <row r="57" customFormat="false" ht="15" hidden="false" customHeight="false" outlineLevel="0" collapsed="false">
      <c r="A57" s="11" t="str">
        <f aca="false">IF(Machines!A57="","",Machines!A57)</f>
        <v/>
      </c>
      <c r="B57" s="11" t="str">
        <f aca="false">IF(Machines!A57="","",Machines!B57)</f>
        <v/>
      </c>
      <c r="C57" s="11" t="str">
        <f aca="false">IF(A57="","",Machines!D57)</f>
        <v/>
      </c>
      <c r="D57" s="11" t="n">
        <f aca="false">SUMIFS(WorkOrders!$M$2:$M$60,WorkOrders!$C$2:$C$60,A57)</f>
        <v>0</v>
      </c>
      <c r="E57" s="11" t="n">
        <f aca="false">SUMIFS(WorkOrders!$E$2:$E$60,WorkOrders!$C$2:$C$60,A57)</f>
        <v>0</v>
      </c>
      <c r="F57" s="11" t="n">
        <f aca="false">SUMIFS(WorkOrders!$F$2:$F$60,WorkOrders!$C$2:$C$60,A57)</f>
        <v>0</v>
      </c>
      <c r="G57" s="11" t="n">
        <f aca="false">E57-F57</f>
        <v>0</v>
      </c>
      <c r="H57" s="11" t="n">
        <f aca="false">SUMIFS(Downtime!$G$2:$G$60,Downtime!$A$2:$A$60,A57)</f>
        <v>0</v>
      </c>
      <c r="I57" s="11" t="n">
        <f aca="false">MAX(0,D57-H57)</f>
        <v>0</v>
      </c>
      <c r="J57" s="16" t="str">
        <f aca="false">IF(A57="","",IF(D57=0,0,MIN(1,I57/D57)))</f>
        <v/>
      </c>
      <c r="K57" s="16" t="str">
        <f aca="false">IF(A57="","",IF(OR(I57=0,C57=0),0,MIN(1,E57/((I57/60)*C57))))</f>
        <v/>
      </c>
      <c r="L57" s="16" t="str">
        <f aca="false">IF(A57="","",IF(E57=0,0,MIN(1,MAX(0,G57/E57))))</f>
        <v/>
      </c>
      <c r="M57" s="16" t="str">
        <f aca="false">IF(A57="","",J57*K57*L57)</f>
        <v/>
      </c>
    </row>
    <row r="58" customFormat="false" ht="15" hidden="false" customHeight="false" outlineLevel="0" collapsed="false">
      <c r="A58" s="11" t="str">
        <f aca="false">IF(Machines!A58="","",Machines!A58)</f>
        <v/>
      </c>
      <c r="B58" s="11" t="str">
        <f aca="false">IF(Machines!A58="","",Machines!B58)</f>
        <v/>
      </c>
      <c r="C58" s="11" t="str">
        <f aca="false">IF(A58="","",Machines!D58)</f>
        <v/>
      </c>
      <c r="D58" s="11" t="n">
        <f aca="false">SUMIFS(WorkOrders!$M$2:$M$60,WorkOrders!$C$2:$C$60,A58)</f>
        <v>0</v>
      </c>
      <c r="E58" s="11" t="n">
        <f aca="false">SUMIFS(WorkOrders!$E$2:$E$60,WorkOrders!$C$2:$C$60,A58)</f>
        <v>0</v>
      </c>
      <c r="F58" s="11" t="n">
        <f aca="false">SUMIFS(WorkOrders!$F$2:$F$60,WorkOrders!$C$2:$C$60,A58)</f>
        <v>0</v>
      </c>
      <c r="G58" s="11" t="n">
        <f aca="false">E58-F58</f>
        <v>0</v>
      </c>
      <c r="H58" s="11" t="n">
        <f aca="false">SUMIFS(Downtime!$G$2:$G$60,Downtime!$A$2:$A$60,A58)</f>
        <v>0</v>
      </c>
      <c r="I58" s="11" t="n">
        <f aca="false">MAX(0,D58-H58)</f>
        <v>0</v>
      </c>
      <c r="J58" s="16" t="str">
        <f aca="false">IF(A58="","",IF(D58=0,0,MIN(1,I58/D58)))</f>
        <v/>
      </c>
      <c r="K58" s="16" t="str">
        <f aca="false">IF(A58="","",IF(OR(I58=0,C58=0),0,MIN(1,E58/((I58/60)*C58))))</f>
        <v/>
      </c>
      <c r="L58" s="16" t="str">
        <f aca="false">IF(A58="","",IF(E58=0,0,MIN(1,MAX(0,G58/E58))))</f>
        <v/>
      </c>
      <c r="M58" s="16" t="str">
        <f aca="false">IF(A58="","",J58*K58*L58)</f>
        <v/>
      </c>
    </row>
    <row r="59" customFormat="false" ht="15" hidden="false" customHeight="false" outlineLevel="0" collapsed="false">
      <c r="A59" s="11" t="str">
        <f aca="false">IF(Machines!A59="","",Machines!A59)</f>
        <v/>
      </c>
      <c r="B59" s="11" t="str">
        <f aca="false">IF(Machines!A59="","",Machines!B59)</f>
        <v/>
      </c>
      <c r="C59" s="11" t="str">
        <f aca="false">IF(A59="","",Machines!D59)</f>
        <v/>
      </c>
      <c r="D59" s="11" t="n">
        <f aca="false">SUMIFS(WorkOrders!$M$2:$M$60,WorkOrders!$C$2:$C$60,A59)</f>
        <v>0</v>
      </c>
      <c r="E59" s="11" t="n">
        <f aca="false">SUMIFS(WorkOrders!$E$2:$E$60,WorkOrders!$C$2:$C$60,A59)</f>
        <v>0</v>
      </c>
      <c r="F59" s="11" t="n">
        <f aca="false">SUMIFS(WorkOrders!$F$2:$F$60,WorkOrders!$C$2:$C$60,A59)</f>
        <v>0</v>
      </c>
      <c r="G59" s="11" t="n">
        <f aca="false">E59-F59</f>
        <v>0</v>
      </c>
      <c r="H59" s="11" t="n">
        <f aca="false">SUMIFS(Downtime!$G$2:$G$60,Downtime!$A$2:$A$60,A59)</f>
        <v>0</v>
      </c>
      <c r="I59" s="11" t="n">
        <f aca="false">MAX(0,D59-H59)</f>
        <v>0</v>
      </c>
      <c r="J59" s="16" t="str">
        <f aca="false">IF(A59="","",IF(D59=0,0,MIN(1,I59/D59)))</f>
        <v/>
      </c>
      <c r="K59" s="16" t="str">
        <f aca="false">IF(A59="","",IF(OR(I59=0,C59=0),0,MIN(1,E59/((I59/60)*C59))))</f>
        <v/>
      </c>
      <c r="L59" s="16" t="str">
        <f aca="false">IF(A59="","",IF(E59=0,0,MIN(1,MAX(0,G59/E59))))</f>
        <v/>
      </c>
      <c r="M59" s="16" t="str">
        <f aca="false">IF(A59="","",J59*K59*L59)</f>
        <v/>
      </c>
    </row>
    <row r="60" customFormat="false" ht="15" hidden="false" customHeight="false" outlineLevel="0" collapsed="false">
      <c r="A60" s="11" t="str">
        <f aca="false">IF(Machines!A60="","",Machines!A60)</f>
        <v/>
      </c>
      <c r="B60" s="11" t="str">
        <f aca="false">IF(Machines!A60="","",Machines!B60)</f>
        <v/>
      </c>
      <c r="C60" s="11" t="str">
        <f aca="false">IF(A60="","",Machines!D60)</f>
        <v/>
      </c>
      <c r="D60" s="11" t="n">
        <f aca="false">SUMIFS(WorkOrders!$M$2:$M$60,WorkOrders!$C$2:$C$60,A60)</f>
        <v>0</v>
      </c>
      <c r="E60" s="11" t="n">
        <f aca="false">SUMIFS(WorkOrders!$E$2:$E$60,WorkOrders!$C$2:$C$60,A60)</f>
        <v>0</v>
      </c>
      <c r="F60" s="11" t="n">
        <f aca="false">SUMIFS(WorkOrders!$F$2:$F$60,WorkOrders!$C$2:$C$60,A60)</f>
        <v>0</v>
      </c>
      <c r="G60" s="11" t="n">
        <f aca="false">E60-F60</f>
        <v>0</v>
      </c>
      <c r="H60" s="11" t="n">
        <f aca="false">SUMIFS(Downtime!$G$2:$G$60,Downtime!$A$2:$A$60,A60)</f>
        <v>0</v>
      </c>
      <c r="I60" s="11" t="n">
        <f aca="false">MAX(0,D60-H60)</f>
        <v>0</v>
      </c>
      <c r="J60" s="16" t="str">
        <f aca="false">IF(A60="","",IF(D60=0,0,MIN(1,I60/D60)))</f>
        <v/>
      </c>
      <c r="K60" s="16" t="str">
        <f aca="false">IF(A60="","",IF(OR(I60=0,C60=0),0,MIN(1,E60/((I60/60)*C60))))</f>
        <v/>
      </c>
      <c r="L60" s="16" t="str">
        <f aca="false">IF(A60="","",IF(E60=0,0,MIN(1,MAX(0,G60/E60))))</f>
        <v/>
      </c>
      <c r="M60" s="16" t="str">
        <f aca="false">IF(A60="","",J60*K60*L60)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2" min="2" style="0" width="14"/>
    <col collapsed="false" customWidth="true" hidden="false" outlineLevel="0" max="3" min="3" style="0" width="13"/>
  </cols>
  <sheetData>
    <row r="1" customFormat="false" ht="15" hidden="false" customHeight="false" outlineLevel="0" collapsed="false">
      <c r="A1" s="7" t="s">
        <v>66</v>
      </c>
      <c r="B1" s="7" t="s">
        <v>103</v>
      </c>
      <c r="C1" s="7" t="s">
        <v>104</v>
      </c>
    </row>
    <row r="2" customFormat="false" ht="15" hidden="false" customHeight="false" outlineLevel="0" collapsed="false">
      <c r="A2" s="11" t="s">
        <v>69</v>
      </c>
      <c r="B2" s="11" t="n">
        <f aca="false">SUMIFS(Downtime!$G$2:$G$60,Downtime!$E$2:$E$60,A2)</f>
        <v>25</v>
      </c>
      <c r="C2" s="11" t="n">
        <f aca="false">COUNTIFS(Downtime!$E$2:$E$60,A2)</f>
        <v>1</v>
      </c>
    </row>
    <row r="3" customFormat="false" ht="15" hidden="false" customHeight="false" outlineLevel="0" collapsed="false">
      <c r="A3" s="11" t="s">
        <v>71</v>
      </c>
      <c r="B3" s="11" t="n">
        <f aca="false">SUMIFS(Downtime!$G$2:$G$60,Downtime!$E$2:$E$60,A3)</f>
        <v>15</v>
      </c>
      <c r="C3" s="11" t="n">
        <f aca="false">COUNTIFS(Downtime!$E$2:$E$60,A3)</f>
        <v>1</v>
      </c>
    </row>
    <row r="4" customFormat="false" ht="15" hidden="false" customHeight="false" outlineLevel="0" collapsed="false">
      <c r="A4" s="11" t="s">
        <v>105</v>
      </c>
      <c r="B4" s="11" t="n">
        <f aca="false">SUMIFS(Downtime!$G$2:$G$60,Downtime!$E$2:$E$60,A4)</f>
        <v>0</v>
      </c>
      <c r="C4" s="11" t="n">
        <f aca="false">COUNTIFS(Downtime!$E$2:$E$60,A4)</f>
        <v>0</v>
      </c>
    </row>
    <row r="5" customFormat="false" ht="15" hidden="false" customHeight="false" outlineLevel="0" collapsed="false">
      <c r="A5" s="11" t="s">
        <v>106</v>
      </c>
      <c r="B5" s="11" t="n">
        <f aca="false">SUMIFS(Downtime!$G$2:$G$60,Downtime!$E$2:$E$60,A5)</f>
        <v>0</v>
      </c>
      <c r="C5" s="11" t="n">
        <f aca="false">COUNTIFS(Downtime!$E$2:$E$60,A5)</f>
        <v>0</v>
      </c>
    </row>
    <row r="6" customFormat="false" ht="15" hidden="false" customHeight="false" outlineLevel="0" collapsed="false">
      <c r="A6" s="11" t="s">
        <v>107</v>
      </c>
      <c r="B6" s="11" t="n">
        <f aca="false">SUMIFS(Downtime!$G$2:$G$60,Downtime!$E$2:$E$60,A6)</f>
        <v>0</v>
      </c>
      <c r="C6" s="11" t="n">
        <f aca="false">COUNTIFS(Downtime!$E$2:$E$60,A6)</f>
        <v>0</v>
      </c>
    </row>
    <row r="7" customFormat="false" ht="15" hidden="false" customHeight="false" outlineLevel="0" collapsed="false">
      <c r="A7" s="11" t="s">
        <v>108</v>
      </c>
      <c r="B7" s="11" t="n">
        <f aca="false">SUMIFS(Downtime!$G$2:$G$60,Downtime!$E$2:$E$60,A7)</f>
        <v>0</v>
      </c>
      <c r="C7" s="11" t="n">
        <f aca="false">COUNTIFS(Downtime!$E$2:$E$60,A7)</f>
        <v>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0"/>
    <col collapsed="false" customWidth="true" hidden="false" outlineLevel="0" max="2" min="2" style="0" width="14"/>
  </cols>
  <sheetData>
    <row r="1" customFormat="false" ht="15" hidden="false" customHeight="false" outlineLevel="0" collapsed="false">
      <c r="A1" s="3" t="s">
        <v>109</v>
      </c>
    </row>
    <row r="2" customFormat="false" ht="15" hidden="false" customHeight="false" outlineLevel="0" collapsed="false">
      <c r="A2" s="17" t="s">
        <v>110</v>
      </c>
      <c r="B2" s="18" t="n">
        <f aca="false">SUM(WorkOrders!$D$2:$D$60)</f>
        <v>500</v>
      </c>
    </row>
    <row r="3" customFormat="false" ht="15" hidden="false" customHeight="false" outlineLevel="0" collapsed="false">
      <c r="A3" s="17" t="s">
        <v>111</v>
      </c>
      <c r="B3" s="18" t="n">
        <f aca="false">SUM(WorkOrders!$E$2:$E$60)</f>
        <v>470</v>
      </c>
    </row>
    <row r="4" customFormat="false" ht="15" hidden="false" customHeight="false" outlineLevel="0" collapsed="false">
      <c r="A4" s="17" t="s">
        <v>112</v>
      </c>
      <c r="B4" s="18" t="n">
        <f aca="false">SUM(WorkOrders!$F$2:$F$60)</f>
        <v>12</v>
      </c>
    </row>
    <row r="5" customFormat="false" ht="15" hidden="false" customHeight="false" outlineLevel="0" collapsed="false">
      <c r="A5" s="17" t="s">
        <v>113</v>
      </c>
      <c r="B5" s="18" t="n">
        <f aca="false">B3-B4</f>
        <v>458</v>
      </c>
    </row>
    <row r="6" customFormat="false" ht="15" hidden="false" customHeight="false" outlineLevel="0" collapsed="false">
      <c r="A6" s="17" t="s">
        <v>114</v>
      </c>
      <c r="B6" s="19" t="n">
        <f aca="false">IF(B3=0,0,B4/B3)</f>
        <v>0.025531914893617</v>
      </c>
    </row>
    <row r="7" customFormat="false" ht="15" hidden="false" customHeight="false" outlineLevel="0" collapsed="false">
      <c r="A7" s="17" t="s">
        <v>115</v>
      </c>
      <c r="B7" s="18" t="n">
        <f aca="false">COUNTIFS(WorkOrders!$K$2:$K$60,"completed")</f>
        <v>1</v>
      </c>
    </row>
    <row r="8" customFormat="false" ht="15" hidden="false" customHeight="false" outlineLevel="0" collapsed="false">
      <c r="A8" s="17" t="s">
        <v>116</v>
      </c>
      <c r="B8" s="18" t="n">
        <f aca="false">SUM(WorkOrders!$N$2:$N$60)</f>
        <v>1</v>
      </c>
    </row>
    <row r="9" customFormat="false" ht="15" hidden="false" customHeight="false" outlineLevel="0" collapsed="false">
      <c r="A9" s="17" t="s">
        <v>117</v>
      </c>
      <c r="B9" s="20" t="n">
        <f aca="false">IF(B7=0,0,B8/B7)</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6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8" min="1" style="0" width="16"/>
  </cols>
  <sheetData>
    <row r="1" customFormat="false" ht="23.85" hidden="false" customHeight="false" outlineLevel="0" collapsed="false">
      <c r="A1" s="7" t="s">
        <v>73</v>
      </c>
      <c r="B1" s="7" t="s">
        <v>48</v>
      </c>
      <c r="C1" s="7" t="s">
        <v>118</v>
      </c>
      <c r="D1" s="7" t="s">
        <v>119</v>
      </c>
      <c r="E1" s="7" t="s">
        <v>120</v>
      </c>
      <c r="F1" s="7" t="s">
        <v>81</v>
      </c>
      <c r="G1" s="7" t="s">
        <v>121</v>
      </c>
      <c r="H1" s="7" t="s">
        <v>122</v>
      </c>
    </row>
    <row r="2" customFormat="false" ht="15" hidden="false" customHeight="false" outlineLevel="0" collapsed="false">
      <c r="A2" s="11" t="str">
        <f aca="false">IF(WorkOrders!A2="","",WorkOrders!A2)</f>
        <v>WO-2026-0001</v>
      </c>
      <c r="B2" s="11" t="str">
        <f aca="false">IF(A2="","",WorkOrders!B2)</f>
        <v>FG-BRACKET-A</v>
      </c>
      <c r="C2" s="11" t="n">
        <f aca="false">IF(A2="","",IFERROR(SUMIFS(BOM!$E$2:$E$60,BOM!$A$2:$A$60,B2),""))</f>
        <v>117</v>
      </c>
      <c r="D2" s="11" t="n">
        <f aca="false">IF(A2="","",SUMIFS(StockMovements!$I$2:$I$60,StockMovements!$H$2:$H$60,A2,StockMovements!$D$2:$D$60,"issue"))</f>
        <v>58500</v>
      </c>
      <c r="E2" s="11" t="n">
        <f aca="false">IF(OR(A2="",C2="",C2=0,D2=0),"",D2/C2)</f>
        <v>500</v>
      </c>
      <c r="F2" s="11" t="n">
        <f aca="false">IF(A2="","",WorkOrders!L2)</f>
        <v>458</v>
      </c>
      <c r="G2" s="16" t="n">
        <f aca="false">IF(OR(E2="",E2=0),"",F2/E2)</f>
        <v>0.916</v>
      </c>
      <c r="H2" s="11" t="n">
        <f aca="false">IF(OR(C2="",F2="",F2=0),"",C2*WorkOrders!E2/F2)</f>
        <v>120.065502183406</v>
      </c>
    </row>
    <row r="3" customFormat="false" ht="15" hidden="false" customHeight="false" outlineLevel="0" collapsed="false">
      <c r="A3" s="11" t="str">
        <f aca="false">IF(WorkOrders!A3="","",WorkOrders!A3)</f>
        <v/>
      </c>
      <c r="B3" s="11" t="str">
        <f aca="false">IF(A3="","",WorkOrders!B3)</f>
        <v/>
      </c>
      <c r="C3" s="11" t="str">
        <f aca="false">IF(A3="","",IFERROR(SUMIFS(BOM!$E$2:$E$60,BOM!$A$2:$A$60,B3),""))</f>
        <v/>
      </c>
      <c r="D3" s="11" t="str">
        <f aca="false">IF(A3="","",SUMIFS(StockMovements!$I$2:$I$60,StockMovements!$H$2:$H$60,A3,StockMovements!$D$2:$D$60,"issue"))</f>
        <v/>
      </c>
      <c r="E3" s="11" t="str">
        <f aca="false">IF(OR(A3="",C3="",C3=0,D3=0),"",D3/C3)</f>
        <v/>
      </c>
      <c r="F3" s="11" t="str">
        <f aca="false">IF(A3="","",WorkOrders!L3)</f>
        <v/>
      </c>
      <c r="G3" s="16" t="str">
        <f aca="false">IF(OR(E3="",E3=0),"",F3/E3)</f>
        <v/>
      </c>
      <c r="H3" s="11" t="str">
        <f aca="false">IF(OR(C3="",F3="",F3=0),"",C3*WorkOrders!E3/F3)</f>
        <v/>
      </c>
    </row>
    <row r="4" customFormat="false" ht="15" hidden="false" customHeight="false" outlineLevel="0" collapsed="false">
      <c r="A4" s="11" t="str">
        <f aca="false">IF(WorkOrders!A4="","",WorkOrders!A4)</f>
        <v/>
      </c>
      <c r="B4" s="11" t="str">
        <f aca="false">IF(A4="","",WorkOrders!B4)</f>
        <v/>
      </c>
      <c r="C4" s="11" t="str">
        <f aca="false">IF(A4="","",IFERROR(SUMIFS(BOM!$E$2:$E$60,BOM!$A$2:$A$60,B4),""))</f>
        <v/>
      </c>
      <c r="D4" s="11" t="str">
        <f aca="false">IF(A4="","",SUMIFS(StockMovements!$I$2:$I$60,StockMovements!$H$2:$H$60,A4,StockMovements!$D$2:$D$60,"issue"))</f>
        <v/>
      </c>
      <c r="E4" s="11" t="str">
        <f aca="false">IF(OR(A4="",C4="",C4=0,D4=0),"",D4/C4)</f>
        <v/>
      </c>
      <c r="F4" s="11" t="str">
        <f aca="false">IF(A4="","",WorkOrders!L4)</f>
        <v/>
      </c>
      <c r="G4" s="16" t="str">
        <f aca="false">IF(OR(E4="",E4=0),"",F4/E4)</f>
        <v/>
      </c>
      <c r="H4" s="11" t="str">
        <f aca="false">IF(OR(C4="",F4="",F4=0),"",C4*WorkOrders!E4/F4)</f>
        <v/>
      </c>
    </row>
    <row r="5" customFormat="false" ht="15" hidden="false" customHeight="false" outlineLevel="0" collapsed="false">
      <c r="A5" s="11" t="str">
        <f aca="false">IF(WorkOrders!A5="","",WorkOrders!A5)</f>
        <v/>
      </c>
      <c r="B5" s="11" t="str">
        <f aca="false">IF(A5="","",WorkOrders!B5)</f>
        <v/>
      </c>
      <c r="C5" s="11" t="str">
        <f aca="false">IF(A5="","",IFERROR(SUMIFS(BOM!$E$2:$E$60,BOM!$A$2:$A$60,B5),""))</f>
        <v/>
      </c>
      <c r="D5" s="11" t="str">
        <f aca="false">IF(A5="","",SUMIFS(StockMovements!$I$2:$I$60,StockMovements!$H$2:$H$60,A5,StockMovements!$D$2:$D$60,"issue"))</f>
        <v/>
      </c>
      <c r="E5" s="11" t="str">
        <f aca="false">IF(OR(A5="",C5="",C5=0,D5=0),"",D5/C5)</f>
        <v/>
      </c>
      <c r="F5" s="11" t="str">
        <f aca="false">IF(A5="","",WorkOrders!L5)</f>
        <v/>
      </c>
      <c r="G5" s="16" t="str">
        <f aca="false">IF(OR(E5="",E5=0),"",F5/E5)</f>
        <v/>
      </c>
      <c r="H5" s="11" t="str">
        <f aca="false">IF(OR(C5="",F5="",F5=0),"",C5*WorkOrders!E5/F5)</f>
        <v/>
      </c>
    </row>
    <row r="6" customFormat="false" ht="15" hidden="false" customHeight="false" outlineLevel="0" collapsed="false">
      <c r="A6" s="11" t="str">
        <f aca="false">IF(WorkOrders!A6="","",WorkOrders!A6)</f>
        <v/>
      </c>
      <c r="B6" s="11" t="str">
        <f aca="false">IF(A6="","",WorkOrders!B6)</f>
        <v/>
      </c>
      <c r="C6" s="11" t="str">
        <f aca="false">IF(A6="","",IFERROR(SUMIFS(BOM!$E$2:$E$60,BOM!$A$2:$A$60,B6),""))</f>
        <v/>
      </c>
      <c r="D6" s="11" t="str">
        <f aca="false">IF(A6="","",SUMIFS(StockMovements!$I$2:$I$60,StockMovements!$H$2:$H$60,A6,StockMovements!$D$2:$D$60,"issue"))</f>
        <v/>
      </c>
      <c r="E6" s="11" t="str">
        <f aca="false">IF(OR(A6="",C6="",C6=0,D6=0),"",D6/C6)</f>
        <v/>
      </c>
      <c r="F6" s="11" t="str">
        <f aca="false">IF(A6="","",WorkOrders!L6)</f>
        <v/>
      </c>
      <c r="G6" s="16" t="str">
        <f aca="false">IF(OR(E6="",E6=0),"",F6/E6)</f>
        <v/>
      </c>
      <c r="H6" s="11" t="str">
        <f aca="false">IF(OR(C6="",F6="",F6=0),"",C6*WorkOrders!E6/F6)</f>
        <v/>
      </c>
    </row>
    <row r="7" customFormat="false" ht="15" hidden="false" customHeight="false" outlineLevel="0" collapsed="false">
      <c r="A7" s="11" t="str">
        <f aca="false">IF(WorkOrders!A7="","",WorkOrders!A7)</f>
        <v/>
      </c>
      <c r="B7" s="11" t="str">
        <f aca="false">IF(A7="","",WorkOrders!B7)</f>
        <v/>
      </c>
      <c r="C7" s="11" t="str">
        <f aca="false">IF(A7="","",IFERROR(SUMIFS(BOM!$E$2:$E$60,BOM!$A$2:$A$60,B7),""))</f>
        <v/>
      </c>
      <c r="D7" s="11" t="str">
        <f aca="false">IF(A7="","",SUMIFS(StockMovements!$I$2:$I$60,StockMovements!$H$2:$H$60,A7,StockMovements!$D$2:$D$60,"issue"))</f>
        <v/>
      </c>
      <c r="E7" s="11" t="str">
        <f aca="false">IF(OR(A7="",C7="",C7=0,D7=0),"",D7/C7)</f>
        <v/>
      </c>
      <c r="F7" s="11" t="str">
        <f aca="false">IF(A7="","",WorkOrders!L7)</f>
        <v/>
      </c>
      <c r="G7" s="16" t="str">
        <f aca="false">IF(OR(E7="",E7=0),"",F7/E7)</f>
        <v/>
      </c>
      <c r="H7" s="11" t="str">
        <f aca="false">IF(OR(C7="",F7="",F7=0),"",C7*WorkOrders!E7/F7)</f>
        <v/>
      </c>
    </row>
    <row r="8" customFormat="false" ht="15" hidden="false" customHeight="false" outlineLevel="0" collapsed="false">
      <c r="A8" s="11" t="str">
        <f aca="false">IF(WorkOrders!A8="","",WorkOrders!A8)</f>
        <v/>
      </c>
      <c r="B8" s="11" t="str">
        <f aca="false">IF(A8="","",WorkOrders!B8)</f>
        <v/>
      </c>
      <c r="C8" s="11" t="str">
        <f aca="false">IF(A8="","",IFERROR(SUMIFS(BOM!$E$2:$E$60,BOM!$A$2:$A$60,B8),""))</f>
        <v/>
      </c>
      <c r="D8" s="11" t="str">
        <f aca="false">IF(A8="","",SUMIFS(StockMovements!$I$2:$I$60,StockMovements!$H$2:$H$60,A8,StockMovements!$D$2:$D$60,"issue"))</f>
        <v/>
      </c>
      <c r="E8" s="11" t="str">
        <f aca="false">IF(OR(A8="",C8="",C8=0,D8=0),"",D8/C8)</f>
        <v/>
      </c>
      <c r="F8" s="11" t="str">
        <f aca="false">IF(A8="","",WorkOrders!L8)</f>
        <v/>
      </c>
      <c r="G8" s="16" t="str">
        <f aca="false">IF(OR(E8="",E8=0),"",F8/E8)</f>
        <v/>
      </c>
      <c r="H8" s="11" t="str">
        <f aca="false">IF(OR(C8="",F8="",F8=0),"",C8*WorkOrders!E8/F8)</f>
        <v/>
      </c>
    </row>
    <row r="9" customFormat="false" ht="15" hidden="false" customHeight="false" outlineLevel="0" collapsed="false">
      <c r="A9" s="11" t="str">
        <f aca="false">IF(WorkOrders!A9="","",WorkOrders!A9)</f>
        <v/>
      </c>
      <c r="B9" s="11" t="str">
        <f aca="false">IF(A9="","",WorkOrders!B9)</f>
        <v/>
      </c>
      <c r="C9" s="11" t="str">
        <f aca="false">IF(A9="","",IFERROR(SUMIFS(BOM!$E$2:$E$60,BOM!$A$2:$A$60,B9),""))</f>
        <v/>
      </c>
      <c r="D9" s="11" t="str">
        <f aca="false">IF(A9="","",SUMIFS(StockMovements!$I$2:$I$60,StockMovements!$H$2:$H$60,A9,StockMovements!$D$2:$D$60,"issue"))</f>
        <v/>
      </c>
      <c r="E9" s="11" t="str">
        <f aca="false">IF(OR(A9="",C9="",C9=0,D9=0),"",D9/C9)</f>
        <v/>
      </c>
      <c r="F9" s="11" t="str">
        <f aca="false">IF(A9="","",WorkOrders!L9)</f>
        <v/>
      </c>
      <c r="G9" s="16" t="str">
        <f aca="false">IF(OR(E9="",E9=0),"",F9/E9)</f>
        <v/>
      </c>
      <c r="H9" s="11" t="str">
        <f aca="false">IF(OR(C9="",F9="",F9=0),"",C9*WorkOrders!E9/F9)</f>
        <v/>
      </c>
    </row>
    <row r="10" customFormat="false" ht="15" hidden="false" customHeight="false" outlineLevel="0" collapsed="false">
      <c r="A10" s="11" t="str">
        <f aca="false">IF(WorkOrders!A10="","",WorkOrders!A10)</f>
        <v/>
      </c>
      <c r="B10" s="11" t="str">
        <f aca="false">IF(A10="","",WorkOrders!B10)</f>
        <v/>
      </c>
      <c r="C10" s="11" t="str">
        <f aca="false">IF(A10="","",IFERROR(SUMIFS(BOM!$E$2:$E$60,BOM!$A$2:$A$60,B10),""))</f>
        <v/>
      </c>
      <c r="D10" s="11" t="str">
        <f aca="false">IF(A10="","",SUMIFS(StockMovements!$I$2:$I$60,StockMovements!$H$2:$H$60,A10,StockMovements!$D$2:$D$60,"issue"))</f>
        <v/>
      </c>
      <c r="E10" s="11" t="str">
        <f aca="false">IF(OR(A10="",C10="",C10=0,D10=0),"",D10/C10)</f>
        <v/>
      </c>
      <c r="F10" s="11" t="str">
        <f aca="false">IF(A10="","",WorkOrders!L10)</f>
        <v/>
      </c>
      <c r="G10" s="16" t="str">
        <f aca="false">IF(OR(E10="",E10=0),"",F10/E10)</f>
        <v/>
      </c>
      <c r="H10" s="11" t="str">
        <f aca="false">IF(OR(C10="",F10="",F10=0),"",C10*WorkOrders!E10/F10)</f>
        <v/>
      </c>
    </row>
    <row r="11" customFormat="false" ht="15" hidden="false" customHeight="false" outlineLevel="0" collapsed="false">
      <c r="A11" s="11" t="str">
        <f aca="false">IF(WorkOrders!A11="","",WorkOrders!A11)</f>
        <v/>
      </c>
      <c r="B11" s="11" t="str">
        <f aca="false">IF(A11="","",WorkOrders!B11)</f>
        <v/>
      </c>
      <c r="C11" s="11" t="str">
        <f aca="false">IF(A11="","",IFERROR(SUMIFS(BOM!$E$2:$E$60,BOM!$A$2:$A$60,B11),""))</f>
        <v/>
      </c>
      <c r="D11" s="11" t="str">
        <f aca="false">IF(A11="","",SUMIFS(StockMovements!$I$2:$I$60,StockMovements!$H$2:$H$60,A11,StockMovements!$D$2:$D$60,"issue"))</f>
        <v/>
      </c>
      <c r="E11" s="11" t="str">
        <f aca="false">IF(OR(A11="",C11="",C11=0,D11=0),"",D11/C11)</f>
        <v/>
      </c>
      <c r="F11" s="11" t="str">
        <f aca="false">IF(A11="","",WorkOrders!L11)</f>
        <v/>
      </c>
      <c r="G11" s="16" t="str">
        <f aca="false">IF(OR(E11="",E11=0),"",F11/E11)</f>
        <v/>
      </c>
      <c r="H11" s="11" t="str">
        <f aca="false">IF(OR(C11="",F11="",F11=0),"",C11*WorkOrders!E11/F11)</f>
        <v/>
      </c>
    </row>
    <row r="12" customFormat="false" ht="15" hidden="false" customHeight="false" outlineLevel="0" collapsed="false">
      <c r="A12" s="11" t="str">
        <f aca="false">IF(WorkOrders!A12="","",WorkOrders!A12)</f>
        <v/>
      </c>
      <c r="B12" s="11" t="str">
        <f aca="false">IF(A12="","",WorkOrders!B12)</f>
        <v/>
      </c>
      <c r="C12" s="11" t="str">
        <f aca="false">IF(A12="","",IFERROR(SUMIFS(BOM!$E$2:$E$60,BOM!$A$2:$A$60,B12),""))</f>
        <v/>
      </c>
      <c r="D12" s="11" t="str">
        <f aca="false">IF(A12="","",SUMIFS(StockMovements!$I$2:$I$60,StockMovements!$H$2:$H$60,A12,StockMovements!$D$2:$D$60,"issue"))</f>
        <v/>
      </c>
      <c r="E12" s="11" t="str">
        <f aca="false">IF(OR(A12="",C12="",C12=0,D12=0),"",D12/C12)</f>
        <v/>
      </c>
      <c r="F12" s="11" t="str">
        <f aca="false">IF(A12="","",WorkOrders!L12)</f>
        <v/>
      </c>
      <c r="G12" s="16" t="str">
        <f aca="false">IF(OR(E12="",E12=0),"",F12/E12)</f>
        <v/>
      </c>
      <c r="H12" s="11" t="str">
        <f aca="false">IF(OR(C12="",F12="",F12=0),"",C12*WorkOrders!E12/F12)</f>
        <v/>
      </c>
    </row>
    <row r="13" customFormat="false" ht="15" hidden="false" customHeight="false" outlineLevel="0" collapsed="false">
      <c r="A13" s="11" t="str">
        <f aca="false">IF(WorkOrders!A13="","",WorkOrders!A13)</f>
        <v/>
      </c>
      <c r="B13" s="11" t="str">
        <f aca="false">IF(A13="","",WorkOrders!B13)</f>
        <v/>
      </c>
      <c r="C13" s="11" t="str">
        <f aca="false">IF(A13="","",IFERROR(SUMIFS(BOM!$E$2:$E$60,BOM!$A$2:$A$60,B13),""))</f>
        <v/>
      </c>
      <c r="D13" s="11" t="str">
        <f aca="false">IF(A13="","",SUMIFS(StockMovements!$I$2:$I$60,StockMovements!$H$2:$H$60,A13,StockMovements!$D$2:$D$60,"issue"))</f>
        <v/>
      </c>
      <c r="E13" s="11" t="str">
        <f aca="false">IF(OR(A13="",C13="",C13=0,D13=0),"",D13/C13)</f>
        <v/>
      </c>
      <c r="F13" s="11" t="str">
        <f aca="false">IF(A13="","",WorkOrders!L13)</f>
        <v/>
      </c>
      <c r="G13" s="16" t="str">
        <f aca="false">IF(OR(E13="",E13=0),"",F13/E13)</f>
        <v/>
      </c>
      <c r="H13" s="11" t="str">
        <f aca="false">IF(OR(C13="",F13="",F13=0),"",C13*WorkOrders!E13/F13)</f>
        <v/>
      </c>
    </row>
    <row r="14" customFormat="false" ht="15" hidden="false" customHeight="false" outlineLevel="0" collapsed="false">
      <c r="A14" s="11" t="str">
        <f aca="false">IF(WorkOrders!A14="","",WorkOrders!A14)</f>
        <v/>
      </c>
      <c r="B14" s="11" t="str">
        <f aca="false">IF(A14="","",WorkOrders!B14)</f>
        <v/>
      </c>
      <c r="C14" s="11" t="str">
        <f aca="false">IF(A14="","",IFERROR(SUMIFS(BOM!$E$2:$E$60,BOM!$A$2:$A$60,B14),""))</f>
        <v/>
      </c>
      <c r="D14" s="11" t="str">
        <f aca="false">IF(A14="","",SUMIFS(StockMovements!$I$2:$I$60,StockMovements!$H$2:$H$60,A14,StockMovements!$D$2:$D$60,"issue"))</f>
        <v/>
      </c>
      <c r="E14" s="11" t="str">
        <f aca="false">IF(OR(A14="",C14="",C14=0,D14=0),"",D14/C14)</f>
        <v/>
      </c>
      <c r="F14" s="11" t="str">
        <f aca="false">IF(A14="","",WorkOrders!L14)</f>
        <v/>
      </c>
      <c r="G14" s="16" t="str">
        <f aca="false">IF(OR(E14="",E14=0),"",F14/E14)</f>
        <v/>
      </c>
      <c r="H14" s="11" t="str">
        <f aca="false">IF(OR(C14="",F14="",F14=0),"",C14*WorkOrders!E14/F14)</f>
        <v/>
      </c>
    </row>
    <row r="15" customFormat="false" ht="15" hidden="false" customHeight="false" outlineLevel="0" collapsed="false">
      <c r="A15" s="11" t="str">
        <f aca="false">IF(WorkOrders!A15="","",WorkOrders!A15)</f>
        <v/>
      </c>
      <c r="B15" s="11" t="str">
        <f aca="false">IF(A15="","",WorkOrders!B15)</f>
        <v/>
      </c>
      <c r="C15" s="11" t="str">
        <f aca="false">IF(A15="","",IFERROR(SUMIFS(BOM!$E$2:$E$60,BOM!$A$2:$A$60,B15),""))</f>
        <v/>
      </c>
      <c r="D15" s="11" t="str">
        <f aca="false">IF(A15="","",SUMIFS(StockMovements!$I$2:$I$60,StockMovements!$H$2:$H$60,A15,StockMovements!$D$2:$D$60,"issue"))</f>
        <v/>
      </c>
      <c r="E15" s="11" t="str">
        <f aca="false">IF(OR(A15="",C15="",C15=0,D15=0),"",D15/C15)</f>
        <v/>
      </c>
      <c r="F15" s="11" t="str">
        <f aca="false">IF(A15="","",WorkOrders!L15)</f>
        <v/>
      </c>
      <c r="G15" s="16" t="str">
        <f aca="false">IF(OR(E15="",E15=0),"",F15/E15)</f>
        <v/>
      </c>
      <c r="H15" s="11" t="str">
        <f aca="false">IF(OR(C15="",F15="",F15=0),"",C15*WorkOrders!E15/F15)</f>
        <v/>
      </c>
    </row>
    <row r="16" customFormat="false" ht="15" hidden="false" customHeight="false" outlineLevel="0" collapsed="false">
      <c r="A16" s="11" t="str">
        <f aca="false">IF(WorkOrders!A16="","",WorkOrders!A16)</f>
        <v/>
      </c>
      <c r="B16" s="11" t="str">
        <f aca="false">IF(A16="","",WorkOrders!B16)</f>
        <v/>
      </c>
      <c r="C16" s="11" t="str">
        <f aca="false">IF(A16="","",IFERROR(SUMIFS(BOM!$E$2:$E$60,BOM!$A$2:$A$60,B16),""))</f>
        <v/>
      </c>
      <c r="D16" s="11" t="str">
        <f aca="false">IF(A16="","",SUMIFS(StockMovements!$I$2:$I$60,StockMovements!$H$2:$H$60,A16,StockMovements!$D$2:$D$60,"issue"))</f>
        <v/>
      </c>
      <c r="E16" s="11" t="str">
        <f aca="false">IF(OR(A16="",C16="",C16=0,D16=0),"",D16/C16)</f>
        <v/>
      </c>
      <c r="F16" s="11" t="str">
        <f aca="false">IF(A16="","",WorkOrders!L16)</f>
        <v/>
      </c>
      <c r="G16" s="16" t="str">
        <f aca="false">IF(OR(E16="",E16=0),"",F16/E16)</f>
        <v/>
      </c>
      <c r="H16" s="11" t="str">
        <f aca="false">IF(OR(C16="",F16="",F16=0),"",C16*WorkOrders!E16/F16)</f>
        <v/>
      </c>
    </row>
    <row r="17" customFormat="false" ht="15" hidden="false" customHeight="false" outlineLevel="0" collapsed="false">
      <c r="A17" s="11" t="str">
        <f aca="false">IF(WorkOrders!A17="","",WorkOrders!A17)</f>
        <v/>
      </c>
      <c r="B17" s="11" t="str">
        <f aca="false">IF(A17="","",WorkOrders!B17)</f>
        <v/>
      </c>
      <c r="C17" s="11" t="str">
        <f aca="false">IF(A17="","",IFERROR(SUMIFS(BOM!$E$2:$E$60,BOM!$A$2:$A$60,B17),""))</f>
        <v/>
      </c>
      <c r="D17" s="11" t="str">
        <f aca="false">IF(A17="","",SUMIFS(StockMovements!$I$2:$I$60,StockMovements!$H$2:$H$60,A17,StockMovements!$D$2:$D$60,"issue"))</f>
        <v/>
      </c>
      <c r="E17" s="11" t="str">
        <f aca="false">IF(OR(A17="",C17="",C17=0,D17=0),"",D17/C17)</f>
        <v/>
      </c>
      <c r="F17" s="11" t="str">
        <f aca="false">IF(A17="","",WorkOrders!L17)</f>
        <v/>
      </c>
      <c r="G17" s="16" t="str">
        <f aca="false">IF(OR(E17="",E17=0),"",F17/E17)</f>
        <v/>
      </c>
      <c r="H17" s="11" t="str">
        <f aca="false">IF(OR(C17="",F17="",F17=0),"",C17*WorkOrders!E17/F17)</f>
        <v/>
      </c>
    </row>
    <row r="18" customFormat="false" ht="15" hidden="false" customHeight="false" outlineLevel="0" collapsed="false">
      <c r="A18" s="11" t="str">
        <f aca="false">IF(WorkOrders!A18="","",WorkOrders!A18)</f>
        <v/>
      </c>
      <c r="B18" s="11" t="str">
        <f aca="false">IF(A18="","",WorkOrders!B18)</f>
        <v/>
      </c>
      <c r="C18" s="11" t="str">
        <f aca="false">IF(A18="","",IFERROR(SUMIFS(BOM!$E$2:$E$60,BOM!$A$2:$A$60,B18),""))</f>
        <v/>
      </c>
      <c r="D18" s="11" t="str">
        <f aca="false">IF(A18="","",SUMIFS(StockMovements!$I$2:$I$60,StockMovements!$H$2:$H$60,A18,StockMovements!$D$2:$D$60,"issue"))</f>
        <v/>
      </c>
      <c r="E18" s="11" t="str">
        <f aca="false">IF(OR(A18="",C18="",C18=0,D18=0),"",D18/C18)</f>
        <v/>
      </c>
      <c r="F18" s="11" t="str">
        <f aca="false">IF(A18="","",WorkOrders!L18)</f>
        <v/>
      </c>
      <c r="G18" s="16" t="str">
        <f aca="false">IF(OR(E18="",E18=0),"",F18/E18)</f>
        <v/>
      </c>
      <c r="H18" s="11" t="str">
        <f aca="false">IF(OR(C18="",F18="",F18=0),"",C18*WorkOrders!E18/F18)</f>
        <v/>
      </c>
    </row>
    <row r="19" customFormat="false" ht="15" hidden="false" customHeight="false" outlineLevel="0" collapsed="false">
      <c r="A19" s="11" t="str">
        <f aca="false">IF(WorkOrders!A19="","",WorkOrders!A19)</f>
        <v/>
      </c>
      <c r="B19" s="11" t="str">
        <f aca="false">IF(A19="","",WorkOrders!B19)</f>
        <v/>
      </c>
      <c r="C19" s="11" t="str">
        <f aca="false">IF(A19="","",IFERROR(SUMIFS(BOM!$E$2:$E$60,BOM!$A$2:$A$60,B19),""))</f>
        <v/>
      </c>
      <c r="D19" s="11" t="str">
        <f aca="false">IF(A19="","",SUMIFS(StockMovements!$I$2:$I$60,StockMovements!$H$2:$H$60,A19,StockMovements!$D$2:$D$60,"issue"))</f>
        <v/>
      </c>
      <c r="E19" s="11" t="str">
        <f aca="false">IF(OR(A19="",C19="",C19=0,D19=0),"",D19/C19)</f>
        <v/>
      </c>
      <c r="F19" s="11" t="str">
        <f aca="false">IF(A19="","",WorkOrders!L19)</f>
        <v/>
      </c>
      <c r="G19" s="16" t="str">
        <f aca="false">IF(OR(E19="",E19=0),"",F19/E19)</f>
        <v/>
      </c>
      <c r="H19" s="11" t="str">
        <f aca="false">IF(OR(C19="",F19="",F19=0),"",C19*WorkOrders!E19/F19)</f>
        <v/>
      </c>
    </row>
    <row r="20" customFormat="false" ht="15" hidden="false" customHeight="false" outlineLevel="0" collapsed="false">
      <c r="A20" s="11" t="str">
        <f aca="false">IF(WorkOrders!A20="","",WorkOrders!A20)</f>
        <v/>
      </c>
      <c r="B20" s="11" t="str">
        <f aca="false">IF(A20="","",WorkOrders!B20)</f>
        <v/>
      </c>
      <c r="C20" s="11" t="str">
        <f aca="false">IF(A20="","",IFERROR(SUMIFS(BOM!$E$2:$E$60,BOM!$A$2:$A$60,B20),""))</f>
        <v/>
      </c>
      <c r="D20" s="11" t="str">
        <f aca="false">IF(A20="","",SUMIFS(StockMovements!$I$2:$I$60,StockMovements!$H$2:$H$60,A20,StockMovements!$D$2:$D$60,"issue"))</f>
        <v/>
      </c>
      <c r="E20" s="11" t="str">
        <f aca="false">IF(OR(A20="",C20="",C20=0,D20=0),"",D20/C20)</f>
        <v/>
      </c>
      <c r="F20" s="11" t="str">
        <f aca="false">IF(A20="","",WorkOrders!L20)</f>
        <v/>
      </c>
      <c r="G20" s="16" t="str">
        <f aca="false">IF(OR(E20="",E20=0),"",F20/E20)</f>
        <v/>
      </c>
      <c r="H20" s="11" t="str">
        <f aca="false">IF(OR(C20="",F20="",F20=0),"",C20*WorkOrders!E20/F20)</f>
        <v/>
      </c>
    </row>
    <row r="21" customFormat="false" ht="15" hidden="false" customHeight="false" outlineLevel="0" collapsed="false">
      <c r="A21" s="11" t="str">
        <f aca="false">IF(WorkOrders!A21="","",WorkOrders!A21)</f>
        <v/>
      </c>
      <c r="B21" s="11" t="str">
        <f aca="false">IF(A21="","",WorkOrders!B21)</f>
        <v/>
      </c>
      <c r="C21" s="11" t="str">
        <f aca="false">IF(A21="","",IFERROR(SUMIFS(BOM!$E$2:$E$60,BOM!$A$2:$A$60,B21),""))</f>
        <v/>
      </c>
      <c r="D21" s="11" t="str">
        <f aca="false">IF(A21="","",SUMIFS(StockMovements!$I$2:$I$60,StockMovements!$H$2:$H$60,A21,StockMovements!$D$2:$D$60,"issue"))</f>
        <v/>
      </c>
      <c r="E21" s="11" t="str">
        <f aca="false">IF(OR(A21="",C21="",C21=0,D21=0),"",D21/C21)</f>
        <v/>
      </c>
      <c r="F21" s="11" t="str">
        <f aca="false">IF(A21="","",WorkOrders!L21)</f>
        <v/>
      </c>
      <c r="G21" s="16" t="str">
        <f aca="false">IF(OR(E21="",E21=0),"",F21/E21)</f>
        <v/>
      </c>
      <c r="H21" s="11" t="str">
        <f aca="false">IF(OR(C21="",F21="",F21=0),"",C21*WorkOrders!E21/F21)</f>
        <v/>
      </c>
    </row>
    <row r="22" customFormat="false" ht="15" hidden="false" customHeight="false" outlineLevel="0" collapsed="false">
      <c r="A22" s="11" t="str">
        <f aca="false">IF(WorkOrders!A22="","",WorkOrders!A22)</f>
        <v/>
      </c>
      <c r="B22" s="11" t="str">
        <f aca="false">IF(A22="","",WorkOrders!B22)</f>
        <v/>
      </c>
      <c r="C22" s="11" t="str">
        <f aca="false">IF(A22="","",IFERROR(SUMIFS(BOM!$E$2:$E$60,BOM!$A$2:$A$60,B22),""))</f>
        <v/>
      </c>
      <c r="D22" s="11" t="str">
        <f aca="false">IF(A22="","",SUMIFS(StockMovements!$I$2:$I$60,StockMovements!$H$2:$H$60,A22,StockMovements!$D$2:$D$60,"issue"))</f>
        <v/>
      </c>
      <c r="E22" s="11" t="str">
        <f aca="false">IF(OR(A22="",C22="",C22=0,D22=0),"",D22/C22)</f>
        <v/>
      </c>
      <c r="F22" s="11" t="str">
        <f aca="false">IF(A22="","",WorkOrders!L22)</f>
        <v/>
      </c>
      <c r="G22" s="16" t="str">
        <f aca="false">IF(OR(E22="",E22=0),"",F22/E22)</f>
        <v/>
      </c>
      <c r="H22" s="11" t="str">
        <f aca="false">IF(OR(C22="",F22="",F22=0),"",C22*WorkOrders!E22/F22)</f>
        <v/>
      </c>
    </row>
    <row r="23" customFormat="false" ht="15" hidden="false" customHeight="false" outlineLevel="0" collapsed="false">
      <c r="A23" s="11" t="str">
        <f aca="false">IF(WorkOrders!A23="","",WorkOrders!A23)</f>
        <v/>
      </c>
      <c r="B23" s="11" t="str">
        <f aca="false">IF(A23="","",WorkOrders!B23)</f>
        <v/>
      </c>
      <c r="C23" s="11" t="str">
        <f aca="false">IF(A23="","",IFERROR(SUMIFS(BOM!$E$2:$E$60,BOM!$A$2:$A$60,B23),""))</f>
        <v/>
      </c>
      <c r="D23" s="11" t="str">
        <f aca="false">IF(A23="","",SUMIFS(StockMovements!$I$2:$I$60,StockMovements!$H$2:$H$60,A23,StockMovements!$D$2:$D$60,"issue"))</f>
        <v/>
      </c>
      <c r="E23" s="11" t="str">
        <f aca="false">IF(OR(A23="",C23="",C23=0,D23=0),"",D23/C23)</f>
        <v/>
      </c>
      <c r="F23" s="11" t="str">
        <f aca="false">IF(A23="","",WorkOrders!L23)</f>
        <v/>
      </c>
      <c r="G23" s="16" t="str">
        <f aca="false">IF(OR(E23="",E23=0),"",F23/E23)</f>
        <v/>
      </c>
      <c r="H23" s="11" t="str">
        <f aca="false">IF(OR(C23="",F23="",F23=0),"",C23*WorkOrders!E23/F23)</f>
        <v/>
      </c>
    </row>
    <row r="24" customFormat="false" ht="15" hidden="false" customHeight="false" outlineLevel="0" collapsed="false">
      <c r="A24" s="11" t="str">
        <f aca="false">IF(WorkOrders!A24="","",WorkOrders!A24)</f>
        <v/>
      </c>
      <c r="B24" s="11" t="str">
        <f aca="false">IF(A24="","",WorkOrders!B24)</f>
        <v/>
      </c>
      <c r="C24" s="11" t="str">
        <f aca="false">IF(A24="","",IFERROR(SUMIFS(BOM!$E$2:$E$60,BOM!$A$2:$A$60,B24),""))</f>
        <v/>
      </c>
      <c r="D24" s="11" t="str">
        <f aca="false">IF(A24="","",SUMIFS(StockMovements!$I$2:$I$60,StockMovements!$H$2:$H$60,A24,StockMovements!$D$2:$D$60,"issue"))</f>
        <v/>
      </c>
      <c r="E24" s="11" t="str">
        <f aca="false">IF(OR(A24="",C24="",C24=0,D24=0),"",D24/C24)</f>
        <v/>
      </c>
      <c r="F24" s="11" t="str">
        <f aca="false">IF(A24="","",WorkOrders!L24)</f>
        <v/>
      </c>
      <c r="G24" s="16" t="str">
        <f aca="false">IF(OR(E24="",E24=0),"",F24/E24)</f>
        <v/>
      </c>
      <c r="H24" s="11" t="str">
        <f aca="false">IF(OR(C24="",F24="",F24=0),"",C24*WorkOrders!E24/F24)</f>
        <v/>
      </c>
    </row>
    <row r="25" customFormat="false" ht="15" hidden="false" customHeight="false" outlineLevel="0" collapsed="false">
      <c r="A25" s="11" t="str">
        <f aca="false">IF(WorkOrders!A25="","",WorkOrders!A25)</f>
        <v/>
      </c>
      <c r="B25" s="11" t="str">
        <f aca="false">IF(A25="","",WorkOrders!B25)</f>
        <v/>
      </c>
      <c r="C25" s="11" t="str">
        <f aca="false">IF(A25="","",IFERROR(SUMIFS(BOM!$E$2:$E$60,BOM!$A$2:$A$60,B25),""))</f>
        <v/>
      </c>
      <c r="D25" s="11" t="str">
        <f aca="false">IF(A25="","",SUMIFS(StockMovements!$I$2:$I$60,StockMovements!$H$2:$H$60,A25,StockMovements!$D$2:$D$60,"issue"))</f>
        <v/>
      </c>
      <c r="E25" s="11" t="str">
        <f aca="false">IF(OR(A25="",C25="",C25=0,D25=0),"",D25/C25)</f>
        <v/>
      </c>
      <c r="F25" s="11" t="str">
        <f aca="false">IF(A25="","",WorkOrders!L25)</f>
        <v/>
      </c>
      <c r="G25" s="16" t="str">
        <f aca="false">IF(OR(E25="",E25=0),"",F25/E25)</f>
        <v/>
      </c>
      <c r="H25" s="11" t="str">
        <f aca="false">IF(OR(C25="",F25="",F25=0),"",C25*WorkOrders!E25/F25)</f>
        <v/>
      </c>
    </row>
    <row r="26" customFormat="false" ht="15" hidden="false" customHeight="false" outlineLevel="0" collapsed="false">
      <c r="A26" s="11" t="str">
        <f aca="false">IF(WorkOrders!A26="","",WorkOrders!A26)</f>
        <v/>
      </c>
      <c r="B26" s="11" t="str">
        <f aca="false">IF(A26="","",WorkOrders!B26)</f>
        <v/>
      </c>
      <c r="C26" s="11" t="str">
        <f aca="false">IF(A26="","",IFERROR(SUMIFS(BOM!$E$2:$E$60,BOM!$A$2:$A$60,B26),""))</f>
        <v/>
      </c>
      <c r="D26" s="11" t="str">
        <f aca="false">IF(A26="","",SUMIFS(StockMovements!$I$2:$I$60,StockMovements!$H$2:$H$60,A26,StockMovements!$D$2:$D$60,"issue"))</f>
        <v/>
      </c>
      <c r="E26" s="11" t="str">
        <f aca="false">IF(OR(A26="",C26="",C26=0,D26=0),"",D26/C26)</f>
        <v/>
      </c>
      <c r="F26" s="11" t="str">
        <f aca="false">IF(A26="","",WorkOrders!L26)</f>
        <v/>
      </c>
      <c r="G26" s="16" t="str">
        <f aca="false">IF(OR(E26="",E26=0),"",F26/E26)</f>
        <v/>
      </c>
      <c r="H26" s="11" t="str">
        <f aca="false">IF(OR(C26="",F26="",F26=0),"",C26*WorkOrders!E26/F26)</f>
        <v/>
      </c>
    </row>
    <row r="27" customFormat="false" ht="15" hidden="false" customHeight="false" outlineLevel="0" collapsed="false">
      <c r="A27" s="11" t="str">
        <f aca="false">IF(WorkOrders!A27="","",WorkOrders!A27)</f>
        <v/>
      </c>
      <c r="B27" s="11" t="str">
        <f aca="false">IF(A27="","",WorkOrders!B27)</f>
        <v/>
      </c>
      <c r="C27" s="11" t="str">
        <f aca="false">IF(A27="","",IFERROR(SUMIFS(BOM!$E$2:$E$60,BOM!$A$2:$A$60,B27),""))</f>
        <v/>
      </c>
      <c r="D27" s="11" t="str">
        <f aca="false">IF(A27="","",SUMIFS(StockMovements!$I$2:$I$60,StockMovements!$H$2:$H$60,A27,StockMovements!$D$2:$D$60,"issue"))</f>
        <v/>
      </c>
      <c r="E27" s="11" t="str">
        <f aca="false">IF(OR(A27="",C27="",C27=0,D27=0),"",D27/C27)</f>
        <v/>
      </c>
      <c r="F27" s="11" t="str">
        <f aca="false">IF(A27="","",WorkOrders!L27)</f>
        <v/>
      </c>
      <c r="G27" s="16" t="str">
        <f aca="false">IF(OR(E27="",E27=0),"",F27/E27)</f>
        <v/>
      </c>
      <c r="H27" s="11" t="str">
        <f aca="false">IF(OR(C27="",F27="",F27=0),"",C27*WorkOrders!E27/F27)</f>
        <v/>
      </c>
    </row>
    <row r="28" customFormat="false" ht="15" hidden="false" customHeight="false" outlineLevel="0" collapsed="false">
      <c r="A28" s="11" t="str">
        <f aca="false">IF(WorkOrders!A28="","",WorkOrders!A28)</f>
        <v/>
      </c>
      <c r="B28" s="11" t="str">
        <f aca="false">IF(A28="","",WorkOrders!B28)</f>
        <v/>
      </c>
      <c r="C28" s="11" t="str">
        <f aca="false">IF(A28="","",IFERROR(SUMIFS(BOM!$E$2:$E$60,BOM!$A$2:$A$60,B28),""))</f>
        <v/>
      </c>
      <c r="D28" s="11" t="str">
        <f aca="false">IF(A28="","",SUMIFS(StockMovements!$I$2:$I$60,StockMovements!$H$2:$H$60,A28,StockMovements!$D$2:$D$60,"issue"))</f>
        <v/>
      </c>
      <c r="E28" s="11" t="str">
        <f aca="false">IF(OR(A28="",C28="",C28=0,D28=0),"",D28/C28)</f>
        <v/>
      </c>
      <c r="F28" s="11" t="str">
        <f aca="false">IF(A28="","",WorkOrders!L28)</f>
        <v/>
      </c>
      <c r="G28" s="16" t="str">
        <f aca="false">IF(OR(E28="",E28=0),"",F28/E28)</f>
        <v/>
      </c>
      <c r="H28" s="11" t="str">
        <f aca="false">IF(OR(C28="",F28="",F28=0),"",C28*WorkOrders!E28/F28)</f>
        <v/>
      </c>
    </row>
    <row r="29" customFormat="false" ht="15" hidden="false" customHeight="false" outlineLevel="0" collapsed="false">
      <c r="A29" s="11" t="str">
        <f aca="false">IF(WorkOrders!A29="","",WorkOrders!A29)</f>
        <v/>
      </c>
      <c r="B29" s="11" t="str">
        <f aca="false">IF(A29="","",WorkOrders!B29)</f>
        <v/>
      </c>
      <c r="C29" s="11" t="str">
        <f aca="false">IF(A29="","",IFERROR(SUMIFS(BOM!$E$2:$E$60,BOM!$A$2:$A$60,B29),""))</f>
        <v/>
      </c>
      <c r="D29" s="11" t="str">
        <f aca="false">IF(A29="","",SUMIFS(StockMovements!$I$2:$I$60,StockMovements!$H$2:$H$60,A29,StockMovements!$D$2:$D$60,"issue"))</f>
        <v/>
      </c>
      <c r="E29" s="11" t="str">
        <f aca="false">IF(OR(A29="",C29="",C29=0,D29=0),"",D29/C29)</f>
        <v/>
      </c>
      <c r="F29" s="11" t="str">
        <f aca="false">IF(A29="","",WorkOrders!L29)</f>
        <v/>
      </c>
      <c r="G29" s="16" t="str">
        <f aca="false">IF(OR(E29="",E29=0),"",F29/E29)</f>
        <v/>
      </c>
      <c r="H29" s="11" t="str">
        <f aca="false">IF(OR(C29="",F29="",F29=0),"",C29*WorkOrders!E29/F29)</f>
        <v/>
      </c>
    </row>
    <row r="30" customFormat="false" ht="15" hidden="false" customHeight="false" outlineLevel="0" collapsed="false">
      <c r="A30" s="11" t="str">
        <f aca="false">IF(WorkOrders!A30="","",WorkOrders!A30)</f>
        <v/>
      </c>
      <c r="B30" s="11" t="str">
        <f aca="false">IF(A30="","",WorkOrders!B30)</f>
        <v/>
      </c>
      <c r="C30" s="11" t="str">
        <f aca="false">IF(A30="","",IFERROR(SUMIFS(BOM!$E$2:$E$60,BOM!$A$2:$A$60,B30),""))</f>
        <v/>
      </c>
      <c r="D30" s="11" t="str">
        <f aca="false">IF(A30="","",SUMIFS(StockMovements!$I$2:$I$60,StockMovements!$H$2:$H$60,A30,StockMovements!$D$2:$D$60,"issue"))</f>
        <v/>
      </c>
      <c r="E30" s="11" t="str">
        <f aca="false">IF(OR(A30="",C30="",C30=0,D30=0),"",D30/C30)</f>
        <v/>
      </c>
      <c r="F30" s="11" t="str">
        <f aca="false">IF(A30="","",WorkOrders!L30)</f>
        <v/>
      </c>
      <c r="G30" s="16" t="str">
        <f aca="false">IF(OR(E30="",E30=0),"",F30/E30)</f>
        <v/>
      </c>
      <c r="H30" s="11" t="str">
        <f aca="false">IF(OR(C30="",F30="",F30=0),"",C30*WorkOrders!E30/F30)</f>
        <v/>
      </c>
    </row>
    <row r="31" customFormat="false" ht="15" hidden="false" customHeight="false" outlineLevel="0" collapsed="false">
      <c r="A31" s="11" t="str">
        <f aca="false">IF(WorkOrders!A31="","",WorkOrders!A31)</f>
        <v/>
      </c>
      <c r="B31" s="11" t="str">
        <f aca="false">IF(A31="","",WorkOrders!B31)</f>
        <v/>
      </c>
      <c r="C31" s="11" t="str">
        <f aca="false">IF(A31="","",IFERROR(SUMIFS(BOM!$E$2:$E$60,BOM!$A$2:$A$60,B31),""))</f>
        <v/>
      </c>
      <c r="D31" s="11" t="str">
        <f aca="false">IF(A31="","",SUMIFS(StockMovements!$I$2:$I$60,StockMovements!$H$2:$H$60,A31,StockMovements!$D$2:$D$60,"issue"))</f>
        <v/>
      </c>
      <c r="E31" s="11" t="str">
        <f aca="false">IF(OR(A31="",C31="",C31=0,D31=0),"",D31/C31)</f>
        <v/>
      </c>
      <c r="F31" s="11" t="str">
        <f aca="false">IF(A31="","",WorkOrders!L31)</f>
        <v/>
      </c>
      <c r="G31" s="16" t="str">
        <f aca="false">IF(OR(E31="",E31=0),"",F31/E31)</f>
        <v/>
      </c>
      <c r="H31" s="11" t="str">
        <f aca="false">IF(OR(C31="",F31="",F31=0),"",C31*WorkOrders!E31/F31)</f>
        <v/>
      </c>
    </row>
    <row r="32" customFormat="false" ht="15" hidden="false" customHeight="false" outlineLevel="0" collapsed="false">
      <c r="A32" s="11" t="str">
        <f aca="false">IF(WorkOrders!A32="","",WorkOrders!A32)</f>
        <v/>
      </c>
      <c r="B32" s="11" t="str">
        <f aca="false">IF(A32="","",WorkOrders!B32)</f>
        <v/>
      </c>
      <c r="C32" s="11" t="str">
        <f aca="false">IF(A32="","",IFERROR(SUMIFS(BOM!$E$2:$E$60,BOM!$A$2:$A$60,B32),""))</f>
        <v/>
      </c>
      <c r="D32" s="11" t="str">
        <f aca="false">IF(A32="","",SUMIFS(StockMovements!$I$2:$I$60,StockMovements!$H$2:$H$60,A32,StockMovements!$D$2:$D$60,"issue"))</f>
        <v/>
      </c>
      <c r="E32" s="11" t="str">
        <f aca="false">IF(OR(A32="",C32="",C32=0,D32=0),"",D32/C32)</f>
        <v/>
      </c>
      <c r="F32" s="11" t="str">
        <f aca="false">IF(A32="","",WorkOrders!L32)</f>
        <v/>
      </c>
      <c r="G32" s="16" t="str">
        <f aca="false">IF(OR(E32="",E32=0),"",F32/E32)</f>
        <v/>
      </c>
      <c r="H32" s="11" t="str">
        <f aca="false">IF(OR(C32="",F32="",F32=0),"",C32*WorkOrders!E32/F32)</f>
        <v/>
      </c>
    </row>
    <row r="33" customFormat="false" ht="15" hidden="false" customHeight="false" outlineLevel="0" collapsed="false">
      <c r="A33" s="11" t="str">
        <f aca="false">IF(WorkOrders!A33="","",WorkOrders!A33)</f>
        <v/>
      </c>
      <c r="B33" s="11" t="str">
        <f aca="false">IF(A33="","",WorkOrders!B33)</f>
        <v/>
      </c>
      <c r="C33" s="11" t="str">
        <f aca="false">IF(A33="","",IFERROR(SUMIFS(BOM!$E$2:$E$60,BOM!$A$2:$A$60,B33),""))</f>
        <v/>
      </c>
      <c r="D33" s="11" t="str">
        <f aca="false">IF(A33="","",SUMIFS(StockMovements!$I$2:$I$60,StockMovements!$H$2:$H$60,A33,StockMovements!$D$2:$D$60,"issue"))</f>
        <v/>
      </c>
      <c r="E33" s="11" t="str">
        <f aca="false">IF(OR(A33="",C33="",C33=0,D33=0),"",D33/C33)</f>
        <v/>
      </c>
      <c r="F33" s="11" t="str">
        <f aca="false">IF(A33="","",WorkOrders!L33)</f>
        <v/>
      </c>
      <c r="G33" s="16" t="str">
        <f aca="false">IF(OR(E33="",E33=0),"",F33/E33)</f>
        <v/>
      </c>
      <c r="H33" s="11" t="str">
        <f aca="false">IF(OR(C33="",F33="",F33=0),"",C33*WorkOrders!E33/F33)</f>
        <v/>
      </c>
    </row>
    <row r="34" customFormat="false" ht="15" hidden="false" customHeight="false" outlineLevel="0" collapsed="false">
      <c r="A34" s="11" t="str">
        <f aca="false">IF(WorkOrders!A34="","",WorkOrders!A34)</f>
        <v/>
      </c>
      <c r="B34" s="11" t="str">
        <f aca="false">IF(A34="","",WorkOrders!B34)</f>
        <v/>
      </c>
      <c r="C34" s="11" t="str">
        <f aca="false">IF(A34="","",IFERROR(SUMIFS(BOM!$E$2:$E$60,BOM!$A$2:$A$60,B34),""))</f>
        <v/>
      </c>
      <c r="D34" s="11" t="str">
        <f aca="false">IF(A34="","",SUMIFS(StockMovements!$I$2:$I$60,StockMovements!$H$2:$H$60,A34,StockMovements!$D$2:$D$60,"issue"))</f>
        <v/>
      </c>
      <c r="E34" s="11" t="str">
        <f aca="false">IF(OR(A34="",C34="",C34=0,D34=0),"",D34/C34)</f>
        <v/>
      </c>
      <c r="F34" s="11" t="str">
        <f aca="false">IF(A34="","",WorkOrders!L34)</f>
        <v/>
      </c>
      <c r="G34" s="16" t="str">
        <f aca="false">IF(OR(E34="",E34=0),"",F34/E34)</f>
        <v/>
      </c>
      <c r="H34" s="11" t="str">
        <f aca="false">IF(OR(C34="",F34="",F34=0),"",C34*WorkOrders!E34/F34)</f>
        <v/>
      </c>
    </row>
    <row r="35" customFormat="false" ht="15" hidden="false" customHeight="false" outlineLevel="0" collapsed="false">
      <c r="A35" s="11" t="str">
        <f aca="false">IF(WorkOrders!A35="","",WorkOrders!A35)</f>
        <v/>
      </c>
      <c r="B35" s="11" t="str">
        <f aca="false">IF(A35="","",WorkOrders!B35)</f>
        <v/>
      </c>
      <c r="C35" s="11" t="str">
        <f aca="false">IF(A35="","",IFERROR(SUMIFS(BOM!$E$2:$E$60,BOM!$A$2:$A$60,B35),""))</f>
        <v/>
      </c>
      <c r="D35" s="11" t="str">
        <f aca="false">IF(A35="","",SUMIFS(StockMovements!$I$2:$I$60,StockMovements!$H$2:$H$60,A35,StockMovements!$D$2:$D$60,"issue"))</f>
        <v/>
      </c>
      <c r="E35" s="11" t="str">
        <f aca="false">IF(OR(A35="",C35="",C35=0,D35=0),"",D35/C35)</f>
        <v/>
      </c>
      <c r="F35" s="11" t="str">
        <f aca="false">IF(A35="","",WorkOrders!L35)</f>
        <v/>
      </c>
      <c r="G35" s="16" t="str">
        <f aca="false">IF(OR(E35="",E35=0),"",F35/E35)</f>
        <v/>
      </c>
      <c r="H35" s="11" t="str">
        <f aca="false">IF(OR(C35="",F35="",F35=0),"",C35*WorkOrders!E35/F35)</f>
        <v/>
      </c>
    </row>
    <row r="36" customFormat="false" ht="15" hidden="false" customHeight="false" outlineLevel="0" collapsed="false">
      <c r="A36" s="11" t="str">
        <f aca="false">IF(WorkOrders!A36="","",WorkOrders!A36)</f>
        <v/>
      </c>
      <c r="B36" s="11" t="str">
        <f aca="false">IF(A36="","",WorkOrders!B36)</f>
        <v/>
      </c>
      <c r="C36" s="11" t="str">
        <f aca="false">IF(A36="","",IFERROR(SUMIFS(BOM!$E$2:$E$60,BOM!$A$2:$A$60,B36),""))</f>
        <v/>
      </c>
      <c r="D36" s="11" t="str">
        <f aca="false">IF(A36="","",SUMIFS(StockMovements!$I$2:$I$60,StockMovements!$H$2:$H$60,A36,StockMovements!$D$2:$D$60,"issue"))</f>
        <v/>
      </c>
      <c r="E36" s="11" t="str">
        <f aca="false">IF(OR(A36="",C36="",C36=0,D36=0),"",D36/C36)</f>
        <v/>
      </c>
      <c r="F36" s="11" t="str">
        <f aca="false">IF(A36="","",WorkOrders!L36)</f>
        <v/>
      </c>
      <c r="G36" s="16" t="str">
        <f aca="false">IF(OR(E36="",E36=0),"",F36/E36)</f>
        <v/>
      </c>
      <c r="H36" s="11" t="str">
        <f aca="false">IF(OR(C36="",F36="",F36=0),"",C36*WorkOrders!E36/F36)</f>
        <v/>
      </c>
    </row>
    <row r="37" customFormat="false" ht="15" hidden="false" customHeight="false" outlineLevel="0" collapsed="false">
      <c r="A37" s="11" t="str">
        <f aca="false">IF(WorkOrders!A37="","",WorkOrders!A37)</f>
        <v/>
      </c>
      <c r="B37" s="11" t="str">
        <f aca="false">IF(A37="","",WorkOrders!B37)</f>
        <v/>
      </c>
      <c r="C37" s="11" t="str">
        <f aca="false">IF(A37="","",IFERROR(SUMIFS(BOM!$E$2:$E$60,BOM!$A$2:$A$60,B37),""))</f>
        <v/>
      </c>
      <c r="D37" s="11" t="str">
        <f aca="false">IF(A37="","",SUMIFS(StockMovements!$I$2:$I$60,StockMovements!$H$2:$H$60,A37,StockMovements!$D$2:$D$60,"issue"))</f>
        <v/>
      </c>
      <c r="E37" s="11" t="str">
        <f aca="false">IF(OR(A37="",C37="",C37=0,D37=0),"",D37/C37)</f>
        <v/>
      </c>
      <c r="F37" s="11" t="str">
        <f aca="false">IF(A37="","",WorkOrders!L37)</f>
        <v/>
      </c>
      <c r="G37" s="16" t="str">
        <f aca="false">IF(OR(E37="",E37=0),"",F37/E37)</f>
        <v/>
      </c>
      <c r="H37" s="11" t="str">
        <f aca="false">IF(OR(C37="",F37="",F37=0),"",C37*WorkOrders!E37/F37)</f>
        <v/>
      </c>
    </row>
    <row r="38" customFormat="false" ht="15" hidden="false" customHeight="false" outlineLevel="0" collapsed="false">
      <c r="A38" s="11" t="str">
        <f aca="false">IF(WorkOrders!A38="","",WorkOrders!A38)</f>
        <v/>
      </c>
      <c r="B38" s="11" t="str">
        <f aca="false">IF(A38="","",WorkOrders!B38)</f>
        <v/>
      </c>
      <c r="C38" s="11" t="str">
        <f aca="false">IF(A38="","",IFERROR(SUMIFS(BOM!$E$2:$E$60,BOM!$A$2:$A$60,B38),""))</f>
        <v/>
      </c>
      <c r="D38" s="11" t="str">
        <f aca="false">IF(A38="","",SUMIFS(StockMovements!$I$2:$I$60,StockMovements!$H$2:$H$60,A38,StockMovements!$D$2:$D$60,"issue"))</f>
        <v/>
      </c>
      <c r="E38" s="11" t="str">
        <f aca="false">IF(OR(A38="",C38="",C38=0,D38=0),"",D38/C38)</f>
        <v/>
      </c>
      <c r="F38" s="11" t="str">
        <f aca="false">IF(A38="","",WorkOrders!L38)</f>
        <v/>
      </c>
      <c r="G38" s="16" t="str">
        <f aca="false">IF(OR(E38="",E38=0),"",F38/E38)</f>
        <v/>
      </c>
      <c r="H38" s="11" t="str">
        <f aca="false">IF(OR(C38="",F38="",F38=0),"",C38*WorkOrders!E38/F38)</f>
        <v/>
      </c>
    </row>
    <row r="39" customFormat="false" ht="15" hidden="false" customHeight="false" outlineLevel="0" collapsed="false">
      <c r="A39" s="11" t="str">
        <f aca="false">IF(WorkOrders!A39="","",WorkOrders!A39)</f>
        <v/>
      </c>
      <c r="B39" s="11" t="str">
        <f aca="false">IF(A39="","",WorkOrders!B39)</f>
        <v/>
      </c>
      <c r="C39" s="11" t="str">
        <f aca="false">IF(A39="","",IFERROR(SUMIFS(BOM!$E$2:$E$60,BOM!$A$2:$A$60,B39),""))</f>
        <v/>
      </c>
      <c r="D39" s="11" t="str">
        <f aca="false">IF(A39="","",SUMIFS(StockMovements!$I$2:$I$60,StockMovements!$H$2:$H$60,A39,StockMovements!$D$2:$D$60,"issue"))</f>
        <v/>
      </c>
      <c r="E39" s="11" t="str">
        <f aca="false">IF(OR(A39="",C39="",C39=0,D39=0),"",D39/C39)</f>
        <v/>
      </c>
      <c r="F39" s="11" t="str">
        <f aca="false">IF(A39="","",WorkOrders!L39)</f>
        <v/>
      </c>
      <c r="G39" s="16" t="str">
        <f aca="false">IF(OR(E39="",E39=0),"",F39/E39)</f>
        <v/>
      </c>
      <c r="H39" s="11" t="str">
        <f aca="false">IF(OR(C39="",F39="",F39=0),"",C39*WorkOrders!E39/F39)</f>
        <v/>
      </c>
    </row>
    <row r="40" customFormat="false" ht="15" hidden="false" customHeight="false" outlineLevel="0" collapsed="false">
      <c r="A40" s="11" t="str">
        <f aca="false">IF(WorkOrders!A40="","",WorkOrders!A40)</f>
        <v/>
      </c>
      <c r="B40" s="11" t="str">
        <f aca="false">IF(A40="","",WorkOrders!B40)</f>
        <v/>
      </c>
      <c r="C40" s="11" t="str">
        <f aca="false">IF(A40="","",IFERROR(SUMIFS(BOM!$E$2:$E$60,BOM!$A$2:$A$60,B40),""))</f>
        <v/>
      </c>
      <c r="D40" s="11" t="str">
        <f aca="false">IF(A40="","",SUMIFS(StockMovements!$I$2:$I$60,StockMovements!$H$2:$H$60,A40,StockMovements!$D$2:$D$60,"issue"))</f>
        <v/>
      </c>
      <c r="E40" s="11" t="str">
        <f aca="false">IF(OR(A40="",C40="",C40=0,D40=0),"",D40/C40)</f>
        <v/>
      </c>
      <c r="F40" s="11" t="str">
        <f aca="false">IF(A40="","",WorkOrders!L40)</f>
        <v/>
      </c>
      <c r="G40" s="16" t="str">
        <f aca="false">IF(OR(E40="",E40=0),"",F40/E40)</f>
        <v/>
      </c>
      <c r="H40" s="11" t="str">
        <f aca="false">IF(OR(C40="",F40="",F40=0),"",C40*WorkOrders!E40/F40)</f>
        <v/>
      </c>
    </row>
    <row r="41" customFormat="false" ht="15" hidden="false" customHeight="false" outlineLevel="0" collapsed="false">
      <c r="A41" s="11" t="str">
        <f aca="false">IF(WorkOrders!A41="","",WorkOrders!A41)</f>
        <v/>
      </c>
      <c r="B41" s="11" t="str">
        <f aca="false">IF(A41="","",WorkOrders!B41)</f>
        <v/>
      </c>
      <c r="C41" s="11" t="str">
        <f aca="false">IF(A41="","",IFERROR(SUMIFS(BOM!$E$2:$E$60,BOM!$A$2:$A$60,B41),""))</f>
        <v/>
      </c>
      <c r="D41" s="11" t="str">
        <f aca="false">IF(A41="","",SUMIFS(StockMovements!$I$2:$I$60,StockMovements!$H$2:$H$60,A41,StockMovements!$D$2:$D$60,"issue"))</f>
        <v/>
      </c>
      <c r="E41" s="11" t="str">
        <f aca="false">IF(OR(A41="",C41="",C41=0,D41=0),"",D41/C41)</f>
        <v/>
      </c>
      <c r="F41" s="11" t="str">
        <f aca="false">IF(A41="","",WorkOrders!L41)</f>
        <v/>
      </c>
      <c r="G41" s="16" t="str">
        <f aca="false">IF(OR(E41="",E41=0),"",F41/E41)</f>
        <v/>
      </c>
      <c r="H41" s="11" t="str">
        <f aca="false">IF(OR(C41="",F41="",F41=0),"",C41*WorkOrders!E41/F41)</f>
        <v/>
      </c>
    </row>
    <row r="42" customFormat="false" ht="15" hidden="false" customHeight="false" outlineLevel="0" collapsed="false">
      <c r="A42" s="11" t="str">
        <f aca="false">IF(WorkOrders!A42="","",WorkOrders!A42)</f>
        <v/>
      </c>
      <c r="B42" s="11" t="str">
        <f aca="false">IF(A42="","",WorkOrders!B42)</f>
        <v/>
      </c>
      <c r="C42" s="11" t="str">
        <f aca="false">IF(A42="","",IFERROR(SUMIFS(BOM!$E$2:$E$60,BOM!$A$2:$A$60,B42),""))</f>
        <v/>
      </c>
      <c r="D42" s="11" t="str">
        <f aca="false">IF(A42="","",SUMIFS(StockMovements!$I$2:$I$60,StockMovements!$H$2:$H$60,A42,StockMovements!$D$2:$D$60,"issue"))</f>
        <v/>
      </c>
      <c r="E42" s="11" t="str">
        <f aca="false">IF(OR(A42="",C42="",C42=0,D42=0),"",D42/C42)</f>
        <v/>
      </c>
      <c r="F42" s="11" t="str">
        <f aca="false">IF(A42="","",WorkOrders!L42)</f>
        <v/>
      </c>
      <c r="G42" s="16" t="str">
        <f aca="false">IF(OR(E42="",E42=0),"",F42/E42)</f>
        <v/>
      </c>
      <c r="H42" s="11" t="str">
        <f aca="false">IF(OR(C42="",F42="",F42=0),"",C42*WorkOrders!E42/F42)</f>
        <v/>
      </c>
    </row>
    <row r="43" customFormat="false" ht="15" hidden="false" customHeight="false" outlineLevel="0" collapsed="false">
      <c r="A43" s="11" t="str">
        <f aca="false">IF(WorkOrders!A43="","",WorkOrders!A43)</f>
        <v/>
      </c>
      <c r="B43" s="11" t="str">
        <f aca="false">IF(A43="","",WorkOrders!B43)</f>
        <v/>
      </c>
      <c r="C43" s="11" t="str">
        <f aca="false">IF(A43="","",IFERROR(SUMIFS(BOM!$E$2:$E$60,BOM!$A$2:$A$60,B43),""))</f>
        <v/>
      </c>
      <c r="D43" s="11" t="str">
        <f aca="false">IF(A43="","",SUMIFS(StockMovements!$I$2:$I$60,StockMovements!$H$2:$H$60,A43,StockMovements!$D$2:$D$60,"issue"))</f>
        <v/>
      </c>
      <c r="E43" s="11" t="str">
        <f aca="false">IF(OR(A43="",C43="",C43=0,D43=0),"",D43/C43)</f>
        <v/>
      </c>
      <c r="F43" s="11" t="str">
        <f aca="false">IF(A43="","",WorkOrders!L43)</f>
        <v/>
      </c>
      <c r="G43" s="16" t="str">
        <f aca="false">IF(OR(E43="",E43=0),"",F43/E43)</f>
        <v/>
      </c>
      <c r="H43" s="11" t="str">
        <f aca="false">IF(OR(C43="",F43="",F43=0),"",C43*WorkOrders!E43/F43)</f>
        <v/>
      </c>
    </row>
    <row r="44" customFormat="false" ht="15" hidden="false" customHeight="false" outlineLevel="0" collapsed="false">
      <c r="A44" s="11" t="str">
        <f aca="false">IF(WorkOrders!A44="","",WorkOrders!A44)</f>
        <v/>
      </c>
      <c r="B44" s="11" t="str">
        <f aca="false">IF(A44="","",WorkOrders!B44)</f>
        <v/>
      </c>
      <c r="C44" s="11" t="str">
        <f aca="false">IF(A44="","",IFERROR(SUMIFS(BOM!$E$2:$E$60,BOM!$A$2:$A$60,B44),""))</f>
        <v/>
      </c>
      <c r="D44" s="11" t="str">
        <f aca="false">IF(A44="","",SUMIFS(StockMovements!$I$2:$I$60,StockMovements!$H$2:$H$60,A44,StockMovements!$D$2:$D$60,"issue"))</f>
        <v/>
      </c>
      <c r="E44" s="11" t="str">
        <f aca="false">IF(OR(A44="",C44="",C44=0,D44=0),"",D44/C44)</f>
        <v/>
      </c>
      <c r="F44" s="11" t="str">
        <f aca="false">IF(A44="","",WorkOrders!L44)</f>
        <v/>
      </c>
      <c r="G44" s="16" t="str">
        <f aca="false">IF(OR(E44="",E44=0),"",F44/E44)</f>
        <v/>
      </c>
      <c r="H44" s="11" t="str">
        <f aca="false">IF(OR(C44="",F44="",F44=0),"",C44*WorkOrders!E44/F44)</f>
        <v/>
      </c>
    </row>
    <row r="45" customFormat="false" ht="15" hidden="false" customHeight="false" outlineLevel="0" collapsed="false">
      <c r="A45" s="11" t="str">
        <f aca="false">IF(WorkOrders!A45="","",WorkOrders!A45)</f>
        <v/>
      </c>
      <c r="B45" s="11" t="str">
        <f aca="false">IF(A45="","",WorkOrders!B45)</f>
        <v/>
      </c>
      <c r="C45" s="11" t="str">
        <f aca="false">IF(A45="","",IFERROR(SUMIFS(BOM!$E$2:$E$60,BOM!$A$2:$A$60,B45),""))</f>
        <v/>
      </c>
      <c r="D45" s="11" t="str">
        <f aca="false">IF(A45="","",SUMIFS(StockMovements!$I$2:$I$60,StockMovements!$H$2:$H$60,A45,StockMovements!$D$2:$D$60,"issue"))</f>
        <v/>
      </c>
      <c r="E45" s="11" t="str">
        <f aca="false">IF(OR(A45="",C45="",C45=0,D45=0),"",D45/C45)</f>
        <v/>
      </c>
      <c r="F45" s="11" t="str">
        <f aca="false">IF(A45="","",WorkOrders!L45)</f>
        <v/>
      </c>
      <c r="G45" s="16" t="str">
        <f aca="false">IF(OR(E45="",E45=0),"",F45/E45)</f>
        <v/>
      </c>
      <c r="H45" s="11" t="str">
        <f aca="false">IF(OR(C45="",F45="",F45=0),"",C45*WorkOrders!E45/F45)</f>
        <v/>
      </c>
    </row>
    <row r="46" customFormat="false" ht="15" hidden="false" customHeight="false" outlineLevel="0" collapsed="false">
      <c r="A46" s="11" t="str">
        <f aca="false">IF(WorkOrders!A46="","",WorkOrders!A46)</f>
        <v/>
      </c>
      <c r="B46" s="11" t="str">
        <f aca="false">IF(A46="","",WorkOrders!B46)</f>
        <v/>
      </c>
      <c r="C46" s="11" t="str">
        <f aca="false">IF(A46="","",IFERROR(SUMIFS(BOM!$E$2:$E$60,BOM!$A$2:$A$60,B46),""))</f>
        <v/>
      </c>
      <c r="D46" s="11" t="str">
        <f aca="false">IF(A46="","",SUMIFS(StockMovements!$I$2:$I$60,StockMovements!$H$2:$H$60,A46,StockMovements!$D$2:$D$60,"issue"))</f>
        <v/>
      </c>
      <c r="E46" s="11" t="str">
        <f aca="false">IF(OR(A46="",C46="",C46=0,D46=0),"",D46/C46)</f>
        <v/>
      </c>
      <c r="F46" s="11" t="str">
        <f aca="false">IF(A46="","",WorkOrders!L46)</f>
        <v/>
      </c>
      <c r="G46" s="16" t="str">
        <f aca="false">IF(OR(E46="",E46=0),"",F46/E46)</f>
        <v/>
      </c>
      <c r="H46" s="11" t="str">
        <f aca="false">IF(OR(C46="",F46="",F46=0),"",C46*WorkOrders!E46/F46)</f>
        <v/>
      </c>
    </row>
    <row r="47" customFormat="false" ht="15" hidden="false" customHeight="false" outlineLevel="0" collapsed="false">
      <c r="A47" s="11" t="str">
        <f aca="false">IF(WorkOrders!A47="","",WorkOrders!A47)</f>
        <v/>
      </c>
      <c r="B47" s="11" t="str">
        <f aca="false">IF(A47="","",WorkOrders!B47)</f>
        <v/>
      </c>
      <c r="C47" s="11" t="str">
        <f aca="false">IF(A47="","",IFERROR(SUMIFS(BOM!$E$2:$E$60,BOM!$A$2:$A$60,B47),""))</f>
        <v/>
      </c>
      <c r="D47" s="11" t="str">
        <f aca="false">IF(A47="","",SUMIFS(StockMovements!$I$2:$I$60,StockMovements!$H$2:$H$60,A47,StockMovements!$D$2:$D$60,"issue"))</f>
        <v/>
      </c>
      <c r="E47" s="11" t="str">
        <f aca="false">IF(OR(A47="",C47="",C47=0,D47=0),"",D47/C47)</f>
        <v/>
      </c>
      <c r="F47" s="11" t="str">
        <f aca="false">IF(A47="","",WorkOrders!L47)</f>
        <v/>
      </c>
      <c r="G47" s="16" t="str">
        <f aca="false">IF(OR(E47="",E47=0),"",F47/E47)</f>
        <v/>
      </c>
      <c r="H47" s="11" t="str">
        <f aca="false">IF(OR(C47="",F47="",F47=0),"",C47*WorkOrders!E47/F47)</f>
        <v/>
      </c>
    </row>
    <row r="48" customFormat="false" ht="15" hidden="false" customHeight="false" outlineLevel="0" collapsed="false">
      <c r="A48" s="11" t="str">
        <f aca="false">IF(WorkOrders!A48="","",WorkOrders!A48)</f>
        <v/>
      </c>
      <c r="B48" s="11" t="str">
        <f aca="false">IF(A48="","",WorkOrders!B48)</f>
        <v/>
      </c>
      <c r="C48" s="11" t="str">
        <f aca="false">IF(A48="","",IFERROR(SUMIFS(BOM!$E$2:$E$60,BOM!$A$2:$A$60,B48),""))</f>
        <v/>
      </c>
      <c r="D48" s="11" t="str">
        <f aca="false">IF(A48="","",SUMIFS(StockMovements!$I$2:$I$60,StockMovements!$H$2:$H$60,A48,StockMovements!$D$2:$D$60,"issue"))</f>
        <v/>
      </c>
      <c r="E48" s="11" t="str">
        <f aca="false">IF(OR(A48="",C48="",C48=0,D48=0),"",D48/C48)</f>
        <v/>
      </c>
      <c r="F48" s="11" t="str">
        <f aca="false">IF(A48="","",WorkOrders!L48)</f>
        <v/>
      </c>
      <c r="G48" s="16" t="str">
        <f aca="false">IF(OR(E48="",E48=0),"",F48/E48)</f>
        <v/>
      </c>
      <c r="H48" s="11" t="str">
        <f aca="false">IF(OR(C48="",F48="",F48=0),"",C48*WorkOrders!E48/F48)</f>
        <v/>
      </c>
    </row>
    <row r="49" customFormat="false" ht="15" hidden="false" customHeight="false" outlineLevel="0" collapsed="false">
      <c r="A49" s="11" t="str">
        <f aca="false">IF(WorkOrders!A49="","",WorkOrders!A49)</f>
        <v/>
      </c>
      <c r="B49" s="11" t="str">
        <f aca="false">IF(A49="","",WorkOrders!B49)</f>
        <v/>
      </c>
      <c r="C49" s="11" t="str">
        <f aca="false">IF(A49="","",IFERROR(SUMIFS(BOM!$E$2:$E$60,BOM!$A$2:$A$60,B49),""))</f>
        <v/>
      </c>
      <c r="D49" s="11" t="str">
        <f aca="false">IF(A49="","",SUMIFS(StockMovements!$I$2:$I$60,StockMovements!$H$2:$H$60,A49,StockMovements!$D$2:$D$60,"issue"))</f>
        <v/>
      </c>
      <c r="E49" s="11" t="str">
        <f aca="false">IF(OR(A49="",C49="",C49=0,D49=0),"",D49/C49)</f>
        <v/>
      </c>
      <c r="F49" s="11" t="str">
        <f aca="false">IF(A49="","",WorkOrders!L49)</f>
        <v/>
      </c>
      <c r="G49" s="16" t="str">
        <f aca="false">IF(OR(E49="",E49=0),"",F49/E49)</f>
        <v/>
      </c>
      <c r="H49" s="11" t="str">
        <f aca="false">IF(OR(C49="",F49="",F49=0),"",C49*WorkOrders!E49/F49)</f>
        <v/>
      </c>
    </row>
    <row r="50" customFormat="false" ht="15" hidden="false" customHeight="false" outlineLevel="0" collapsed="false">
      <c r="A50" s="11" t="str">
        <f aca="false">IF(WorkOrders!A50="","",WorkOrders!A50)</f>
        <v/>
      </c>
      <c r="B50" s="11" t="str">
        <f aca="false">IF(A50="","",WorkOrders!B50)</f>
        <v/>
      </c>
      <c r="C50" s="11" t="str">
        <f aca="false">IF(A50="","",IFERROR(SUMIFS(BOM!$E$2:$E$60,BOM!$A$2:$A$60,B50),""))</f>
        <v/>
      </c>
      <c r="D50" s="11" t="str">
        <f aca="false">IF(A50="","",SUMIFS(StockMovements!$I$2:$I$60,StockMovements!$H$2:$H$60,A50,StockMovements!$D$2:$D$60,"issue"))</f>
        <v/>
      </c>
      <c r="E50" s="11" t="str">
        <f aca="false">IF(OR(A50="",C50="",C50=0,D50=0),"",D50/C50)</f>
        <v/>
      </c>
      <c r="F50" s="11" t="str">
        <f aca="false">IF(A50="","",WorkOrders!L50)</f>
        <v/>
      </c>
      <c r="G50" s="16" t="str">
        <f aca="false">IF(OR(E50="",E50=0),"",F50/E50)</f>
        <v/>
      </c>
      <c r="H50" s="11" t="str">
        <f aca="false">IF(OR(C50="",F50="",F50=0),"",C50*WorkOrders!E50/F50)</f>
        <v/>
      </c>
    </row>
    <row r="51" customFormat="false" ht="15" hidden="false" customHeight="false" outlineLevel="0" collapsed="false">
      <c r="A51" s="11" t="str">
        <f aca="false">IF(WorkOrders!A51="","",WorkOrders!A51)</f>
        <v/>
      </c>
      <c r="B51" s="11" t="str">
        <f aca="false">IF(A51="","",WorkOrders!B51)</f>
        <v/>
      </c>
      <c r="C51" s="11" t="str">
        <f aca="false">IF(A51="","",IFERROR(SUMIFS(BOM!$E$2:$E$60,BOM!$A$2:$A$60,B51),""))</f>
        <v/>
      </c>
      <c r="D51" s="11" t="str">
        <f aca="false">IF(A51="","",SUMIFS(StockMovements!$I$2:$I$60,StockMovements!$H$2:$H$60,A51,StockMovements!$D$2:$D$60,"issue"))</f>
        <v/>
      </c>
      <c r="E51" s="11" t="str">
        <f aca="false">IF(OR(A51="",C51="",C51=0,D51=0),"",D51/C51)</f>
        <v/>
      </c>
      <c r="F51" s="11" t="str">
        <f aca="false">IF(A51="","",WorkOrders!L51)</f>
        <v/>
      </c>
      <c r="G51" s="16" t="str">
        <f aca="false">IF(OR(E51="",E51=0),"",F51/E51)</f>
        <v/>
      </c>
      <c r="H51" s="11" t="str">
        <f aca="false">IF(OR(C51="",F51="",F51=0),"",C51*WorkOrders!E51/F51)</f>
        <v/>
      </c>
    </row>
    <row r="52" customFormat="false" ht="15" hidden="false" customHeight="false" outlineLevel="0" collapsed="false">
      <c r="A52" s="11" t="str">
        <f aca="false">IF(WorkOrders!A52="","",WorkOrders!A52)</f>
        <v/>
      </c>
      <c r="B52" s="11" t="str">
        <f aca="false">IF(A52="","",WorkOrders!B52)</f>
        <v/>
      </c>
      <c r="C52" s="11" t="str">
        <f aca="false">IF(A52="","",IFERROR(SUMIFS(BOM!$E$2:$E$60,BOM!$A$2:$A$60,B52),""))</f>
        <v/>
      </c>
      <c r="D52" s="11" t="str">
        <f aca="false">IF(A52="","",SUMIFS(StockMovements!$I$2:$I$60,StockMovements!$H$2:$H$60,A52,StockMovements!$D$2:$D$60,"issue"))</f>
        <v/>
      </c>
      <c r="E52" s="11" t="str">
        <f aca="false">IF(OR(A52="",C52="",C52=0,D52=0),"",D52/C52)</f>
        <v/>
      </c>
      <c r="F52" s="11" t="str">
        <f aca="false">IF(A52="","",WorkOrders!L52)</f>
        <v/>
      </c>
      <c r="G52" s="16" t="str">
        <f aca="false">IF(OR(E52="",E52=0),"",F52/E52)</f>
        <v/>
      </c>
      <c r="H52" s="11" t="str">
        <f aca="false">IF(OR(C52="",F52="",F52=0),"",C52*WorkOrders!E52/F52)</f>
        <v/>
      </c>
    </row>
    <row r="53" customFormat="false" ht="15" hidden="false" customHeight="false" outlineLevel="0" collapsed="false">
      <c r="A53" s="11" t="str">
        <f aca="false">IF(WorkOrders!A53="","",WorkOrders!A53)</f>
        <v/>
      </c>
      <c r="B53" s="11" t="str">
        <f aca="false">IF(A53="","",WorkOrders!B53)</f>
        <v/>
      </c>
      <c r="C53" s="11" t="str">
        <f aca="false">IF(A53="","",IFERROR(SUMIFS(BOM!$E$2:$E$60,BOM!$A$2:$A$60,B53),""))</f>
        <v/>
      </c>
      <c r="D53" s="11" t="str">
        <f aca="false">IF(A53="","",SUMIFS(StockMovements!$I$2:$I$60,StockMovements!$H$2:$H$60,A53,StockMovements!$D$2:$D$60,"issue"))</f>
        <v/>
      </c>
      <c r="E53" s="11" t="str">
        <f aca="false">IF(OR(A53="",C53="",C53=0,D53=0),"",D53/C53)</f>
        <v/>
      </c>
      <c r="F53" s="11" t="str">
        <f aca="false">IF(A53="","",WorkOrders!L53)</f>
        <v/>
      </c>
      <c r="G53" s="16" t="str">
        <f aca="false">IF(OR(E53="",E53=0),"",F53/E53)</f>
        <v/>
      </c>
      <c r="H53" s="11" t="str">
        <f aca="false">IF(OR(C53="",F53="",F53=0),"",C53*WorkOrders!E53/F53)</f>
        <v/>
      </c>
    </row>
    <row r="54" customFormat="false" ht="15" hidden="false" customHeight="false" outlineLevel="0" collapsed="false">
      <c r="A54" s="11" t="str">
        <f aca="false">IF(WorkOrders!A54="","",WorkOrders!A54)</f>
        <v/>
      </c>
      <c r="B54" s="11" t="str">
        <f aca="false">IF(A54="","",WorkOrders!B54)</f>
        <v/>
      </c>
      <c r="C54" s="11" t="str">
        <f aca="false">IF(A54="","",IFERROR(SUMIFS(BOM!$E$2:$E$60,BOM!$A$2:$A$60,B54),""))</f>
        <v/>
      </c>
      <c r="D54" s="11" t="str">
        <f aca="false">IF(A54="","",SUMIFS(StockMovements!$I$2:$I$60,StockMovements!$H$2:$H$60,A54,StockMovements!$D$2:$D$60,"issue"))</f>
        <v/>
      </c>
      <c r="E54" s="11" t="str">
        <f aca="false">IF(OR(A54="",C54="",C54=0,D54=0),"",D54/C54)</f>
        <v/>
      </c>
      <c r="F54" s="11" t="str">
        <f aca="false">IF(A54="","",WorkOrders!L54)</f>
        <v/>
      </c>
      <c r="G54" s="16" t="str">
        <f aca="false">IF(OR(E54="",E54=0),"",F54/E54)</f>
        <v/>
      </c>
      <c r="H54" s="11" t="str">
        <f aca="false">IF(OR(C54="",F54="",F54=0),"",C54*WorkOrders!E54/F54)</f>
        <v/>
      </c>
    </row>
    <row r="55" customFormat="false" ht="15" hidden="false" customHeight="false" outlineLevel="0" collapsed="false">
      <c r="A55" s="11" t="str">
        <f aca="false">IF(WorkOrders!A55="","",WorkOrders!A55)</f>
        <v/>
      </c>
      <c r="B55" s="11" t="str">
        <f aca="false">IF(A55="","",WorkOrders!B55)</f>
        <v/>
      </c>
      <c r="C55" s="11" t="str">
        <f aca="false">IF(A55="","",IFERROR(SUMIFS(BOM!$E$2:$E$60,BOM!$A$2:$A$60,B55),""))</f>
        <v/>
      </c>
      <c r="D55" s="11" t="str">
        <f aca="false">IF(A55="","",SUMIFS(StockMovements!$I$2:$I$60,StockMovements!$H$2:$H$60,A55,StockMovements!$D$2:$D$60,"issue"))</f>
        <v/>
      </c>
      <c r="E55" s="11" t="str">
        <f aca="false">IF(OR(A55="",C55="",C55=0,D55=0),"",D55/C55)</f>
        <v/>
      </c>
      <c r="F55" s="11" t="str">
        <f aca="false">IF(A55="","",WorkOrders!L55)</f>
        <v/>
      </c>
      <c r="G55" s="16" t="str">
        <f aca="false">IF(OR(E55="",E55=0),"",F55/E55)</f>
        <v/>
      </c>
      <c r="H55" s="11" t="str">
        <f aca="false">IF(OR(C55="",F55="",F55=0),"",C55*WorkOrders!E55/F55)</f>
        <v/>
      </c>
    </row>
    <row r="56" customFormat="false" ht="15" hidden="false" customHeight="false" outlineLevel="0" collapsed="false">
      <c r="A56" s="11" t="str">
        <f aca="false">IF(WorkOrders!A56="","",WorkOrders!A56)</f>
        <v/>
      </c>
      <c r="B56" s="11" t="str">
        <f aca="false">IF(A56="","",WorkOrders!B56)</f>
        <v/>
      </c>
      <c r="C56" s="11" t="str">
        <f aca="false">IF(A56="","",IFERROR(SUMIFS(BOM!$E$2:$E$60,BOM!$A$2:$A$60,B56),""))</f>
        <v/>
      </c>
      <c r="D56" s="11" t="str">
        <f aca="false">IF(A56="","",SUMIFS(StockMovements!$I$2:$I$60,StockMovements!$H$2:$H$60,A56,StockMovements!$D$2:$D$60,"issue"))</f>
        <v/>
      </c>
      <c r="E56" s="11" t="str">
        <f aca="false">IF(OR(A56="",C56="",C56=0,D56=0),"",D56/C56)</f>
        <v/>
      </c>
      <c r="F56" s="11" t="str">
        <f aca="false">IF(A56="","",WorkOrders!L56)</f>
        <v/>
      </c>
      <c r="G56" s="16" t="str">
        <f aca="false">IF(OR(E56="",E56=0),"",F56/E56)</f>
        <v/>
      </c>
      <c r="H56" s="11" t="str">
        <f aca="false">IF(OR(C56="",F56="",F56=0),"",C56*WorkOrders!E56/F56)</f>
        <v/>
      </c>
    </row>
    <row r="57" customFormat="false" ht="15" hidden="false" customHeight="false" outlineLevel="0" collapsed="false">
      <c r="A57" s="11" t="str">
        <f aca="false">IF(WorkOrders!A57="","",WorkOrders!A57)</f>
        <v/>
      </c>
      <c r="B57" s="11" t="str">
        <f aca="false">IF(A57="","",WorkOrders!B57)</f>
        <v/>
      </c>
      <c r="C57" s="11" t="str">
        <f aca="false">IF(A57="","",IFERROR(SUMIFS(BOM!$E$2:$E$60,BOM!$A$2:$A$60,B57),""))</f>
        <v/>
      </c>
      <c r="D57" s="11" t="str">
        <f aca="false">IF(A57="","",SUMIFS(StockMovements!$I$2:$I$60,StockMovements!$H$2:$H$60,A57,StockMovements!$D$2:$D$60,"issue"))</f>
        <v/>
      </c>
      <c r="E57" s="11" t="str">
        <f aca="false">IF(OR(A57="",C57="",C57=0,D57=0),"",D57/C57)</f>
        <v/>
      </c>
      <c r="F57" s="11" t="str">
        <f aca="false">IF(A57="","",WorkOrders!L57)</f>
        <v/>
      </c>
      <c r="G57" s="16" t="str">
        <f aca="false">IF(OR(E57="",E57=0),"",F57/E57)</f>
        <v/>
      </c>
      <c r="H57" s="11" t="str">
        <f aca="false">IF(OR(C57="",F57="",F57=0),"",C57*WorkOrders!E57/F57)</f>
        <v/>
      </c>
    </row>
    <row r="58" customFormat="false" ht="15" hidden="false" customHeight="false" outlineLevel="0" collapsed="false">
      <c r="A58" s="11" t="str">
        <f aca="false">IF(WorkOrders!A58="","",WorkOrders!A58)</f>
        <v/>
      </c>
      <c r="B58" s="11" t="str">
        <f aca="false">IF(A58="","",WorkOrders!B58)</f>
        <v/>
      </c>
      <c r="C58" s="11" t="str">
        <f aca="false">IF(A58="","",IFERROR(SUMIFS(BOM!$E$2:$E$60,BOM!$A$2:$A$60,B58),""))</f>
        <v/>
      </c>
      <c r="D58" s="11" t="str">
        <f aca="false">IF(A58="","",SUMIFS(StockMovements!$I$2:$I$60,StockMovements!$H$2:$H$60,A58,StockMovements!$D$2:$D$60,"issue"))</f>
        <v/>
      </c>
      <c r="E58" s="11" t="str">
        <f aca="false">IF(OR(A58="",C58="",C58=0,D58=0),"",D58/C58)</f>
        <v/>
      </c>
      <c r="F58" s="11" t="str">
        <f aca="false">IF(A58="","",WorkOrders!L58)</f>
        <v/>
      </c>
      <c r="G58" s="16" t="str">
        <f aca="false">IF(OR(E58="",E58=0),"",F58/E58)</f>
        <v/>
      </c>
      <c r="H58" s="11" t="str">
        <f aca="false">IF(OR(C58="",F58="",F58=0),"",C58*WorkOrders!E58/F58)</f>
        <v/>
      </c>
    </row>
    <row r="59" customFormat="false" ht="15" hidden="false" customHeight="false" outlineLevel="0" collapsed="false">
      <c r="A59" s="11" t="str">
        <f aca="false">IF(WorkOrders!A59="","",WorkOrders!A59)</f>
        <v/>
      </c>
      <c r="B59" s="11" t="str">
        <f aca="false">IF(A59="","",WorkOrders!B59)</f>
        <v/>
      </c>
      <c r="C59" s="11" t="str">
        <f aca="false">IF(A59="","",IFERROR(SUMIFS(BOM!$E$2:$E$60,BOM!$A$2:$A$60,B59),""))</f>
        <v/>
      </c>
      <c r="D59" s="11" t="str">
        <f aca="false">IF(A59="","",SUMIFS(StockMovements!$I$2:$I$60,StockMovements!$H$2:$H$60,A59,StockMovements!$D$2:$D$60,"issue"))</f>
        <v/>
      </c>
      <c r="E59" s="11" t="str">
        <f aca="false">IF(OR(A59="",C59="",C59=0,D59=0),"",D59/C59)</f>
        <v/>
      </c>
      <c r="F59" s="11" t="str">
        <f aca="false">IF(A59="","",WorkOrders!L59)</f>
        <v/>
      </c>
      <c r="G59" s="16" t="str">
        <f aca="false">IF(OR(E59="",E59=0),"",F59/E59)</f>
        <v/>
      </c>
      <c r="H59" s="11" t="str">
        <f aca="false">IF(OR(C59="",F59="",F59=0),"",C59*WorkOrders!E59/F59)</f>
        <v/>
      </c>
    </row>
    <row r="60" customFormat="false" ht="15" hidden="false" customHeight="false" outlineLevel="0" collapsed="false">
      <c r="A60" s="11" t="str">
        <f aca="false">IF(WorkOrders!A60="","",WorkOrders!A60)</f>
        <v/>
      </c>
      <c r="B60" s="11" t="str">
        <f aca="false">IF(A60="","",WorkOrders!B60)</f>
        <v/>
      </c>
      <c r="C60" s="11" t="str">
        <f aca="false">IF(A60="","",IFERROR(SUMIFS(BOM!$E$2:$E$60,BOM!$A$2:$A$60,B60),""))</f>
        <v/>
      </c>
      <c r="D60" s="11" t="str">
        <f aca="false">IF(A60="","",SUMIFS(StockMovements!$I$2:$I$60,StockMovements!$H$2:$H$60,A60,StockMovements!$D$2:$D$60,"issue"))</f>
        <v/>
      </c>
      <c r="E60" s="11" t="str">
        <f aca="false">IF(OR(A60="",C60="",C60=0,D60=0),"",D60/C60)</f>
        <v/>
      </c>
      <c r="F60" s="11" t="str">
        <f aca="false">IF(A60="","",WorkOrders!L60)</f>
        <v/>
      </c>
      <c r="G60" s="16" t="str">
        <f aca="false">IF(OR(E60="",E60=0),"",F60/E60)</f>
        <v/>
      </c>
      <c r="H60" s="11" t="str">
        <f aca="false">IF(OR(C60="",F60="",F60=0),"",C60*WorkOrders!E60/F60)</f>
        <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4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2" min="2" style="0" width="16"/>
    <col collapsed="false" customWidth="true" hidden="false" outlineLevel="0" max="3" min="3" style="0" width="22"/>
    <col collapsed="false" customWidth="true" hidden="false" outlineLevel="0" max="4" min="4" style="0" width="12"/>
    <col collapsed="false" customWidth="true" hidden="false" outlineLevel="0" max="5" min="5" style="0" width="14"/>
    <col collapsed="false" customWidth="true" hidden="false" outlineLevel="0" max="6" min="6" style="0" width="12"/>
    <col collapsed="false" customWidth="true" hidden="false" outlineLevel="0" max="8" min="8" style="0" width="16"/>
  </cols>
  <sheetData>
    <row r="2" customFormat="false" ht="17.35" hidden="false" customHeight="false" outlineLevel="0" collapsed="false">
      <c r="B2" s="1" t="s">
        <v>123</v>
      </c>
    </row>
    <row r="4" customFormat="false" ht="15" hidden="false" customHeight="false" outlineLevel="0" collapsed="false">
      <c r="B4" s="21" t="s">
        <v>124</v>
      </c>
      <c r="C4" s="21"/>
      <c r="D4" s="21" t="s">
        <v>111</v>
      </c>
      <c r="E4" s="21"/>
      <c r="F4" s="21" t="s">
        <v>114</v>
      </c>
      <c r="G4" s="21"/>
      <c r="H4" s="21" t="s">
        <v>125</v>
      </c>
      <c r="I4" s="21"/>
    </row>
    <row r="5" customFormat="false" ht="22.05" hidden="false" customHeight="false" outlineLevel="0" collapsed="false">
      <c r="B5" s="22" t="n">
        <f aca="false">IFERROR(AVERAGEIF(Analytics_OEE!$M$2:$M$11,"&lt;&gt;"),"")</f>
        <v>0.406028368794326</v>
      </c>
      <c r="C5" s="22"/>
      <c r="D5" s="23" t="n">
        <f aca="false">Analytics_Production!B3</f>
        <v>470</v>
      </c>
      <c r="E5" s="23"/>
      <c r="F5" s="24" t="n">
        <f aca="false">Analytics_Production!B6</f>
        <v>0.025531914893617</v>
      </c>
      <c r="G5" s="24"/>
      <c r="H5" s="25" t="n">
        <f aca="false">COUNTIFS(Analytics_Stock!$H$2:$H$60,"REORDER")</f>
        <v>0</v>
      </c>
      <c r="I5" s="25"/>
    </row>
    <row r="7" customFormat="false" ht="15" hidden="false" customHeight="false" outlineLevel="0" collapsed="false">
      <c r="B7" s="3" t="s">
        <v>126</v>
      </c>
      <c r="J7" s="3" t="s">
        <v>127</v>
      </c>
    </row>
    <row r="24" customFormat="false" ht="15" hidden="false" customHeight="false" outlineLevel="0" collapsed="false">
      <c r="B24" s="3" t="s">
        <v>128</v>
      </c>
    </row>
    <row r="25" customFormat="false" ht="15" hidden="false" customHeight="false" outlineLevel="0" collapsed="false">
      <c r="B25" s="26" t="s">
        <v>29</v>
      </c>
      <c r="C25" s="26" t="s">
        <v>18</v>
      </c>
      <c r="D25" s="26" t="s">
        <v>88</v>
      </c>
      <c r="E25" s="26" t="s">
        <v>32</v>
      </c>
      <c r="F25" s="26" t="s">
        <v>21</v>
      </c>
    </row>
    <row r="26" customFormat="false" ht="15" hidden="false" customHeight="false" outlineLevel="0" collapsed="false">
      <c r="B26" s="11" t="str">
        <f aca="false">Analytics_Stock!A2</f>
        <v>RM-STEEL-COIL</v>
      </c>
      <c r="C26" s="11" t="str">
        <f aca="false">Analytics_Stock!B2</f>
        <v>Steel Coil 2mm</v>
      </c>
      <c r="D26" s="11" t="n">
        <f aca="false">Analytics_Stock!D2</f>
        <v>2100</v>
      </c>
      <c r="E26" s="11" t="n">
        <f aca="false">Analytics_Stock!G2</f>
        <v>500</v>
      </c>
      <c r="F26" s="14" t="str">
        <f aca="false">Analytics_Stock!H2</f>
        <v>OK</v>
      </c>
    </row>
    <row r="27" customFormat="false" ht="15" hidden="false" customHeight="false" outlineLevel="0" collapsed="false">
      <c r="B27" s="11" t="str">
        <f aca="false">Analytics_Stock!A3</f>
        <v>FG-BRACKET-A</v>
      </c>
      <c r="C27" s="11" t="str">
        <f aca="false">Analytics_Stock!B3</f>
        <v>Mounting Bracket A</v>
      </c>
      <c r="D27" s="11" t="n">
        <f aca="false">Analytics_Stock!D3</f>
        <v>470</v>
      </c>
      <c r="E27" s="11" t="n">
        <f aca="false">Analytics_Stock!G3</f>
        <v>200</v>
      </c>
      <c r="F27" s="14" t="str">
        <f aca="false">Analytics_Stock!H3</f>
        <v>OK</v>
      </c>
    </row>
    <row r="28" customFormat="false" ht="15" hidden="false" customHeight="false" outlineLevel="0" collapsed="false">
      <c r="B28" s="11" t="str">
        <f aca="false">Analytics_Stock!A4</f>
        <v/>
      </c>
      <c r="C28" s="11" t="str">
        <f aca="false">Analytics_Stock!B4</f>
        <v/>
      </c>
      <c r="D28" s="11" t="str">
        <f aca="false">Analytics_Stock!D4</f>
        <v/>
      </c>
      <c r="E28" s="11" t="str">
        <f aca="false">Analytics_Stock!G4</f>
        <v/>
      </c>
      <c r="F28" s="14" t="str">
        <f aca="false">Analytics_Stock!H4</f>
        <v/>
      </c>
    </row>
    <row r="29" customFormat="false" ht="15" hidden="false" customHeight="false" outlineLevel="0" collapsed="false">
      <c r="B29" s="11" t="str">
        <f aca="false">Analytics_Stock!A5</f>
        <v/>
      </c>
      <c r="C29" s="11" t="str">
        <f aca="false">Analytics_Stock!B5</f>
        <v/>
      </c>
      <c r="D29" s="11" t="str">
        <f aca="false">Analytics_Stock!D5</f>
        <v/>
      </c>
      <c r="E29" s="11" t="str">
        <f aca="false">Analytics_Stock!G5</f>
        <v/>
      </c>
      <c r="F29" s="14" t="str">
        <f aca="false">Analytics_Stock!H5</f>
        <v/>
      </c>
    </row>
    <row r="30" customFormat="false" ht="15" hidden="false" customHeight="false" outlineLevel="0" collapsed="false">
      <c r="B30" s="11" t="str">
        <f aca="false">Analytics_Stock!A6</f>
        <v/>
      </c>
      <c r="C30" s="11" t="str">
        <f aca="false">Analytics_Stock!B6</f>
        <v/>
      </c>
      <c r="D30" s="11" t="str">
        <f aca="false">Analytics_Stock!D6</f>
        <v/>
      </c>
      <c r="E30" s="11" t="str">
        <f aca="false">Analytics_Stock!G6</f>
        <v/>
      </c>
      <c r="F30" s="14" t="str">
        <f aca="false">Analytics_Stock!H6</f>
        <v/>
      </c>
    </row>
    <row r="31" customFormat="false" ht="15" hidden="false" customHeight="false" outlineLevel="0" collapsed="false">
      <c r="B31" s="11" t="str">
        <f aca="false">Analytics_Stock!A7</f>
        <v/>
      </c>
      <c r="C31" s="11" t="str">
        <f aca="false">Analytics_Stock!B7</f>
        <v/>
      </c>
      <c r="D31" s="11" t="str">
        <f aca="false">Analytics_Stock!D7</f>
        <v/>
      </c>
      <c r="E31" s="11" t="str">
        <f aca="false">Analytics_Stock!G7</f>
        <v/>
      </c>
      <c r="F31" s="14" t="str">
        <f aca="false">Analytics_Stock!H7</f>
        <v/>
      </c>
    </row>
    <row r="32" customFormat="false" ht="15" hidden="false" customHeight="false" outlineLevel="0" collapsed="false">
      <c r="B32" s="11" t="str">
        <f aca="false">Analytics_Stock!A8</f>
        <v/>
      </c>
      <c r="C32" s="11" t="str">
        <f aca="false">Analytics_Stock!B8</f>
        <v/>
      </c>
      <c r="D32" s="11" t="str">
        <f aca="false">Analytics_Stock!D8</f>
        <v/>
      </c>
      <c r="E32" s="11" t="str">
        <f aca="false">Analytics_Stock!G8</f>
        <v/>
      </c>
      <c r="F32" s="14" t="str">
        <f aca="false">Analytics_Stock!H8</f>
        <v/>
      </c>
    </row>
    <row r="33" customFormat="false" ht="15" hidden="false" customHeight="false" outlineLevel="0" collapsed="false">
      <c r="B33" s="11" t="str">
        <f aca="false">Analytics_Stock!A9</f>
        <v/>
      </c>
      <c r="C33" s="11" t="str">
        <f aca="false">Analytics_Stock!B9</f>
        <v/>
      </c>
      <c r="D33" s="11" t="str">
        <f aca="false">Analytics_Stock!D9</f>
        <v/>
      </c>
      <c r="E33" s="11" t="str">
        <f aca="false">Analytics_Stock!G9</f>
        <v/>
      </c>
      <c r="F33" s="14" t="str">
        <f aca="false">Analytics_Stock!H9</f>
        <v/>
      </c>
    </row>
    <row r="34" customFormat="false" ht="15" hidden="false" customHeight="false" outlineLevel="0" collapsed="false">
      <c r="B34" s="11" t="str">
        <f aca="false">Analytics_Stock!A10</f>
        <v/>
      </c>
      <c r="C34" s="11" t="str">
        <f aca="false">Analytics_Stock!B10</f>
        <v/>
      </c>
      <c r="D34" s="11" t="str">
        <f aca="false">Analytics_Stock!D10</f>
        <v/>
      </c>
      <c r="E34" s="11" t="str">
        <f aca="false">Analytics_Stock!G10</f>
        <v/>
      </c>
      <c r="F34" s="14" t="str">
        <f aca="false">Analytics_Stock!H10</f>
        <v/>
      </c>
    </row>
    <row r="35" customFormat="false" ht="15" hidden="false" customHeight="false" outlineLevel="0" collapsed="false">
      <c r="B35" s="11" t="str">
        <f aca="false">Analytics_Stock!A11</f>
        <v/>
      </c>
      <c r="C35" s="11" t="str">
        <f aca="false">Analytics_Stock!B11</f>
        <v/>
      </c>
      <c r="D35" s="11" t="str">
        <f aca="false">Analytics_Stock!D11</f>
        <v/>
      </c>
      <c r="E35" s="11" t="str">
        <f aca="false">Analytics_Stock!G11</f>
        <v/>
      </c>
      <c r="F35" s="14" t="str">
        <f aca="false">Analytics_Stock!H11</f>
        <v/>
      </c>
    </row>
    <row r="36" customFormat="false" ht="15" hidden="false" customHeight="false" outlineLevel="0" collapsed="false">
      <c r="B36" s="11" t="str">
        <f aca="false">Analytics_Stock!A12</f>
        <v/>
      </c>
      <c r="C36" s="11" t="str">
        <f aca="false">Analytics_Stock!B12</f>
        <v/>
      </c>
      <c r="D36" s="11" t="str">
        <f aca="false">Analytics_Stock!D12</f>
        <v/>
      </c>
      <c r="E36" s="11" t="str">
        <f aca="false">Analytics_Stock!G12</f>
        <v/>
      </c>
      <c r="F36" s="14" t="str">
        <f aca="false">Analytics_Stock!H12</f>
        <v/>
      </c>
    </row>
    <row r="37" customFormat="false" ht="15" hidden="false" customHeight="false" outlineLevel="0" collapsed="false">
      <c r="B37" s="11" t="str">
        <f aca="false">Analytics_Stock!A13</f>
        <v/>
      </c>
      <c r="C37" s="11" t="str">
        <f aca="false">Analytics_Stock!B13</f>
        <v/>
      </c>
      <c r="D37" s="11" t="str">
        <f aca="false">Analytics_Stock!D13</f>
        <v/>
      </c>
      <c r="E37" s="11" t="str">
        <f aca="false">Analytics_Stock!G13</f>
        <v/>
      </c>
      <c r="F37" s="14" t="str">
        <f aca="false">Analytics_Stock!H13</f>
        <v/>
      </c>
    </row>
    <row r="38" customFormat="false" ht="15" hidden="false" customHeight="false" outlineLevel="0" collapsed="false">
      <c r="B38" s="11" t="str">
        <f aca="false">Analytics_Stock!A14</f>
        <v/>
      </c>
      <c r="C38" s="11" t="str">
        <f aca="false">Analytics_Stock!B14</f>
        <v/>
      </c>
      <c r="D38" s="11" t="str">
        <f aca="false">Analytics_Stock!D14</f>
        <v/>
      </c>
      <c r="E38" s="11" t="str">
        <f aca="false">Analytics_Stock!G14</f>
        <v/>
      </c>
      <c r="F38" s="14" t="str">
        <f aca="false">Analytics_Stock!H14</f>
        <v/>
      </c>
    </row>
    <row r="39" customFormat="false" ht="15" hidden="false" customHeight="false" outlineLevel="0" collapsed="false">
      <c r="B39" s="11" t="str">
        <f aca="false">Analytics_Stock!A15</f>
        <v/>
      </c>
      <c r="C39" s="11" t="str">
        <f aca="false">Analytics_Stock!B15</f>
        <v/>
      </c>
      <c r="D39" s="11" t="str">
        <f aca="false">Analytics_Stock!D15</f>
        <v/>
      </c>
      <c r="E39" s="11" t="str">
        <f aca="false">Analytics_Stock!G15</f>
        <v/>
      </c>
      <c r="F39" s="14" t="str">
        <f aca="false">Analytics_Stock!H15</f>
        <v/>
      </c>
    </row>
    <row r="40" customFormat="false" ht="15" hidden="false" customHeight="false" outlineLevel="0" collapsed="false">
      <c r="B40" s="11" t="str">
        <f aca="false">Analytics_Stock!A16</f>
        <v/>
      </c>
      <c r="C40" s="11" t="str">
        <f aca="false">Analytics_Stock!B16</f>
        <v/>
      </c>
      <c r="D40" s="11" t="str">
        <f aca="false">Analytics_Stock!D16</f>
        <v/>
      </c>
      <c r="E40" s="11" t="str">
        <f aca="false">Analytics_Stock!G16</f>
        <v/>
      </c>
      <c r="F40" s="14" t="str">
        <f aca="false">Analytics_Stock!H16</f>
        <v/>
      </c>
    </row>
    <row r="41" customFormat="false" ht="15" hidden="false" customHeight="false" outlineLevel="0" collapsed="false">
      <c r="B41" s="11" t="str">
        <f aca="false">Analytics_Stock!A17</f>
        <v/>
      </c>
      <c r="C41" s="11" t="str">
        <f aca="false">Analytics_Stock!B17</f>
        <v/>
      </c>
      <c r="D41" s="11" t="str">
        <f aca="false">Analytics_Stock!D17</f>
        <v/>
      </c>
      <c r="E41" s="11" t="str">
        <f aca="false">Analytics_Stock!G17</f>
        <v/>
      </c>
      <c r="F41" s="14" t="str">
        <f aca="false">Analytics_Stock!H17</f>
        <v/>
      </c>
    </row>
    <row r="42" customFormat="false" ht="15" hidden="false" customHeight="false" outlineLevel="0" collapsed="false">
      <c r="B42" s="11" t="str">
        <f aca="false">Analytics_Stock!A18</f>
        <v/>
      </c>
      <c r="C42" s="11" t="str">
        <f aca="false">Analytics_Stock!B18</f>
        <v/>
      </c>
      <c r="D42" s="11" t="str">
        <f aca="false">Analytics_Stock!D18</f>
        <v/>
      </c>
      <c r="E42" s="11" t="str">
        <f aca="false">Analytics_Stock!G18</f>
        <v/>
      </c>
      <c r="F42" s="14" t="str">
        <f aca="false">Analytics_Stock!H18</f>
        <v/>
      </c>
    </row>
    <row r="43" customFormat="false" ht="15" hidden="false" customHeight="false" outlineLevel="0" collapsed="false">
      <c r="B43" s="11" t="str">
        <f aca="false">Analytics_Stock!A19</f>
        <v/>
      </c>
      <c r="C43" s="11" t="str">
        <f aca="false">Analytics_Stock!B19</f>
        <v/>
      </c>
      <c r="D43" s="11" t="str">
        <f aca="false">Analytics_Stock!D19</f>
        <v/>
      </c>
      <c r="E43" s="11" t="str">
        <f aca="false">Analytics_Stock!G19</f>
        <v/>
      </c>
      <c r="F43" s="14" t="str">
        <f aca="false">Analytics_Stock!H19</f>
        <v/>
      </c>
    </row>
    <row r="44" customFormat="false" ht="15" hidden="false" customHeight="false" outlineLevel="0" collapsed="false">
      <c r="B44" s="11" t="str">
        <f aca="false">Analytics_Stock!A20</f>
        <v/>
      </c>
      <c r="C44" s="11" t="str">
        <f aca="false">Analytics_Stock!B20</f>
        <v/>
      </c>
      <c r="D44" s="11" t="str">
        <f aca="false">Analytics_Stock!D20</f>
        <v/>
      </c>
      <c r="E44" s="11" t="str">
        <f aca="false">Analytics_Stock!G20</f>
        <v/>
      </c>
      <c r="F44" s="14" t="str">
        <f aca="false">Analytics_Stock!H20</f>
        <v/>
      </c>
    </row>
    <row r="45" customFormat="false" ht="15" hidden="false" customHeight="false" outlineLevel="0" collapsed="false">
      <c r="B45" s="11" t="str">
        <f aca="false">Analytics_Stock!A21</f>
        <v/>
      </c>
      <c r="C45" s="11" t="str">
        <f aca="false">Analytics_Stock!B21</f>
        <v/>
      </c>
      <c r="D45" s="11" t="str">
        <f aca="false">Analytics_Stock!D21</f>
        <v/>
      </c>
      <c r="E45" s="11" t="str">
        <f aca="false">Analytics_Stock!G21</f>
        <v/>
      </c>
      <c r="F45" s="14" t="str">
        <f aca="false">Analytics_Stock!H21</f>
        <v/>
      </c>
    </row>
  </sheetData>
  <mergeCells count="8">
    <mergeCell ref="B4:C4"/>
    <mergeCell ref="D4:E4"/>
    <mergeCell ref="F4:G4"/>
    <mergeCell ref="H4:I4"/>
    <mergeCell ref="B5:C5"/>
    <mergeCell ref="D5:E5"/>
    <mergeCell ref="F5:G5"/>
    <mergeCell ref="H5:I5"/>
  </mergeCells>
  <conditionalFormatting sqref="F26:F45">
    <cfRule type="cellIs" priority="2" operator="equal" aboveAverage="0" equalAverage="0" bottom="0" percent="0" rank="0" text="" dxfId="6">
      <formula>"REORDER"</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2026-09-04T09:52:43Z</dcterms:created>
  <dc:creator>openpyxl</dc:creator>
  <dc:description/>
  <dc:language>en-US</dc:language>
  <cp:lastModifiedBy/>
  <dcterms:modified xsi:type="dcterms:W3CDTF">2026-09-04T09:52:45Z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