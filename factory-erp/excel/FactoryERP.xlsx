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chines" sheetId="2" state="visible" r:id="rId2"/>
    <sheet name="Products" sheetId="3" state="visible" r:id="rId3"/>
    <sheet name="BOM" sheetId="4" state="visible" r:id="rId4"/>
    <sheet name="StockMovements" sheetId="5" state="visible" r:id="rId5"/>
    <sheet name="Downtime" sheetId="6" state="visible" r:id="rId6"/>
    <sheet name="WorkOrders" sheetId="7" state="visible" r:id="rId7"/>
    <sheet name="Rejections" sheetId="8" state="visible" r:id="rId8"/>
    <sheet name="Analytics_Stock" sheetId="9" state="visible" r:id="rId9"/>
    <sheet name="Analytics_OEE" sheetId="10" state="visible" r:id="rId10"/>
    <sheet name="Analytics_Downtime" sheetId="11" state="visible" r:id="rId11"/>
    <sheet name="Analytics_Production" sheetId="12" state="visible" r:id="rId12"/>
    <sheet name="Analytics_Yield" sheetId="13" state="visible" r:id="rId13"/>
    <sheet name="Dashboard" sheetId="14" state="visible" r:id="rId14"/>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
    <numFmt numFmtId="166" formatCode="yyyy-mm-dd"/>
    <numFmt numFmtId="167" formatCode="0.0%"/>
  </numFmts>
  <fonts count="10">
    <font>
      <name val="Calibri"/>
      <family val="2"/>
      <color theme="1"/>
      <sz val="11"/>
      <scheme val="minor"/>
    </font>
    <font>
      <name val="Arial"/>
      <b val="1"/>
      <sz val="14"/>
    </font>
    <font>
      <name val="Arial"/>
      <b val="1"/>
      <color rgb="001F2937"/>
      <sz val="11"/>
    </font>
    <font>
      <name val="Arial"/>
      <b val="1"/>
      <sz val="10"/>
    </font>
    <font>
      <name val="Arial"/>
      <sz val="10"/>
    </font>
    <font>
      <name val="Arial"/>
      <b val="1"/>
      <color rgb="00FFFFFF"/>
      <sz val="10"/>
    </font>
    <font>
      <name val="Arial"/>
      <color rgb="000000FF"/>
      <sz val="10"/>
    </font>
    <font>
      <name val="Arial"/>
      <color rgb="00000000"/>
      <sz val="10"/>
    </font>
    <font>
      <name val="Arial"/>
      <b val="1"/>
      <color rgb="006B7280"/>
      <sz val="10"/>
    </font>
    <font>
      <name val="Arial"/>
      <b val="1"/>
      <color rgb="001F2937"/>
      <sz val="18"/>
    </font>
  </fonts>
  <fills count="4">
    <fill>
      <patternFill/>
    </fill>
    <fill>
      <patternFill patternType="gray125"/>
    </fill>
    <fill>
      <patternFill patternType="solid">
        <fgColor rgb="001F2937"/>
      </patternFill>
    </fill>
    <fill>
      <patternFill patternType="solid">
        <fgColor rgb="00FFFD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wrapText="1"/>
    </xf>
    <xf numFmtId="0" fontId="5" fillId="2" borderId="1" applyAlignment="1" pivotButton="0" quotePrefix="0" xfId="0">
      <alignment horizontal="center" vertical="center" wrapText="1"/>
    </xf>
    <xf numFmtId="0" fontId="6" fillId="0" borderId="1" pivotButton="0" quotePrefix="0" xfId="0"/>
    <xf numFmtId="0" fontId="6" fillId="3" borderId="1" pivotButton="0" quotePrefix="0" xfId="0"/>
    <xf numFmtId="0" fontId="0" fillId="3" borderId="0" pivotButton="0" quotePrefix="0" xfId="0"/>
    <xf numFmtId="0" fontId="7" fillId="0" borderId="1" pivotButton="0" quotePrefix="0" xfId="0"/>
    <xf numFmtId="0" fontId="0" fillId="0" borderId="1" pivotButton="0" quotePrefix="0" xfId="0"/>
    <xf numFmtId="165" fontId="6" fillId="0" borderId="1" pivotButton="0" quotePrefix="0" xfId="0"/>
    <xf numFmtId="166" fontId="7" fillId="0" borderId="1" pivotButton="0" quotePrefix="0" xfId="0"/>
    <xf numFmtId="167" fontId="7" fillId="0" borderId="1" pivotButton="0" quotePrefix="0" xfId="0"/>
    <xf numFmtId="0" fontId="7" fillId="0" borderId="0" pivotButton="0" quotePrefix="0" xfId="0"/>
    <xf numFmtId="10" fontId="7" fillId="0" borderId="0" pivotButton="0" quotePrefix="0" xfId="0"/>
    <xf numFmtId="167" fontId="7" fillId="0" borderId="0" pivotButton="0" quotePrefix="0" xfId="0"/>
    <xf numFmtId="0" fontId="8" fillId="0" borderId="0" pivotButton="0" quotePrefix="0" xfId="0"/>
    <xf numFmtId="167" fontId="9" fillId="0" borderId="0" pivotButton="0" quotePrefix="0" xfId="0"/>
    <xf numFmtId="3" fontId="9" fillId="0" borderId="0" pivotButton="0" quotePrefix="0" xfId="0"/>
    <xf numFmtId="10" fontId="9" fillId="0" borderId="0" pivotButton="0" quotePrefix="0" xfId="0"/>
    <xf numFmtId="1" fontId="9" fillId="0" borderId="0" pivotButton="0" quotePrefix="0" xfId="0"/>
    <xf numFmtId="0" fontId="5" fillId="2" borderId="1" pivotButton="0" quotePrefix="0" xfId="0"/>
  </cellXfs>
  <cellStyles count="1">
    <cellStyle name="Normal" xfId="0" builtinId="0" hidden="0"/>
  </cellStyles>
  <dxfs count="1">
    <dxf>
      <fill>
        <patternFill patternType="solid">
          <fgColor rgb="00FECAC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plotArea>
      <barChart>
        <barDir val="col"/>
        <grouping val="clustered"/>
        <ser>
          <idx val="0"/>
          <order val="0"/>
          <tx>
            <strRef>
              <f>'Analytics_OEE'!M1</f>
            </strRef>
          </tx>
          <spPr>
            <a:ln>
              <a:prstDash val="solid"/>
            </a:ln>
          </spPr>
          <cat>
            <numRef>
              <f>'Analytics_OEE'!$B$2:$B$11</f>
            </numRef>
          </cat>
          <val>
            <numRef>
              <f>'Analytics_OEE'!$M$2:$M$11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OEE</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tx>
            <strRef>
              <f>'Analytics_Downtime'!B1</f>
            </strRef>
          </tx>
          <spPr>
            <a:ln>
              <a:prstDash val="solid"/>
            </a:ln>
          </spPr>
          <cat>
            <numRef>
              <f>'Analytics_Downtime'!$A$2:$A$7</f>
            </numRef>
          </cat>
          <val>
            <numRef>
              <f>'Analytics_Downtime'!$B$2:$B$7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Minutes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7</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7</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Machines" displayName="TblMachines" ref="A1:E500" headerRowCount="1">
  <autoFilter ref="A1:E500"/>
  <tableColumns count="5">
    <tableColumn id="1" name="Code"/>
    <tableColumn id="2" name="Name"/>
    <tableColumn id="3" name="Category"/>
    <tableColumn id="4" name="RatedCapacityPerHour"/>
    <tableColumn id="5" name="Status"/>
  </tableColumns>
  <tableStyleInfo name="TableStyleMedium2" showFirstColumn="0" showLastColumn="0" showRowStripes="1"/>
</table>
</file>

<file path=xl/tables/table2.xml><?xml version="1.0" encoding="utf-8"?>
<table xmlns="http://schemas.openxmlformats.org/spreadsheetml/2006/main" id="2" name="TblProducts" displayName="TblProducts" ref="A1:G500" headerRowCount="1">
  <autoFilter ref="A1:G500"/>
  <tableColumns count="7">
    <tableColumn id="1" name="SKU"/>
    <tableColumn id="2" name="Name"/>
    <tableColumn id="3" name="Category"/>
    <tableColumn id="4" name="UOM"/>
    <tableColumn id="5" name="StandardCost"/>
    <tableColumn id="6" name="ReorderLevel"/>
    <tableColumn id="7" name="ReorderQty"/>
  </tableColumns>
  <tableStyleInfo name="TableStyleMedium2" showFirstColumn="0" showLastColumn="0" showRowStripes="1"/>
</table>
</file>

<file path=xl/tables/table3.xml><?xml version="1.0" encoding="utf-8"?>
<table xmlns="http://schemas.openxmlformats.org/spreadsheetml/2006/main" id="3" name="TblBOM" displayName="TblBOM" ref="A1:E500" headerRowCount="1">
  <autoFilter ref="A1:E500"/>
  <tableColumns count="5">
    <tableColumn id="1" name="ParentSKU"/>
    <tableColumn id="2" name="ComponentSKU"/>
    <tableColumn id="3" name="QtyPerUnit"/>
    <tableColumn id="4" name="ComponentStdCost"/>
    <tableColumn id="5" name="LineStdCost"/>
  </tableColumns>
  <tableStyleInfo name="TableStyleMedium2" showFirstColumn="0" showLastColumn="0" showRowStripes="1"/>
</table>
</file>

<file path=xl/tables/table4.xml><?xml version="1.0" encoding="utf-8"?>
<table xmlns="http://schemas.openxmlformats.org/spreadsheetml/2006/main" id="4" name="TblStockMoves" displayName="TblStockMoves" ref="A1:I500" headerRowCount="1">
  <autoFilter ref="A1:I500"/>
  <tableColumns count="9">
    <tableColumn id="1" name="Date"/>
    <tableColumn id="2" name="ProductSKU"/>
    <tableColumn id="3" name="Warehouse"/>
    <tableColumn id="4" name="MovementType"/>
    <tableColumn id="5" name="Quantity"/>
    <tableColumn id="6" name="UnitCost"/>
    <tableColumn id="7" name="Reference"/>
    <tableColumn id="8" name="WorkOrderNo"/>
    <tableColumn id="9" name="Value"/>
  </tableColumns>
  <tableStyleInfo name="TableStyleMedium2" showFirstColumn="0" showLastColumn="0" showRowStripes="1"/>
</table>
</file>

<file path=xl/tables/table5.xml><?xml version="1.0" encoding="utf-8"?>
<table xmlns="http://schemas.openxmlformats.org/spreadsheetml/2006/main" id="5" name="TblDowntime" displayName="TblDowntime" ref="A1:G500" headerRowCount="1">
  <autoFilter ref="A1:G500"/>
  <tableColumns count="7">
    <tableColumn id="1" name="MachineCode"/>
    <tableColumn id="2" name="WorkOrderNo"/>
    <tableColumn id="3" name="StartTime"/>
    <tableColumn id="4" name="EndTime"/>
    <tableColumn id="5" name="ReasonCategory"/>
    <tableColumn id="6" name="Remarks"/>
    <tableColumn id="7" name="DurationMinutes"/>
  </tableColumns>
  <tableStyleInfo name="TableStyleMedium2" showFirstColumn="0" showLastColumn="0" showRowStripes="1"/>
</table>
</file>

<file path=xl/tables/table6.xml><?xml version="1.0" encoding="utf-8"?>
<table xmlns="http://schemas.openxmlformats.org/spreadsheetml/2006/main" id="6" name="TblWorkOrders" displayName="TblWorkOrders" ref="A1:N500" headerRowCount="1">
  <autoFilter ref="A1:N500"/>
  <tableColumns count="14">
    <tableColumn id="1" name="OrderNo"/>
    <tableColumn id="2" name="ProductSKU"/>
    <tableColumn id="3" name="MachineCode"/>
    <tableColumn id="4" name="PlannedQty"/>
    <tableColumn id="5" name="ProducedQty"/>
    <tableColumn id="6" name="RejectedQty"/>
    <tableColumn id="7" name="PlannedStart"/>
    <tableColumn id="8" name="PlannedEnd"/>
    <tableColumn id="9" name="ActualStart"/>
    <tableColumn id="10" name="ActualEnd"/>
    <tableColumn id="11" name="Status"/>
    <tableColumn id="12" name="GoodQty"/>
    <tableColumn id="13" name="PlannedMinutes"/>
    <tableColumn id="14" name="OnTime"/>
  </tableColumns>
  <tableStyleInfo name="TableStyleMedium2" showFirstColumn="0" showLastColumn="0" showRowStripes="1"/>
</table>
</file>

<file path=xl/tables/table7.xml><?xml version="1.0" encoding="utf-8"?>
<table xmlns="http://schemas.openxmlformats.org/spreadsheetml/2006/main" id="7" name="TblRejections" displayName="TblRejections" ref="A1:D500" headerRowCount="1">
  <autoFilter ref="A1:D500"/>
  <tableColumns count="4">
    <tableColumn id="1" name="WorkOrderNo"/>
    <tableColumn id="2" name="DefectType"/>
    <tableColumn id="3" name="Quantity"/>
    <tableColumn id="4" name="Remarks"/>
  </tableColumns>
  <tableStyleInfo name="TableStyleMedium2" showFirstColumn="0" showLastColumn="0" showRowStripes="1"/>
</table>
</file>

<file path=xl/tables/table8.xml><?xml version="1.0" encoding="utf-8"?>
<table xmlns="http://schemas.openxmlformats.org/spreadsheetml/2006/main" id="8" name="TblAnalyticsStock" displayName="TblAnalyticsStock" ref="A1:K500" headerRowCount="1">
  <autoFilter ref="A1:K500"/>
  <tableColumns count="11">
    <tableColumn id="1" name="SKU"/>
    <tableColumn id="2" name="Name"/>
    <tableColumn id="3" name="Category"/>
    <tableColumn id="4" name="OnHand"/>
    <tableColumn id="5" name="StandardCost"/>
    <tableColumn id="6" name="ValuationValue"/>
    <tableColumn id="7" name="ReorderLevel"/>
    <tableColumn id="8" name="ReorderStatus"/>
    <tableColumn id="9" name="LastMovementDate"/>
    <tableColumn id="10" name="DaysSinceMovement"/>
    <tableColumn id="11" name="AgeingBucket"/>
  </tableColumns>
  <tableStyleInfo name="TableStyleMedium2" showFirstColumn="0" showLastColumn="0" showRowStripes="1"/>
</table>
</file>

<file path=xl/tables/table9.xml><?xml version="1.0" encoding="utf-8"?>
<table xmlns="http://schemas.openxmlformats.org/spreadsheetml/2006/main" id="9" name="TblAnalyticsOEE" displayName="TblAnalyticsOEE" ref="A1:M500" headerRowCount="1">
  <autoFilter ref="A1:M500"/>
  <tableColumns count="13">
    <tableColumn id="1" name="Code"/>
    <tableColumn id="2" name="Name"/>
    <tableColumn id="3" name="RatedCapacityPerHour"/>
    <tableColumn id="4" name="PlannedMinutes"/>
    <tableColumn id="5" name="TotalOutput"/>
    <tableColumn id="6" name="RejectedTotal"/>
    <tableColumn id="7" name="GoodOutput"/>
    <tableColumn id="8" name="DowntimeMinutes"/>
    <tableColumn id="9" name="RunMinutes"/>
    <tableColumn id="10" name="Availability"/>
    <tableColumn id="11" name="Performance"/>
    <tableColumn id="12" name="Quality"/>
    <tableColumn id="13" name="OEE"/>
  </tableColumns>
  <tableStyleInfo name="TableStyleMedium2" showFirstColumn="0" showLastColumn="0" showRowStripes="1"/>
</table>
</file>

<file path=xl/tables/table10.xml><?xml version="1.0" encoding="utf-8"?>
<table xmlns="http://schemas.openxmlformats.org/spreadsheetml/2006/main" id="10" name="TblAnalyticsDowntime" displayName="TblAnalyticsDowntime" ref="A1:C7" headerRowCount="1">
  <autoFilter ref="A1:C7"/>
  <tableColumns count="3">
    <tableColumn id="1" name="ReasonCategory"/>
    <tableColumn id="2" name="TotalMinutes"/>
    <tableColumn id="3" name="Occurrences"/>
  </tableColumns>
  <tableStyleInfo name="TableStyleMedium2" showFirstColumn="0" showLastColumn="0" showRowStripes="1"/>
</table>
</file>

<file path=xl/tables/table11.xml><?xml version="1.0" encoding="utf-8"?>
<table xmlns="http://schemas.openxmlformats.org/spreadsheetml/2006/main" id="11" name="TblAnalyticsYield" displayName="TblAnalyticsYield" ref="A1:H500" headerRowCount="1">
  <autoFilter ref="A1:H500"/>
  <tableColumns count="8">
    <tableColumn id="1" name="OrderNo"/>
    <tableColumn id="2" name="ProductSKU"/>
    <tableColumn id="3" name="StdUnitMaterialCost"/>
    <tableColumn id="4" name="MaterialIssuedValue"/>
    <tableColumn id="5" name="StandardOutputUnits"/>
    <tableColumn id="6" name="GoodQty"/>
    <tableColumn id="7" name="MaterialYieldPct"/>
    <tableColumn id="8" name="MaterialCostPerUnit"/>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3.xml.rels><Relationships xmlns="http://schemas.openxmlformats.org/package/2006/relationships"><Relationship Type="http://schemas.openxmlformats.org/officeDocument/2006/relationships/table" Target="/xl/tables/table11.xml" Id="rId1" /></Relationships>
</file>

<file path=xl/worksheets/_rels/sheet1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H28"/>
  <sheetViews>
    <sheetView showGridLines="0" workbookViewId="0">
      <selection activeCell="A1" sqref="A1"/>
    </sheetView>
  </sheetViews>
  <sheetFormatPr baseColWidth="8" defaultRowHeight="15"/>
  <cols>
    <col width="3" customWidth="1" min="1" max="1"/>
    <col width="14" customWidth="1" min="2" max="2"/>
  </cols>
  <sheetData>
    <row r="2">
      <c r="B2" s="1" t="inlineStr">
        <is>
          <t>Factory ERP — Excel Edition</t>
        </is>
      </c>
    </row>
    <row r="4">
      <c r="B4" s="2" t="inlineStr">
        <is>
          <t>Macro-free workbook: stock, machines, production logged as append-only tables; every analytics number (OEE, downtime Pareto, stock ageing/reorder/valuation, material yield) is a formula, computed the same way as factory-erp/backend/app/analytics/*.py — so this and the web app never disagree on what a number means.</t>
        </is>
      </c>
    </row>
    <row r="5"/>
    <row r="6"/>
    <row r="9">
      <c r="B9" s="3" t="inlineStr">
        <is>
          <t>Legend</t>
        </is>
      </c>
    </row>
    <row r="10">
      <c r="B10" s="4" t="inlineStr">
        <is>
          <t>Blue text</t>
        </is>
      </c>
      <c r="C10" s="5" t="inlineStr">
        <is>
          <t>Hardcoded input — the cells you actually type into.</t>
        </is>
      </c>
    </row>
    <row r="11">
      <c r="B11" s="4" t="inlineStr">
        <is>
          <t>Black text</t>
        </is>
      </c>
      <c r="C11" s="5" t="inlineStr">
        <is>
          <t>Formula — never overwrite; extend the pattern down instead.</t>
        </is>
      </c>
    </row>
    <row r="12">
      <c r="B12" s="4" t="inlineStr">
        <is>
          <t>Yellow fill</t>
        </is>
      </c>
      <c r="C12" s="5" t="inlineStr">
        <is>
          <t>Dropdown cell — pick from the list, don't free-type.</t>
        </is>
      </c>
    </row>
    <row r="13">
      <c r="B13" s="4" t="inlineStr">
        <is>
          <t>Red fill (Analytics/Stock)</t>
        </is>
      </c>
      <c r="C13" s="5" t="inlineStr">
        <is>
          <t>Reorder alert — on-hand qty is below reorder level.</t>
        </is>
      </c>
    </row>
    <row r="15">
      <c r="B15" s="3" t="inlineStr">
        <is>
          <t>How to add data</t>
        </is>
      </c>
    </row>
    <row r="16" ht="30" customHeight="1">
      <c r="B16" s="6" t="inlineStr">
        <is>
          <t>• Master data (Machines, Products, BOM): add a row anywhere inside the table — it auto-expands and every dropdown/formula elsewhere already points at the full table range (rows 2-500).</t>
        </is>
      </c>
    </row>
    <row r="18" ht="30" customHeight="1">
      <c r="B18" s="6" t="inlineStr">
        <is>
          <t>• Transactions (StockMovements, Downtime, WorkOrders, Rejections): one row per event, oldest first is not required — formulas are order-independent. Never edit or delete a posted row; if a movement was wrong, post a correcting entry (same discipline as the backend's ledger — see factory-erp/README.md).</t>
        </is>
      </c>
    </row>
    <row r="20" ht="30" customHeight="1">
      <c r="B20" s="6" t="inlineStr">
        <is>
          <t>• Analytics/Dashboard sheets recalculate automatically as you add rows — nothing to refresh by hand (this is plain formulas, not Power Query/Power Pivot).</t>
        </is>
      </c>
    </row>
    <row r="23">
      <c r="B23" s="3" t="inlineStr">
        <is>
          <t>Multi-user editing — read this before relying on it</t>
        </is>
      </c>
    </row>
    <row r="24">
      <c r="B24" s="6" t="inlineStr">
        <is>
          <t>This workbook is macro-free specifically so co-authoring works: put it on OneDrive or SharePoint and several people can add rows to the same table at the same time from Excel desktop or Excel Online. That is the ceiling of what Excel can offer, though — it is NOT a database. There is no row-level locking or transaction guarantee; near-simultaneous saves are usually merged cleanly but occasionally are not, formula recalculation lags a beat behind concurrent edits, and a large shared file gets slower to co-author as row counts grow into the thousands. If your factory needs guaranteed data integrity under real concurrent load, that is exactly the gap the FastAPI + Postgres edition in factory-erp/backend and factory-erp/frontend fills — this workbook is the tradeoff you chose in exchange for zero hosting and a format your team already knows.</t>
        </is>
      </c>
    </row>
    <row r="25"/>
    <row r="26"/>
    <row r="27"/>
    <row r="28"/>
  </sheetData>
  <mergeCells count="9">
    <mergeCell ref="C11:H11"/>
    <mergeCell ref="C10:H10"/>
    <mergeCell ref="B18:H18"/>
    <mergeCell ref="C13:H13"/>
    <mergeCell ref="B24:H28"/>
    <mergeCell ref="B4:H6"/>
    <mergeCell ref="B16:H16"/>
    <mergeCell ref="C12:H12"/>
    <mergeCell ref="B20: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0"/>
  <sheetViews>
    <sheetView workbookViewId="0">
      <selection activeCell="A1" sqref="A1"/>
    </sheetView>
  </sheetViews>
  <sheetFormatPr baseColWidth="8" defaultRowHeight="15"/>
  <cols>
    <col width="12" customWidth="1" min="1" max="1"/>
    <col width="20" customWidth="1" min="2" max="2"/>
    <col width="12" customWidth="1" min="3" max="3"/>
    <col width="20" customWidth="1" min="4" max="4"/>
    <col width="14" customWidth="1" min="5" max="5"/>
  </cols>
  <sheetData>
    <row r="1">
      <c r="A1" s="7" t="inlineStr">
        <is>
          <t>Code</t>
        </is>
      </c>
      <c r="B1" s="7" t="inlineStr">
        <is>
          <t>Name</t>
        </is>
      </c>
      <c r="C1" s="7" t="inlineStr">
        <is>
          <t>Category</t>
        </is>
      </c>
      <c r="D1" s="7" t="inlineStr">
        <is>
          <t>RatedCapacityPerHour</t>
        </is>
      </c>
      <c r="E1" s="7" t="inlineStr">
        <is>
          <t>Status</t>
        </is>
      </c>
    </row>
    <row r="2">
      <c r="A2" s="8" t="inlineStr">
        <is>
          <t>PRESS-01</t>
        </is>
      </c>
      <c r="B2" s="8" t="inlineStr">
        <is>
          <t>Hydraulic Press 1</t>
        </is>
      </c>
      <c r="C2" s="8" t="inlineStr">
        <is>
          <t>press</t>
        </is>
      </c>
      <c r="D2" s="8" t="n">
        <v>120</v>
      </c>
      <c r="E2" s="9" t="inlineStr">
        <is>
          <t>running</t>
        </is>
      </c>
    </row>
    <row r="3">
      <c r="A3" s="8" t="inlineStr">
        <is>
          <t>PRESS-02</t>
        </is>
      </c>
      <c r="B3" s="8" t="inlineStr">
        <is>
          <t>Hydraulic Press 2</t>
        </is>
      </c>
      <c r="C3" s="8" t="inlineStr">
        <is>
          <t>press</t>
        </is>
      </c>
      <c r="D3" s="8" t="n">
        <v>100</v>
      </c>
      <c r="E3" s="9" t="inlineStr">
        <is>
          <t>idle</t>
        </is>
      </c>
    </row>
    <row r="4">
      <c r="E4" s="10" t="n"/>
    </row>
    <row r="5">
      <c r="E5" s="10" t="n"/>
    </row>
    <row r="6">
      <c r="E6" s="10" t="n"/>
    </row>
    <row r="7">
      <c r="E7" s="10" t="n"/>
    </row>
    <row r="8">
      <c r="E8" s="10" t="n"/>
    </row>
    <row r="9">
      <c r="E9" s="10" t="n"/>
    </row>
    <row r="10">
      <c r="E10" s="10" t="n"/>
    </row>
    <row r="11">
      <c r="E11" s="10" t="n"/>
    </row>
    <row r="12">
      <c r="E12" s="10" t="n"/>
    </row>
    <row r="13">
      <c r="E13" s="10" t="n"/>
    </row>
    <row r="14">
      <c r="E14" s="10" t="n"/>
    </row>
    <row r="15">
      <c r="E15" s="10" t="n"/>
    </row>
    <row r="16">
      <c r="E16" s="10" t="n"/>
    </row>
    <row r="17">
      <c r="E17" s="10" t="n"/>
    </row>
    <row r="18">
      <c r="E18" s="10" t="n"/>
    </row>
    <row r="19">
      <c r="E19" s="10" t="n"/>
    </row>
    <row r="20">
      <c r="E20" s="10" t="n"/>
    </row>
    <row r="21">
      <c r="E21" s="10" t="n"/>
    </row>
    <row r="22">
      <c r="E22" s="10" t="n"/>
    </row>
    <row r="23">
      <c r="E23" s="10" t="n"/>
    </row>
    <row r="24">
      <c r="E24" s="10" t="n"/>
    </row>
    <row r="25">
      <c r="E25" s="10" t="n"/>
    </row>
    <row r="26">
      <c r="E26" s="10" t="n"/>
    </row>
    <row r="27">
      <c r="E27" s="10" t="n"/>
    </row>
    <row r="28">
      <c r="E28" s="10" t="n"/>
    </row>
    <row r="29">
      <c r="E29" s="10" t="n"/>
    </row>
    <row r="30">
      <c r="E30" s="10" t="n"/>
    </row>
    <row r="31">
      <c r="E31" s="10" t="n"/>
    </row>
    <row r="32">
      <c r="E32" s="10" t="n"/>
    </row>
    <row r="33">
      <c r="E33" s="10" t="n"/>
    </row>
    <row r="34">
      <c r="E34" s="10" t="n"/>
    </row>
    <row r="35">
      <c r="E35" s="10" t="n"/>
    </row>
    <row r="36">
      <c r="E36" s="10" t="n"/>
    </row>
    <row r="37">
      <c r="E37" s="10" t="n"/>
    </row>
    <row r="38">
      <c r="E38" s="10" t="n"/>
    </row>
    <row r="39">
      <c r="E39" s="10" t="n"/>
    </row>
    <row r="40">
      <c r="E40" s="10" t="n"/>
    </row>
    <row r="41">
      <c r="E41" s="10" t="n"/>
    </row>
    <row r="42">
      <c r="E42" s="10" t="n"/>
    </row>
    <row r="43">
      <c r="E43" s="10" t="n"/>
    </row>
    <row r="44">
      <c r="E44" s="10" t="n"/>
    </row>
    <row r="45">
      <c r="E45" s="10" t="n"/>
    </row>
    <row r="46">
      <c r="E46" s="10" t="n"/>
    </row>
    <row r="47">
      <c r="E47" s="10" t="n"/>
    </row>
    <row r="48">
      <c r="E48" s="10" t="n"/>
    </row>
    <row r="49">
      <c r="E49" s="10" t="n"/>
    </row>
    <row r="50">
      <c r="E50" s="10" t="n"/>
    </row>
    <row r="51">
      <c r="E51" s="10" t="n"/>
    </row>
    <row r="52">
      <c r="E52" s="10" t="n"/>
    </row>
    <row r="53">
      <c r="E53" s="10" t="n"/>
    </row>
    <row r="54">
      <c r="E54" s="10" t="n"/>
    </row>
    <row r="55">
      <c r="E55" s="10" t="n"/>
    </row>
    <row r="56">
      <c r="E56" s="10" t="n"/>
    </row>
    <row r="57">
      <c r="E57" s="10" t="n"/>
    </row>
    <row r="58">
      <c r="E58" s="10" t="n"/>
    </row>
    <row r="59">
      <c r="E59" s="10" t="n"/>
    </row>
    <row r="60">
      <c r="E60" s="10" t="n"/>
    </row>
    <row r="61">
      <c r="E61" s="10" t="n"/>
    </row>
    <row r="62">
      <c r="E62" s="10" t="n"/>
    </row>
    <row r="63">
      <c r="E63" s="10" t="n"/>
    </row>
    <row r="64">
      <c r="E64" s="10" t="n"/>
    </row>
    <row r="65">
      <c r="E65" s="10" t="n"/>
    </row>
    <row r="66">
      <c r="E66" s="10" t="n"/>
    </row>
    <row r="67">
      <c r="E67" s="10" t="n"/>
    </row>
    <row r="68">
      <c r="E68" s="10" t="n"/>
    </row>
    <row r="69">
      <c r="E69" s="10" t="n"/>
    </row>
    <row r="70">
      <c r="E70" s="10" t="n"/>
    </row>
    <row r="71">
      <c r="E71" s="10" t="n"/>
    </row>
    <row r="72">
      <c r="E72" s="10" t="n"/>
    </row>
    <row r="73">
      <c r="E73" s="10" t="n"/>
    </row>
    <row r="74">
      <c r="E74" s="10" t="n"/>
    </row>
    <row r="75">
      <c r="E75" s="10" t="n"/>
    </row>
    <row r="76">
      <c r="E76" s="10" t="n"/>
    </row>
    <row r="77">
      <c r="E77" s="10" t="n"/>
    </row>
    <row r="78">
      <c r="E78" s="10" t="n"/>
    </row>
    <row r="79">
      <c r="E79" s="10" t="n"/>
    </row>
    <row r="80">
      <c r="E80" s="10" t="n"/>
    </row>
    <row r="81">
      <c r="E81" s="10" t="n"/>
    </row>
    <row r="82">
      <c r="E82" s="10" t="n"/>
    </row>
    <row r="83">
      <c r="E83" s="10" t="n"/>
    </row>
    <row r="84">
      <c r="E84" s="10" t="n"/>
    </row>
    <row r="85">
      <c r="E85" s="10" t="n"/>
    </row>
    <row r="86">
      <c r="E86" s="10" t="n"/>
    </row>
    <row r="87">
      <c r="E87" s="10" t="n"/>
    </row>
    <row r="88">
      <c r="E88" s="10" t="n"/>
    </row>
    <row r="89">
      <c r="E89" s="10" t="n"/>
    </row>
    <row r="90">
      <c r="E90" s="10" t="n"/>
    </row>
    <row r="91">
      <c r="E91" s="10" t="n"/>
    </row>
    <row r="92">
      <c r="E92" s="10" t="n"/>
    </row>
    <row r="93">
      <c r="E93" s="10" t="n"/>
    </row>
    <row r="94">
      <c r="E94" s="10" t="n"/>
    </row>
    <row r="95">
      <c r="E95" s="10" t="n"/>
    </row>
    <row r="96">
      <c r="E96" s="10" t="n"/>
    </row>
    <row r="97">
      <c r="E97" s="10" t="n"/>
    </row>
    <row r="98">
      <c r="E98" s="10" t="n"/>
    </row>
    <row r="99">
      <c r="E99" s="10" t="n"/>
    </row>
    <row r="100">
      <c r="E100" s="10" t="n"/>
    </row>
    <row r="101">
      <c r="E101" s="10" t="n"/>
    </row>
    <row r="102">
      <c r="E102" s="10" t="n"/>
    </row>
    <row r="103">
      <c r="E103" s="10" t="n"/>
    </row>
    <row r="104">
      <c r="E104" s="10" t="n"/>
    </row>
    <row r="105">
      <c r="E105" s="10" t="n"/>
    </row>
    <row r="106">
      <c r="E106" s="10" t="n"/>
    </row>
    <row r="107">
      <c r="E107" s="10" t="n"/>
    </row>
    <row r="108">
      <c r="E108" s="10" t="n"/>
    </row>
    <row r="109">
      <c r="E109" s="10" t="n"/>
    </row>
    <row r="110">
      <c r="E110" s="10" t="n"/>
    </row>
    <row r="111">
      <c r="E111" s="10" t="n"/>
    </row>
    <row r="112">
      <c r="E112" s="10" t="n"/>
    </row>
    <row r="113">
      <c r="E113" s="10" t="n"/>
    </row>
    <row r="114">
      <c r="E114" s="10" t="n"/>
    </row>
    <row r="115">
      <c r="E115" s="10" t="n"/>
    </row>
    <row r="116">
      <c r="E116" s="10" t="n"/>
    </row>
    <row r="117">
      <c r="E117" s="10" t="n"/>
    </row>
    <row r="118">
      <c r="E118" s="10" t="n"/>
    </row>
    <row r="119">
      <c r="E119" s="10" t="n"/>
    </row>
    <row r="120">
      <c r="E120" s="10" t="n"/>
    </row>
    <row r="121">
      <c r="E121" s="10" t="n"/>
    </row>
    <row r="122">
      <c r="E122" s="10" t="n"/>
    </row>
    <row r="123">
      <c r="E123" s="10" t="n"/>
    </row>
    <row r="124">
      <c r="E124" s="10" t="n"/>
    </row>
    <row r="125">
      <c r="E125" s="10" t="n"/>
    </row>
    <row r="126">
      <c r="E126" s="10" t="n"/>
    </row>
    <row r="127">
      <c r="E127" s="10" t="n"/>
    </row>
    <row r="128">
      <c r="E128" s="10" t="n"/>
    </row>
    <row r="129">
      <c r="E129" s="10" t="n"/>
    </row>
    <row r="130">
      <c r="E130" s="10" t="n"/>
    </row>
    <row r="131">
      <c r="E131" s="10" t="n"/>
    </row>
    <row r="132">
      <c r="E132" s="10" t="n"/>
    </row>
    <row r="133">
      <c r="E133" s="10" t="n"/>
    </row>
    <row r="134">
      <c r="E134" s="10" t="n"/>
    </row>
    <row r="135">
      <c r="E135" s="10" t="n"/>
    </row>
    <row r="136">
      <c r="E136" s="10" t="n"/>
    </row>
    <row r="137">
      <c r="E137" s="10" t="n"/>
    </row>
    <row r="138">
      <c r="E138" s="10" t="n"/>
    </row>
    <row r="139">
      <c r="E139" s="10" t="n"/>
    </row>
    <row r="140">
      <c r="E140" s="10" t="n"/>
    </row>
    <row r="141">
      <c r="E141" s="10" t="n"/>
    </row>
    <row r="142">
      <c r="E142" s="10" t="n"/>
    </row>
    <row r="143">
      <c r="E143" s="10" t="n"/>
    </row>
    <row r="144">
      <c r="E144" s="10" t="n"/>
    </row>
    <row r="145">
      <c r="E145" s="10" t="n"/>
    </row>
    <row r="146">
      <c r="E146" s="10" t="n"/>
    </row>
    <row r="147">
      <c r="E147" s="10" t="n"/>
    </row>
    <row r="148">
      <c r="E148" s="10" t="n"/>
    </row>
    <row r="149">
      <c r="E149" s="10" t="n"/>
    </row>
    <row r="150">
      <c r="E150" s="10" t="n"/>
    </row>
    <row r="151">
      <c r="E151" s="10" t="n"/>
    </row>
    <row r="152">
      <c r="E152" s="10" t="n"/>
    </row>
    <row r="153">
      <c r="E153" s="10" t="n"/>
    </row>
    <row r="154">
      <c r="E154" s="10" t="n"/>
    </row>
    <row r="155">
      <c r="E155" s="10" t="n"/>
    </row>
    <row r="156">
      <c r="E156" s="10" t="n"/>
    </row>
    <row r="157">
      <c r="E157" s="10" t="n"/>
    </row>
    <row r="158">
      <c r="E158" s="10" t="n"/>
    </row>
    <row r="159">
      <c r="E159" s="10" t="n"/>
    </row>
    <row r="160">
      <c r="E160" s="10" t="n"/>
    </row>
    <row r="161">
      <c r="E161" s="10" t="n"/>
    </row>
    <row r="162">
      <c r="E162" s="10" t="n"/>
    </row>
    <row r="163">
      <c r="E163" s="10" t="n"/>
    </row>
    <row r="164">
      <c r="E164" s="10" t="n"/>
    </row>
    <row r="165">
      <c r="E165" s="10" t="n"/>
    </row>
    <row r="166">
      <c r="E166" s="10" t="n"/>
    </row>
    <row r="167">
      <c r="E167" s="10" t="n"/>
    </row>
    <row r="168">
      <c r="E168" s="10" t="n"/>
    </row>
    <row r="169">
      <c r="E169" s="10" t="n"/>
    </row>
    <row r="170">
      <c r="E170" s="10" t="n"/>
    </row>
    <row r="171">
      <c r="E171" s="10" t="n"/>
    </row>
    <row r="172">
      <c r="E172" s="10" t="n"/>
    </row>
    <row r="173">
      <c r="E173" s="10" t="n"/>
    </row>
    <row r="174">
      <c r="E174" s="10" t="n"/>
    </row>
    <row r="175">
      <c r="E175" s="10" t="n"/>
    </row>
    <row r="176">
      <c r="E176" s="10" t="n"/>
    </row>
    <row r="177">
      <c r="E177" s="10" t="n"/>
    </row>
    <row r="178">
      <c r="E178" s="10" t="n"/>
    </row>
    <row r="179">
      <c r="E179" s="10" t="n"/>
    </row>
    <row r="180">
      <c r="E180" s="10" t="n"/>
    </row>
    <row r="181">
      <c r="E181" s="10" t="n"/>
    </row>
    <row r="182">
      <c r="E182" s="10" t="n"/>
    </row>
    <row r="183">
      <c r="E183" s="10" t="n"/>
    </row>
    <row r="184">
      <c r="E184" s="10" t="n"/>
    </row>
    <row r="185">
      <c r="E185" s="10" t="n"/>
    </row>
    <row r="186">
      <c r="E186" s="10" t="n"/>
    </row>
    <row r="187">
      <c r="E187" s="10" t="n"/>
    </row>
    <row r="188">
      <c r="E188" s="10" t="n"/>
    </row>
    <row r="189">
      <c r="E189" s="10" t="n"/>
    </row>
    <row r="190">
      <c r="E190" s="10" t="n"/>
    </row>
    <row r="191">
      <c r="E191" s="10" t="n"/>
    </row>
    <row r="192">
      <c r="E192" s="10" t="n"/>
    </row>
    <row r="193">
      <c r="E193" s="10" t="n"/>
    </row>
    <row r="194">
      <c r="E194" s="10" t="n"/>
    </row>
    <row r="195">
      <c r="E195" s="10" t="n"/>
    </row>
    <row r="196">
      <c r="E196" s="10" t="n"/>
    </row>
    <row r="197">
      <c r="E197" s="10" t="n"/>
    </row>
    <row r="198">
      <c r="E198" s="10" t="n"/>
    </row>
    <row r="199">
      <c r="E199" s="10" t="n"/>
    </row>
    <row r="200">
      <c r="E200" s="10" t="n"/>
    </row>
    <row r="201">
      <c r="E201" s="10" t="n"/>
    </row>
    <row r="202">
      <c r="E202" s="10" t="n"/>
    </row>
    <row r="203">
      <c r="E203" s="10" t="n"/>
    </row>
    <row r="204">
      <c r="E204" s="10" t="n"/>
    </row>
    <row r="205">
      <c r="E205" s="10" t="n"/>
    </row>
    <row r="206">
      <c r="E206" s="10" t="n"/>
    </row>
    <row r="207">
      <c r="E207" s="10" t="n"/>
    </row>
    <row r="208">
      <c r="E208" s="10" t="n"/>
    </row>
    <row r="209">
      <c r="E209" s="10" t="n"/>
    </row>
    <row r="210">
      <c r="E210" s="10" t="n"/>
    </row>
    <row r="211">
      <c r="E211" s="10" t="n"/>
    </row>
    <row r="212">
      <c r="E212" s="10" t="n"/>
    </row>
    <row r="213">
      <c r="E213" s="10" t="n"/>
    </row>
    <row r="214">
      <c r="E214" s="10" t="n"/>
    </row>
    <row r="215">
      <c r="E215" s="10" t="n"/>
    </row>
    <row r="216">
      <c r="E216" s="10" t="n"/>
    </row>
    <row r="217">
      <c r="E217" s="10" t="n"/>
    </row>
    <row r="218">
      <c r="E218" s="10" t="n"/>
    </row>
    <row r="219">
      <c r="E219" s="10" t="n"/>
    </row>
    <row r="220">
      <c r="E220" s="10" t="n"/>
    </row>
    <row r="221">
      <c r="E221" s="10" t="n"/>
    </row>
    <row r="222">
      <c r="E222" s="10" t="n"/>
    </row>
    <row r="223">
      <c r="E223" s="10" t="n"/>
    </row>
    <row r="224">
      <c r="E224" s="10" t="n"/>
    </row>
    <row r="225">
      <c r="E225" s="10" t="n"/>
    </row>
    <row r="226">
      <c r="E226" s="10" t="n"/>
    </row>
    <row r="227">
      <c r="E227" s="10" t="n"/>
    </row>
    <row r="228">
      <c r="E228" s="10" t="n"/>
    </row>
    <row r="229">
      <c r="E229" s="10" t="n"/>
    </row>
    <row r="230">
      <c r="E230" s="10" t="n"/>
    </row>
    <row r="231">
      <c r="E231" s="10" t="n"/>
    </row>
    <row r="232">
      <c r="E232" s="10" t="n"/>
    </row>
    <row r="233">
      <c r="E233" s="10" t="n"/>
    </row>
    <row r="234">
      <c r="E234" s="10" t="n"/>
    </row>
    <row r="235">
      <c r="E235" s="10" t="n"/>
    </row>
    <row r="236">
      <c r="E236" s="10" t="n"/>
    </row>
    <row r="237">
      <c r="E237" s="10" t="n"/>
    </row>
    <row r="238">
      <c r="E238" s="10" t="n"/>
    </row>
    <row r="239">
      <c r="E239" s="10" t="n"/>
    </row>
    <row r="240">
      <c r="E240" s="10" t="n"/>
    </row>
    <row r="241">
      <c r="E241" s="10" t="n"/>
    </row>
    <row r="242">
      <c r="E242" s="10" t="n"/>
    </row>
    <row r="243">
      <c r="E243" s="10" t="n"/>
    </row>
    <row r="244">
      <c r="E244" s="10" t="n"/>
    </row>
    <row r="245">
      <c r="E245" s="10" t="n"/>
    </row>
    <row r="246">
      <c r="E246" s="10" t="n"/>
    </row>
    <row r="247">
      <c r="E247" s="10" t="n"/>
    </row>
    <row r="248">
      <c r="E248" s="10" t="n"/>
    </row>
    <row r="249">
      <c r="E249" s="10" t="n"/>
    </row>
    <row r="250">
      <c r="E250" s="10" t="n"/>
    </row>
    <row r="251">
      <c r="E251" s="10" t="n"/>
    </row>
    <row r="252">
      <c r="E252" s="10" t="n"/>
    </row>
    <row r="253">
      <c r="E253" s="10" t="n"/>
    </row>
    <row r="254">
      <c r="E254" s="10" t="n"/>
    </row>
    <row r="255">
      <c r="E255" s="10" t="n"/>
    </row>
    <row r="256">
      <c r="E256" s="10" t="n"/>
    </row>
    <row r="257">
      <c r="E257" s="10" t="n"/>
    </row>
    <row r="258">
      <c r="E258" s="10" t="n"/>
    </row>
    <row r="259">
      <c r="E259" s="10" t="n"/>
    </row>
    <row r="260">
      <c r="E260" s="10" t="n"/>
    </row>
    <row r="261">
      <c r="E261" s="10" t="n"/>
    </row>
    <row r="262">
      <c r="E262" s="10" t="n"/>
    </row>
    <row r="263">
      <c r="E263" s="10" t="n"/>
    </row>
    <row r="264">
      <c r="E264" s="10" t="n"/>
    </row>
    <row r="265">
      <c r="E265" s="10" t="n"/>
    </row>
    <row r="266">
      <c r="E266" s="10" t="n"/>
    </row>
    <row r="267">
      <c r="E267" s="10" t="n"/>
    </row>
    <row r="268">
      <c r="E268" s="10" t="n"/>
    </row>
    <row r="269">
      <c r="E269" s="10" t="n"/>
    </row>
    <row r="270">
      <c r="E270" s="10" t="n"/>
    </row>
    <row r="271">
      <c r="E271" s="10" t="n"/>
    </row>
    <row r="272">
      <c r="E272" s="10" t="n"/>
    </row>
    <row r="273">
      <c r="E273" s="10" t="n"/>
    </row>
    <row r="274">
      <c r="E274" s="10" t="n"/>
    </row>
    <row r="275">
      <c r="E275" s="10" t="n"/>
    </row>
    <row r="276">
      <c r="E276" s="10" t="n"/>
    </row>
    <row r="277">
      <c r="E277" s="10" t="n"/>
    </row>
    <row r="278">
      <c r="E278" s="10" t="n"/>
    </row>
    <row r="279">
      <c r="E279" s="10" t="n"/>
    </row>
    <row r="280">
      <c r="E280" s="10" t="n"/>
    </row>
    <row r="281">
      <c r="E281" s="10" t="n"/>
    </row>
    <row r="282">
      <c r="E282" s="10" t="n"/>
    </row>
    <row r="283">
      <c r="E283" s="10" t="n"/>
    </row>
    <row r="284">
      <c r="E284" s="10" t="n"/>
    </row>
    <row r="285">
      <c r="E285" s="10" t="n"/>
    </row>
    <row r="286">
      <c r="E286" s="10" t="n"/>
    </row>
    <row r="287">
      <c r="E287" s="10" t="n"/>
    </row>
    <row r="288">
      <c r="E288" s="10" t="n"/>
    </row>
    <row r="289">
      <c r="E289" s="10" t="n"/>
    </row>
    <row r="290">
      <c r="E290" s="10" t="n"/>
    </row>
    <row r="291">
      <c r="E291" s="10" t="n"/>
    </row>
    <row r="292">
      <c r="E292" s="10" t="n"/>
    </row>
    <row r="293">
      <c r="E293" s="10" t="n"/>
    </row>
    <row r="294">
      <c r="E294" s="10" t="n"/>
    </row>
    <row r="295">
      <c r="E295" s="10" t="n"/>
    </row>
    <row r="296">
      <c r="E296" s="10" t="n"/>
    </row>
    <row r="297">
      <c r="E297" s="10" t="n"/>
    </row>
    <row r="298">
      <c r="E298" s="10" t="n"/>
    </row>
    <row r="299">
      <c r="E299" s="10" t="n"/>
    </row>
    <row r="300">
      <c r="E300" s="10" t="n"/>
    </row>
    <row r="301">
      <c r="E301" s="10" t="n"/>
    </row>
    <row r="302">
      <c r="E302" s="10" t="n"/>
    </row>
    <row r="303">
      <c r="E303" s="10" t="n"/>
    </row>
    <row r="304">
      <c r="E304" s="10" t="n"/>
    </row>
    <row r="305">
      <c r="E305" s="10" t="n"/>
    </row>
    <row r="306">
      <c r="E306" s="10" t="n"/>
    </row>
    <row r="307">
      <c r="E307" s="10" t="n"/>
    </row>
    <row r="308">
      <c r="E308" s="10" t="n"/>
    </row>
    <row r="309">
      <c r="E309" s="10" t="n"/>
    </row>
    <row r="310">
      <c r="E310" s="10" t="n"/>
    </row>
    <row r="311">
      <c r="E311" s="10" t="n"/>
    </row>
    <row r="312">
      <c r="E312" s="10" t="n"/>
    </row>
    <row r="313">
      <c r="E313" s="10" t="n"/>
    </row>
    <row r="314">
      <c r="E314" s="10" t="n"/>
    </row>
    <row r="315">
      <c r="E315" s="10" t="n"/>
    </row>
    <row r="316">
      <c r="E316" s="10" t="n"/>
    </row>
    <row r="317">
      <c r="E317" s="10" t="n"/>
    </row>
    <row r="318">
      <c r="E318" s="10" t="n"/>
    </row>
    <row r="319">
      <c r="E319" s="10" t="n"/>
    </row>
    <row r="320">
      <c r="E320" s="10" t="n"/>
    </row>
    <row r="321">
      <c r="E321" s="10" t="n"/>
    </row>
    <row r="322">
      <c r="E322" s="10" t="n"/>
    </row>
    <row r="323">
      <c r="E323" s="10" t="n"/>
    </row>
    <row r="324">
      <c r="E324" s="10" t="n"/>
    </row>
    <row r="325">
      <c r="E325" s="10" t="n"/>
    </row>
    <row r="326">
      <c r="E326" s="10" t="n"/>
    </row>
    <row r="327">
      <c r="E327" s="10" t="n"/>
    </row>
    <row r="328">
      <c r="E328" s="10" t="n"/>
    </row>
    <row r="329">
      <c r="E329" s="10" t="n"/>
    </row>
    <row r="330">
      <c r="E330" s="10" t="n"/>
    </row>
    <row r="331">
      <c r="E331" s="10" t="n"/>
    </row>
    <row r="332">
      <c r="E332" s="10" t="n"/>
    </row>
    <row r="333">
      <c r="E333" s="10" t="n"/>
    </row>
    <row r="334">
      <c r="E334" s="10" t="n"/>
    </row>
    <row r="335">
      <c r="E335" s="10" t="n"/>
    </row>
    <row r="336">
      <c r="E336" s="10" t="n"/>
    </row>
    <row r="337">
      <c r="E337" s="10" t="n"/>
    </row>
    <row r="338">
      <c r="E338" s="10" t="n"/>
    </row>
    <row r="339">
      <c r="E339" s="10" t="n"/>
    </row>
    <row r="340">
      <c r="E340" s="10" t="n"/>
    </row>
    <row r="341">
      <c r="E341" s="10" t="n"/>
    </row>
    <row r="342">
      <c r="E342" s="10" t="n"/>
    </row>
    <row r="343">
      <c r="E343" s="10" t="n"/>
    </row>
    <row r="344">
      <c r="E344" s="10" t="n"/>
    </row>
    <row r="345">
      <c r="E345" s="10" t="n"/>
    </row>
    <row r="346">
      <c r="E346" s="10" t="n"/>
    </row>
    <row r="347">
      <c r="E347" s="10" t="n"/>
    </row>
    <row r="348">
      <c r="E348" s="10" t="n"/>
    </row>
    <row r="349">
      <c r="E349" s="10" t="n"/>
    </row>
    <row r="350">
      <c r="E350" s="10" t="n"/>
    </row>
    <row r="351">
      <c r="E351" s="10" t="n"/>
    </row>
    <row r="352">
      <c r="E352" s="10" t="n"/>
    </row>
    <row r="353">
      <c r="E353" s="10" t="n"/>
    </row>
    <row r="354">
      <c r="E354" s="10" t="n"/>
    </row>
    <row r="355">
      <c r="E355" s="10" t="n"/>
    </row>
    <row r="356">
      <c r="E356" s="10" t="n"/>
    </row>
    <row r="357">
      <c r="E357" s="10" t="n"/>
    </row>
    <row r="358">
      <c r="E358" s="10" t="n"/>
    </row>
    <row r="359">
      <c r="E359" s="10" t="n"/>
    </row>
    <row r="360">
      <c r="E360" s="10" t="n"/>
    </row>
    <row r="361">
      <c r="E361" s="10" t="n"/>
    </row>
    <row r="362">
      <c r="E362" s="10" t="n"/>
    </row>
    <row r="363">
      <c r="E363" s="10" t="n"/>
    </row>
    <row r="364">
      <c r="E364" s="10" t="n"/>
    </row>
    <row r="365">
      <c r="E365" s="10" t="n"/>
    </row>
    <row r="366">
      <c r="E366" s="10" t="n"/>
    </row>
    <row r="367">
      <c r="E367" s="10" t="n"/>
    </row>
    <row r="368">
      <c r="E368" s="10" t="n"/>
    </row>
    <row r="369">
      <c r="E369" s="10" t="n"/>
    </row>
    <row r="370">
      <c r="E370" s="10" t="n"/>
    </row>
    <row r="371">
      <c r="E371" s="10" t="n"/>
    </row>
    <row r="372">
      <c r="E372" s="10" t="n"/>
    </row>
    <row r="373">
      <c r="E373" s="10" t="n"/>
    </row>
    <row r="374">
      <c r="E374" s="10" t="n"/>
    </row>
    <row r="375">
      <c r="E375" s="10" t="n"/>
    </row>
    <row r="376">
      <c r="E376" s="10" t="n"/>
    </row>
    <row r="377">
      <c r="E377" s="10" t="n"/>
    </row>
    <row r="378">
      <c r="E378" s="10" t="n"/>
    </row>
    <row r="379">
      <c r="E379" s="10" t="n"/>
    </row>
    <row r="380">
      <c r="E380" s="10" t="n"/>
    </row>
    <row r="381">
      <c r="E381" s="10" t="n"/>
    </row>
    <row r="382">
      <c r="E382" s="10" t="n"/>
    </row>
    <row r="383">
      <c r="E383" s="10" t="n"/>
    </row>
    <row r="384">
      <c r="E384" s="10" t="n"/>
    </row>
    <row r="385">
      <c r="E385" s="10" t="n"/>
    </row>
    <row r="386">
      <c r="E386" s="10" t="n"/>
    </row>
    <row r="387">
      <c r="E387" s="10" t="n"/>
    </row>
    <row r="388">
      <c r="E388" s="10" t="n"/>
    </row>
    <row r="389">
      <c r="E389" s="10" t="n"/>
    </row>
    <row r="390">
      <c r="E390" s="10" t="n"/>
    </row>
    <row r="391">
      <c r="E391" s="10" t="n"/>
    </row>
    <row r="392">
      <c r="E392" s="10" t="n"/>
    </row>
    <row r="393">
      <c r="E393" s="10" t="n"/>
    </row>
    <row r="394">
      <c r="E394" s="10" t="n"/>
    </row>
    <row r="395">
      <c r="E395" s="10" t="n"/>
    </row>
    <row r="396">
      <c r="E396" s="10" t="n"/>
    </row>
    <row r="397">
      <c r="E397" s="10" t="n"/>
    </row>
    <row r="398">
      <c r="E398" s="10" t="n"/>
    </row>
    <row r="399">
      <c r="E399" s="10" t="n"/>
    </row>
    <row r="400">
      <c r="E400" s="10" t="n"/>
    </row>
    <row r="401">
      <c r="E401" s="10" t="n"/>
    </row>
    <row r="402">
      <c r="E402" s="10" t="n"/>
    </row>
    <row r="403">
      <c r="E403" s="10" t="n"/>
    </row>
    <row r="404">
      <c r="E404" s="10" t="n"/>
    </row>
    <row r="405">
      <c r="E405" s="10" t="n"/>
    </row>
    <row r="406">
      <c r="E406" s="10" t="n"/>
    </row>
    <row r="407">
      <c r="E407" s="10" t="n"/>
    </row>
    <row r="408">
      <c r="E408" s="10" t="n"/>
    </row>
    <row r="409">
      <c r="E409" s="10" t="n"/>
    </row>
    <row r="410">
      <c r="E410" s="10" t="n"/>
    </row>
    <row r="411">
      <c r="E411" s="10" t="n"/>
    </row>
    <row r="412">
      <c r="E412" s="10" t="n"/>
    </row>
    <row r="413">
      <c r="E413" s="10" t="n"/>
    </row>
    <row r="414">
      <c r="E414" s="10" t="n"/>
    </row>
    <row r="415">
      <c r="E415" s="10" t="n"/>
    </row>
    <row r="416">
      <c r="E416" s="10" t="n"/>
    </row>
    <row r="417">
      <c r="E417" s="10" t="n"/>
    </row>
    <row r="418">
      <c r="E418" s="10" t="n"/>
    </row>
    <row r="419">
      <c r="E419" s="10" t="n"/>
    </row>
    <row r="420">
      <c r="E420" s="10" t="n"/>
    </row>
    <row r="421">
      <c r="E421" s="10" t="n"/>
    </row>
    <row r="422">
      <c r="E422" s="10" t="n"/>
    </row>
    <row r="423">
      <c r="E423" s="10" t="n"/>
    </row>
    <row r="424">
      <c r="E424" s="10" t="n"/>
    </row>
    <row r="425">
      <c r="E425" s="10" t="n"/>
    </row>
    <row r="426">
      <c r="E426" s="10" t="n"/>
    </row>
    <row r="427">
      <c r="E427" s="10" t="n"/>
    </row>
    <row r="428">
      <c r="E428" s="10" t="n"/>
    </row>
    <row r="429">
      <c r="E429" s="10" t="n"/>
    </row>
    <row r="430">
      <c r="E430" s="10" t="n"/>
    </row>
    <row r="431">
      <c r="E431" s="10" t="n"/>
    </row>
    <row r="432">
      <c r="E432" s="10" t="n"/>
    </row>
    <row r="433">
      <c r="E433" s="10" t="n"/>
    </row>
    <row r="434">
      <c r="E434" s="10" t="n"/>
    </row>
    <row r="435">
      <c r="E435" s="10" t="n"/>
    </row>
    <row r="436">
      <c r="E436" s="10" t="n"/>
    </row>
    <row r="437">
      <c r="E437" s="10" t="n"/>
    </row>
    <row r="438">
      <c r="E438" s="10" t="n"/>
    </row>
    <row r="439">
      <c r="E439" s="10" t="n"/>
    </row>
    <row r="440">
      <c r="E440" s="10" t="n"/>
    </row>
    <row r="441">
      <c r="E441" s="10" t="n"/>
    </row>
    <row r="442">
      <c r="E442" s="10" t="n"/>
    </row>
    <row r="443">
      <c r="E443" s="10" t="n"/>
    </row>
    <row r="444">
      <c r="E444" s="10" t="n"/>
    </row>
    <row r="445">
      <c r="E445" s="10" t="n"/>
    </row>
    <row r="446">
      <c r="E446" s="10" t="n"/>
    </row>
    <row r="447">
      <c r="E447" s="10" t="n"/>
    </row>
    <row r="448">
      <c r="E448" s="10" t="n"/>
    </row>
    <row r="449">
      <c r="E449" s="10" t="n"/>
    </row>
    <row r="450">
      <c r="E450" s="10" t="n"/>
    </row>
    <row r="451">
      <c r="E451" s="10" t="n"/>
    </row>
    <row r="452">
      <c r="E452" s="10" t="n"/>
    </row>
    <row r="453">
      <c r="E453" s="10" t="n"/>
    </row>
    <row r="454">
      <c r="E454" s="10" t="n"/>
    </row>
    <row r="455">
      <c r="E455" s="10" t="n"/>
    </row>
    <row r="456">
      <c r="E456" s="10" t="n"/>
    </row>
    <row r="457">
      <c r="E457" s="10" t="n"/>
    </row>
    <row r="458">
      <c r="E458" s="10" t="n"/>
    </row>
    <row r="459">
      <c r="E459" s="10" t="n"/>
    </row>
    <row r="460">
      <c r="E460" s="10" t="n"/>
    </row>
    <row r="461">
      <c r="E461" s="10" t="n"/>
    </row>
    <row r="462">
      <c r="E462" s="10" t="n"/>
    </row>
    <row r="463">
      <c r="E463" s="10" t="n"/>
    </row>
    <row r="464">
      <c r="E464" s="10" t="n"/>
    </row>
    <row r="465">
      <c r="E465" s="10" t="n"/>
    </row>
    <row r="466">
      <c r="E466" s="10" t="n"/>
    </row>
    <row r="467">
      <c r="E467" s="10" t="n"/>
    </row>
    <row r="468">
      <c r="E468" s="10" t="n"/>
    </row>
    <row r="469">
      <c r="E469" s="10" t="n"/>
    </row>
    <row r="470">
      <c r="E470" s="10" t="n"/>
    </row>
    <row r="471">
      <c r="E471" s="10" t="n"/>
    </row>
    <row r="472">
      <c r="E472" s="10" t="n"/>
    </row>
    <row r="473">
      <c r="E473" s="10" t="n"/>
    </row>
    <row r="474">
      <c r="E474" s="10" t="n"/>
    </row>
    <row r="475">
      <c r="E475" s="10" t="n"/>
    </row>
    <row r="476">
      <c r="E476" s="10" t="n"/>
    </row>
    <row r="477">
      <c r="E477" s="10" t="n"/>
    </row>
    <row r="478">
      <c r="E478" s="10" t="n"/>
    </row>
    <row r="479">
      <c r="E479" s="10" t="n"/>
    </row>
    <row r="480">
      <c r="E480" s="10" t="n"/>
    </row>
    <row r="481">
      <c r="E481" s="10" t="n"/>
    </row>
    <row r="482">
      <c r="E482" s="10" t="n"/>
    </row>
    <row r="483">
      <c r="E483" s="10" t="n"/>
    </row>
    <row r="484">
      <c r="E484" s="10" t="n"/>
    </row>
    <row r="485">
      <c r="E485" s="10" t="n"/>
    </row>
    <row r="486">
      <c r="E486" s="10" t="n"/>
    </row>
    <row r="487">
      <c r="E487" s="10" t="n"/>
    </row>
    <row r="488">
      <c r="E488" s="10" t="n"/>
    </row>
    <row r="489">
      <c r="E489" s="10" t="n"/>
    </row>
    <row r="490">
      <c r="E490" s="10" t="n"/>
    </row>
    <row r="491">
      <c r="E491" s="10" t="n"/>
    </row>
    <row r="492">
      <c r="E492" s="10" t="n"/>
    </row>
    <row r="493">
      <c r="E493" s="10" t="n"/>
    </row>
    <row r="494">
      <c r="E494" s="10" t="n"/>
    </row>
    <row r="495">
      <c r="E495" s="10" t="n"/>
    </row>
    <row r="496">
      <c r="E496" s="10" t="n"/>
    </row>
    <row r="497">
      <c r="E497" s="10" t="n"/>
    </row>
    <row r="498">
      <c r="E498" s="10" t="n"/>
    </row>
    <row r="499">
      <c r="E499" s="10" t="n"/>
    </row>
    <row r="500">
      <c r="E500" s="10" t="n"/>
    </row>
  </sheetData>
  <dataValidations count="1">
    <dataValidation sqref="E2:E500" showDropDown="0" showInputMessage="0" showErrorMessage="0" allowBlank="1" type="list">
      <formula1>"running,idle,breakdown,maintenance"</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00"/>
  <sheetViews>
    <sheetView workbookViewId="0">
      <selection activeCell="A1" sqref="A1"/>
    </sheetView>
  </sheetViews>
  <sheetFormatPr baseColWidth="8" defaultRowHeight="15"/>
  <cols>
    <col width="16" customWidth="1" min="1" max="1"/>
    <col width="22" customWidth="1" min="2" max="2"/>
    <col width="14" customWidth="1" min="3" max="3"/>
    <col width="8" customWidth="1" min="4" max="4"/>
    <col width="13" customWidth="1" min="5" max="5"/>
    <col width="13" customWidth="1" min="6" max="6"/>
    <col width="13" customWidth="1" min="7" max="7"/>
  </cols>
  <sheetData>
    <row r="1">
      <c r="A1" s="7" t="inlineStr">
        <is>
          <t>SKU</t>
        </is>
      </c>
      <c r="B1" s="7" t="inlineStr">
        <is>
          <t>Name</t>
        </is>
      </c>
      <c r="C1" s="7" t="inlineStr">
        <is>
          <t>Category</t>
        </is>
      </c>
      <c r="D1" s="7" t="inlineStr">
        <is>
          <t>UOM</t>
        </is>
      </c>
      <c r="E1" s="7" t="inlineStr">
        <is>
          <t>StandardCost</t>
        </is>
      </c>
      <c r="F1" s="7" t="inlineStr">
        <is>
          <t>ReorderLevel</t>
        </is>
      </c>
      <c r="G1" s="7" t="inlineStr">
        <is>
          <t>ReorderQty</t>
        </is>
      </c>
    </row>
    <row r="2">
      <c r="A2" s="8" t="inlineStr">
        <is>
          <t>RM-STEEL-COIL</t>
        </is>
      </c>
      <c r="B2" s="8" t="inlineStr">
        <is>
          <t>Steel Coil 2mm</t>
        </is>
      </c>
      <c r="C2" s="9" t="inlineStr">
        <is>
          <t>raw_material</t>
        </is>
      </c>
      <c r="D2" s="8" t="inlineStr">
        <is>
          <t>kg</t>
        </is>
      </c>
      <c r="E2" s="8" t="n">
        <v>65</v>
      </c>
      <c r="F2" s="8" t="n">
        <v>500</v>
      </c>
      <c r="G2" s="8" t="n">
        <v>2000</v>
      </c>
    </row>
    <row r="3">
      <c r="A3" s="8" t="inlineStr">
        <is>
          <t>FG-BRACKET-A</t>
        </is>
      </c>
      <c r="B3" s="8" t="inlineStr">
        <is>
          <t>Mounting Bracket A</t>
        </is>
      </c>
      <c r="C3" s="9" t="inlineStr">
        <is>
          <t>finished_good</t>
        </is>
      </c>
      <c r="D3" s="8" t="inlineStr">
        <is>
          <t>pcs</t>
        </is>
      </c>
      <c r="E3" s="8" t="n">
        <v>180</v>
      </c>
      <c r="F3" s="8" t="n">
        <v>200</v>
      </c>
      <c r="G3" s="8" t="n">
        <v>500</v>
      </c>
    </row>
    <row r="4">
      <c r="C4" s="10" t="n"/>
    </row>
    <row r="5">
      <c r="C5" s="10" t="n"/>
    </row>
    <row r="6">
      <c r="C6" s="10" t="n"/>
    </row>
    <row r="7">
      <c r="C7" s="10" t="n"/>
    </row>
    <row r="8">
      <c r="C8" s="10" t="n"/>
    </row>
    <row r="9">
      <c r="C9" s="10" t="n"/>
    </row>
    <row r="10">
      <c r="C10" s="10" t="n"/>
    </row>
    <row r="11">
      <c r="C11" s="10" t="n"/>
    </row>
    <row r="12">
      <c r="C12" s="10" t="n"/>
    </row>
    <row r="13">
      <c r="C13" s="10" t="n"/>
    </row>
    <row r="14">
      <c r="C14" s="10" t="n"/>
    </row>
    <row r="15">
      <c r="C15" s="10" t="n"/>
    </row>
    <row r="16">
      <c r="C16" s="10" t="n"/>
    </row>
    <row r="17">
      <c r="C17" s="10" t="n"/>
    </row>
    <row r="18">
      <c r="C18" s="10" t="n"/>
    </row>
    <row r="19">
      <c r="C19" s="10" t="n"/>
    </row>
    <row r="20">
      <c r="C20" s="10" t="n"/>
    </row>
    <row r="21">
      <c r="C21" s="10" t="n"/>
    </row>
    <row r="22">
      <c r="C22" s="10" t="n"/>
    </row>
    <row r="23">
      <c r="C23" s="10" t="n"/>
    </row>
    <row r="24">
      <c r="C24" s="10" t="n"/>
    </row>
    <row r="25">
      <c r="C25" s="10" t="n"/>
    </row>
    <row r="26">
      <c r="C26" s="10" t="n"/>
    </row>
    <row r="27">
      <c r="C27" s="10" t="n"/>
    </row>
    <row r="28">
      <c r="C28" s="10" t="n"/>
    </row>
    <row r="29">
      <c r="C29" s="10" t="n"/>
    </row>
    <row r="30">
      <c r="C30" s="10" t="n"/>
    </row>
    <row r="31">
      <c r="C31" s="10" t="n"/>
    </row>
    <row r="32">
      <c r="C32" s="10" t="n"/>
    </row>
    <row r="33">
      <c r="C33" s="10" t="n"/>
    </row>
    <row r="34">
      <c r="C34" s="10" t="n"/>
    </row>
    <row r="35">
      <c r="C35" s="10" t="n"/>
    </row>
    <row r="36">
      <c r="C36" s="10" t="n"/>
    </row>
    <row r="37">
      <c r="C37" s="10" t="n"/>
    </row>
    <row r="38">
      <c r="C38" s="10" t="n"/>
    </row>
    <row r="39">
      <c r="C39" s="10" t="n"/>
    </row>
    <row r="40">
      <c r="C40" s="10" t="n"/>
    </row>
    <row r="41">
      <c r="C41" s="10" t="n"/>
    </row>
    <row r="42">
      <c r="C42" s="10" t="n"/>
    </row>
    <row r="43">
      <c r="C43" s="10" t="n"/>
    </row>
    <row r="44">
      <c r="C44" s="10" t="n"/>
    </row>
    <row r="45">
      <c r="C45" s="10" t="n"/>
    </row>
    <row r="46">
      <c r="C46" s="10" t="n"/>
    </row>
    <row r="47">
      <c r="C47" s="10" t="n"/>
    </row>
    <row r="48">
      <c r="C48" s="10" t="n"/>
    </row>
    <row r="49">
      <c r="C49" s="10" t="n"/>
    </row>
    <row r="50">
      <c r="C50" s="10" t="n"/>
    </row>
    <row r="51">
      <c r="C51" s="10" t="n"/>
    </row>
    <row r="52">
      <c r="C52" s="10" t="n"/>
    </row>
    <row r="53">
      <c r="C53" s="10" t="n"/>
    </row>
    <row r="54">
      <c r="C54" s="10" t="n"/>
    </row>
    <row r="55">
      <c r="C55" s="10" t="n"/>
    </row>
    <row r="56">
      <c r="C56" s="10" t="n"/>
    </row>
    <row r="57">
      <c r="C57" s="10" t="n"/>
    </row>
    <row r="58">
      <c r="C58" s="10" t="n"/>
    </row>
    <row r="59">
      <c r="C59" s="10" t="n"/>
    </row>
    <row r="60">
      <c r="C60" s="10" t="n"/>
    </row>
    <row r="61">
      <c r="C61" s="10" t="n"/>
    </row>
    <row r="62">
      <c r="C62" s="10" t="n"/>
    </row>
    <row r="63">
      <c r="C63" s="10" t="n"/>
    </row>
    <row r="64">
      <c r="C64" s="10" t="n"/>
    </row>
    <row r="65">
      <c r="C65" s="10" t="n"/>
    </row>
    <row r="66">
      <c r="C66" s="10" t="n"/>
    </row>
    <row r="67">
      <c r="C67" s="10" t="n"/>
    </row>
    <row r="68">
      <c r="C68" s="10" t="n"/>
    </row>
    <row r="69">
      <c r="C69" s="10" t="n"/>
    </row>
    <row r="70">
      <c r="C70" s="10" t="n"/>
    </row>
    <row r="71">
      <c r="C71" s="10" t="n"/>
    </row>
    <row r="72">
      <c r="C72" s="10" t="n"/>
    </row>
    <row r="73">
      <c r="C73" s="10" t="n"/>
    </row>
    <row r="74">
      <c r="C74" s="10" t="n"/>
    </row>
    <row r="75">
      <c r="C75" s="10" t="n"/>
    </row>
    <row r="76">
      <c r="C76" s="10" t="n"/>
    </row>
    <row r="77">
      <c r="C77" s="10" t="n"/>
    </row>
    <row r="78">
      <c r="C78" s="10" t="n"/>
    </row>
    <row r="79">
      <c r="C79" s="10" t="n"/>
    </row>
    <row r="80">
      <c r="C80" s="10" t="n"/>
    </row>
    <row r="81">
      <c r="C81" s="10" t="n"/>
    </row>
    <row r="82">
      <c r="C82" s="10" t="n"/>
    </row>
    <row r="83">
      <c r="C83" s="10" t="n"/>
    </row>
    <row r="84">
      <c r="C84" s="10" t="n"/>
    </row>
    <row r="85">
      <c r="C85" s="10" t="n"/>
    </row>
    <row r="86">
      <c r="C86" s="10" t="n"/>
    </row>
    <row r="87">
      <c r="C87" s="10" t="n"/>
    </row>
    <row r="88">
      <c r="C88" s="10" t="n"/>
    </row>
    <row r="89">
      <c r="C89" s="10" t="n"/>
    </row>
    <row r="90">
      <c r="C90" s="10" t="n"/>
    </row>
    <row r="91">
      <c r="C91" s="10" t="n"/>
    </row>
    <row r="92">
      <c r="C92" s="10" t="n"/>
    </row>
    <row r="93">
      <c r="C93" s="10" t="n"/>
    </row>
    <row r="94">
      <c r="C94" s="10" t="n"/>
    </row>
    <row r="95">
      <c r="C95" s="10" t="n"/>
    </row>
    <row r="96">
      <c r="C96" s="10" t="n"/>
    </row>
    <row r="97">
      <c r="C97" s="10" t="n"/>
    </row>
    <row r="98">
      <c r="C98" s="10" t="n"/>
    </row>
    <row r="99">
      <c r="C99" s="10" t="n"/>
    </row>
    <row r="100">
      <c r="C100" s="10" t="n"/>
    </row>
    <row r="101">
      <c r="C101" s="10" t="n"/>
    </row>
    <row r="102">
      <c r="C102" s="10" t="n"/>
    </row>
    <row r="103">
      <c r="C103" s="10" t="n"/>
    </row>
    <row r="104">
      <c r="C104" s="10" t="n"/>
    </row>
    <row r="105">
      <c r="C105" s="10" t="n"/>
    </row>
    <row r="106">
      <c r="C106" s="10" t="n"/>
    </row>
    <row r="107">
      <c r="C107" s="10" t="n"/>
    </row>
    <row r="108">
      <c r="C108" s="10" t="n"/>
    </row>
    <row r="109">
      <c r="C109" s="10" t="n"/>
    </row>
    <row r="110">
      <c r="C110" s="10" t="n"/>
    </row>
    <row r="111">
      <c r="C111" s="10" t="n"/>
    </row>
    <row r="112">
      <c r="C112" s="10" t="n"/>
    </row>
    <row r="113">
      <c r="C113" s="10" t="n"/>
    </row>
    <row r="114">
      <c r="C114" s="10" t="n"/>
    </row>
    <row r="115">
      <c r="C115" s="10" t="n"/>
    </row>
    <row r="116">
      <c r="C116" s="10" t="n"/>
    </row>
    <row r="117">
      <c r="C117" s="10" t="n"/>
    </row>
    <row r="118">
      <c r="C118" s="10" t="n"/>
    </row>
    <row r="119">
      <c r="C119" s="10" t="n"/>
    </row>
    <row r="120">
      <c r="C120" s="10" t="n"/>
    </row>
    <row r="121">
      <c r="C121" s="10" t="n"/>
    </row>
    <row r="122">
      <c r="C122" s="10" t="n"/>
    </row>
    <row r="123">
      <c r="C123" s="10" t="n"/>
    </row>
    <row r="124">
      <c r="C124" s="10" t="n"/>
    </row>
    <row r="125">
      <c r="C125" s="10" t="n"/>
    </row>
    <row r="126">
      <c r="C126" s="10" t="n"/>
    </row>
    <row r="127">
      <c r="C127" s="10" t="n"/>
    </row>
    <row r="128">
      <c r="C128" s="10" t="n"/>
    </row>
    <row r="129">
      <c r="C129" s="10" t="n"/>
    </row>
    <row r="130">
      <c r="C130" s="10" t="n"/>
    </row>
    <row r="131">
      <c r="C131" s="10" t="n"/>
    </row>
    <row r="132">
      <c r="C132" s="10" t="n"/>
    </row>
    <row r="133">
      <c r="C133" s="10" t="n"/>
    </row>
    <row r="134">
      <c r="C134" s="10" t="n"/>
    </row>
    <row r="135">
      <c r="C135" s="10" t="n"/>
    </row>
    <row r="136">
      <c r="C136" s="10" t="n"/>
    </row>
    <row r="137">
      <c r="C137" s="10" t="n"/>
    </row>
    <row r="138">
      <c r="C138" s="10" t="n"/>
    </row>
    <row r="139">
      <c r="C139" s="10" t="n"/>
    </row>
    <row r="140">
      <c r="C140" s="10" t="n"/>
    </row>
    <row r="141">
      <c r="C141" s="10" t="n"/>
    </row>
    <row r="142">
      <c r="C142" s="10" t="n"/>
    </row>
    <row r="143">
      <c r="C143" s="10" t="n"/>
    </row>
    <row r="144">
      <c r="C144" s="10" t="n"/>
    </row>
    <row r="145">
      <c r="C145" s="10" t="n"/>
    </row>
    <row r="146">
      <c r="C146" s="10" t="n"/>
    </row>
    <row r="147">
      <c r="C147" s="10" t="n"/>
    </row>
    <row r="148">
      <c r="C148" s="10" t="n"/>
    </row>
    <row r="149">
      <c r="C149" s="10" t="n"/>
    </row>
    <row r="150">
      <c r="C150" s="10" t="n"/>
    </row>
    <row r="151">
      <c r="C151" s="10" t="n"/>
    </row>
    <row r="152">
      <c r="C152" s="10" t="n"/>
    </row>
    <row r="153">
      <c r="C153" s="10" t="n"/>
    </row>
    <row r="154">
      <c r="C154" s="10" t="n"/>
    </row>
    <row r="155">
      <c r="C155" s="10" t="n"/>
    </row>
    <row r="156">
      <c r="C156" s="10" t="n"/>
    </row>
    <row r="157">
      <c r="C157" s="10" t="n"/>
    </row>
    <row r="158">
      <c r="C158" s="10" t="n"/>
    </row>
    <row r="159">
      <c r="C159" s="10" t="n"/>
    </row>
    <row r="160">
      <c r="C160" s="10" t="n"/>
    </row>
    <row r="161">
      <c r="C161" s="10" t="n"/>
    </row>
    <row r="162">
      <c r="C162" s="10" t="n"/>
    </row>
    <row r="163">
      <c r="C163" s="10" t="n"/>
    </row>
    <row r="164">
      <c r="C164" s="10" t="n"/>
    </row>
    <row r="165">
      <c r="C165" s="10" t="n"/>
    </row>
    <row r="166">
      <c r="C166" s="10" t="n"/>
    </row>
    <row r="167">
      <c r="C167" s="10" t="n"/>
    </row>
    <row r="168">
      <c r="C168" s="10" t="n"/>
    </row>
    <row r="169">
      <c r="C169" s="10" t="n"/>
    </row>
    <row r="170">
      <c r="C170" s="10" t="n"/>
    </row>
    <row r="171">
      <c r="C171" s="10" t="n"/>
    </row>
    <row r="172">
      <c r="C172" s="10" t="n"/>
    </row>
    <row r="173">
      <c r="C173" s="10" t="n"/>
    </row>
    <row r="174">
      <c r="C174" s="10" t="n"/>
    </row>
    <row r="175">
      <c r="C175" s="10" t="n"/>
    </row>
    <row r="176">
      <c r="C176" s="10" t="n"/>
    </row>
    <row r="177">
      <c r="C177" s="10" t="n"/>
    </row>
    <row r="178">
      <c r="C178" s="10" t="n"/>
    </row>
    <row r="179">
      <c r="C179" s="10" t="n"/>
    </row>
    <row r="180">
      <c r="C180" s="10" t="n"/>
    </row>
    <row r="181">
      <c r="C181" s="10" t="n"/>
    </row>
    <row r="182">
      <c r="C182" s="10" t="n"/>
    </row>
    <row r="183">
      <c r="C183" s="10" t="n"/>
    </row>
    <row r="184">
      <c r="C184" s="10" t="n"/>
    </row>
    <row r="185">
      <c r="C185" s="10" t="n"/>
    </row>
    <row r="186">
      <c r="C186" s="10" t="n"/>
    </row>
    <row r="187">
      <c r="C187" s="10" t="n"/>
    </row>
    <row r="188">
      <c r="C188" s="10" t="n"/>
    </row>
    <row r="189">
      <c r="C189" s="10" t="n"/>
    </row>
    <row r="190">
      <c r="C190" s="10" t="n"/>
    </row>
    <row r="191">
      <c r="C191" s="10" t="n"/>
    </row>
    <row r="192">
      <c r="C192" s="10" t="n"/>
    </row>
    <row r="193">
      <c r="C193" s="10" t="n"/>
    </row>
    <row r="194">
      <c r="C194" s="10" t="n"/>
    </row>
    <row r="195">
      <c r="C195" s="10" t="n"/>
    </row>
    <row r="196">
      <c r="C196" s="10" t="n"/>
    </row>
    <row r="197">
      <c r="C197" s="10" t="n"/>
    </row>
    <row r="198">
      <c r="C198" s="10" t="n"/>
    </row>
    <row r="199">
      <c r="C199" s="10" t="n"/>
    </row>
    <row r="200">
      <c r="C200" s="10" t="n"/>
    </row>
    <row r="201">
      <c r="C201" s="10" t="n"/>
    </row>
    <row r="202">
      <c r="C202" s="10" t="n"/>
    </row>
    <row r="203">
      <c r="C203" s="10" t="n"/>
    </row>
    <row r="204">
      <c r="C204" s="10" t="n"/>
    </row>
    <row r="205">
      <c r="C205" s="10" t="n"/>
    </row>
    <row r="206">
      <c r="C206" s="10" t="n"/>
    </row>
    <row r="207">
      <c r="C207" s="10" t="n"/>
    </row>
    <row r="208">
      <c r="C208" s="10" t="n"/>
    </row>
    <row r="209">
      <c r="C209" s="10" t="n"/>
    </row>
    <row r="210">
      <c r="C210" s="10" t="n"/>
    </row>
    <row r="211">
      <c r="C211" s="10" t="n"/>
    </row>
    <row r="212">
      <c r="C212" s="10" t="n"/>
    </row>
    <row r="213">
      <c r="C213" s="10" t="n"/>
    </row>
    <row r="214">
      <c r="C214" s="10" t="n"/>
    </row>
    <row r="215">
      <c r="C215" s="10" t="n"/>
    </row>
    <row r="216">
      <c r="C216" s="10" t="n"/>
    </row>
    <row r="217">
      <c r="C217" s="10" t="n"/>
    </row>
    <row r="218">
      <c r="C218" s="10" t="n"/>
    </row>
    <row r="219">
      <c r="C219" s="10" t="n"/>
    </row>
    <row r="220">
      <c r="C220" s="10" t="n"/>
    </row>
    <row r="221">
      <c r="C221" s="10" t="n"/>
    </row>
    <row r="222">
      <c r="C222" s="10" t="n"/>
    </row>
    <row r="223">
      <c r="C223" s="10" t="n"/>
    </row>
    <row r="224">
      <c r="C224" s="10" t="n"/>
    </row>
    <row r="225">
      <c r="C225" s="10" t="n"/>
    </row>
    <row r="226">
      <c r="C226" s="10" t="n"/>
    </row>
    <row r="227">
      <c r="C227" s="10" t="n"/>
    </row>
    <row r="228">
      <c r="C228" s="10" t="n"/>
    </row>
    <row r="229">
      <c r="C229" s="10" t="n"/>
    </row>
    <row r="230">
      <c r="C230" s="10" t="n"/>
    </row>
    <row r="231">
      <c r="C231" s="10" t="n"/>
    </row>
    <row r="232">
      <c r="C232" s="10" t="n"/>
    </row>
    <row r="233">
      <c r="C233" s="10" t="n"/>
    </row>
    <row r="234">
      <c r="C234" s="10" t="n"/>
    </row>
    <row r="235">
      <c r="C235" s="10" t="n"/>
    </row>
    <row r="236">
      <c r="C236" s="10" t="n"/>
    </row>
    <row r="237">
      <c r="C237" s="10" t="n"/>
    </row>
    <row r="238">
      <c r="C238" s="10" t="n"/>
    </row>
    <row r="239">
      <c r="C239" s="10" t="n"/>
    </row>
    <row r="240">
      <c r="C240" s="10" t="n"/>
    </row>
    <row r="241">
      <c r="C241" s="10" t="n"/>
    </row>
    <row r="242">
      <c r="C242" s="10" t="n"/>
    </row>
    <row r="243">
      <c r="C243" s="10" t="n"/>
    </row>
    <row r="244">
      <c r="C244" s="10" t="n"/>
    </row>
    <row r="245">
      <c r="C245" s="10" t="n"/>
    </row>
    <row r="246">
      <c r="C246" s="10" t="n"/>
    </row>
    <row r="247">
      <c r="C247" s="10" t="n"/>
    </row>
    <row r="248">
      <c r="C248" s="10" t="n"/>
    </row>
    <row r="249">
      <c r="C249" s="10" t="n"/>
    </row>
    <row r="250">
      <c r="C250" s="10" t="n"/>
    </row>
    <row r="251">
      <c r="C251" s="10" t="n"/>
    </row>
    <row r="252">
      <c r="C252" s="10" t="n"/>
    </row>
    <row r="253">
      <c r="C253" s="10" t="n"/>
    </row>
    <row r="254">
      <c r="C254" s="10" t="n"/>
    </row>
    <row r="255">
      <c r="C255" s="10" t="n"/>
    </row>
    <row r="256">
      <c r="C256" s="10" t="n"/>
    </row>
    <row r="257">
      <c r="C257" s="10" t="n"/>
    </row>
    <row r="258">
      <c r="C258" s="10" t="n"/>
    </row>
    <row r="259">
      <c r="C259" s="10" t="n"/>
    </row>
    <row r="260">
      <c r="C260" s="10" t="n"/>
    </row>
    <row r="261">
      <c r="C261" s="10" t="n"/>
    </row>
    <row r="262">
      <c r="C262" s="10" t="n"/>
    </row>
    <row r="263">
      <c r="C263" s="10" t="n"/>
    </row>
    <row r="264">
      <c r="C264" s="10" t="n"/>
    </row>
    <row r="265">
      <c r="C265" s="10" t="n"/>
    </row>
    <row r="266">
      <c r="C266" s="10" t="n"/>
    </row>
    <row r="267">
      <c r="C267" s="10" t="n"/>
    </row>
    <row r="268">
      <c r="C268" s="10" t="n"/>
    </row>
    <row r="269">
      <c r="C269" s="10" t="n"/>
    </row>
    <row r="270">
      <c r="C270" s="10" t="n"/>
    </row>
    <row r="271">
      <c r="C271" s="10" t="n"/>
    </row>
    <row r="272">
      <c r="C272" s="10" t="n"/>
    </row>
    <row r="273">
      <c r="C273" s="10" t="n"/>
    </row>
    <row r="274">
      <c r="C274" s="10" t="n"/>
    </row>
    <row r="275">
      <c r="C275" s="10" t="n"/>
    </row>
    <row r="276">
      <c r="C276" s="10" t="n"/>
    </row>
    <row r="277">
      <c r="C277" s="10" t="n"/>
    </row>
    <row r="278">
      <c r="C278" s="10" t="n"/>
    </row>
    <row r="279">
      <c r="C279" s="10" t="n"/>
    </row>
    <row r="280">
      <c r="C280" s="10" t="n"/>
    </row>
    <row r="281">
      <c r="C281" s="10" t="n"/>
    </row>
    <row r="282">
      <c r="C282" s="10" t="n"/>
    </row>
    <row r="283">
      <c r="C283" s="10" t="n"/>
    </row>
    <row r="284">
      <c r="C284" s="10" t="n"/>
    </row>
    <row r="285">
      <c r="C285" s="10" t="n"/>
    </row>
    <row r="286">
      <c r="C286" s="10" t="n"/>
    </row>
    <row r="287">
      <c r="C287" s="10" t="n"/>
    </row>
    <row r="288">
      <c r="C288" s="10" t="n"/>
    </row>
    <row r="289">
      <c r="C289" s="10" t="n"/>
    </row>
    <row r="290">
      <c r="C290" s="10" t="n"/>
    </row>
    <row r="291">
      <c r="C291" s="10" t="n"/>
    </row>
    <row r="292">
      <c r="C292" s="10" t="n"/>
    </row>
    <row r="293">
      <c r="C293" s="10" t="n"/>
    </row>
    <row r="294">
      <c r="C294" s="10" t="n"/>
    </row>
    <row r="295">
      <c r="C295" s="10" t="n"/>
    </row>
    <row r="296">
      <c r="C296" s="10" t="n"/>
    </row>
    <row r="297">
      <c r="C297" s="10" t="n"/>
    </row>
    <row r="298">
      <c r="C298" s="10" t="n"/>
    </row>
    <row r="299">
      <c r="C299" s="10" t="n"/>
    </row>
    <row r="300">
      <c r="C300" s="10" t="n"/>
    </row>
    <row r="301">
      <c r="C301" s="10" t="n"/>
    </row>
    <row r="302">
      <c r="C302" s="10" t="n"/>
    </row>
    <row r="303">
      <c r="C303" s="10" t="n"/>
    </row>
    <row r="304">
      <c r="C304" s="10" t="n"/>
    </row>
    <row r="305">
      <c r="C305" s="10" t="n"/>
    </row>
    <row r="306">
      <c r="C306" s="10" t="n"/>
    </row>
    <row r="307">
      <c r="C307" s="10" t="n"/>
    </row>
    <row r="308">
      <c r="C308" s="10" t="n"/>
    </row>
    <row r="309">
      <c r="C309" s="10" t="n"/>
    </row>
    <row r="310">
      <c r="C310" s="10" t="n"/>
    </row>
    <row r="311">
      <c r="C311" s="10" t="n"/>
    </row>
    <row r="312">
      <c r="C312" s="10" t="n"/>
    </row>
    <row r="313">
      <c r="C313" s="10" t="n"/>
    </row>
    <row r="314">
      <c r="C314" s="10" t="n"/>
    </row>
    <row r="315">
      <c r="C315" s="10" t="n"/>
    </row>
    <row r="316">
      <c r="C316" s="10" t="n"/>
    </row>
    <row r="317">
      <c r="C317" s="10" t="n"/>
    </row>
    <row r="318">
      <c r="C318" s="10" t="n"/>
    </row>
    <row r="319">
      <c r="C319" s="10" t="n"/>
    </row>
    <row r="320">
      <c r="C320" s="10" t="n"/>
    </row>
    <row r="321">
      <c r="C321" s="10" t="n"/>
    </row>
    <row r="322">
      <c r="C322" s="10" t="n"/>
    </row>
    <row r="323">
      <c r="C323" s="10" t="n"/>
    </row>
    <row r="324">
      <c r="C324" s="10" t="n"/>
    </row>
    <row r="325">
      <c r="C325" s="10" t="n"/>
    </row>
    <row r="326">
      <c r="C326" s="10" t="n"/>
    </row>
    <row r="327">
      <c r="C327" s="10" t="n"/>
    </row>
    <row r="328">
      <c r="C328" s="10" t="n"/>
    </row>
    <row r="329">
      <c r="C329" s="10" t="n"/>
    </row>
    <row r="330">
      <c r="C330" s="10" t="n"/>
    </row>
    <row r="331">
      <c r="C331" s="10" t="n"/>
    </row>
    <row r="332">
      <c r="C332" s="10" t="n"/>
    </row>
    <row r="333">
      <c r="C333" s="10" t="n"/>
    </row>
    <row r="334">
      <c r="C334" s="10" t="n"/>
    </row>
    <row r="335">
      <c r="C335" s="10" t="n"/>
    </row>
    <row r="336">
      <c r="C336" s="10" t="n"/>
    </row>
    <row r="337">
      <c r="C337" s="10" t="n"/>
    </row>
    <row r="338">
      <c r="C338" s="10" t="n"/>
    </row>
    <row r="339">
      <c r="C339" s="10" t="n"/>
    </row>
    <row r="340">
      <c r="C340" s="10" t="n"/>
    </row>
    <row r="341">
      <c r="C341" s="10" t="n"/>
    </row>
    <row r="342">
      <c r="C342" s="10" t="n"/>
    </row>
    <row r="343">
      <c r="C343" s="10" t="n"/>
    </row>
    <row r="344">
      <c r="C344" s="10" t="n"/>
    </row>
    <row r="345">
      <c r="C345" s="10" t="n"/>
    </row>
    <row r="346">
      <c r="C346" s="10" t="n"/>
    </row>
    <row r="347">
      <c r="C347" s="10" t="n"/>
    </row>
    <row r="348">
      <c r="C348" s="10" t="n"/>
    </row>
    <row r="349">
      <c r="C349" s="10" t="n"/>
    </row>
    <row r="350">
      <c r="C350" s="10" t="n"/>
    </row>
    <row r="351">
      <c r="C351" s="10" t="n"/>
    </row>
    <row r="352">
      <c r="C352" s="10" t="n"/>
    </row>
    <row r="353">
      <c r="C353" s="10" t="n"/>
    </row>
    <row r="354">
      <c r="C354" s="10" t="n"/>
    </row>
    <row r="355">
      <c r="C355" s="10" t="n"/>
    </row>
    <row r="356">
      <c r="C356" s="10" t="n"/>
    </row>
    <row r="357">
      <c r="C357" s="10" t="n"/>
    </row>
    <row r="358">
      <c r="C358" s="10" t="n"/>
    </row>
    <row r="359">
      <c r="C359" s="10" t="n"/>
    </row>
    <row r="360">
      <c r="C360" s="10" t="n"/>
    </row>
    <row r="361">
      <c r="C361" s="10" t="n"/>
    </row>
    <row r="362">
      <c r="C362" s="10" t="n"/>
    </row>
    <row r="363">
      <c r="C363" s="10" t="n"/>
    </row>
    <row r="364">
      <c r="C364" s="10" t="n"/>
    </row>
    <row r="365">
      <c r="C365" s="10" t="n"/>
    </row>
    <row r="366">
      <c r="C366" s="10" t="n"/>
    </row>
    <row r="367">
      <c r="C367" s="10" t="n"/>
    </row>
    <row r="368">
      <c r="C368" s="10" t="n"/>
    </row>
    <row r="369">
      <c r="C369" s="10" t="n"/>
    </row>
    <row r="370">
      <c r="C370" s="10" t="n"/>
    </row>
    <row r="371">
      <c r="C371" s="10" t="n"/>
    </row>
    <row r="372">
      <c r="C372" s="10" t="n"/>
    </row>
    <row r="373">
      <c r="C373" s="10" t="n"/>
    </row>
    <row r="374">
      <c r="C374" s="10" t="n"/>
    </row>
    <row r="375">
      <c r="C375" s="10" t="n"/>
    </row>
    <row r="376">
      <c r="C376" s="10" t="n"/>
    </row>
    <row r="377">
      <c r="C377" s="10" t="n"/>
    </row>
    <row r="378">
      <c r="C378" s="10" t="n"/>
    </row>
    <row r="379">
      <c r="C379" s="10" t="n"/>
    </row>
    <row r="380">
      <c r="C380" s="10" t="n"/>
    </row>
    <row r="381">
      <c r="C381" s="10" t="n"/>
    </row>
    <row r="382">
      <c r="C382" s="10" t="n"/>
    </row>
    <row r="383">
      <c r="C383" s="10" t="n"/>
    </row>
    <row r="384">
      <c r="C384" s="10" t="n"/>
    </row>
    <row r="385">
      <c r="C385" s="10" t="n"/>
    </row>
    <row r="386">
      <c r="C386" s="10" t="n"/>
    </row>
    <row r="387">
      <c r="C387" s="10" t="n"/>
    </row>
    <row r="388">
      <c r="C388" s="10" t="n"/>
    </row>
    <row r="389">
      <c r="C389" s="10" t="n"/>
    </row>
    <row r="390">
      <c r="C390" s="10" t="n"/>
    </row>
    <row r="391">
      <c r="C391" s="10" t="n"/>
    </row>
    <row r="392">
      <c r="C392" s="10" t="n"/>
    </row>
    <row r="393">
      <c r="C393" s="10" t="n"/>
    </row>
    <row r="394">
      <c r="C394" s="10" t="n"/>
    </row>
    <row r="395">
      <c r="C395" s="10" t="n"/>
    </row>
    <row r="396">
      <c r="C396" s="10" t="n"/>
    </row>
    <row r="397">
      <c r="C397" s="10" t="n"/>
    </row>
    <row r="398">
      <c r="C398" s="10" t="n"/>
    </row>
    <row r="399">
      <c r="C399" s="10" t="n"/>
    </row>
    <row r="400">
      <c r="C400" s="10" t="n"/>
    </row>
    <row r="401">
      <c r="C401" s="10" t="n"/>
    </row>
    <row r="402">
      <c r="C402" s="10" t="n"/>
    </row>
    <row r="403">
      <c r="C403" s="10" t="n"/>
    </row>
    <row r="404">
      <c r="C404" s="10" t="n"/>
    </row>
    <row r="405">
      <c r="C405" s="10" t="n"/>
    </row>
    <row r="406">
      <c r="C406" s="10" t="n"/>
    </row>
    <row r="407">
      <c r="C407" s="10" t="n"/>
    </row>
    <row r="408">
      <c r="C408" s="10" t="n"/>
    </row>
    <row r="409">
      <c r="C409" s="10" t="n"/>
    </row>
    <row r="410">
      <c r="C410" s="10" t="n"/>
    </row>
    <row r="411">
      <c r="C411" s="10" t="n"/>
    </row>
    <row r="412">
      <c r="C412" s="10" t="n"/>
    </row>
    <row r="413">
      <c r="C413" s="10" t="n"/>
    </row>
    <row r="414">
      <c r="C414" s="10" t="n"/>
    </row>
    <row r="415">
      <c r="C415" s="10" t="n"/>
    </row>
    <row r="416">
      <c r="C416" s="10" t="n"/>
    </row>
    <row r="417">
      <c r="C417" s="10" t="n"/>
    </row>
    <row r="418">
      <c r="C418" s="10" t="n"/>
    </row>
    <row r="419">
      <c r="C419" s="10" t="n"/>
    </row>
    <row r="420">
      <c r="C420" s="10" t="n"/>
    </row>
    <row r="421">
      <c r="C421" s="10" t="n"/>
    </row>
    <row r="422">
      <c r="C422" s="10" t="n"/>
    </row>
    <row r="423">
      <c r="C423" s="10" t="n"/>
    </row>
    <row r="424">
      <c r="C424" s="10" t="n"/>
    </row>
    <row r="425">
      <c r="C425" s="10" t="n"/>
    </row>
    <row r="426">
      <c r="C426" s="10" t="n"/>
    </row>
    <row r="427">
      <c r="C427" s="10" t="n"/>
    </row>
    <row r="428">
      <c r="C428" s="10" t="n"/>
    </row>
    <row r="429">
      <c r="C429" s="10" t="n"/>
    </row>
    <row r="430">
      <c r="C430" s="10" t="n"/>
    </row>
    <row r="431">
      <c r="C431" s="10" t="n"/>
    </row>
    <row r="432">
      <c r="C432" s="10" t="n"/>
    </row>
    <row r="433">
      <c r="C433" s="10" t="n"/>
    </row>
    <row r="434">
      <c r="C434" s="10" t="n"/>
    </row>
    <row r="435">
      <c r="C435" s="10" t="n"/>
    </row>
    <row r="436">
      <c r="C436" s="10" t="n"/>
    </row>
    <row r="437">
      <c r="C437" s="10" t="n"/>
    </row>
    <row r="438">
      <c r="C438" s="10" t="n"/>
    </row>
    <row r="439">
      <c r="C439" s="10" t="n"/>
    </row>
    <row r="440">
      <c r="C440" s="10" t="n"/>
    </row>
    <row r="441">
      <c r="C441" s="10" t="n"/>
    </row>
    <row r="442">
      <c r="C442" s="10" t="n"/>
    </row>
    <row r="443">
      <c r="C443" s="10" t="n"/>
    </row>
    <row r="444">
      <c r="C444" s="10" t="n"/>
    </row>
    <row r="445">
      <c r="C445" s="10" t="n"/>
    </row>
    <row r="446">
      <c r="C446" s="10" t="n"/>
    </row>
    <row r="447">
      <c r="C447" s="10" t="n"/>
    </row>
    <row r="448">
      <c r="C448" s="10" t="n"/>
    </row>
    <row r="449">
      <c r="C449" s="10" t="n"/>
    </row>
    <row r="450">
      <c r="C450" s="10" t="n"/>
    </row>
    <row r="451">
      <c r="C451" s="10" t="n"/>
    </row>
    <row r="452">
      <c r="C452" s="10" t="n"/>
    </row>
    <row r="453">
      <c r="C453" s="10" t="n"/>
    </row>
    <row r="454">
      <c r="C454" s="10" t="n"/>
    </row>
    <row r="455">
      <c r="C455" s="10" t="n"/>
    </row>
    <row r="456">
      <c r="C456" s="10" t="n"/>
    </row>
    <row r="457">
      <c r="C457" s="10" t="n"/>
    </row>
    <row r="458">
      <c r="C458" s="10" t="n"/>
    </row>
    <row r="459">
      <c r="C459" s="10" t="n"/>
    </row>
    <row r="460">
      <c r="C460" s="10" t="n"/>
    </row>
    <row r="461">
      <c r="C461" s="10" t="n"/>
    </row>
    <row r="462">
      <c r="C462" s="10" t="n"/>
    </row>
    <row r="463">
      <c r="C463" s="10" t="n"/>
    </row>
    <row r="464">
      <c r="C464" s="10" t="n"/>
    </row>
    <row r="465">
      <c r="C465" s="10" t="n"/>
    </row>
    <row r="466">
      <c r="C466" s="10" t="n"/>
    </row>
    <row r="467">
      <c r="C467" s="10" t="n"/>
    </row>
    <row r="468">
      <c r="C468" s="10" t="n"/>
    </row>
    <row r="469">
      <c r="C469" s="10" t="n"/>
    </row>
    <row r="470">
      <c r="C470" s="10" t="n"/>
    </row>
    <row r="471">
      <c r="C471" s="10" t="n"/>
    </row>
    <row r="472">
      <c r="C472" s="10" t="n"/>
    </row>
    <row r="473">
      <c r="C473" s="10" t="n"/>
    </row>
    <row r="474">
      <c r="C474" s="10" t="n"/>
    </row>
    <row r="475">
      <c r="C475" s="10" t="n"/>
    </row>
    <row r="476">
      <c r="C476" s="10" t="n"/>
    </row>
    <row r="477">
      <c r="C477" s="10" t="n"/>
    </row>
    <row r="478">
      <c r="C478" s="10" t="n"/>
    </row>
    <row r="479">
      <c r="C479" s="10" t="n"/>
    </row>
    <row r="480">
      <c r="C480" s="10" t="n"/>
    </row>
    <row r="481">
      <c r="C481" s="10" t="n"/>
    </row>
    <row r="482">
      <c r="C482" s="10" t="n"/>
    </row>
    <row r="483">
      <c r="C483" s="10" t="n"/>
    </row>
    <row r="484">
      <c r="C484" s="10" t="n"/>
    </row>
    <row r="485">
      <c r="C485" s="10" t="n"/>
    </row>
    <row r="486">
      <c r="C486" s="10" t="n"/>
    </row>
    <row r="487">
      <c r="C487" s="10" t="n"/>
    </row>
    <row r="488">
      <c r="C488" s="10" t="n"/>
    </row>
    <row r="489">
      <c r="C489" s="10" t="n"/>
    </row>
    <row r="490">
      <c r="C490" s="10" t="n"/>
    </row>
    <row r="491">
      <c r="C491" s="10" t="n"/>
    </row>
    <row r="492">
      <c r="C492" s="10" t="n"/>
    </row>
    <row r="493">
      <c r="C493" s="10" t="n"/>
    </row>
    <row r="494">
      <c r="C494" s="10" t="n"/>
    </row>
    <row r="495">
      <c r="C495" s="10" t="n"/>
    </row>
    <row r="496">
      <c r="C496" s="10" t="n"/>
    </row>
    <row r="497">
      <c r="C497" s="10" t="n"/>
    </row>
    <row r="498">
      <c r="C498" s="10" t="n"/>
    </row>
    <row r="499">
      <c r="C499" s="10" t="n"/>
    </row>
    <row r="500">
      <c r="C500" s="10" t="n"/>
    </row>
  </sheetData>
  <dataValidations count="1">
    <dataValidation sqref="C2:C500" showDropDown="0" showInputMessage="0" showErrorMessage="0" allowBlank="1" type="list">
      <formula1>"raw_material,wip,finished_good,consumable,spare_part"</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500"/>
  <sheetViews>
    <sheetView workbookViewId="0">
      <selection activeCell="A1" sqref="A1"/>
    </sheetView>
  </sheetViews>
  <sheetFormatPr baseColWidth="8" defaultRowHeight="15"/>
  <cols>
    <col width="16" customWidth="1" min="1" max="1"/>
    <col width="16" customWidth="1" min="2" max="2"/>
    <col width="12" customWidth="1" min="3" max="3"/>
    <col width="16" customWidth="1" min="4" max="4"/>
    <col width="13" customWidth="1" min="5" max="5"/>
  </cols>
  <sheetData>
    <row r="1">
      <c r="A1" s="7" t="inlineStr">
        <is>
          <t>ParentSKU</t>
        </is>
      </c>
      <c r="B1" s="7" t="inlineStr">
        <is>
          <t>ComponentSKU</t>
        </is>
      </c>
      <c r="C1" s="7" t="inlineStr">
        <is>
          <t>QtyPerUnit</t>
        </is>
      </c>
      <c r="D1" s="7" t="inlineStr">
        <is>
          <t>ComponentStdCost</t>
        </is>
      </c>
      <c r="E1" s="7" t="inlineStr">
        <is>
          <t>LineStdCost</t>
        </is>
      </c>
    </row>
    <row r="2">
      <c r="A2" s="8" t="inlineStr">
        <is>
          <t>FG-BRACKET-A</t>
        </is>
      </c>
      <c r="B2" s="8" t="inlineStr">
        <is>
          <t>RM-STEEL-COIL</t>
        </is>
      </c>
      <c r="C2" s="8" t="n">
        <v>1.8</v>
      </c>
      <c r="D2" s="11">
        <f>IFERROR(INDEX(Products!$E$2:$E$500,MATCH(B2,Products!$A$2:$A$500,0)),"")</f>
        <v/>
      </c>
      <c r="E2" s="11">
        <f>IFERROR(C2*D2,"")</f>
        <v/>
      </c>
    </row>
    <row r="3">
      <c r="A3" s="12" t="n"/>
      <c r="B3" s="12" t="n"/>
      <c r="C3" s="12" t="n"/>
      <c r="D3" s="11">
        <f>IFERROR(INDEX(Products!$E$2:$E$500,MATCH(B3,Products!$A$2:$A$500,0)),"")</f>
        <v/>
      </c>
      <c r="E3" s="11">
        <f>IFERROR(C3*D3,"")</f>
        <v/>
      </c>
    </row>
    <row r="4">
      <c r="A4" s="12" t="n"/>
      <c r="B4" s="12" t="n"/>
      <c r="C4" s="12" t="n"/>
      <c r="D4" s="11">
        <f>IFERROR(INDEX(Products!$E$2:$E$500,MATCH(B4,Products!$A$2:$A$500,0)),"")</f>
        <v/>
      </c>
      <c r="E4" s="11">
        <f>IFERROR(C4*D4,"")</f>
        <v/>
      </c>
    </row>
    <row r="5">
      <c r="A5" s="12" t="n"/>
      <c r="B5" s="12" t="n"/>
      <c r="C5" s="12" t="n"/>
      <c r="D5" s="11">
        <f>IFERROR(INDEX(Products!$E$2:$E$500,MATCH(B5,Products!$A$2:$A$500,0)),"")</f>
        <v/>
      </c>
      <c r="E5" s="11">
        <f>IFERROR(C5*D5,"")</f>
        <v/>
      </c>
    </row>
    <row r="6">
      <c r="A6" s="12" t="n"/>
      <c r="B6" s="12" t="n"/>
      <c r="C6" s="12" t="n"/>
      <c r="D6" s="11">
        <f>IFERROR(INDEX(Products!$E$2:$E$500,MATCH(B6,Products!$A$2:$A$500,0)),"")</f>
        <v/>
      </c>
      <c r="E6" s="11">
        <f>IFERROR(C6*D6,"")</f>
        <v/>
      </c>
    </row>
    <row r="7">
      <c r="A7" s="12" t="n"/>
      <c r="B7" s="12" t="n"/>
      <c r="C7" s="12" t="n"/>
      <c r="D7" s="11">
        <f>IFERROR(INDEX(Products!$E$2:$E$500,MATCH(B7,Products!$A$2:$A$500,0)),"")</f>
        <v/>
      </c>
      <c r="E7" s="11">
        <f>IFERROR(C7*D7,"")</f>
        <v/>
      </c>
    </row>
    <row r="8">
      <c r="A8" s="12" t="n"/>
      <c r="B8" s="12" t="n"/>
      <c r="C8" s="12" t="n"/>
      <c r="D8" s="11">
        <f>IFERROR(INDEX(Products!$E$2:$E$500,MATCH(B8,Products!$A$2:$A$500,0)),"")</f>
        <v/>
      </c>
      <c r="E8" s="11">
        <f>IFERROR(C8*D8,"")</f>
        <v/>
      </c>
    </row>
    <row r="9">
      <c r="A9" s="12" t="n"/>
      <c r="B9" s="12" t="n"/>
      <c r="C9" s="12" t="n"/>
      <c r="D9" s="11">
        <f>IFERROR(INDEX(Products!$E$2:$E$500,MATCH(B9,Products!$A$2:$A$500,0)),"")</f>
        <v/>
      </c>
      <c r="E9" s="11">
        <f>IFERROR(C9*D9,"")</f>
        <v/>
      </c>
    </row>
    <row r="10">
      <c r="A10" s="12" t="n"/>
      <c r="B10" s="12" t="n"/>
      <c r="C10" s="12" t="n"/>
      <c r="D10" s="11">
        <f>IFERROR(INDEX(Products!$E$2:$E$500,MATCH(B10,Products!$A$2:$A$500,0)),"")</f>
        <v/>
      </c>
      <c r="E10" s="11">
        <f>IFERROR(C10*D10,"")</f>
        <v/>
      </c>
    </row>
    <row r="11">
      <c r="A11" s="12" t="n"/>
      <c r="B11" s="12" t="n"/>
      <c r="C11" s="12" t="n"/>
      <c r="D11" s="11">
        <f>IFERROR(INDEX(Products!$E$2:$E$500,MATCH(B11,Products!$A$2:$A$500,0)),"")</f>
        <v/>
      </c>
      <c r="E11" s="11">
        <f>IFERROR(C11*D11,"")</f>
        <v/>
      </c>
    </row>
    <row r="12">
      <c r="A12" s="12" t="n"/>
      <c r="B12" s="12" t="n"/>
      <c r="C12" s="12" t="n"/>
      <c r="D12" s="11">
        <f>IFERROR(INDEX(Products!$E$2:$E$500,MATCH(B12,Products!$A$2:$A$500,0)),"")</f>
        <v/>
      </c>
      <c r="E12" s="11">
        <f>IFERROR(C12*D12,"")</f>
        <v/>
      </c>
    </row>
    <row r="13">
      <c r="A13" s="12" t="n"/>
      <c r="B13" s="12" t="n"/>
      <c r="C13" s="12" t="n"/>
      <c r="D13" s="11">
        <f>IFERROR(INDEX(Products!$E$2:$E$500,MATCH(B13,Products!$A$2:$A$500,0)),"")</f>
        <v/>
      </c>
      <c r="E13" s="11">
        <f>IFERROR(C13*D13,"")</f>
        <v/>
      </c>
    </row>
    <row r="14">
      <c r="A14" s="12" t="n"/>
      <c r="B14" s="12" t="n"/>
      <c r="C14" s="12" t="n"/>
      <c r="D14" s="11">
        <f>IFERROR(INDEX(Products!$E$2:$E$500,MATCH(B14,Products!$A$2:$A$500,0)),"")</f>
        <v/>
      </c>
      <c r="E14" s="11">
        <f>IFERROR(C14*D14,"")</f>
        <v/>
      </c>
    </row>
    <row r="15">
      <c r="A15" s="12" t="n"/>
      <c r="B15" s="12" t="n"/>
      <c r="C15" s="12" t="n"/>
      <c r="D15" s="11">
        <f>IFERROR(INDEX(Products!$E$2:$E$500,MATCH(B15,Products!$A$2:$A$500,0)),"")</f>
        <v/>
      </c>
      <c r="E15" s="11">
        <f>IFERROR(C15*D15,"")</f>
        <v/>
      </c>
    </row>
    <row r="16">
      <c r="A16" s="12" t="n"/>
      <c r="B16" s="12" t="n"/>
      <c r="C16" s="12" t="n"/>
      <c r="D16" s="11">
        <f>IFERROR(INDEX(Products!$E$2:$E$500,MATCH(B16,Products!$A$2:$A$500,0)),"")</f>
        <v/>
      </c>
      <c r="E16" s="11">
        <f>IFERROR(C16*D16,"")</f>
        <v/>
      </c>
    </row>
    <row r="17">
      <c r="A17" s="12" t="n"/>
      <c r="B17" s="12" t="n"/>
      <c r="C17" s="12" t="n"/>
      <c r="D17" s="11">
        <f>IFERROR(INDEX(Products!$E$2:$E$500,MATCH(B17,Products!$A$2:$A$500,0)),"")</f>
        <v/>
      </c>
      <c r="E17" s="11">
        <f>IFERROR(C17*D17,"")</f>
        <v/>
      </c>
    </row>
    <row r="18">
      <c r="A18" s="12" t="n"/>
      <c r="B18" s="12" t="n"/>
      <c r="C18" s="12" t="n"/>
      <c r="D18" s="11">
        <f>IFERROR(INDEX(Products!$E$2:$E$500,MATCH(B18,Products!$A$2:$A$500,0)),"")</f>
        <v/>
      </c>
      <c r="E18" s="11">
        <f>IFERROR(C18*D18,"")</f>
        <v/>
      </c>
    </row>
    <row r="19">
      <c r="A19" s="12" t="n"/>
      <c r="B19" s="12" t="n"/>
      <c r="C19" s="12" t="n"/>
      <c r="D19" s="11">
        <f>IFERROR(INDEX(Products!$E$2:$E$500,MATCH(B19,Products!$A$2:$A$500,0)),"")</f>
        <v/>
      </c>
      <c r="E19" s="11">
        <f>IFERROR(C19*D19,"")</f>
        <v/>
      </c>
    </row>
    <row r="20">
      <c r="A20" s="12" t="n"/>
      <c r="B20" s="12" t="n"/>
      <c r="C20" s="12" t="n"/>
      <c r="D20" s="11">
        <f>IFERROR(INDEX(Products!$E$2:$E$500,MATCH(B20,Products!$A$2:$A$500,0)),"")</f>
        <v/>
      </c>
      <c r="E20" s="11">
        <f>IFERROR(C20*D20,"")</f>
        <v/>
      </c>
    </row>
    <row r="21">
      <c r="A21" s="12" t="n"/>
      <c r="B21" s="12" t="n"/>
      <c r="C21" s="12" t="n"/>
      <c r="D21" s="11">
        <f>IFERROR(INDEX(Products!$E$2:$E$500,MATCH(B21,Products!$A$2:$A$500,0)),"")</f>
        <v/>
      </c>
      <c r="E21" s="11">
        <f>IFERROR(C21*D21,"")</f>
        <v/>
      </c>
    </row>
    <row r="22">
      <c r="A22" s="12" t="n"/>
      <c r="B22" s="12" t="n"/>
      <c r="C22" s="12" t="n"/>
      <c r="D22" s="11">
        <f>IFERROR(INDEX(Products!$E$2:$E$500,MATCH(B22,Products!$A$2:$A$500,0)),"")</f>
        <v/>
      </c>
      <c r="E22" s="11">
        <f>IFERROR(C22*D22,"")</f>
        <v/>
      </c>
    </row>
    <row r="23">
      <c r="A23" s="12" t="n"/>
      <c r="B23" s="12" t="n"/>
      <c r="C23" s="12" t="n"/>
      <c r="D23" s="11">
        <f>IFERROR(INDEX(Products!$E$2:$E$500,MATCH(B23,Products!$A$2:$A$500,0)),"")</f>
        <v/>
      </c>
      <c r="E23" s="11">
        <f>IFERROR(C23*D23,"")</f>
        <v/>
      </c>
    </row>
    <row r="24">
      <c r="A24" s="12" t="n"/>
      <c r="B24" s="12" t="n"/>
      <c r="C24" s="12" t="n"/>
      <c r="D24" s="11">
        <f>IFERROR(INDEX(Products!$E$2:$E$500,MATCH(B24,Products!$A$2:$A$500,0)),"")</f>
        <v/>
      </c>
      <c r="E24" s="11">
        <f>IFERROR(C24*D24,"")</f>
        <v/>
      </c>
    </row>
    <row r="25">
      <c r="A25" s="12" t="n"/>
      <c r="B25" s="12" t="n"/>
      <c r="C25" s="12" t="n"/>
      <c r="D25" s="11">
        <f>IFERROR(INDEX(Products!$E$2:$E$500,MATCH(B25,Products!$A$2:$A$500,0)),"")</f>
        <v/>
      </c>
      <c r="E25" s="11">
        <f>IFERROR(C25*D25,"")</f>
        <v/>
      </c>
    </row>
    <row r="26">
      <c r="A26" s="12" t="n"/>
      <c r="B26" s="12" t="n"/>
      <c r="C26" s="12" t="n"/>
      <c r="D26" s="11">
        <f>IFERROR(INDEX(Products!$E$2:$E$500,MATCH(B26,Products!$A$2:$A$500,0)),"")</f>
        <v/>
      </c>
      <c r="E26" s="11">
        <f>IFERROR(C26*D26,"")</f>
        <v/>
      </c>
    </row>
    <row r="27">
      <c r="A27" s="12" t="n"/>
      <c r="B27" s="12" t="n"/>
      <c r="C27" s="12" t="n"/>
      <c r="D27" s="11">
        <f>IFERROR(INDEX(Products!$E$2:$E$500,MATCH(B27,Products!$A$2:$A$500,0)),"")</f>
        <v/>
      </c>
      <c r="E27" s="11">
        <f>IFERROR(C27*D27,"")</f>
        <v/>
      </c>
    </row>
    <row r="28">
      <c r="A28" s="12" t="n"/>
      <c r="B28" s="12" t="n"/>
      <c r="C28" s="12" t="n"/>
      <c r="D28" s="11">
        <f>IFERROR(INDEX(Products!$E$2:$E$500,MATCH(B28,Products!$A$2:$A$500,0)),"")</f>
        <v/>
      </c>
      <c r="E28" s="11">
        <f>IFERROR(C28*D28,"")</f>
        <v/>
      </c>
    </row>
    <row r="29">
      <c r="A29" s="12" t="n"/>
      <c r="B29" s="12" t="n"/>
      <c r="C29" s="12" t="n"/>
      <c r="D29" s="11">
        <f>IFERROR(INDEX(Products!$E$2:$E$500,MATCH(B29,Products!$A$2:$A$500,0)),"")</f>
        <v/>
      </c>
      <c r="E29" s="11">
        <f>IFERROR(C29*D29,"")</f>
        <v/>
      </c>
    </row>
    <row r="30">
      <c r="A30" s="12" t="n"/>
      <c r="B30" s="12" t="n"/>
      <c r="C30" s="12" t="n"/>
      <c r="D30" s="11">
        <f>IFERROR(INDEX(Products!$E$2:$E$500,MATCH(B30,Products!$A$2:$A$500,0)),"")</f>
        <v/>
      </c>
      <c r="E30" s="11">
        <f>IFERROR(C30*D30,"")</f>
        <v/>
      </c>
    </row>
    <row r="31">
      <c r="A31" s="12" t="n"/>
      <c r="B31" s="12" t="n"/>
      <c r="C31" s="12" t="n"/>
      <c r="D31" s="11">
        <f>IFERROR(INDEX(Products!$E$2:$E$500,MATCH(B31,Products!$A$2:$A$500,0)),"")</f>
        <v/>
      </c>
      <c r="E31" s="11">
        <f>IFERROR(C31*D31,"")</f>
        <v/>
      </c>
    </row>
    <row r="32">
      <c r="A32" s="12" t="n"/>
      <c r="B32" s="12" t="n"/>
      <c r="C32" s="12" t="n"/>
      <c r="D32" s="11">
        <f>IFERROR(INDEX(Products!$E$2:$E$500,MATCH(B32,Products!$A$2:$A$500,0)),"")</f>
        <v/>
      </c>
      <c r="E32" s="11">
        <f>IFERROR(C32*D32,"")</f>
        <v/>
      </c>
    </row>
    <row r="33">
      <c r="A33" s="12" t="n"/>
      <c r="B33" s="12" t="n"/>
      <c r="C33" s="12" t="n"/>
      <c r="D33" s="11">
        <f>IFERROR(INDEX(Products!$E$2:$E$500,MATCH(B33,Products!$A$2:$A$500,0)),"")</f>
        <v/>
      </c>
      <c r="E33" s="11">
        <f>IFERROR(C33*D33,"")</f>
        <v/>
      </c>
    </row>
    <row r="34">
      <c r="A34" s="12" t="n"/>
      <c r="B34" s="12" t="n"/>
      <c r="C34" s="12" t="n"/>
      <c r="D34" s="11">
        <f>IFERROR(INDEX(Products!$E$2:$E$500,MATCH(B34,Products!$A$2:$A$500,0)),"")</f>
        <v/>
      </c>
      <c r="E34" s="11">
        <f>IFERROR(C34*D34,"")</f>
        <v/>
      </c>
    </row>
    <row r="35">
      <c r="A35" s="12" t="n"/>
      <c r="B35" s="12" t="n"/>
      <c r="C35" s="12" t="n"/>
      <c r="D35" s="11">
        <f>IFERROR(INDEX(Products!$E$2:$E$500,MATCH(B35,Products!$A$2:$A$500,0)),"")</f>
        <v/>
      </c>
      <c r="E35" s="11">
        <f>IFERROR(C35*D35,"")</f>
        <v/>
      </c>
    </row>
    <row r="36">
      <c r="A36" s="12" t="n"/>
      <c r="B36" s="12" t="n"/>
      <c r="C36" s="12" t="n"/>
      <c r="D36" s="11">
        <f>IFERROR(INDEX(Products!$E$2:$E$500,MATCH(B36,Products!$A$2:$A$500,0)),"")</f>
        <v/>
      </c>
      <c r="E36" s="11">
        <f>IFERROR(C36*D36,"")</f>
        <v/>
      </c>
    </row>
    <row r="37">
      <c r="A37" s="12" t="n"/>
      <c r="B37" s="12" t="n"/>
      <c r="C37" s="12" t="n"/>
      <c r="D37" s="11">
        <f>IFERROR(INDEX(Products!$E$2:$E$500,MATCH(B37,Products!$A$2:$A$500,0)),"")</f>
        <v/>
      </c>
      <c r="E37" s="11">
        <f>IFERROR(C37*D37,"")</f>
        <v/>
      </c>
    </row>
    <row r="38">
      <c r="A38" s="12" t="n"/>
      <c r="B38" s="12" t="n"/>
      <c r="C38" s="12" t="n"/>
      <c r="D38" s="11">
        <f>IFERROR(INDEX(Products!$E$2:$E$500,MATCH(B38,Products!$A$2:$A$500,0)),"")</f>
        <v/>
      </c>
      <c r="E38" s="11">
        <f>IFERROR(C38*D38,"")</f>
        <v/>
      </c>
    </row>
    <row r="39">
      <c r="A39" s="12" t="n"/>
      <c r="B39" s="12" t="n"/>
      <c r="C39" s="12" t="n"/>
      <c r="D39" s="11">
        <f>IFERROR(INDEX(Products!$E$2:$E$500,MATCH(B39,Products!$A$2:$A$500,0)),"")</f>
        <v/>
      </c>
      <c r="E39" s="11">
        <f>IFERROR(C39*D39,"")</f>
        <v/>
      </c>
    </row>
    <row r="40">
      <c r="A40" s="12" t="n"/>
      <c r="B40" s="12" t="n"/>
      <c r="C40" s="12" t="n"/>
      <c r="D40" s="11">
        <f>IFERROR(INDEX(Products!$E$2:$E$500,MATCH(B40,Products!$A$2:$A$500,0)),"")</f>
        <v/>
      </c>
      <c r="E40" s="11">
        <f>IFERROR(C40*D40,"")</f>
        <v/>
      </c>
    </row>
    <row r="41">
      <c r="A41" s="12" t="n"/>
      <c r="B41" s="12" t="n"/>
      <c r="C41" s="12" t="n"/>
      <c r="D41" s="11">
        <f>IFERROR(INDEX(Products!$E$2:$E$500,MATCH(B41,Products!$A$2:$A$500,0)),"")</f>
        <v/>
      </c>
      <c r="E41" s="11">
        <f>IFERROR(C41*D41,"")</f>
        <v/>
      </c>
    </row>
    <row r="42">
      <c r="A42" s="12" t="n"/>
      <c r="B42" s="12" t="n"/>
      <c r="C42" s="12" t="n"/>
      <c r="D42" s="11">
        <f>IFERROR(INDEX(Products!$E$2:$E$500,MATCH(B42,Products!$A$2:$A$500,0)),"")</f>
        <v/>
      </c>
      <c r="E42" s="11">
        <f>IFERROR(C42*D42,"")</f>
        <v/>
      </c>
    </row>
    <row r="43">
      <c r="A43" s="12" t="n"/>
      <c r="B43" s="12" t="n"/>
      <c r="C43" s="12" t="n"/>
      <c r="D43" s="11">
        <f>IFERROR(INDEX(Products!$E$2:$E$500,MATCH(B43,Products!$A$2:$A$500,0)),"")</f>
        <v/>
      </c>
      <c r="E43" s="11">
        <f>IFERROR(C43*D43,"")</f>
        <v/>
      </c>
    </row>
    <row r="44">
      <c r="A44" s="12" t="n"/>
      <c r="B44" s="12" t="n"/>
      <c r="C44" s="12" t="n"/>
      <c r="D44" s="11">
        <f>IFERROR(INDEX(Products!$E$2:$E$500,MATCH(B44,Products!$A$2:$A$500,0)),"")</f>
        <v/>
      </c>
      <c r="E44" s="11">
        <f>IFERROR(C44*D44,"")</f>
        <v/>
      </c>
    </row>
    <row r="45">
      <c r="A45" s="12" t="n"/>
      <c r="B45" s="12" t="n"/>
      <c r="C45" s="12" t="n"/>
      <c r="D45" s="11">
        <f>IFERROR(INDEX(Products!$E$2:$E$500,MATCH(B45,Products!$A$2:$A$500,0)),"")</f>
        <v/>
      </c>
      <c r="E45" s="11">
        <f>IFERROR(C45*D45,"")</f>
        <v/>
      </c>
    </row>
    <row r="46">
      <c r="A46" s="12" t="n"/>
      <c r="B46" s="12" t="n"/>
      <c r="C46" s="12" t="n"/>
      <c r="D46" s="11">
        <f>IFERROR(INDEX(Products!$E$2:$E$500,MATCH(B46,Products!$A$2:$A$500,0)),"")</f>
        <v/>
      </c>
      <c r="E46" s="11">
        <f>IFERROR(C46*D46,"")</f>
        <v/>
      </c>
    </row>
    <row r="47">
      <c r="A47" s="12" t="n"/>
      <c r="B47" s="12" t="n"/>
      <c r="C47" s="12" t="n"/>
      <c r="D47" s="11">
        <f>IFERROR(INDEX(Products!$E$2:$E$500,MATCH(B47,Products!$A$2:$A$500,0)),"")</f>
        <v/>
      </c>
      <c r="E47" s="11">
        <f>IFERROR(C47*D47,"")</f>
        <v/>
      </c>
    </row>
    <row r="48">
      <c r="A48" s="12" t="n"/>
      <c r="B48" s="12" t="n"/>
      <c r="C48" s="12" t="n"/>
      <c r="D48" s="11">
        <f>IFERROR(INDEX(Products!$E$2:$E$500,MATCH(B48,Products!$A$2:$A$500,0)),"")</f>
        <v/>
      </c>
      <c r="E48" s="11">
        <f>IFERROR(C48*D48,"")</f>
        <v/>
      </c>
    </row>
    <row r="49">
      <c r="A49" s="12" t="n"/>
      <c r="B49" s="12" t="n"/>
      <c r="C49" s="12" t="n"/>
      <c r="D49" s="11">
        <f>IFERROR(INDEX(Products!$E$2:$E$500,MATCH(B49,Products!$A$2:$A$500,0)),"")</f>
        <v/>
      </c>
      <c r="E49" s="11">
        <f>IFERROR(C49*D49,"")</f>
        <v/>
      </c>
    </row>
    <row r="50">
      <c r="A50" s="12" t="n"/>
      <c r="B50" s="12" t="n"/>
      <c r="C50" s="12" t="n"/>
      <c r="D50" s="11">
        <f>IFERROR(INDEX(Products!$E$2:$E$500,MATCH(B50,Products!$A$2:$A$500,0)),"")</f>
        <v/>
      </c>
      <c r="E50" s="11">
        <f>IFERROR(C50*D50,"")</f>
        <v/>
      </c>
    </row>
    <row r="51">
      <c r="A51" s="12" t="n"/>
      <c r="B51" s="12" t="n"/>
      <c r="C51" s="12" t="n"/>
      <c r="D51" s="11">
        <f>IFERROR(INDEX(Products!$E$2:$E$500,MATCH(B51,Products!$A$2:$A$500,0)),"")</f>
        <v/>
      </c>
      <c r="E51" s="11">
        <f>IFERROR(C51*D51,"")</f>
        <v/>
      </c>
    </row>
    <row r="52">
      <c r="A52" s="12" t="n"/>
      <c r="B52" s="12" t="n"/>
      <c r="C52" s="12" t="n"/>
      <c r="D52" s="11">
        <f>IFERROR(INDEX(Products!$E$2:$E$500,MATCH(B52,Products!$A$2:$A$500,0)),"")</f>
        <v/>
      </c>
      <c r="E52" s="11">
        <f>IFERROR(C52*D52,"")</f>
        <v/>
      </c>
    </row>
    <row r="53">
      <c r="A53" s="12" t="n"/>
      <c r="B53" s="12" t="n"/>
      <c r="C53" s="12" t="n"/>
      <c r="D53" s="11">
        <f>IFERROR(INDEX(Products!$E$2:$E$500,MATCH(B53,Products!$A$2:$A$500,0)),"")</f>
        <v/>
      </c>
      <c r="E53" s="11">
        <f>IFERROR(C53*D53,"")</f>
        <v/>
      </c>
    </row>
    <row r="54">
      <c r="A54" s="12" t="n"/>
      <c r="B54" s="12" t="n"/>
      <c r="C54" s="12" t="n"/>
      <c r="D54" s="11">
        <f>IFERROR(INDEX(Products!$E$2:$E$500,MATCH(B54,Products!$A$2:$A$500,0)),"")</f>
        <v/>
      </c>
      <c r="E54" s="11">
        <f>IFERROR(C54*D54,"")</f>
        <v/>
      </c>
    </row>
    <row r="55">
      <c r="A55" s="12" t="n"/>
      <c r="B55" s="12" t="n"/>
      <c r="C55" s="12" t="n"/>
      <c r="D55" s="11">
        <f>IFERROR(INDEX(Products!$E$2:$E$500,MATCH(B55,Products!$A$2:$A$500,0)),"")</f>
        <v/>
      </c>
      <c r="E55" s="11">
        <f>IFERROR(C55*D55,"")</f>
        <v/>
      </c>
    </row>
    <row r="56">
      <c r="A56" s="12" t="n"/>
      <c r="B56" s="12" t="n"/>
      <c r="C56" s="12" t="n"/>
      <c r="D56" s="11">
        <f>IFERROR(INDEX(Products!$E$2:$E$500,MATCH(B56,Products!$A$2:$A$500,0)),"")</f>
        <v/>
      </c>
      <c r="E56" s="11">
        <f>IFERROR(C56*D56,"")</f>
        <v/>
      </c>
    </row>
    <row r="57">
      <c r="A57" s="12" t="n"/>
      <c r="B57" s="12" t="n"/>
      <c r="C57" s="12" t="n"/>
      <c r="D57" s="11">
        <f>IFERROR(INDEX(Products!$E$2:$E$500,MATCH(B57,Products!$A$2:$A$500,0)),"")</f>
        <v/>
      </c>
      <c r="E57" s="11">
        <f>IFERROR(C57*D57,"")</f>
        <v/>
      </c>
    </row>
    <row r="58">
      <c r="A58" s="12" t="n"/>
      <c r="B58" s="12" t="n"/>
      <c r="C58" s="12" t="n"/>
      <c r="D58" s="11">
        <f>IFERROR(INDEX(Products!$E$2:$E$500,MATCH(B58,Products!$A$2:$A$500,0)),"")</f>
        <v/>
      </c>
      <c r="E58" s="11">
        <f>IFERROR(C58*D58,"")</f>
        <v/>
      </c>
    </row>
    <row r="59">
      <c r="A59" s="12" t="n"/>
      <c r="B59" s="12" t="n"/>
      <c r="C59" s="12" t="n"/>
      <c r="D59" s="11">
        <f>IFERROR(INDEX(Products!$E$2:$E$500,MATCH(B59,Products!$A$2:$A$500,0)),"")</f>
        <v/>
      </c>
      <c r="E59" s="11">
        <f>IFERROR(C59*D59,"")</f>
        <v/>
      </c>
    </row>
    <row r="60">
      <c r="A60" s="12" t="n"/>
      <c r="B60" s="12" t="n"/>
      <c r="C60" s="12" t="n"/>
      <c r="D60" s="11">
        <f>IFERROR(INDEX(Products!$E$2:$E$500,MATCH(B60,Products!$A$2:$A$500,0)),"")</f>
        <v/>
      </c>
      <c r="E60" s="11">
        <f>IFERROR(C60*D60,"")</f>
        <v/>
      </c>
    </row>
    <row r="61">
      <c r="A61" s="12" t="n"/>
      <c r="B61" s="12" t="n"/>
      <c r="C61" s="12" t="n"/>
      <c r="D61" s="11">
        <f>IFERROR(INDEX(Products!$E$2:$E$500,MATCH(B61,Products!$A$2:$A$500,0)),"")</f>
        <v/>
      </c>
      <c r="E61" s="11">
        <f>IFERROR(C61*D61,"")</f>
        <v/>
      </c>
    </row>
    <row r="62">
      <c r="A62" s="12" t="n"/>
      <c r="B62" s="12" t="n"/>
      <c r="C62" s="12" t="n"/>
      <c r="D62" s="11">
        <f>IFERROR(INDEX(Products!$E$2:$E$500,MATCH(B62,Products!$A$2:$A$500,0)),"")</f>
        <v/>
      </c>
      <c r="E62" s="11">
        <f>IFERROR(C62*D62,"")</f>
        <v/>
      </c>
    </row>
    <row r="63">
      <c r="A63" s="12" t="n"/>
      <c r="B63" s="12" t="n"/>
      <c r="C63" s="12" t="n"/>
      <c r="D63" s="11">
        <f>IFERROR(INDEX(Products!$E$2:$E$500,MATCH(B63,Products!$A$2:$A$500,0)),"")</f>
        <v/>
      </c>
      <c r="E63" s="11">
        <f>IFERROR(C63*D63,"")</f>
        <v/>
      </c>
    </row>
    <row r="64">
      <c r="A64" s="12" t="n"/>
      <c r="B64" s="12" t="n"/>
      <c r="C64" s="12" t="n"/>
      <c r="D64" s="11">
        <f>IFERROR(INDEX(Products!$E$2:$E$500,MATCH(B64,Products!$A$2:$A$500,0)),"")</f>
        <v/>
      </c>
      <c r="E64" s="11">
        <f>IFERROR(C64*D64,"")</f>
        <v/>
      </c>
    </row>
    <row r="65">
      <c r="A65" s="12" t="n"/>
      <c r="B65" s="12" t="n"/>
      <c r="C65" s="12" t="n"/>
      <c r="D65" s="11">
        <f>IFERROR(INDEX(Products!$E$2:$E$500,MATCH(B65,Products!$A$2:$A$500,0)),"")</f>
        <v/>
      </c>
      <c r="E65" s="11">
        <f>IFERROR(C65*D65,"")</f>
        <v/>
      </c>
    </row>
    <row r="66">
      <c r="A66" s="12" t="n"/>
      <c r="B66" s="12" t="n"/>
      <c r="C66" s="12" t="n"/>
      <c r="D66" s="11">
        <f>IFERROR(INDEX(Products!$E$2:$E$500,MATCH(B66,Products!$A$2:$A$500,0)),"")</f>
        <v/>
      </c>
      <c r="E66" s="11">
        <f>IFERROR(C66*D66,"")</f>
        <v/>
      </c>
    </row>
    <row r="67">
      <c r="A67" s="12" t="n"/>
      <c r="B67" s="12" t="n"/>
      <c r="C67" s="12" t="n"/>
      <c r="D67" s="11">
        <f>IFERROR(INDEX(Products!$E$2:$E$500,MATCH(B67,Products!$A$2:$A$500,0)),"")</f>
        <v/>
      </c>
      <c r="E67" s="11">
        <f>IFERROR(C67*D67,"")</f>
        <v/>
      </c>
    </row>
    <row r="68">
      <c r="A68" s="12" t="n"/>
      <c r="B68" s="12" t="n"/>
      <c r="C68" s="12" t="n"/>
      <c r="D68" s="11">
        <f>IFERROR(INDEX(Products!$E$2:$E$500,MATCH(B68,Products!$A$2:$A$500,0)),"")</f>
        <v/>
      </c>
      <c r="E68" s="11">
        <f>IFERROR(C68*D68,"")</f>
        <v/>
      </c>
    </row>
    <row r="69">
      <c r="A69" s="12" t="n"/>
      <c r="B69" s="12" t="n"/>
      <c r="C69" s="12" t="n"/>
      <c r="D69" s="11">
        <f>IFERROR(INDEX(Products!$E$2:$E$500,MATCH(B69,Products!$A$2:$A$500,0)),"")</f>
        <v/>
      </c>
      <c r="E69" s="11">
        <f>IFERROR(C69*D69,"")</f>
        <v/>
      </c>
    </row>
    <row r="70">
      <c r="A70" s="12" t="n"/>
      <c r="B70" s="12" t="n"/>
      <c r="C70" s="12" t="n"/>
      <c r="D70" s="11">
        <f>IFERROR(INDEX(Products!$E$2:$E$500,MATCH(B70,Products!$A$2:$A$500,0)),"")</f>
        <v/>
      </c>
      <c r="E70" s="11">
        <f>IFERROR(C70*D70,"")</f>
        <v/>
      </c>
    </row>
    <row r="71">
      <c r="A71" s="12" t="n"/>
      <c r="B71" s="12" t="n"/>
      <c r="C71" s="12" t="n"/>
      <c r="D71" s="11">
        <f>IFERROR(INDEX(Products!$E$2:$E$500,MATCH(B71,Products!$A$2:$A$500,0)),"")</f>
        <v/>
      </c>
      <c r="E71" s="11">
        <f>IFERROR(C71*D71,"")</f>
        <v/>
      </c>
    </row>
    <row r="72">
      <c r="A72" s="12" t="n"/>
      <c r="B72" s="12" t="n"/>
      <c r="C72" s="12" t="n"/>
      <c r="D72" s="11">
        <f>IFERROR(INDEX(Products!$E$2:$E$500,MATCH(B72,Products!$A$2:$A$500,0)),"")</f>
        <v/>
      </c>
      <c r="E72" s="11">
        <f>IFERROR(C72*D72,"")</f>
        <v/>
      </c>
    </row>
    <row r="73">
      <c r="A73" s="12" t="n"/>
      <c r="B73" s="12" t="n"/>
      <c r="C73" s="12" t="n"/>
      <c r="D73" s="11">
        <f>IFERROR(INDEX(Products!$E$2:$E$500,MATCH(B73,Products!$A$2:$A$500,0)),"")</f>
        <v/>
      </c>
      <c r="E73" s="11">
        <f>IFERROR(C73*D73,"")</f>
        <v/>
      </c>
    </row>
    <row r="74">
      <c r="A74" s="12" t="n"/>
      <c r="B74" s="12" t="n"/>
      <c r="C74" s="12" t="n"/>
      <c r="D74" s="11">
        <f>IFERROR(INDEX(Products!$E$2:$E$500,MATCH(B74,Products!$A$2:$A$500,0)),"")</f>
        <v/>
      </c>
      <c r="E74" s="11">
        <f>IFERROR(C74*D74,"")</f>
        <v/>
      </c>
    </row>
    <row r="75">
      <c r="A75" s="12" t="n"/>
      <c r="B75" s="12" t="n"/>
      <c r="C75" s="12" t="n"/>
      <c r="D75" s="11">
        <f>IFERROR(INDEX(Products!$E$2:$E$500,MATCH(B75,Products!$A$2:$A$500,0)),"")</f>
        <v/>
      </c>
      <c r="E75" s="11">
        <f>IFERROR(C75*D75,"")</f>
        <v/>
      </c>
    </row>
    <row r="76">
      <c r="A76" s="12" t="n"/>
      <c r="B76" s="12" t="n"/>
      <c r="C76" s="12" t="n"/>
      <c r="D76" s="11">
        <f>IFERROR(INDEX(Products!$E$2:$E$500,MATCH(B76,Products!$A$2:$A$500,0)),"")</f>
        <v/>
      </c>
      <c r="E76" s="11">
        <f>IFERROR(C76*D76,"")</f>
        <v/>
      </c>
    </row>
    <row r="77">
      <c r="A77" s="12" t="n"/>
      <c r="B77" s="12" t="n"/>
      <c r="C77" s="12" t="n"/>
      <c r="D77" s="11">
        <f>IFERROR(INDEX(Products!$E$2:$E$500,MATCH(B77,Products!$A$2:$A$500,0)),"")</f>
        <v/>
      </c>
      <c r="E77" s="11">
        <f>IFERROR(C77*D77,"")</f>
        <v/>
      </c>
    </row>
    <row r="78">
      <c r="A78" s="12" t="n"/>
      <c r="B78" s="12" t="n"/>
      <c r="C78" s="12" t="n"/>
      <c r="D78" s="11">
        <f>IFERROR(INDEX(Products!$E$2:$E$500,MATCH(B78,Products!$A$2:$A$500,0)),"")</f>
        <v/>
      </c>
      <c r="E78" s="11">
        <f>IFERROR(C78*D78,"")</f>
        <v/>
      </c>
    </row>
    <row r="79">
      <c r="A79" s="12" t="n"/>
      <c r="B79" s="12" t="n"/>
      <c r="C79" s="12" t="n"/>
      <c r="D79" s="11">
        <f>IFERROR(INDEX(Products!$E$2:$E$500,MATCH(B79,Products!$A$2:$A$500,0)),"")</f>
        <v/>
      </c>
      <c r="E79" s="11">
        <f>IFERROR(C79*D79,"")</f>
        <v/>
      </c>
    </row>
    <row r="80">
      <c r="A80" s="12" t="n"/>
      <c r="B80" s="12" t="n"/>
      <c r="C80" s="12" t="n"/>
      <c r="D80" s="11">
        <f>IFERROR(INDEX(Products!$E$2:$E$500,MATCH(B80,Products!$A$2:$A$500,0)),"")</f>
        <v/>
      </c>
      <c r="E80" s="11">
        <f>IFERROR(C80*D80,"")</f>
        <v/>
      </c>
    </row>
    <row r="81">
      <c r="A81" s="12" t="n"/>
      <c r="B81" s="12" t="n"/>
      <c r="C81" s="12" t="n"/>
      <c r="D81" s="11">
        <f>IFERROR(INDEX(Products!$E$2:$E$500,MATCH(B81,Products!$A$2:$A$500,0)),"")</f>
        <v/>
      </c>
      <c r="E81" s="11">
        <f>IFERROR(C81*D81,"")</f>
        <v/>
      </c>
    </row>
    <row r="82">
      <c r="A82" s="12" t="n"/>
      <c r="B82" s="12" t="n"/>
      <c r="C82" s="12" t="n"/>
      <c r="D82" s="11">
        <f>IFERROR(INDEX(Products!$E$2:$E$500,MATCH(B82,Products!$A$2:$A$500,0)),"")</f>
        <v/>
      </c>
      <c r="E82" s="11">
        <f>IFERROR(C82*D82,"")</f>
        <v/>
      </c>
    </row>
    <row r="83">
      <c r="A83" s="12" t="n"/>
      <c r="B83" s="12" t="n"/>
      <c r="C83" s="12" t="n"/>
      <c r="D83" s="11">
        <f>IFERROR(INDEX(Products!$E$2:$E$500,MATCH(B83,Products!$A$2:$A$500,0)),"")</f>
        <v/>
      </c>
      <c r="E83" s="11">
        <f>IFERROR(C83*D83,"")</f>
        <v/>
      </c>
    </row>
    <row r="84">
      <c r="A84" s="12" t="n"/>
      <c r="B84" s="12" t="n"/>
      <c r="C84" s="12" t="n"/>
      <c r="D84" s="11">
        <f>IFERROR(INDEX(Products!$E$2:$E$500,MATCH(B84,Products!$A$2:$A$500,0)),"")</f>
        <v/>
      </c>
      <c r="E84" s="11">
        <f>IFERROR(C84*D84,"")</f>
        <v/>
      </c>
    </row>
    <row r="85">
      <c r="A85" s="12" t="n"/>
      <c r="B85" s="12" t="n"/>
      <c r="C85" s="12" t="n"/>
      <c r="D85" s="11">
        <f>IFERROR(INDEX(Products!$E$2:$E$500,MATCH(B85,Products!$A$2:$A$500,0)),"")</f>
        <v/>
      </c>
      <c r="E85" s="11">
        <f>IFERROR(C85*D85,"")</f>
        <v/>
      </c>
    </row>
    <row r="86">
      <c r="A86" s="12" t="n"/>
      <c r="B86" s="12" t="n"/>
      <c r="C86" s="12" t="n"/>
      <c r="D86" s="11">
        <f>IFERROR(INDEX(Products!$E$2:$E$500,MATCH(B86,Products!$A$2:$A$500,0)),"")</f>
        <v/>
      </c>
      <c r="E86" s="11">
        <f>IFERROR(C86*D86,"")</f>
        <v/>
      </c>
    </row>
    <row r="87">
      <c r="A87" s="12" t="n"/>
      <c r="B87" s="12" t="n"/>
      <c r="C87" s="12" t="n"/>
      <c r="D87" s="11">
        <f>IFERROR(INDEX(Products!$E$2:$E$500,MATCH(B87,Products!$A$2:$A$500,0)),"")</f>
        <v/>
      </c>
      <c r="E87" s="11">
        <f>IFERROR(C87*D87,"")</f>
        <v/>
      </c>
    </row>
    <row r="88">
      <c r="A88" s="12" t="n"/>
      <c r="B88" s="12" t="n"/>
      <c r="C88" s="12" t="n"/>
      <c r="D88" s="11">
        <f>IFERROR(INDEX(Products!$E$2:$E$500,MATCH(B88,Products!$A$2:$A$500,0)),"")</f>
        <v/>
      </c>
      <c r="E88" s="11">
        <f>IFERROR(C88*D88,"")</f>
        <v/>
      </c>
    </row>
    <row r="89">
      <c r="A89" s="12" t="n"/>
      <c r="B89" s="12" t="n"/>
      <c r="C89" s="12" t="n"/>
      <c r="D89" s="11">
        <f>IFERROR(INDEX(Products!$E$2:$E$500,MATCH(B89,Products!$A$2:$A$500,0)),"")</f>
        <v/>
      </c>
      <c r="E89" s="11">
        <f>IFERROR(C89*D89,"")</f>
        <v/>
      </c>
    </row>
    <row r="90">
      <c r="A90" s="12" t="n"/>
      <c r="B90" s="12" t="n"/>
      <c r="C90" s="12" t="n"/>
      <c r="D90" s="11">
        <f>IFERROR(INDEX(Products!$E$2:$E$500,MATCH(B90,Products!$A$2:$A$500,0)),"")</f>
        <v/>
      </c>
      <c r="E90" s="11">
        <f>IFERROR(C90*D90,"")</f>
        <v/>
      </c>
    </row>
    <row r="91">
      <c r="A91" s="12" t="n"/>
      <c r="B91" s="12" t="n"/>
      <c r="C91" s="12" t="n"/>
      <c r="D91" s="11">
        <f>IFERROR(INDEX(Products!$E$2:$E$500,MATCH(B91,Products!$A$2:$A$500,0)),"")</f>
        <v/>
      </c>
      <c r="E91" s="11">
        <f>IFERROR(C91*D91,"")</f>
        <v/>
      </c>
    </row>
    <row r="92">
      <c r="A92" s="12" t="n"/>
      <c r="B92" s="12" t="n"/>
      <c r="C92" s="12" t="n"/>
      <c r="D92" s="11">
        <f>IFERROR(INDEX(Products!$E$2:$E$500,MATCH(B92,Products!$A$2:$A$500,0)),"")</f>
        <v/>
      </c>
      <c r="E92" s="11">
        <f>IFERROR(C92*D92,"")</f>
        <v/>
      </c>
    </row>
    <row r="93">
      <c r="A93" s="12" t="n"/>
      <c r="B93" s="12" t="n"/>
      <c r="C93" s="12" t="n"/>
      <c r="D93" s="11">
        <f>IFERROR(INDEX(Products!$E$2:$E$500,MATCH(B93,Products!$A$2:$A$500,0)),"")</f>
        <v/>
      </c>
      <c r="E93" s="11">
        <f>IFERROR(C93*D93,"")</f>
        <v/>
      </c>
    </row>
    <row r="94">
      <c r="A94" s="12" t="n"/>
      <c r="B94" s="12" t="n"/>
      <c r="C94" s="12" t="n"/>
      <c r="D94" s="11">
        <f>IFERROR(INDEX(Products!$E$2:$E$500,MATCH(B94,Products!$A$2:$A$500,0)),"")</f>
        <v/>
      </c>
      <c r="E94" s="11">
        <f>IFERROR(C94*D94,"")</f>
        <v/>
      </c>
    </row>
    <row r="95">
      <c r="A95" s="12" t="n"/>
      <c r="B95" s="12" t="n"/>
      <c r="C95" s="12" t="n"/>
      <c r="D95" s="11">
        <f>IFERROR(INDEX(Products!$E$2:$E$500,MATCH(B95,Products!$A$2:$A$500,0)),"")</f>
        <v/>
      </c>
      <c r="E95" s="11">
        <f>IFERROR(C95*D95,"")</f>
        <v/>
      </c>
    </row>
    <row r="96">
      <c r="A96" s="12" t="n"/>
      <c r="B96" s="12" t="n"/>
      <c r="C96" s="12" t="n"/>
      <c r="D96" s="11">
        <f>IFERROR(INDEX(Products!$E$2:$E$500,MATCH(B96,Products!$A$2:$A$500,0)),"")</f>
        <v/>
      </c>
      <c r="E96" s="11">
        <f>IFERROR(C96*D96,"")</f>
        <v/>
      </c>
    </row>
    <row r="97">
      <c r="A97" s="12" t="n"/>
      <c r="B97" s="12" t="n"/>
      <c r="C97" s="12" t="n"/>
      <c r="D97" s="11">
        <f>IFERROR(INDEX(Products!$E$2:$E$500,MATCH(B97,Products!$A$2:$A$500,0)),"")</f>
        <v/>
      </c>
      <c r="E97" s="11">
        <f>IFERROR(C97*D97,"")</f>
        <v/>
      </c>
    </row>
    <row r="98">
      <c r="A98" s="12" t="n"/>
      <c r="B98" s="12" t="n"/>
      <c r="C98" s="12" t="n"/>
      <c r="D98" s="11">
        <f>IFERROR(INDEX(Products!$E$2:$E$500,MATCH(B98,Products!$A$2:$A$500,0)),"")</f>
        <v/>
      </c>
      <c r="E98" s="11">
        <f>IFERROR(C98*D98,"")</f>
        <v/>
      </c>
    </row>
    <row r="99">
      <c r="A99" s="12" t="n"/>
      <c r="B99" s="12" t="n"/>
      <c r="C99" s="12" t="n"/>
      <c r="D99" s="11">
        <f>IFERROR(INDEX(Products!$E$2:$E$500,MATCH(B99,Products!$A$2:$A$500,0)),"")</f>
        <v/>
      </c>
      <c r="E99" s="11">
        <f>IFERROR(C99*D99,"")</f>
        <v/>
      </c>
    </row>
    <row r="100">
      <c r="A100" s="12" t="n"/>
      <c r="B100" s="12" t="n"/>
      <c r="C100" s="12" t="n"/>
      <c r="D100" s="11">
        <f>IFERROR(INDEX(Products!$E$2:$E$500,MATCH(B100,Products!$A$2:$A$500,0)),"")</f>
        <v/>
      </c>
      <c r="E100" s="11">
        <f>IFERROR(C100*D100,"")</f>
        <v/>
      </c>
    </row>
    <row r="101">
      <c r="A101" s="12" t="n"/>
      <c r="B101" s="12" t="n"/>
      <c r="C101" s="12" t="n"/>
      <c r="D101" s="11">
        <f>IFERROR(INDEX(Products!$E$2:$E$500,MATCH(B101,Products!$A$2:$A$500,0)),"")</f>
        <v/>
      </c>
      <c r="E101" s="11">
        <f>IFERROR(C101*D101,"")</f>
        <v/>
      </c>
    </row>
    <row r="102">
      <c r="A102" s="12" t="n"/>
      <c r="B102" s="12" t="n"/>
      <c r="C102" s="12" t="n"/>
      <c r="D102" s="11">
        <f>IFERROR(INDEX(Products!$E$2:$E$500,MATCH(B102,Products!$A$2:$A$500,0)),"")</f>
        <v/>
      </c>
      <c r="E102" s="11">
        <f>IFERROR(C102*D102,"")</f>
        <v/>
      </c>
    </row>
    <row r="103">
      <c r="A103" s="12" t="n"/>
      <c r="B103" s="12" t="n"/>
      <c r="C103" s="12" t="n"/>
      <c r="D103" s="11">
        <f>IFERROR(INDEX(Products!$E$2:$E$500,MATCH(B103,Products!$A$2:$A$500,0)),"")</f>
        <v/>
      </c>
      <c r="E103" s="11">
        <f>IFERROR(C103*D103,"")</f>
        <v/>
      </c>
    </row>
    <row r="104">
      <c r="A104" s="12" t="n"/>
      <c r="B104" s="12" t="n"/>
      <c r="C104" s="12" t="n"/>
      <c r="D104" s="11">
        <f>IFERROR(INDEX(Products!$E$2:$E$500,MATCH(B104,Products!$A$2:$A$500,0)),"")</f>
        <v/>
      </c>
      <c r="E104" s="11">
        <f>IFERROR(C104*D104,"")</f>
        <v/>
      </c>
    </row>
    <row r="105">
      <c r="A105" s="12" t="n"/>
      <c r="B105" s="12" t="n"/>
      <c r="C105" s="12" t="n"/>
      <c r="D105" s="11">
        <f>IFERROR(INDEX(Products!$E$2:$E$500,MATCH(B105,Products!$A$2:$A$500,0)),"")</f>
        <v/>
      </c>
      <c r="E105" s="11">
        <f>IFERROR(C105*D105,"")</f>
        <v/>
      </c>
    </row>
    <row r="106">
      <c r="A106" s="12" t="n"/>
      <c r="B106" s="12" t="n"/>
      <c r="C106" s="12" t="n"/>
      <c r="D106" s="11">
        <f>IFERROR(INDEX(Products!$E$2:$E$500,MATCH(B106,Products!$A$2:$A$500,0)),"")</f>
        <v/>
      </c>
      <c r="E106" s="11">
        <f>IFERROR(C106*D106,"")</f>
        <v/>
      </c>
    </row>
    <row r="107">
      <c r="A107" s="12" t="n"/>
      <c r="B107" s="12" t="n"/>
      <c r="C107" s="12" t="n"/>
      <c r="D107" s="11">
        <f>IFERROR(INDEX(Products!$E$2:$E$500,MATCH(B107,Products!$A$2:$A$500,0)),"")</f>
        <v/>
      </c>
      <c r="E107" s="11">
        <f>IFERROR(C107*D107,"")</f>
        <v/>
      </c>
    </row>
    <row r="108">
      <c r="A108" s="12" t="n"/>
      <c r="B108" s="12" t="n"/>
      <c r="C108" s="12" t="n"/>
      <c r="D108" s="11">
        <f>IFERROR(INDEX(Products!$E$2:$E$500,MATCH(B108,Products!$A$2:$A$500,0)),"")</f>
        <v/>
      </c>
      <c r="E108" s="11">
        <f>IFERROR(C108*D108,"")</f>
        <v/>
      </c>
    </row>
    <row r="109">
      <c r="A109" s="12" t="n"/>
      <c r="B109" s="12" t="n"/>
      <c r="C109" s="12" t="n"/>
      <c r="D109" s="11">
        <f>IFERROR(INDEX(Products!$E$2:$E$500,MATCH(B109,Products!$A$2:$A$500,0)),"")</f>
        <v/>
      </c>
      <c r="E109" s="11">
        <f>IFERROR(C109*D109,"")</f>
        <v/>
      </c>
    </row>
    <row r="110">
      <c r="A110" s="12" t="n"/>
      <c r="B110" s="12" t="n"/>
      <c r="C110" s="12" t="n"/>
      <c r="D110" s="11">
        <f>IFERROR(INDEX(Products!$E$2:$E$500,MATCH(B110,Products!$A$2:$A$500,0)),"")</f>
        <v/>
      </c>
      <c r="E110" s="11">
        <f>IFERROR(C110*D110,"")</f>
        <v/>
      </c>
    </row>
    <row r="111">
      <c r="A111" s="12" t="n"/>
      <c r="B111" s="12" t="n"/>
      <c r="C111" s="12" t="n"/>
      <c r="D111" s="11">
        <f>IFERROR(INDEX(Products!$E$2:$E$500,MATCH(B111,Products!$A$2:$A$500,0)),"")</f>
        <v/>
      </c>
      <c r="E111" s="11">
        <f>IFERROR(C111*D111,"")</f>
        <v/>
      </c>
    </row>
    <row r="112">
      <c r="A112" s="12" t="n"/>
      <c r="B112" s="12" t="n"/>
      <c r="C112" s="12" t="n"/>
      <c r="D112" s="11">
        <f>IFERROR(INDEX(Products!$E$2:$E$500,MATCH(B112,Products!$A$2:$A$500,0)),"")</f>
        <v/>
      </c>
      <c r="E112" s="11">
        <f>IFERROR(C112*D112,"")</f>
        <v/>
      </c>
    </row>
    <row r="113">
      <c r="A113" s="12" t="n"/>
      <c r="B113" s="12" t="n"/>
      <c r="C113" s="12" t="n"/>
      <c r="D113" s="11">
        <f>IFERROR(INDEX(Products!$E$2:$E$500,MATCH(B113,Products!$A$2:$A$500,0)),"")</f>
        <v/>
      </c>
      <c r="E113" s="11">
        <f>IFERROR(C113*D113,"")</f>
        <v/>
      </c>
    </row>
    <row r="114">
      <c r="A114" s="12" t="n"/>
      <c r="B114" s="12" t="n"/>
      <c r="C114" s="12" t="n"/>
      <c r="D114" s="11">
        <f>IFERROR(INDEX(Products!$E$2:$E$500,MATCH(B114,Products!$A$2:$A$500,0)),"")</f>
        <v/>
      </c>
      <c r="E114" s="11">
        <f>IFERROR(C114*D114,"")</f>
        <v/>
      </c>
    </row>
    <row r="115">
      <c r="A115" s="12" t="n"/>
      <c r="B115" s="12" t="n"/>
      <c r="C115" s="12" t="n"/>
      <c r="D115" s="11">
        <f>IFERROR(INDEX(Products!$E$2:$E$500,MATCH(B115,Products!$A$2:$A$500,0)),"")</f>
        <v/>
      </c>
      <c r="E115" s="11">
        <f>IFERROR(C115*D115,"")</f>
        <v/>
      </c>
    </row>
    <row r="116">
      <c r="A116" s="12" t="n"/>
      <c r="B116" s="12" t="n"/>
      <c r="C116" s="12" t="n"/>
      <c r="D116" s="11">
        <f>IFERROR(INDEX(Products!$E$2:$E$500,MATCH(B116,Products!$A$2:$A$500,0)),"")</f>
        <v/>
      </c>
      <c r="E116" s="11">
        <f>IFERROR(C116*D116,"")</f>
        <v/>
      </c>
    </row>
    <row r="117">
      <c r="A117" s="12" t="n"/>
      <c r="B117" s="12" t="n"/>
      <c r="C117" s="12" t="n"/>
      <c r="D117" s="11">
        <f>IFERROR(INDEX(Products!$E$2:$E$500,MATCH(B117,Products!$A$2:$A$500,0)),"")</f>
        <v/>
      </c>
      <c r="E117" s="11">
        <f>IFERROR(C117*D117,"")</f>
        <v/>
      </c>
    </row>
    <row r="118">
      <c r="A118" s="12" t="n"/>
      <c r="B118" s="12" t="n"/>
      <c r="C118" s="12" t="n"/>
      <c r="D118" s="11">
        <f>IFERROR(INDEX(Products!$E$2:$E$500,MATCH(B118,Products!$A$2:$A$500,0)),"")</f>
        <v/>
      </c>
      <c r="E118" s="11">
        <f>IFERROR(C118*D118,"")</f>
        <v/>
      </c>
    </row>
    <row r="119">
      <c r="A119" s="12" t="n"/>
      <c r="B119" s="12" t="n"/>
      <c r="C119" s="12" t="n"/>
      <c r="D119" s="11">
        <f>IFERROR(INDEX(Products!$E$2:$E$500,MATCH(B119,Products!$A$2:$A$500,0)),"")</f>
        <v/>
      </c>
      <c r="E119" s="11">
        <f>IFERROR(C119*D119,"")</f>
        <v/>
      </c>
    </row>
    <row r="120">
      <c r="A120" s="12" t="n"/>
      <c r="B120" s="12" t="n"/>
      <c r="C120" s="12" t="n"/>
      <c r="D120" s="11">
        <f>IFERROR(INDEX(Products!$E$2:$E$500,MATCH(B120,Products!$A$2:$A$500,0)),"")</f>
        <v/>
      </c>
      <c r="E120" s="11">
        <f>IFERROR(C120*D120,"")</f>
        <v/>
      </c>
    </row>
    <row r="121">
      <c r="A121" s="12" t="n"/>
      <c r="B121" s="12" t="n"/>
      <c r="C121" s="12" t="n"/>
      <c r="D121" s="11">
        <f>IFERROR(INDEX(Products!$E$2:$E$500,MATCH(B121,Products!$A$2:$A$500,0)),"")</f>
        <v/>
      </c>
      <c r="E121" s="11">
        <f>IFERROR(C121*D121,"")</f>
        <v/>
      </c>
    </row>
    <row r="122">
      <c r="A122" s="12" t="n"/>
      <c r="B122" s="12" t="n"/>
      <c r="C122" s="12" t="n"/>
      <c r="D122" s="11">
        <f>IFERROR(INDEX(Products!$E$2:$E$500,MATCH(B122,Products!$A$2:$A$500,0)),"")</f>
        <v/>
      </c>
      <c r="E122" s="11">
        <f>IFERROR(C122*D122,"")</f>
        <v/>
      </c>
    </row>
    <row r="123">
      <c r="A123" s="12" t="n"/>
      <c r="B123" s="12" t="n"/>
      <c r="C123" s="12" t="n"/>
      <c r="D123" s="11">
        <f>IFERROR(INDEX(Products!$E$2:$E$500,MATCH(B123,Products!$A$2:$A$500,0)),"")</f>
        <v/>
      </c>
      <c r="E123" s="11">
        <f>IFERROR(C123*D123,"")</f>
        <v/>
      </c>
    </row>
    <row r="124">
      <c r="A124" s="12" t="n"/>
      <c r="B124" s="12" t="n"/>
      <c r="C124" s="12" t="n"/>
      <c r="D124" s="11">
        <f>IFERROR(INDEX(Products!$E$2:$E$500,MATCH(B124,Products!$A$2:$A$500,0)),"")</f>
        <v/>
      </c>
      <c r="E124" s="11">
        <f>IFERROR(C124*D124,"")</f>
        <v/>
      </c>
    </row>
    <row r="125">
      <c r="A125" s="12" t="n"/>
      <c r="B125" s="12" t="n"/>
      <c r="C125" s="12" t="n"/>
      <c r="D125" s="11">
        <f>IFERROR(INDEX(Products!$E$2:$E$500,MATCH(B125,Products!$A$2:$A$500,0)),"")</f>
        <v/>
      </c>
      <c r="E125" s="11">
        <f>IFERROR(C125*D125,"")</f>
        <v/>
      </c>
    </row>
    <row r="126">
      <c r="A126" s="12" t="n"/>
      <c r="B126" s="12" t="n"/>
      <c r="C126" s="12" t="n"/>
      <c r="D126" s="11">
        <f>IFERROR(INDEX(Products!$E$2:$E$500,MATCH(B126,Products!$A$2:$A$500,0)),"")</f>
        <v/>
      </c>
      <c r="E126" s="11">
        <f>IFERROR(C126*D126,"")</f>
        <v/>
      </c>
    </row>
    <row r="127">
      <c r="A127" s="12" t="n"/>
      <c r="B127" s="12" t="n"/>
      <c r="C127" s="12" t="n"/>
      <c r="D127" s="11">
        <f>IFERROR(INDEX(Products!$E$2:$E$500,MATCH(B127,Products!$A$2:$A$500,0)),"")</f>
        <v/>
      </c>
      <c r="E127" s="11">
        <f>IFERROR(C127*D127,"")</f>
        <v/>
      </c>
    </row>
    <row r="128">
      <c r="A128" s="12" t="n"/>
      <c r="B128" s="12" t="n"/>
      <c r="C128" s="12" t="n"/>
      <c r="D128" s="11">
        <f>IFERROR(INDEX(Products!$E$2:$E$500,MATCH(B128,Products!$A$2:$A$500,0)),"")</f>
        <v/>
      </c>
      <c r="E128" s="11">
        <f>IFERROR(C128*D128,"")</f>
        <v/>
      </c>
    </row>
    <row r="129">
      <c r="A129" s="12" t="n"/>
      <c r="B129" s="12" t="n"/>
      <c r="C129" s="12" t="n"/>
      <c r="D129" s="11">
        <f>IFERROR(INDEX(Products!$E$2:$E$500,MATCH(B129,Products!$A$2:$A$500,0)),"")</f>
        <v/>
      </c>
      <c r="E129" s="11">
        <f>IFERROR(C129*D129,"")</f>
        <v/>
      </c>
    </row>
    <row r="130">
      <c r="A130" s="12" t="n"/>
      <c r="B130" s="12" t="n"/>
      <c r="C130" s="12" t="n"/>
      <c r="D130" s="11">
        <f>IFERROR(INDEX(Products!$E$2:$E$500,MATCH(B130,Products!$A$2:$A$500,0)),"")</f>
        <v/>
      </c>
      <c r="E130" s="11">
        <f>IFERROR(C130*D130,"")</f>
        <v/>
      </c>
    </row>
    <row r="131">
      <c r="A131" s="12" t="n"/>
      <c r="B131" s="12" t="n"/>
      <c r="C131" s="12" t="n"/>
      <c r="D131" s="11">
        <f>IFERROR(INDEX(Products!$E$2:$E$500,MATCH(B131,Products!$A$2:$A$500,0)),"")</f>
        <v/>
      </c>
      <c r="E131" s="11">
        <f>IFERROR(C131*D131,"")</f>
        <v/>
      </c>
    </row>
    <row r="132">
      <c r="A132" s="12" t="n"/>
      <c r="B132" s="12" t="n"/>
      <c r="C132" s="12" t="n"/>
      <c r="D132" s="11">
        <f>IFERROR(INDEX(Products!$E$2:$E$500,MATCH(B132,Products!$A$2:$A$500,0)),"")</f>
        <v/>
      </c>
      <c r="E132" s="11">
        <f>IFERROR(C132*D132,"")</f>
        <v/>
      </c>
    </row>
    <row r="133">
      <c r="A133" s="12" t="n"/>
      <c r="B133" s="12" t="n"/>
      <c r="C133" s="12" t="n"/>
      <c r="D133" s="11">
        <f>IFERROR(INDEX(Products!$E$2:$E$500,MATCH(B133,Products!$A$2:$A$500,0)),"")</f>
        <v/>
      </c>
      <c r="E133" s="11">
        <f>IFERROR(C133*D133,"")</f>
        <v/>
      </c>
    </row>
    <row r="134">
      <c r="A134" s="12" t="n"/>
      <c r="B134" s="12" t="n"/>
      <c r="C134" s="12" t="n"/>
      <c r="D134" s="11">
        <f>IFERROR(INDEX(Products!$E$2:$E$500,MATCH(B134,Products!$A$2:$A$500,0)),"")</f>
        <v/>
      </c>
      <c r="E134" s="11">
        <f>IFERROR(C134*D134,"")</f>
        <v/>
      </c>
    </row>
    <row r="135">
      <c r="A135" s="12" t="n"/>
      <c r="B135" s="12" t="n"/>
      <c r="C135" s="12" t="n"/>
      <c r="D135" s="11">
        <f>IFERROR(INDEX(Products!$E$2:$E$500,MATCH(B135,Products!$A$2:$A$500,0)),"")</f>
        <v/>
      </c>
      <c r="E135" s="11">
        <f>IFERROR(C135*D135,"")</f>
        <v/>
      </c>
    </row>
    <row r="136">
      <c r="A136" s="12" t="n"/>
      <c r="B136" s="12" t="n"/>
      <c r="C136" s="12" t="n"/>
      <c r="D136" s="11">
        <f>IFERROR(INDEX(Products!$E$2:$E$500,MATCH(B136,Products!$A$2:$A$500,0)),"")</f>
        <v/>
      </c>
      <c r="E136" s="11">
        <f>IFERROR(C136*D136,"")</f>
        <v/>
      </c>
    </row>
    <row r="137">
      <c r="A137" s="12" t="n"/>
      <c r="B137" s="12" t="n"/>
      <c r="C137" s="12" t="n"/>
      <c r="D137" s="11">
        <f>IFERROR(INDEX(Products!$E$2:$E$500,MATCH(B137,Products!$A$2:$A$500,0)),"")</f>
        <v/>
      </c>
      <c r="E137" s="11">
        <f>IFERROR(C137*D137,"")</f>
        <v/>
      </c>
    </row>
    <row r="138">
      <c r="A138" s="12" t="n"/>
      <c r="B138" s="12" t="n"/>
      <c r="C138" s="12" t="n"/>
      <c r="D138" s="11">
        <f>IFERROR(INDEX(Products!$E$2:$E$500,MATCH(B138,Products!$A$2:$A$500,0)),"")</f>
        <v/>
      </c>
      <c r="E138" s="11">
        <f>IFERROR(C138*D138,"")</f>
        <v/>
      </c>
    </row>
    <row r="139">
      <c r="A139" s="12" t="n"/>
      <c r="B139" s="12" t="n"/>
      <c r="C139" s="12" t="n"/>
      <c r="D139" s="11">
        <f>IFERROR(INDEX(Products!$E$2:$E$500,MATCH(B139,Products!$A$2:$A$500,0)),"")</f>
        <v/>
      </c>
      <c r="E139" s="11">
        <f>IFERROR(C139*D139,"")</f>
        <v/>
      </c>
    </row>
    <row r="140">
      <c r="A140" s="12" t="n"/>
      <c r="B140" s="12" t="n"/>
      <c r="C140" s="12" t="n"/>
      <c r="D140" s="11">
        <f>IFERROR(INDEX(Products!$E$2:$E$500,MATCH(B140,Products!$A$2:$A$500,0)),"")</f>
        <v/>
      </c>
      <c r="E140" s="11">
        <f>IFERROR(C140*D140,"")</f>
        <v/>
      </c>
    </row>
    <row r="141">
      <c r="A141" s="12" t="n"/>
      <c r="B141" s="12" t="n"/>
      <c r="C141" s="12" t="n"/>
      <c r="D141" s="11">
        <f>IFERROR(INDEX(Products!$E$2:$E$500,MATCH(B141,Products!$A$2:$A$500,0)),"")</f>
        <v/>
      </c>
      <c r="E141" s="11">
        <f>IFERROR(C141*D141,"")</f>
        <v/>
      </c>
    </row>
    <row r="142">
      <c r="A142" s="12" t="n"/>
      <c r="B142" s="12" t="n"/>
      <c r="C142" s="12" t="n"/>
      <c r="D142" s="11">
        <f>IFERROR(INDEX(Products!$E$2:$E$500,MATCH(B142,Products!$A$2:$A$500,0)),"")</f>
        <v/>
      </c>
      <c r="E142" s="11">
        <f>IFERROR(C142*D142,"")</f>
        <v/>
      </c>
    </row>
    <row r="143">
      <c r="A143" s="12" t="n"/>
      <c r="B143" s="12" t="n"/>
      <c r="C143" s="12" t="n"/>
      <c r="D143" s="11">
        <f>IFERROR(INDEX(Products!$E$2:$E$500,MATCH(B143,Products!$A$2:$A$500,0)),"")</f>
        <v/>
      </c>
      <c r="E143" s="11">
        <f>IFERROR(C143*D143,"")</f>
        <v/>
      </c>
    </row>
    <row r="144">
      <c r="A144" s="12" t="n"/>
      <c r="B144" s="12" t="n"/>
      <c r="C144" s="12" t="n"/>
      <c r="D144" s="11">
        <f>IFERROR(INDEX(Products!$E$2:$E$500,MATCH(B144,Products!$A$2:$A$500,0)),"")</f>
        <v/>
      </c>
      <c r="E144" s="11">
        <f>IFERROR(C144*D144,"")</f>
        <v/>
      </c>
    </row>
    <row r="145">
      <c r="A145" s="12" t="n"/>
      <c r="B145" s="12" t="n"/>
      <c r="C145" s="12" t="n"/>
      <c r="D145" s="11">
        <f>IFERROR(INDEX(Products!$E$2:$E$500,MATCH(B145,Products!$A$2:$A$500,0)),"")</f>
        <v/>
      </c>
      <c r="E145" s="11">
        <f>IFERROR(C145*D145,"")</f>
        <v/>
      </c>
    </row>
    <row r="146">
      <c r="A146" s="12" t="n"/>
      <c r="B146" s="12" t="n"/>
      <c r="C146" s="12" t="n"/>
      <c r="D146" s="11">
        <f>IFERROR(INDEX(Products!$E$2:$E$500,MATCH(B146,Products!$A$2:$A$500,0)),"")</f>
        <v/>
      </c>
      <c r="E146" s="11">
        <f>IFERROR(C146*D146,"")</f>
        <v/>
      </c>
    </row>
    <row r="147">
      <c r="A147" s="12" t="n"/>
      <c r="B147" s="12" t="n"/>
      <c r="C147" s="12" t="n"/>
      <c r="D147" s="11">
        <f>IFERROR(INDEX(Products!$E$2:$E$500,MATCH(B147,Products!$A$2:$A$500,0)),"")</f>
        <v/>
      </c>
      <c r="E147" s="11">
        <f>IFERROR(C147*D147,"")</f>
        <v/>
      </c>
    </row>
    <row r="148">
      <c r="A148" s="12" t="n"/>
      <c r="B148" s="12" t="n"/>
      <c r="C148" s="12" t="n"/>
      <c r="D148" s="11">
        <f>IFERROR(INDEX(Products!$E$2:$E$500,MATCH(B148,Products!$A$2:$A$500,0)),"")</f>
        <v/>
      </c>
      <c r="E148" s="11">
        <f>IFERROR(C148*D148,"")</f>
        <v/>
      </c>
    </row>
    <row r="149">
      <c r="A149" s="12" t="n"/>
      <c r="B149" s="12" t="n"/>
      <c r="C149" s="12" t="n"/>
      <c r="D149" s="11">
        <f>IFERROR(INDEX(Products!$E$2:$E$500,MATCH(B149,Products!$A$2:$A$500,0)),"")</f>
        <v/>
      </c>
      <c r="E149" s="11">
        <f>IFERROR(C149*D149,"")</f>
        <v/>
      </c>
    </row>
    <row r="150">
      <c r="A150" s="12" t="n"/>
      <c r="B150" s="12" t="n"/>
      <c r="C150" s="12" t="n"/>
      <c r="D150" s="11">
        <f>IFERROR(INDEX(Products!$E$2:$E$500,MATCH(B150,Products!$A$2:$A$500,0)),"")</f>
        <v/>
      </c>
      <c r="E150" s="11">
        <f>IFERROR(C150*D150,"")</f>
        <v/>
      </c>
    </row>
    <row r="151">
      <c r="A151" s="12" t="n"/>
      <c r="B151" s="12" t="n"/>
      <c r="C151" s="12" t="n"/>
      <c r="D151" s="11">
        <f>IFERROR(INDEX(Products!$E$2:$E$500,MATCH(B151,Products!$A$2:$A$500,0)),"")</f>
        <v/>
      </c>
      <c r="E151" s="11">
        <f>IFERROR(C151*D151,"")</f>
        <v/>
      </c>
    </row>
    <row r="152">
      <c r="A152" s="12" t="n"/>
      <c r="B152" s="12" t="n"/>
      <c r="C152" s="12" t="n"/>
      <c r="D152" s="11">
        <f>IFERROR(INDEX(Products!$E$2:$E$500,MATCH(B152,Products!$A$2:$A$500,0)),"")</f>
        <v/>
      </c>
      <c r="E152" s="11">
        <f>IFERROR(C152*D152,"")</f>
        <v/>
      </c>
    </row>
    <row r="153">
      <c r="A153" s="12" t="n"/>
      <c r="B153" s="12" t="n"/>
      <c r="C153" s="12" t="n"/>
      <c r="D153" s="11">
        <f>IFERROR(INDEX(Products!$E$2:$E$500,MATCH(B153,Products!$A$2:$A$500,0)),"")</f>
        <v/>
      </c>
      <c r="E153" s="11">
        <f>IFERROR(C153*D153,"")</f>
        <v/>
      </c>
    </row>
    <row r="154">
      <c r="A154" s="12" t="n"/>
      <c r="B154" s="12" t="n"/>
      <c r="C154" s="12" t="n"/>
      <c r="D154" s="11">
        <f>IFERROR(INDEX(Products!$E$2:$E$500,MATCH(B154,Products!$A$2:$A$500,0)),"")</f>
        <v/>
      </c>
      <c r="E154" s="11">
        <f>IFERROR(C154*D154,"")</f>
        <v/>
      </c>
    </row>
    <row r="155">
      <c r="A155" s="12" t="n"/>
      <c r="B155" s="12" t="n"/>
      <c r="C155" s="12" t="n"/>
      <c r="D155" s="11">
        <f>IFERROR(INDEX(Products!$E$2:$E$500,MATCH(B155,Products!$A$2:$A$500,0)),"")</f>
        <v/>
      </c>
      <c r="E155" s="11">
        <f>IFERROR(C155*D155,"")</f>
        <v/>
      </c>
    </row>
    <row r="156">
      <c r="A156" s="12" t="n"/>
      <c r="B156" s="12" t="n"/>
      <c r="C156" s="12" t="n"/>
      <c r="D156" s="11">
        <f>IFERROR(INDEX(Products!$E$2:$E$500,MATCH(B156,Products!$A$2:$A$500,0)),"")</f>
        <v/>
      </c>
      <c r="E156" s="11">
        <f>IFERROR(C156*D156,"")</f>
        <v/>
      </c>
    </row>
    <row r="157">
      <c r="A157" s="12" t="n"/>
      <c r="B157" s="12" t="n"/>
      <c r="C157" s="12" t="n"/>
      <c r="D157" s="11">
        <f>IFERROR(INDEX(Products!$E$2:$E$500,MATCH(B157,Products!$A$2:$A$500,0)),"")</f>
        <v/>
      </c>
      <c r="E157" s="11">
        <f>IFERROR(C157*D157,"")</f>
        <v/>
      </c>
    </row>
    <row r="158">
      <c r="A158" s="12" t="n"/>
      <c r="B158" s="12" t="n"/>
      <c r="C158" s="12" t="n"/>
      <c r="D158" s="11">
        <f>IFERROR(INDEX(Products!$E$2:$E$500,MATCH(B158,Products!$A$2:$A$500,0)),"")</f>
        <v/>
      </c>
      <c r="E158" s="11">
        <f>IFERROR(C158*D158,"")</f>
        <v/>
      </c>
    </row>
    <row r="159">
      <c r="A159" s="12" t="n"/>
      <c r="B159" s="12" t="n"/>
      <c r="C159" s="12" t="n"/>
      <c r="D159" s="11">
        <f>IFERROR(INDEX(Products!$E$2:$E$500,MATCH(B159,Products!$A$2:$A$500,0)),"")</f>
        <v/>
      </c>
      <c r="E159" s="11">
        <f>IFERROR(C159*D159,"")</f>
        <v/>
      </c>
    </row>
    <row r="160">
      <c r="A160" s="12" t="n"/>
      <c r="B160" s="12" t="n"/>
      <c r="C160" s="12" t="n"/>
      <c r="D160" s="11">
        <f>IFERROR(INDEX(Products!$E$2:$E$500,MATCH(B160,Products!$A$2:$A$500,0)),"")</f>
        <v/>
      </c>
      <c r="E160" s="11">
        <f>IFERROR(C160*D160,"")</f>
        <v/>
      </c>
    </row>
    <row r="161">
      <c r="A161" s="12" t="n"/>
      <c r="B161" s="12" t="n"/>
      <c r="C161" s="12" t="n"/>
      <c r="D161" s="11">
        <f>IFERROR(INDEX(Products!$E$2:$E$500,MATCH(B161,Products!$A$2:$A$500,0)),"")</f>
        <v/>
      </c>
      <c r="E161" s="11">
        <f>IFERROR(C161*D161,"")</f>
        <v/>
      </c>
    </row>
    <row r="162">
      <c r="A162" s="12" t="n"/>
      <c r="B162" s="12" t="n"/>
      <c r="C162" s="12" t="n"/>
      <c r="D162" s="11">
        <f>IFERROR(INDEX(Products!$E$2:$E$500,MATCH(B162,Products!$A$2:$A$500,0)),"")</f>
        <v/>
      </c>
      <c r="E162" s="11">
        <f>IFERROR(C162*D162,"")</f>
        <v/>
      </c>
    </row>
    <row r="163">
      <c r="A163" s="12" t="n"/>
      <c r="B163" s="12" t="n"/>
      <c r="C163" s="12" t="n"/>
      <c r="D163" s="11">
        <f>IFERROR(INDEX(Products!$E$2:$E$500,MATCH(B163,Products!$A$2:$A$500,0)),"")</f>
        <v/>
      </c>
      <c r="E163" s="11">
        <f>IFERROR(C163*D163,"")</f>
        <v/>
      </c>
    </row>
    <row r="164">
      <c r="A164" s="12" t="n"/>
      <c r="B164" s="12" t="n"/>
      <c r="C164" s="12" t="n"/>
      <c r="D164" s="11">
        <f>IFERROR(INDEX(Products!$E$2:$E$500,MATCH(B164,Products!$A$2:$A$500,0)),"")</f>
        <v/>
      </c>
      <c r="E164" s="11">
        <f>IFERROR(C164*D164,"")</f>
        <v/>
      </c>
    </row>
    <row r="165">
      <c r="A165" s="12" t="n"/>
      <c r="B165" s="12" t="n"/>
      <c r="C165" s="12" t="n"/>
      <c r="D165" s="11">
        <f>IFERROR(INDEX(Products!$E$2:$E$500,MATCH(B165,Products!$A$2:$A$500,0)),"")</f>
        <v/>
      </c>
      <c r="E165" s="11">
        <f>IFERROR(C165*D165,"")</f>
        <v/>
      </c>
    </row>
    <row r="166">
      <c r="A166" s="12" t="n"/>
      <c r="B166" s="12" t="n"/>
      <c r="C166" s="12" t="n"/>
      <c r="D166" s="11">
        <f>IFERROR(INDEX(Products!$E$2:$E$500,MATCH(B166,Products!$A$2:$A$500,0)),"")</f>
        <v/>
      </c>
      <c r="E166" s="11">
        <f>IFERROR(C166*D166,"")</f>
        <v/>
      </c>
    </row>
    <row r="167">
      <c r="A167" s="12" t="n"/>
      <c r="B167" s="12" t="n"/>
      <c r="C167" s="12" t="n"/>
      <c r="D167" s="11">
        <f>IFERROR(INDEX(Products!$E$2:$E$500,MATCH(B167,Products!$A$2:$A$500,0)),"")</f>
        <v/>
      </c>
      <c r="E167" s="11">
        <f>IFERROR(C167*D167,"")</f>
        <v/>
      </c>
    </row>
    <row r="168">
      <c r="A168" s="12" t="n"/>
      <c r="B168" s="12" t="n"/>
      <c r="C168" s="12" t="n"/>
      <c r="D168" s="11">
        <f>IFERROR(INDEX(Products!$E$2:$E$500,MATCH(B168,Products!$A$2:$A$500,0)),"")</f>
        <v/>
      </c>
      <c r="E168" s="11">
        <f>IFERROR(C168*D168,"")</f>
        <v/>
      </c>
    </row>
    <row r="169">
      <c r="A169" s="12" t="n"/>
      <c r="B169" s="12" t="n"/>
      <c r="C169" s="12" t="n"/>
      <c r="D169" s="11">
        <f>IFERROR(INDEX(Products!$E$2:$E$500,MATCH(B169,Products!$A$2:$A$500,0)),"")</f>
        <v/>
      </c>
      <c r="E169" s="11">
        <f>IFERROR(C169*D169,"")</f>
        <v/>
      </c>
    </row>
    <row r="170">
      <c r="A170" s="12" t="n"/>
      <c r="B170" s="12" t="n"/>
      <c r="C170" s="12" t="n"/>
      <c r="D170" s="11">
        <f>IFERROR(INDEX(Products!$E$2:$E$500,MATCH(B170,Products!$A$2:$A$500,0)),"")</f>
        <v/>
      </c>
      <c r="E170" s="11">
        <f>IFERROR(C170*D170,"")</f>
        <v/>
      </c>
    </row>
    <row r="171">
      <c r="A171" s="12" t="n"/>
      <c r="B171" s="12" t="n"/>
      <c r="C171" s="12" t="n"/>
      <c r="D171" s="11">
        <f>IFERROR(INDEX(Products!$E$2:$E$500,MATCH(B171,Products!$A$2:$A$500,0)),"")</f>
        <v/>
      </c>
      <c r="E171" s="11">
        <f>IFERROR(C171*D171,"")</f>
        <v/>
      </c>
    </row>
    <row r="172">
      <c r="A172" s="12" t="n"/>
      <c r="B172" s="12" t="n"/>
      <c r="C172" s="12" t="n"/>
      <c r="D172" s="11">
        <f>IFERROR(INDEX(Products!$E$2:$E$500,MATCH(B172,Products!$A$2:$A$500,0)),"")</f>
        <v/>
      </c>
      <c r="E172" s="11">
        <f>IFERROR(C172*D172,"")</f>
        <v/>
      </c>
    </row>
    <row r="173">
      <c r="A173" s="12" t="n"/>
      <c r="B173" s="12" t="n"/>
      <c r="C173" s="12" t="n"/>
      <c r="D173" s="11">
        <f>IFERROR(INDEX(Products!$E$2:$E$500,MATCH(B173,Products!$A$2:$A$500,0)),"")</f>
        <v/>
      </c>
      <c r="E173" s="11">
        <f>IFERROR(C173*D173,"")</f>
        <v/>
      </c>
    </row>
    <row r="174">
      <c r="A174" s="12" t="n"/>
      <c r="B174" s="12" t="n"/>
      <c r="C174" s="12" t="n"/>
      <c r="D174" s="11">
        <f>IFERROR(INDEX(Products!$E$2:$E$500,MATCH(B174,Products!$A$2:$A$500,0)),"")</f>
        <v/>
      </c>
      <c r="E174" s="11">
        <f>IFERROR(C174*D174,"")</f>
        <v/>
      </c>
    </row>
    <row r="175">
      <c r="A175" s="12" t="n"/>
      <c r="B175" s="12" t="n"/>
      <c r="C175" s="12" t="n"/>
      <c r="D175" s="11">
        <f>IFERROR(INDEX(Products!$E$2:$E$500,MATCH(B175,Products!$A$2:$A$500,0)),"")</f>
        <v/>
      </c>
      <c r="E175" s="11">
        <f>IFERROR(C175*D175,"")</f>
        <v/>
      </c>
    </row>
    <row r="176">
      <c r="A176" s="12" t="n"/>
      <c r="B176" s="12" t="n"/>
      <c r="C176" s="12" t="n"/>
      <c r="D176" s="11">
        <f>IFERROR(INDEX(Products!$E$2:$E$500,MATCH(B176,Products!$A$2:$A$500,0)),"")</f>
        <v/>
      </c>
      <c r="E176" s="11">
        <f>IFERROR(C176*D176,"")</f>
        <v/>
      </c>
    </row>
    <row r="177">
      <c r="A177" s="12" t="n"/>
      <c r="B177" s="12" t="n"/>
      <c r="C177" s="12" t="n"/>
      <c r="D177" s="11">
        <f>IFERROR(INDEX(Products!$E$2:$E$500,MATCH(B177,Products!$A$2:$A$500,0)),"")</f>
        <v/>
      </c>
      <c r="E177" s="11">
        <f>IFERROR(C177*D177,"")</f>
        <v/>
      </c>
    </row>
    <row r="178">
      <c r="A178" s="12" t="n"/>
      <c r="B178" s="12" t="n"/>
      <c r="C178" s="12" t="n"/>
      <c r="D178" s="11">
        <f>IFERROR(INDEX(Products!$E$2:$E$500,MATCH(B178,Products!$A$2:$A$500,0)),"")</f>
        <v/>
      </c>
      <c r="E178" s="11">
        <f>IFERROR(C178*D178,"")</f>
        <v/>
      </c>
    </row>
    <row r="179">
      <c r="A179" s="12" t="n"/>
      <c r="B179" s="12" t="n"/>
      <c r="C179" s="12" t="n"/>
      <c r="D179" s="11">
        <f>IFERROR(INDEX(Products!$E$2:$E$500,MATCH(B179,Products!$A$2:$A$500,0)),"")</f>
        <v/>
      </c>
      <c r="E179" s="11">
        <f>IFERROR(C179*D179,"")</f>
        <v/>
      </c>
    </row>
    <row r="180">
      <c r="A180" s="12" t="n"/>
      <c r="B180" s="12" t="n"/>
      <c r="C180" s="12" t="n"/>
      <c r="D180" s="11">
        <f>IFERROR(INDEX(Products!$E$2:$E$500,MATCH(B180,Products!$A$2:$A$500,0)),"")</f>
        <v/>
      </c>
      <c r="E180" s="11">
        <f>IFERROR(C180*D180,"")</f>
        <v/>
      </c>
    </row>
    <row r="181">
      <c r="A181" s="12" t="n"/>
      <c r="B181" s="12" t="n"/>
      <c r="C181" s="12" t="n"/>
      <c r="D181" s="11">
        <f>IFERROR(INDEX(Products!$E$2:$E$500,MATCH(B181,Products!$A$2:$A$500,0)),"")</f>
        <v/>
      </c>
      <c r="E181" s="11">
        <f>IFERROR(C181*D181,"")</f>
        <v/>
      </c>
    </row>
    <row r="182">
      <c r="A182" s="12" t="n"/>
      <c r="B182" s="12" t="n"/>
      <c r="C182" s="12" t="n"/>
      <c r="D182" s="11">
        <f>IFERROR(INDEX(Products!$E$2:$E$500,MATCH(B182,Products!$A$2:$A$500,0)),"")</f>
        <v/>
      </c>
      <c r="E182" s="11">
        <f>IFERROR(C182*D182,"")</f>
        <v/>
      </c>
    </row>
    <row r="183">
      <c r="A183" s="12" t="n"/>
      <c r="B183" s="12" t="n"/>
      <c r="C183" s="12" t="n"/>
      <c r="D183" s="11">
        <f>IFERROR(INDEX(Products!$E$2:$E$500,MATCH(B183,Products!$A$2:$A$500,0)),"")</f>
        <v/>
      </c>
      <c r="E183" s="11">
        <f>IFERROR(C183*D183,"")</f>
        <v/>
      </c>
    </row>
    <row r="184">
      <c r="A184" s="12" t="n"/>
      <c r="B184" s="12" t="n"/>
      <c r="C184" s="12" t="n"/>
      <c r="D184" s="11">
        <f>IFERROR(INDEX(Products!$E$2:$E$500,MATCH(B184,Products!$A$2:$A$500,0)),"")</f>
        <v/>
      </c>
      <c r="E184" s="11">
        <f>IFERROR(C184*D184,"")</f>
        <v/>
      </c>
    </row>
    <row r="185">
      <c r="A185" s="12" t="n"/>
      <c r="B185" s="12" t="n"/>
      <c r="C185" s="12" t="n"/>
      <c r="D185" s="11">
        <f>IFERROR(INDEX(Products!$E$2:$E$500,MATCH(B185,Products!$A$2:$A$500,0)),"")</f>
        <v/>
      </c>
      <c r="E185" s="11">
        <f>IFERROR(C185*D185,"")</f>
        <v/>
      </c>
    </row>
    <row r="186">
      <c r="A186" s="12" t="n"/>
      <c r="B186" s="12" t="n"/>
      <c r="C186" s="12" t="n"/>
      <c r="D186" s="11">
        <f>IFERROR(INDEX(Products!$E$2:$E$500,MATCH(B186,Products!$A$2:$A$500,0)),"")</f>
        <v/>
      </c>
      <c r="E186" s="11">
        <f>IFERROR(C186*D186,"")</f>
        <v/>
      </c>
    </row>
    <row r="187">
      <c r="A187" s="12" t="n"/>
      <c r="B187" s="12" t="n"/>
      <c r="C187" s="12" t="n"/>
      <c r="D187" s="11">
        <f>IFERROR(INDEX(Products!$E$2:$E$500,MATCH(B187,Products!$A$2:$A$500,0)),"")</f>
        <v/>
      </c>
      <c r="E187" s="11">
        <f>IFERROR(C187*D187,"")</f>
        <v/>
      </c>
    </row>
    <row r="188">
      <c r="A188" s="12" t="n"/>
      <c r="B188" s="12" t="n"/>
      <c r="C188" s="12" t="n"/>
      <c r="D188" s="11">
        <f>IFERROR(INDEX(Products!$E$2:$E$500,MATCH(B188,Products!$A$2:$A$500,0)),"")</f>
        <v/>
      </c>
      <c r="E188" s="11">
        <f>IFERROR(C188*D188,"")</f>
        <v/>
      </c>
    </row>
    <row r="189">
      <c r="A189" s="12" t="n"/>
      <c r="B189" s="12" t="n"/>
      <c r="C189" s="12" t="n"/>
      <c r="D189" s="11">
        <f>IFERROR(INDEX(Products!$E$2:$E$500,MATCH(B189,Products!$A$2:$A$500,0)),"")</f>
        <v/>
      </c>
      <c r="E189" s="11">
        <f>IFERROR(C189*D189,"")</f>
        <v/>
      </c>
    </row>
    <row r="190">
      <c r="A190" s="12" t="n"/>
      <c r="B190" s="12" t="n"/>
      <c r="C190" s="12" t="n"/>
      <c r="D190" s="11">
        <f>IFERROR(INDEX(Products!$E$2:$E$500,MATCH(B190,Products!$A$2:$A$500,0)),"")</f>
        <v/>
      </c>
      <c r="E190" s="11">
        <f>IFERROR(C190*D190,"")</f>
        <v/>
      </c>
    </row>
    <row r="191">
      <c r="A191" s="12" t="n"/>
      <c r="B191" s="12" t="n"/>
      <c r="C191" s="12" t="n"/>
      <c r="D191" s="11">
        <f>IFERROR(INDEX(Products!$E$2:$E$500,MATCH(B191,Products!$A$2:$A$500,0)),"")</f>
        <v/>
      </c>
      <c r="E191" s="11">
        <f>IFERROR(C191*D191,"")</f>
        <v/>
      </c>
    </row>
    <row r="192">
      <c r="A192" s="12" t="n"/>
      <c r="B192" s="12" t="n"/>
      <c r="C192" s="12" t="n"/>
      <c r="D192" s="11">
        <f>IFERROR(INDEX(Products!$E$2:$E$500,MATCH(B192,Products!$A$2:$A$500,0)),"")</f>
        <v/>
      </c>
      <c r="E192" s="11">
        <f>IFERROR(C192*D192,"")</f>
        <v/>
      </c>
    </row>
    <row r="193">
      <c r="A193" s="12" t="n"/>
      <c r="B193" s="12" t="n"/>
      <c r="C193" s="12" t="n"/>
      <c r="D193" s="11">
        <f>IFERROR(INDEX(Products!$E$2:$E$500,MATCH(B193,Products!$A$2:$A$500,0)),"")</f>
        <v/>
      </c>
      <c r="E193" s="11">
        <f>IFERROR(C193*D193,"")</f>
        <v/>
      </c>
    </row>
    <row r="194">
      <c r="A194" s="12" t="n"/>
      <c r="B194" s="12" t="n"/>
      <c r="C194" s="12" t="n"/>
      <c r="D194" s="11">
        <f>IFERROR(INDEX(Products!$E$2:$E$500,MATCH(B194,Products!$A$2:$A$500,0)),"")</f>
        <v/>
      </c>
      <c r="E194" s="11">
        <f>IFERROR(C194*D194,"")</f>
        <v/>
      </c>
    </row>
    <row r="195">
      <c r="A195" s="12" t="n"/>
      <c r="B195" s="12" t="n"/>
      <c r="C195" s="12" t="n"/>
      <c r="D195" s="11">
        <f>IFERROR(INDEX(Products!$E$2:$E$500,MATCH(B195,Products!$A$2:$A$500,0)),"")</f>
        <v/>
      </c>
      <c r="E195" s="11">
        <f>IFERROR(C195*D195,"")</f>
        <v/>
      </c>
    </row>
    <row r="196">
      <c r="A196" s="12" t="n"/>
      <c r="B196" s="12" t="n"/>
      <c r="C196" s="12" t="n"/>
      <c r="D196" s="11">
        <f>IFERROR(INDEX(Products!$E$2:$E$500,MATCH(B196,Products!$A$2:$A$500,0)),"")</f>
        <v/>
      </c>
      <c r="E196" s="11">
        <f>IFERROR(C196*D196,"")</f>
        <v/>
      </c>
    </row>
    <row r="197">
      <c r="A197" s="12" t="n"/>
      <c r="B197" s="12" t="n"/>
      <c r="C197" s="12" t="n"/>
      <c r="D197" s="11">
        <f>IFERROR(INDEX(Products!$E$2:$E$500,MATCH(B197,Products!$A$2:$A$500,0)),"")</f>
        <v/>
      </c>
      <c r="E197" s="11">
        <f>IFERROR(C197*D197,"")</f>
        <v/>
      </c>
    </row>
    <row r="198">
      <c r="A198" s="12" t="n"/>
      <c r="B198" s="12" t="n"/>
      <c r="C198" s="12" t="n"/>
      <c r="D198" s="11">
        <f>IFERROR(INDEX(Products!$E$2:$E$500,MATCH(B198,Products!$A$2:$A$500,0)),"")</f>
        <v/>
      </c>
      <c r="E198" s="11">
        <f>IFERROR(C198*D198,"")</f>
        <v/>
      </c>
    </row>
    <row r="199">
      <c r="A199" s="12" t="n"/>
      <c r="B199" s="12" t="n"/>
      <c r="C199" s="12" t="n"/>
      <c r="D199" s="11">
        <f>IFERROR(INDEX(Products!$E$2:$E$500,MATCH(B199,Products!$A$2:$A$500,0)),"")</f>
        <v/>
      </c>
      <c r="E199" s="11">
        <f>IFERROR(C199*D199,"")</f>
        <v/>
      </c>
    </row>
    <row r="200">
      <c r="A200" s="12" t="n"/>
      <c r="B200" s="12" t="n"/>
      <c r="C200" s="12" t="n"/>
      <c r="D200" s="11">
        <f>IFERROR(INDEX(Products!$E$2:$E$500,MATCH(B200,Products!$A$2:$A$500,0)),"")</f>
        <v/>
      </c>
      <c r="E200" s="11">
        <f>IFERROR(C200*D200,"")</f>
        <v/>
      </c>
    </row>
    <row r="201">
      <c r="A201" s="12" t="n"/>
      <c r="B201" s="12" t="n"/>
      <c r="C201" s="12" t="n"/>
      <c r="D201" s="11">
        <f>IFERROR(INDEX(Products!$E$2:$E$500,MATCH(B201,Products!$A$2:$A$500,0)),"")</f>
        <v/>
      </c>
      <c r="E201" s="11">
        <f>IFERROR(C201*D201,"")</f>
        <v/>
      </c>
    </row>
    <row r="202">
      <c r="A202" s="12" t="n"/>
      <c r="B202" s="12" t="n"/>
      <c r="C202" s="12" t="n"/>
      <c r="D202" s="11">
        <f>IFERROR(INDEX(Products!$E$2:$E$500,MATCH(B202,Products!$A$2:$A$500,0)),"")</f>
        <v/>
      </c>
      <c r="E202" s="11">
        <f>IFERROR(C202*D202,"")</f>
        <v/>
      </c>
    </row>
    <row r="203">
      <c r="A203" s="12" t="n"/>
      <c r="B203" s="12" t="n"/>
      <c r="C203" s="12" t="n"/>
      <c r="D203" s="11">
        <f>IFERROR(INDEX(Products!$E$2:$E$500,MATCH(B203,Products!$A$2:$A$500,0)),"")</f>
        <v/>
      </c>
      <c r="E203" s="11">
        <f>IFERROR(C203*D203,"")</f>
        <v/>
      </c>
    </row>
    <row r="204">
      <c r="A204" s="12" t="n"/>
      <c r="B204" s="12" t="n"/>
      <c r="C204" s="12" t="n"/>
      <c r="D204" s="11">
        <f>IFERROR(INDEX(Products!$E$2:$E$500,MATCH(B204,Products!$A$2:$A$500,0)),"")</f>
        <v/>
      </c>
      <c r="E204" s="11">
        <f>IFERROR(C204*D204,"")</f>
        <v/>
      </c>
    </row>
    <row r="205">
      <c r="A205" s="12" t="n"/>
      <c r="B205" s="12" t="n"/>
      <c r="C205" s="12" t="n"/>
      <c r="D205" s="11">
        <f>IFERROR(INDEX(Products!$E$2:$E$500,MATCH(B205,Products!$A$2:$A$500,0)),"")</f>
        <v/>
      </c>
      <c r="E205" s="11">
        <f>IFERROR(C205*D205,"")</f>
        <v/>
      </c>
    </row>
    <row r="206">
      <c r="A206" s="12" t="n"/>
      <c r="B206" s="12" t="n"/>
      <c r="C206" s="12" t="n"/>
      <c r="D206" s="11">
        <f>IFERROR(INDEX(Products!$E$2:$E$500,MATCH(B206,Products!$A$2:$A$500,0)),"")</f>
        <v/>
      </c>
      <c r="E206" s="11">
        <f>IFERROR(C206*D206,"")</f>
        <v/>
      </c>
    </row>
    <row r="207">
      <c r="A207" s="12" t="n"/>
      <c r="B207" s="12" t="n"/>
      <c r="C207" s="12" t="n"/>
      <c r="D207" s="11">
        <f>IFERROR(INDEX(Products!$E$2:$E$500,MATCH(B207,Products!$A$2:$A$500,0)),"")</f>
        <v/>
      </c>
      <c r="E207" s="11">
        <f>IFERROR(C207*D207,"")</f>
        <v/>
      </c>
    </row>
    <row r="208">
      <c r="A208" s="12" t="n"/>
      <c r="B208" s="12" t="n"/>
      <c r="C208" s="12" t="n"/>
      <c r="D208" s="11">
        <f>IFERROR(INDEX(Products!$E$2:$E$500,MATCH(B208,Products!$A$2:$A$500,0)),"")</f>
        <v/>
      </c>
      <c r="E208" s="11">
        <f>IFERROR(C208*D208,"")</f>
        <v/>
      </c>
    </row>
    <row r="209">
      <c r="A209" s="12" t="n"/>
      <c r="B209" s="12" t="n"/>
      <c r="C209" s="12" t="n"/>
      <c r="D209" s="11">
        <f>IFERROR(INDEX(Products!$E$2:$E$500,MATCH(B209,Products!$A$2:$A$500,0)),"")</f>
        <v/>
      </c>
      <c r="E209" s="11">
        <f>IFERROR(C209*D209,"")</f>
        <v/>
      </c>
    </row>
    <row r="210">
      <c r="A210" s="12" t="n"/>
      <c r="B210" s="12" t="n"/>
      <c r="C210" s="12" t="n"/>
      <c r="D210" s="11">
        <f>IFERROR(INDEX(Products!$E$2:$E$500,MATCH(B210,Products!$A$2:$A$500,0)),"")</f>
        <v/>
      </c>
      <c r="E210" s="11">
        <f>IFERROR(C210*D210,"")</f>
        <v/>
      </c>
    </row>
    <row r="211">
      <c r="A211" s="12" t="n"/>
      <c r="B211" s="12" t="n"/>
      <c r="C211" s="12" t="n"/>
      <c r="D211" s="11">
        <f>IFERROR(INDEX(Products!$E$2:$E$500,MATCH(B211,Products!$A$2:$A$500,0)),"")</f>
        <v/>
      </c>
      <c r="E211" s="11">
        <f>IFERROR(C211*D211,"")</f>
        <v/>
      </c>
    </row>
    <row r="212">
      <c r="A212" s="12" t="n"/>
      <c r="B212" s="12" t="n"/>
      <c r="C212" s="12" t="n"/>
      <c r="D212" s="11">
        <f>IFERROR(INDEX(Products!$E$2:$E$500,MATCH(B212,Products!$A$2:$A$500,0)),"")</f>
        <v/>
      </c>
      <c r="E212" s="11">
        <f>IFERROR(C212*D212,"")</f>
        <v/>
      </c>
    </row>
    <row r="213">
      <c r="A213" s="12" t="n"/>
      <c r="B213" s="12" t="n"/>
      <c r="C213" s="12" t="n"/>
      <c r="D213" s="11">
        <f>IFERROR(INDEX(Products!$E$2:$E$500,MATCH(B213,Products!$A$2:$A$500,0)),"")</f>
        <v/>
      </c>
      <c r="E213" s="11">
        <f>IFERROR(C213*D213,"")</f>
        <v/>
      </c>
    </row>
    <row r="214">
      <c r="A214" s="12" t="n"/>
      <c r="B214" s="12" t="n"/>
      <c r="C214" s="12" t="n"/>
      <c r="D214" s="11">
        <f>IFERROR(INDEX(Products!$E$2:$E$500,MATCH(B214,Products!$A$2:$A$500,0)),"")</f>
        <v/>
      </c>
      <c r="E214" s="11">
        <f>IFERROR(C214*D214,"")</f>
        <v/>
      </c>
    </row>
    <row r="215">
      <c r="A215" s="12" t="n"/>
      <c r="B215" s="12" t="n"/>
      <c r="C215" s="12" t="n"/>
      <c r="D215" s="11">
        <f>IFERROR(INDEX(Products!$E$2:$E$500,MATCH(B215,Products!$A$2:$A$500,0)),"")</f>
        <v/>
      </c>
      <c r="E215" s="11">
        <f>IFERROR(C215*D215,"")</f>
        <v/>
      </c>
    </row>
    <row r="216">
      <c r="A216" s="12" t="n"/>
      <c r="B216" s="12" t="n"/>
      <c r="C216" s="12" t="n"/>
      <c r="D216" s="11">
        <f>IFERROR(INDEX(Products!$E$2:$E$500,MATCH(B216,Products!$A$2:$A$500,0)),"")</f>
        <v/>
      </c>
      <c r="E216" s="11">
        <f>IFERROR(C216*D216,"")</f>
        <v/>
      </c>
    </row>
    <row r="217">
      <c r="A217" s="12" t="n"/>
      <c r="B217" s="12" t="n"/>
      <c r="C217" s="12" t="n"/>
      <c r="D217" s="11">
        <f>IFERROR(INDEX(Products!$E$2:$E$500,MATCH(B217,Products!$A$2:$A$500,0)),"")</f>
        <v/>
      </c>
      <c r="E217" s="11">
        <f>IFERROR(C217*D217,"")</f>
        <v/>
      </c>
    </row>
    <row r="218">
      <c r="A218" s="12" t="n"/>
      <c r="B218" s="12" t="n"/>
      <c r="C218" s="12" t="n"/>
      <c r="D218" s="11">
        <f>IFERROR(INDEX(Products!$E$2:$E$500,MATCH(B218,Products!$A$2:$A$500,0)),"")</f>
        <v/>
      </c>
      <c r="E218" s="11">
        <f>IFERROR(C218*D218,"")</f>
        <v/>
      </c>
    </row>
    <row r="219">
      <c r="A219" s="12" t="n"/>
      <c r="B219" s="12" t="n"/>
      <c r="C219" s="12" t="n"/>
      <c r="D219" s="11">
        <f>IFERROR(INDEX(Products!$E$2:$E$500,MATCH(B219,Products!$A$2:$A$500,0)),"")</f>
        <v/>
      </c>
      <c r="E219" s="11">
        <f>IFERROR(C219*D219,"")</f>
        <v/>
      </c>
    </row>
    <row r="220">
      <c r="A220" s="12" t="n"/>
      <c r="B220" s="12" t="n"/>
      <c r="C220" s="12" t="n"/>
      <c r="D220" s="11">
        <f>IFERROR(INDEX(Products!$E$2:$E$500,MATCH(B220,Products!$A$2:$A$500,0)),"")</f>
        <v/>
      </c>
      <c r="E220" s="11">
        <f>IFERROR(C220*D220,"")</f>
        <v/>
      </c>
    </row>
    <row r="221">
      <c r="A221" s="12" t="n"/>
      <c r="B221" s="12" t="n"/>
      <c r="C221" s="12" t="n"/>
      <c r="D221" s="11">
        <f>IFERROR(INDEX(Products!$E$2:$E$500,MATCH(B221,Products!$A$2:$A$500,0)),"")</f>
        <v/>
      </c>
      <c r="E221" s="11">
        <f>IFERROR(C221*D221,"")</f>
        <v/>
      </c>
    </row>
    <row r="222">
      <c r="A222" s="12" t="n"/>
      <c r="B222" s="12" t="n"/>
      <c r="C222" s="12" t="n"/>
      <c r="D222" s="11">
        <f>IFERROR(INDEX(Products!$E$2:$E$500,MATCH(B222,Products!$A$2:$A$500,0)),"")</f>
        <v/>
      </c>
      <c r="E222" s="11">
        <f>IFERROR(C222*D222,"")</f>
        <v/>
      </c>
    </row>
    <row r="223">
      <c r="A223" s="12" t="n"/>
      <c r="B223" s="12" t="n"/>
      <c r="C223" s="12" t="n"/>
      <c r="D223" s="11">
        <f>IFERROR(INDEX(Products!$E$2:$E$500,MATCH(B223,Products!$A$2:$A$500,0)),"")</f>
        <v/>
      </c>
      <c r="E223" s="11">
        <f>IFERROR(C223*D223,"")</f>
        <v/>
      </c>
    </row>
    <row r="224">
      <c r="A224" s="12" t="n"/>
      <c r="B224" s="12" t="n"/>
      <c r="C224" s="12" t="n"/>
      <c r="D224" s="11">
        <f>IFERROR(INDEX(Products!$E$2:$E$500,MATCH(B224,Products!$A$2:$A$500,0)),"")</f>
        <v/>
      </c>
      <c r="E224" s="11">
        <f>IFERROR(C224*D224,"")</f>
        <v/>
      </c>
    </row>
    <row r="225">
      <c r="A225" s="12" t="n"/>
      <c r="B225" s="12" t="n"/>
      <c r="C225" s="12" t="n"/>
      <c r="D225" s="11">
        <f>IFERROR(INDEX(Products!$E$2:$E$500,MATCH(B225,Products!$A$2:$A$500,0)),"")</f>
        <v/>
      </c>
      <c r="E225" s="11">
        <f>IFERROR(C225*D225,"")</f>
        <v/>
      </c>
    </row>
    <row r="226">
      <c r="A226" s="12" t="n"/>
      <c r="B226" s="12" t="n"/>
      <c r="C226" s="12" t="n"/>
      <c r="D226" s="11">
        <f>IFERROR(INDEX(Products!$E$2:$E$500,MATCH(B226,Products!$A$2:$A$500,0)),"")</f>
        <v/>
      </c>
      <c r="E226" s="11">
        <f>IFERROR(C226*D226,"")</f>
        <v/>
      </c>
    </row>
    <row r="227">
      <c r="A227" s="12" t="n"/>
      <c r="B227" s="12" t="n"/>
      <c r="C227" s="12" t="n"/>
      <c r="D227" s="11">
        <f>IFERROR(INDEX(Products!$E$2:$E$500,MATCH(B227,Products!$A$2:$A$500,0)),"")</f>
        <v/>
      </c>
      <c r="E227" s="11">
        <f>IFERROR(C227*D227,"")</f>
        <v/>
      </c>
    </row>
    <row r="228">
      <c r="A228" s="12" t="n"/>
      <c r="B228" s="12" t="n"/>
      <c r="C228" s="12" t="n"/>
      <c r="D228" s="11">
        <f>IFERROR(INDEX(Products!$E$2:$E$500,MATCH(B228,Products!$A$2:$A$500,0)),"")</f>
        <v/>
      </c>
      <c r="E228" s="11">
        <f>IFERROR(C228*D228,"")</f>
        <v/>
      </c>
    </row>
    <row r="229">
      <c r="A229" s="12" t="n"/>
      <c r="B229" s="12" t="n"/>
      <c r="C229" s="12" t="n"/>
      <c r="D229" s="11">
        <f>IFERROR(INDEX(Products!$E$2:$E$500,MATCH(B229,Products!$A$2:$A$500,0)),"")</f>
        <v/>
      </c>
      <c r="E229" s="11">
        <f>IFERROR(C229*D229,"")</f>
        <v/>
      </c>
    </row>
    <row r="230">
      <c r="A230" s="12" t="n"/>
      <c r="B230" s="12" t="n"/>
      <c r="C230" s="12" t="n"/>
      <c r="D230" s="11">
        <f>IFERROR(INDEX(Products!$E$2:$E$500,MATCH(B230,Products!$A$2:$A$500,0)),"")</f>
        <v/>
      </c>
      <c r="E230" s="11">
        <f>IFERROR(C230*D230,"")</f>
        <v/>
      </c>
    </row>
    <row r="231">
      <c r="A231" s="12" t="n"/>
      <c r="B231" s="12" t="n"/>
      <c r="C231" s="12" t="n"/>
      <c r="D231" s="11">
        <f>IFERROR(INDEX(Products!$E$2:$E$500,MATCH(B231,Products!$A$2:$A$500,0)),"")</f>
        <v/>
      </c>
      <c r="E231" s="11">
        <f>IFERROR(C231*D231,"")</f>
        <v/>
      </c>
    </row>
    <row r="232">
      <c r="A232" s="12" t="n"/>
      <c r="B232" s="12" t="n"/>
      <c r="C232" s="12" t="n"/>
      <c r="D232" s="11">
        <f>IFERROR(INDEX(Products!$E$2:$E$500,MATCH(B232,Products!$A$2:$A$500,0)),"")</f>
        <v/>
      </c>
      <c r="E232" s="11">
        <f>IFERROR(C232*D232,"")</f>
        <v/>
      </c>
    </row>
    <row r="233">
      <c r="A233" s="12" t="n"/>
      <c r="B233" s="12" t="n"/>
      <c r="C233" s="12" t="n"/>
      <c r="D233" s="11">
        <f>IFERROR(INDEX(Products!$E$2:$E$500,MATCH(B233,Products!$A$2:$A$500,0)),"")</f>
        <v/>
      </c>
      <c r="E233" s="11">
        <f>IFERROR(C233*D233,"")</f>
        <v/>
      </c>
    </row>
    <row r="234">
      <c r="A234" s="12" t="n"/>
      <c r="B234" s="12" t="n"/>
      <c r="C234" s="12" t="n"/>
      <c r="D234" s="11">
        <f>IFERROR(INDEX(Products!$E$2:$E$500,MATCH(B234,Products!$A$2:$A$500,0)),"")</f>
        <v/>
      </c>
      <c r="E234" s="11">
        <f>IFERROR(C234*D234,"")</f>
        <v/>
      </c>
    </row>
    <row r="235">
      <c r="A235" s="12" t="n"/>
      <c r="B235" s="12" t="n"/>
      <c r="C235" s="12" t="n"/>
      <c r="D235" s="11">
        <f>IFERROR(INDEX(Products!$E$2:$E$500,MATCH(B235,Products!$A$2:$A$500,0)),"")</f>
        <v/>
      </c>
      <c r="E235" s="11">
        <f>IFERROR(C235*D235,"")</f>
        <v/>
      </c>
    </row>
    <row r="236">
      <c r="A236" s="12" t="n"/>
      <c r="B236" s="12" t="n"/>
      <c r="C236" s="12" t="n"/>
      <c r="D236" s="11">
        <f>IFERROR(INDEX(Products!$E$2:$E$500,MATCH(B236,Products!$A$2:$A$500,0)),"")</f>
        <v/>
      </c>
      <c r="E236" s="11">
        <f>IFERROR(C236*D236,"")</f>
        <v/>
      </c>
    </row>
    <row r="237">
      <c r="A237" s="12" t="n"/>
      <c r="B237" s="12" t="n"/>
      <c r="C237" s="12" t="n"/>
      <c r="D237" s="11">
        <f>IFERROR(INDEX(Products!$E$2:$E$500,MATCH(B237,Products!$A$2:$A$500,0)),"")</f>
        <v/>
      </c>
      <c r="E237" s="11">
        <f>IFERROR(C237*D237,"")</f>
        <v/>
      </c>
    </row>
    <row r="238">
      <c r="A238" s="12" t="n"/>
      <c r="B238" s="12" t="n"/>
      <c r="C238" s="12" t="n"/>
      <c r="D238" s="11">
        <f>IFERROR(INDEX(Products!$E$2:$E$500,MATCH(B238,Products!$A$2:$A$500,0)),"")</f>
        <v/>
      </c>
      <c r="E238" s="11">
        <f>IFERROR(C238*D238,"")</f>
        <v/>
      </c>
    </row>
    <row r="239">
      <c r="A239" s="12" t="n"/>
      <c r="B239" s="12" t="n"/>
      <c r="C239" s="12" t="n"/>
      <c r="D239" s="11">
        <f>IFERROR(INDEX(Products!$E$2:$E$500,MATCH(B239,Products!$A$2:$A$500,0)),"")</f>
        <v/>
      </c>
      <c r="E239" s="11">
        <f>IFERROR(C239*D239,"")</f>
        <v/>
      </c>
    </row>
    <row r="240">
      <c r="A240" s="12" t="n"/>
      <c r="B240" s="12" t="n"/>
      <c r="C240" s="12" t="n"/>
      <c r="D240" s="11">
        <f>IFERROR(INDEX(Products!$E$2:$E$500,MATCH(B240,Products!$A$2:$A$500,0)),"")</f>
        <v/>
      </c>
      <c r="E240" s="11">
        <f>IFERROR(C240*D240,"")</f>
        <v/>
      </c>
    </row>
    <row r="241">
      <c r="A241" s="12" t="n"/>
      <c r="B241" s="12" t="n"/>
      <c r="C241" s="12" t="n"/>
      <c r="D241" s="11">
        <f>IFERROR(INDEX(Products!$E$2:$E$500,MATCH(B241,Products!$A$2:$A$500,0)),"")</f>
        <v/>
      </c>
      <c r="E241" s="11">
        <f>IFERROR(C241*D241,"")</f>
        <v/>
      </c>
    </row>
    <row r="242">
      <c r="A242" s="12" t="n"/>
      <c r="B242" s="12" t="n"/>
      <c r="C242" s="12" t="n"/>
      <c r="D242" s="11">
        <f>IFERROR(INDEX(Products!$E$2:$E$500,MATCH(B242,Products!$A$2:$A$500,0)),"")</f>
        <v/>
      </c>
      <c r="E242" s="11">
        <f>IFERROR(C242*D242,"")</f>
        <v/>
      </c>
    </row>
    <row r="243">
      <c r="A243" s="12" t="n"/>
      <c r="B243" s="12" t="n"/>
      <c r="C243" s="12" t="n"/>
      <c r="D243" s="11">
        <f>IFERROR(INDEX(Products!$E$2:$E$500,MATCH(B243,Products!$A$2:$A$500,0)),"")</f>
        <v/>
      </c>
      <c r="E243" s="11">
        <f>IFERROR(C243*D243,"")</f>
        <v/>
      </c>
    </row>
    <row r="244">
      <c r="A244" s="12" t="n"/>
      <c r="B244" s="12" t="n"/>
      <c r="C244" s="12" t="n"/>
      <c r="D244" s="11">
        <f>IFERROR(INDEX(Products!$E$2:$E$500,MATCH(B244,Products!$A$2:$A$500,0)),"")</f>
        <v/>
      </c>
      <c r="E244" s="11">
        <f>IFERROR(C244*D244,"")</f>
        <v/>
      </c>
    </row>
    <row r="245">
      <c r="A245" s="12" t="n"/>
      <c r="B245" s="12" t="n"/>
      <c r="C245" s="12" t="n"/>
      <c r="D245" s="11">
        <f>IFERROR(INDEX(Products!$E$2:$E$500,MATCH(B245,Products!$A$2:$A$500,0)),"")</f>
        <v/>
      </c>
      <c r="E245" s="11">
        <f>IFERROR(C245*D245,"")</f>
        <v/>
      </c>
    </row>
    <row r="246">
      <c r="A246" s="12" t="n"/>
      <c r="B246" s="12" t="n"/>
      <c r="C246" s="12" t="n"/>
      <c r="D246" s="11">
        <f>IFERROR(INDEX(Products!$E$2:$E$500,MATCH(B246,Products!$A$2:$A$500,0)),"")</f>
        <v/>
      </c>
      <c r="E246" s="11">
        <f>IFERROR(C246*D246,"")</f>
        <v/>
      </c>
    </row>
    <row r="247">
      <c r="A247" s="12" t="n"/>
      <c r="B247" s="12" t="n"/>
      <c r="C247" s="12" t="n"/>
      <c r="D247" s="11">
        <f>IFERROR(INDEX(Products!$E$2:$E$500,MATCH(B247,Products!$A$2:$A$500,0)),"")</f>
        <v/>
      </c>
      <c r="E247" s="11">
        <f>IFERROR(C247*D247,"")</f>
        <v/>
      </c>
    </row>
    <row r="248">
      <c r="A248" s="12" t="n"/>
      <c r="B248" s="12" t="n"/>
      <c r="C248" s="12" t="n"/>
      <c r="D248" s="11">
        <f>IFERROR(INDEX(Products!$E$2:$E$500,MATCH(B248,Products!$A$2:$A$500,0)),"")</f>
        <v/>
      </c>
      <c r="E248" s="11">
        <f>IFERROR(C248*D248,"")</f>
        <v/>
      </c>
    </row>
    <row r="249">
      <c r="A249" s="12" t="n"/>
      <c r="B249" s="12" t="n"/>
      <c r="C249" s="12" t="n"/>
      <c r="D249" s="11">
        <f>IFERROR(INDEX(Products!$E$2:$E$500,MATCH(B249,Products!$A$2:$A$500,0)),"")</f>
        <v/>
      </c>
      <c r="E249" s="11">
        <f>IFERROR(C249*D249,"")</f>
        <v/>
      </c>
    </row>
    <row r="250">
      <c r="A250" s="12" t="n"/>
      <c r="B250" s="12" t="n"/>
      <c r="C250" s="12" t="n"/>
      <c r="D250" s="11">
        <f>IFERROR(INDEX(Products!$E$2:$E$500,MATCH(B250,Products!$A$2:$A$500,0)),"")</f>
        <v/>
      </c>
      <c r="E250" s="11">
        <f>IFERROR(C250*D250,"")</f>
        <v/>
      </c>
    </row>
    <row r="251">
      <c r="A251" s="12" t="n"/>
      <c r="B251" s="12" t="n"/>
      <c r="C251" s="12" t="n"/>
      <c r="D251" s="11">
        <f>IFERROR(INDEX(Products!$E$2:$E$500,MATCH(B251,Products!$A$2:$A$500,0)),"")</f>
        <v/>
      </c>
      <c r="E251" s="11">
        <f>IFERROR(C251*D251,"")</f>
        <v/>
      </c>
    </row>
    <row r="252">
      <c r="A252" s="12" t="n"/>
      <c r="B252" s="12" t="n"/>
      <c r="C252" s="12" t="n"/>
      <c r="D252" s="11">
        <f>IFERROR(INDEX(Products!$E$2:$E$500,MATCH(B252,Products!$A$2:$A$500,0)),"")</f>
        <v/>
      </c>
      <c r="E252" s="11">
        <f>IFERROR(C252*D252,"")</f>
        <v/>
      </c>
    </row>
    <row r="253">
      <c r="A253" s="12" t="n"/>
      <c r="B253" s="12" t="n"/>
      <c r="C253" s="12" t="n"/>
      <c r="D253" s="11">
        <f>IFERROR(INDEX(Products!$E$2:$E$500,MATCH(B253,Products!$A$2:$A$500,0)),"")</f>
        <v/>
      </c>
      <c r="E253" s="11">
        <f>IFERROR(C253*D253,"")</f>
        <v/>
      </c>
    </row>
    <row r="254">
      <c r="A254" s="12" t="n"/>
      <c r="B254" s="12" t="n"/>
      <c r="C254" s="12" t="n"/>
      <c r="D254" s="11">
        <f>IFERROR(INDEX(Products!$E$2:$E$500,MATCH(B254,Products!$A$2:$A$500,0)),"")</f>
        <v/>
      </c>
      <c r="E254" s="11">
        <f>IFERROR(C254*D254,"")</f>
        <v/>
      </c>
    </row>
    <row r="255">
      <c r="A255" s="12" t="n"/>
      <c r="B255" s="12" t="n"/>
      <c r="C255" s="12" t="n"/>
      <c r="D255" s="11">
        <f>IFERROR(INDEX(Products!$E$2:$E$500,MATCH(B255,Products!$A$2:$A$500,0)),"")</f>
        <v/>
      </c>
      <c r="E255" s="11">
        <f>IFERROR(C255*D255,"")</f>
        <v/>
      </c>
    </row>
    <row r="256">
      <c r="A256" s="12" t="n"/>
      <c r="B256" s="12" t="n"/>
      <c r="C256" s="12" t="n"/>
      <c r="D256" s="11">
        <f>IFERROR(INDEX(Products!$E$2:$E$500,MATCH(B256,Products!$A$2:$A$500,0)),"")</f>
        <v/>
      </c>
      <c r="E256" s="11">
        <f>IFERROR(C256*D256,"")</f>
        <v/>
      </c>
    </row>
    <row r="257">
      <c r="A257" s="12" t="n"/>
      <c r="B257" s="12" t="n"/>
      <c r="C257" s="12" t="n"/>
      <c r="D257" s="11">
        <f>IFERROR(INDEX(Products!$E$2:$E$500,MATCH(B257,Products!$A$2:$A$500,0)),"")</f>
        <v/>
      </c>
      <c r="E257" s="11">
        <f>IFERROR(C257*D257,"")</f>
        <v/>
      </c>
    </row>
    <row r="258">
      <c r="A258" s="12" t="n"/>
      <c r="B258" s="12" t="n"/>
      <c r="C258" s="12" t="n"/>
      <c r="D258" s="11">
        <f>IFERROR(INDEX(Products!$E$2:$E$500,MATCH(B258,Products!$A$2:$A$500,0)),"")</f>
        <v/>
      </c>
      <c r="E258" s="11">
        <f>IFERROR(C258*D258,"")</f>
        <v/>
      </c>
    </row>
    <row r="259">
      <c r="A259" s="12" t="n"/>
      <c r="B259" s="12" t="n"/>
      <c r="C259" s="12" t="n"/>
      <c r="D259" s="11">
        <f>IFERROR(INDEX(Products!$E$2:$E$500,MATCH(B259,Products!$A$2:$A$500,0)),"")</f>
        <v/>
      </c>
      <c r="E259" s="11">
        <f>IFERROR(C259*D259,"")</f>
        <v/>
      </c>
    </row>
    <row r="260">
      <c r="A260" s="12" t="n"/>
      <c r="B260" s="12" t="n"/>
      <c r="C260" s="12" t="n"/>
      <c r="D260" s="11">
        <f>IFERROR(INDEX(Products!$E$2:$E$500,MATCH(B260,Products!$A$2:$A$500,0)),"")</f>
        <v/>
      </c>
      <c r="E260" s="11">
        <f>IFERROR(C260*D260,"")</f>
        <v/>
      </c>
    </row>
    <row r="261">
      <c r="A261" s="12" t="n"/>
      <c r="B261" s="12" t="n"/>
      <c r="C261" s="12" t="n"/>
      <c r="D261" s="11">
        <f>IFERROR(INDEX(Products!$E$2:$E$500,MATCH(B261,Products!$A$2:$A$500,0)),"")</f>
        <v/>
      </c>
      <c r="E261" s="11">
        <f>IFERROR(C261*D261,"")</f>
        <v/>
      </c>
    </row>
    <row r="262">
      <c r="A262" s="12" t="n"/>
      <c r="B262" s="12" t="n"/>
      <c r="C262" s="12" t="n"/>
      <c r="D262" s="11">
        <f>IFERROR(INDEX(Products!$E$2:$E$500,MATCH(B262,Products!$A$2:$A$500,0)),"")</f>
        <v/>
      </c>
      <c r="E262" s="11">
        <f>IFERROR(C262*D262,"")</f>
        <v/>
      </c>
    </row>
    <row r="263">
      <c r="A263" s="12" t="n"/>
      <c r="B263" s="12" t="n"/>
      <c r="C263" s="12" t="n"/>
      <c r="D263" s="11">
        <f>IFERROR(INDEX(Products!$E$2:$E$500,MATCH(B263,Products!$A$2:$A$500,0)),"")</f>
        <v/>
      </c>
      <c r="E263" s="11">
        <f>IFERROR(C263*D263,"")</f>
        <v/>
      </c>
    </row>
    <row r="264">
      <c r="A264" s="12" t="n"/>
      <c r="B264" s="12" t="n"/>
      <c r="C264" s="12" t="n"/>
      <c r="D264" s="11">
        <f>IFERROR(INDEX(Products!$E$2:$E$500,MATCH(B264,Products!$A$2:$A$500,0)),"")</f>
        <v/>
      </c>
      <c r="E264" s="11">
        <f>IFERROR(C264*D264,"")</f>
        <v/>
      </c>
    </row>
    <row r="265">
      <c r="A265" s="12" t="n"/>
      <c r="B265" s="12" t="n"/>
      <c r="C265" s="12" t="n"/>
      <c r="D265" s="11">
        <f>IFERROR(INDEX(Products!$E$2:$E$500,MATCH(B265,Products!$A$2:$A$500,0)),"")</f>
        <v/>
      </c>
      <c r="E265" s="11">
        <f>IFERROR(C265*D265,"")</f>
        <v/>
      </c>
    </row>
    <row r="266">
      <c r="A266" s="12" t="n"/>
      <c r="B266" s="12" t="n"/>
      <c r="C266" s="12" t="n"/>
      <c r="D266" s="11">
        <f>IFERROR(INDEX(Products!$E$2:$E$500,MATCH(B266,Products!$A$2:$A$500,0)),"")</f>
        <v/>
      </c>
      <c r="E266" s="11">
        <f>IFERROR(C266*D266,"")</f>
        <v/>
      </c>
    </row>
    <row r="267">
      <c r="A267" s="12" t="n"/>
      <c r="B267" s="12" t="n"/>
      <c r="C267" s="12" t="n"/>
      <c r="D267" s="11">
        <f>IFERROR(INDEX(Products!$E$2:$E$500,MATCH(B267,Products!$A$2:$A$500,0)),"")</f>
        <v/>
      </c>
      <c r="E267" s="11">
        <f>IFERROR(C267*D267,"")</f>
        <v/>
      </c>
    </row>
    <row r="268">
      <c r="A268" s="12" t="n"/>
      <c r="B268" s="12" t="n"/>
      <c r="C268" s="12" t="n"/>
      <c r="D268" s="11">
        <f>IFERROR(INDEX(Products!$E$2:$E$500,MATCH(B268,Products!$A$2:$A$500,0)),"")</f>
        <v/>
      </c>
      <c r="E268" s="11">
        <f>IFERROR(C268*D268,"")</f>
        <v/>
      </c>
    </row>
    <row r="269">
      <c r="A269" s="12" t="n"/>
      <c r="B269" s="12" t="n"/>
      <c r="C269" s="12" t="n"/>
      <c r="D269" s="11">
        <f>IFERROR(INDEX(Products!$E$2:$E$500,MATCH(B269,Products!$A$2:$A$500,0)),"")</f>
        <v/>
      </c>
      <c r="E269" s="11">
        <f>IFERROR(C269*D269,"")</f>
        <v/>
      </c>
    </row>
    <row r="270">
      <c r="A270" s="12" t="n"/>
      <c r="B270" s="12" t="n"/>
      <c r="C270" s="12" t="n"/>
      <c r="D270" s="11">
        <f>IFERROR(INDEX(Products!$E$2:$E$500,MATCH(B270,Products!$A$2:$A$500,0)),"")</f>
        <v/>
      </c>
      <c r="E270" s="11">
        <f>IFERROR(C270*D270,"")</f>
        <v/>
      </c>
    </row>
    <row r="271">
      <c r="A271" s="12" t="n"/>
      <c r="B271" s="12" t="n"/>
      <c r="C271" s="12" t="n"/>
      <c r="D271" s="11">
        <f>IFERROR(INDEX(Products!$E$2:$E$500,MATCH(B271,Products!$A$2:$A$500,0)),"")</f>
        <v/>
      </c>
      <c r="E271" s="11">
        <f>IFERROR(C271*D271,"")</f>
        <v/>
      </c>
    </row>
    <row r="272">
      <c r="A272" s="12" t="n"/>
      <c r="B272" s="12" t="n"/>
      <c r="C272" s="12" t="n"/>
      <c r="D272" s="11">
        <f>IFERROR(INDEX(Products!$E$2:$E$500,MATCH(B272,Products!$A$2:$A$500,0)),"")</f>
        <v/>
      </c>
      <c r="E272" s="11">
        <f>IFERROR(C272*D272,"")</f>
        <v/>
      </c>
    </row>
    <row r="273">
      <c r="A273" s="12" t="n"/>
      <c r="B273" s="12" t="n"/>
      <c r="C273" s="12" t="n"/>
      <c r="D273" s="11">
        <f>IFERROR(INDEX(Products!$E$2:$E$500,MATCH(B273,Products!$A$2:$A$500,0)),"")</f>
        <v/>
      </c>
      <c r="E273" s="11">
        <f>IFERROR(C273*D273,"")</f>
        <v/>
      </c>
    </row>
    <row r="274">
      <c r="A274" s="12" t="n"/>
      <c r="B274" s="12" t="n"/>
      <c r="C274" s="12" t="n"/>
      <c r="D274" s="11">
        <f>IFERROR(INDEX(Products!$E$2:$E$500,MATCH(B274,Products!$A$2:$A$500,0)),"")</f>
        <v/>
      </c>
      <c r="E274" s="11">
        <f>IFERROR(C274*D274,"")</f>
        <v/>
      </c>
    </row>
    <row r="275">
      <c r="A275" s="12" t="n"/>
      <c r="B275" s="12" t="n"/>
      <c r="C275" s="12" t="n"/>
      <c r="D275" s="11">
        <f>IFERROR(INDEX(Products!$E$2:$E$500,MATCH(B275,Products!$A$2:$A$500,0)),"")</f>
        <v/>
      </c>
      <c r="E275" s="11">
        <f>IFERROR(C275*D275,"")</f>
        <v/>
      </c>
    </row>
    <row r="276">
      <c r="A276" s="12" t="n"/>
      <c r="B276" s="12" t="n"/>
      <c r="C276" s="12" t="n"/>
      <c r="D276" s="11">
        <f>IFERROR(INDEX(Products!$E$2:$E$500,MATCH(B276,Products!$A$2:$A$500,0)),"")</f>
        <v/>
      </c>
      <c r="E276" s="11">
        <f>IFERROR(C276*D276,"")</f>
        <v/>
      </c>
    </row>
    <row r="277">
      <c r="A277" s="12" t="n"/>
      <c r="B277" s="12" t="n"/>
      <c r="C277" s="12" t="n"/>
      <c r="D277" s="11">
        <f>IFERROR(INDEX(Products!$E$2:$E$500,MATCH(B277,Products!$A$2:$A$500,0)),"")</f>
        <v/>
      </c>
      <c r="E277" s="11">
        <f>IFERROR(C277*D277,"")</f>
        <v/>
      </c>
    </row>
    <row r="278">
      <c r="A278" s="12" t="n"/>
      <c r="B278" s="12" t="n"/>
      <c r="C278" s="12" t="n"/>
      <c r="D278" s="11">
        <f>IFERROR(INDEX(Products!$E$2:$E$500,MATCH(B278,Products!$A$2:$A$500,0)),"")</f>
        <v/>
      </c>
      <c r="E278" s="11">
        <f>IFERROR(C278*D278,"")</f>
        <v/>
      </c>
    </row>
    <row r="279">
      <c r="A279" s="12" t="n"/>
      <c r="B279" s="12" t="n"/>
      <c r="C279" s="12" t="n"/>
      <c r="D279" s="11">
        <f>IFERROR(INDEX(Products!$E$2:$E$500,MATCH(B279,Products!$A$2:$A$500,0)),"")</f>
        <v/>
      </c>
      <c r="E279" s="11">
        <f>IFERROR(C279*D279,"")</f>
        <v/>
      </c>
    </row>
    <row r="280">
      <c r="A280" s="12" t="n"/>
      <c r="B280" s="12" t="n"/>
      <c r="C280" s="12" t="n"/>
      <c r="D280" s="11">
        <f>IFERROR(INDEX(Products!$E$2:$E$500,MATCH(B280,Products!$A$2:$A$500,0)),"")</f>
        <v/>
      </c>
      <c r="E280" s="11">
        <f>IFERROR(C280*D280,"")</f>
        <v/>
      </c>
    </row>
    <row r="281">
      <c r="A281" s="12" t="n"/>
      <c r="B281" s="12" t="n"/>
      <c r="C281" s="12" t="n"/>
      <c r="D281" s="11">
        <f>IFERROR(INDEX(Products!$E$2:$E$500,MATCH(B281,Products!$A$2:$A$500,0)),"")</f>
        <v/>
      </c>
      <c r="E281" s="11">
        <f>IFERROR(C281*D281,"")</f>
        <v/>
      </c>
    </row>
    <row r="282">
      <c r="A282" s="12" t="n"/>
      <c r="B282" s="12" t="n"/>
      <c r="C282" s="12" t="n"/>
      <c r="D282" s="11">
        <f>IFERROR(INDEX(Products!$E$2:$E$500,MATCH(B282,Products!$A$2:$A$500,0)),"")</f>
        <v/>
      </c>
      <c r="E282" s="11">
        <f>IFERROR(C282*D282,"")</f>
        <v/>
      </c>
    </row>
    <row r="283">
      <c r="A283" s="12" t="n"/>
      <c r="B283" s="12" t="n"/>
      <c r="C283" s="12" t="n"/>
      <c r="D283" s="11">
        <f>IFERROR(INDEX(Products!$E$2:$E$500,MATCH(B283,Products!$A$2:$A$500,0)),"")</f>
        <v/>
      </c>
      <c r="E283" s="11">
        <f>IFERROR(C283*D283,"")</f>
        <v/>
      </c>
    </row>
    <row r="284">
      <c r="A284" s="12" t="n"/>
      <c r="B284" s="12" t="n"/>
      <c r="C284" s="12" t="n"/>
      <c r="D284" s="11">
        <f>IFERROR(INDEX(Products!$E$2:$E$500,MATCH(B284,Products!$A$2:$A$500,0)),"")</f>
        <v/>
      </c>
      <c r="E284" s="11">
        <f>IFERROR(C284*D284,"")</f>
        <v/>
      </c>
    </row>
    <row r="285">
      <c r="A285" s="12" t="n"/>
      <c r="B285" s="12" t="n"/>
      <c r="C285" s="12" t="n"/>
      <c r="D285" s="11">
        <f>IFERROR(INDEX(Products!$E$2:$E$500,MATCH(B285,Products!$A$2:$A$500,0)),"")</f>
        <v/>
      </c>
      <c r="E285" s="11">
        <f>IFERROR(C285*D285,"")</f>
        <v/>
      </c>
    </row>
    <row r="286">
      <c r="A286" s="12" t="n"/>
      <c r="B286" s="12" t="n"/>
      <c r="C286" s="12" t="n"/>
      <c r="D286" s="11">
        <f>IFERROR(INDEX(Products!$E$2:$E$500,MATCH(B286,Products!$A$2:$A$500,0)),"")</f>
        <v/>
      </c>
      <c r="E286" s="11">
        <f>IFERROR(C286*D286,"")</f>
        <v/>
      </c>
    </row>
    <row r="287">
      <c r="A287" s="12" t="n"/>
      <c r="B287" s="12" t="n"/>
      <c r="C287" s="12" t="n"/>
      <c r="D287" s="11">
        <f>IFERROR(INDEX(Products!$E$2:$E$500,MATCH(B287,Products!$A$2:$A$500,0)),"")</f>
        <v/>
      </c>
      <c r="E287" s="11">
        <f>IFERROR(C287*D287,"")</f>
        <v/>
      </c>
    </row>
    <row r="288">
      <c r="A288" s="12" t="n"/>
      <c r="B288" s="12" t="n"/>
      <c r="C288" s="12" t="n"/>
      <c r="D288" s="11">
        <f>IFERROR(INDEX(Products!$E$2:$E$500,MATCH(B288,Products!$A$2:$A$500,0)),"")</f>
        <v/>
      </c>
      <c r="E288" s="11">
        <f>IFERROR(C288*D288,"")</f>
        <v/>
      </c>
    </row>
    <row r="289">
      <c r="A289" s="12" t="n"/>
      <c r="B289" s="12" t="n"/>
      <c r="C289" s="12" t="n"/>
      <c r="D289" s="11">
        <f>IFERROR(INDEX(Products!$E$2:$E$500,MATCH(B289,Products!$A$2:$A$500,0)),"")</f>
        <v/>
      </c>
      <c r="E289" s="11">
        <f>IFERROR(C289*D289,"")</f>
        <v/>
      </c>
    </row>
    <row r="290">
      <c r="A290" s="12" t="n"/>
      <c r="B290" s="12" t="n"/>
      <c r="C290" s="12" t="n"/>
      <c r="D290" s="11">
        <f>IFERROR(INDEX(Products!$E$2:$E$500,MATCH(B290,Products!$A$2:$A$500,0)),"")</f>
        <v/>
      </c>
      <c r="E290" s="11">
        <f>IFERROR(C290*D290,"")</f>
        <v/>
      </c>
    </row>
    <row r="291">
      <c r="A291" s="12" t="n"/>
      <c r="B291" s="12" t="n"/>
      <c r="C291" s="12" t="n"/>
      <c r="D291" s="11">
        <f>IFERROR(INDEX(Products!$E$2:$E$500,MATCH(B291,Products!$A$2:$A$500,0)),"")</f>
        <v/>
      </c>
      <c r="E291" s="11">
        <f>IFERROR(C291*D291,"")</f>
        <v/>
      </c>
    </row>
    <row r="292">
      <c r="A292" s="12" t="n"/>
      <c r="B292" s="12" t="n"/>
      <c r="C292" s="12" t="n"/>
      <c r="D292" s="11">
        <f>IFERROR(INDEX(Products!$E$2:$E$500,MATCH(B292,Products!$A$2:$A$500,0)),"")</f>
        <v/>
      </c>
      <c r="E292" s="11">
        <f>IFERROR(C292*D292,"")</f>
        <v/>
      </c>
    </row>
    <row r="293">
      <c r="A293" s="12" t="n"/>
      <c r="B293" s="12" t="n"/>
      <c r="C293" s="12" t="n"/>
      <c r="D293" s="11">
        <f>IFERROR(INDEX(Products!$E$2:$E$500,MATCH(B293,Products!$A$2:$A$500,0)),"")</f>
        <v/>
      </c>
      <c r="E293" s="11">
        <f>IFERROR(C293*D293,"")</f>
        <v/>
      </c>
    </row>
    <row r="294">
      <c r="A294" s="12" t="n"/>
      <c r="B294" s="12" t="n"/>
      <c r="C294" s="12" t="n"/>
      <c r="D294" s="11">
        <f>IFERROR(INDEX(Products!$E$2:$E$500,MATCH(B294,Products!$A$2:$A$500,0)),"")</f>
        <v/>
      </c>
      <c r="E294" s="11">
        <f>IFERROR(C294*D294,"")</f>
        <v/>
      </c>
    </row>
    <row r="295">
      <c r="A295" s="12" t="n"/>
      <c r="B295" s="12" t="n"/>
      <c r="C295" s="12" t="n"/>
      <c r="D295" s="11">
        <f>IFERROR(INDEX(Products!$E$2:$E$500,MATCH(B295,Products!$A$2:$A$500,0)),"")</f>
        <v/>
      </c>
      <c r="E295" s="11">
        <f>IFERROR(C295*D295,"")</f>
        <v/>
      </c>
    </row>
    <row r="296">
      <c r="A296" s="12" t="n"/>
      <c r="B296" s="12" t="n"/>
      <c r="C296" s="12" t="n"/>
      <c r="D296" s="11">
        <f>IFERROR(INDEX(Products!$E$2:$E$500,MATCH(B296,Products!$A$2:$A$500,0)),"")</f>
        <v/>
      </c>
      <c r="E296" s="11">
        <f>IFERROR(C296*D296,"")</f>
        <v/>
      </c>
    </row>
    <row r="297">
      <c r="A297" s="12" t="n"/>
      <c r="B297" s="12" t="n"/>
      <c r="C297" s="12" t="n"/>
      <c r="D297" s="11">
        <f>IFERROR(INDEX(Products!$E$2:$E$500,MATCH(B297,Products!$A$2:$A$500,0)),"")</f>
        <v/>
      </c>
      <c r="E297" s="11">
        <f>IFERROR(C297*D297,"")</f>
        <v/>
      </c>
    </row>
    <row r="298">
      <c r="A298" s="12" t="n"/>
      <c r="B298" s="12" t="n"/>
      <c r="C298" s="12" t="n"/>
      <c r="D298" s="11">
        <f>IFERROR(INDEX(Products!$E$2:$E$500,MATCH(B298,Products!$A$2:$A$500,0)),"")</f>
        <v/>
      </c>
      <c r="E298" s="11">
        <f>IFERROR(C298*D298,"")</f>
        <v/>
      </c>
    </row>
    <row r="299">
      <c r="A299" s="12" t="n"/>
      <c r="B299" s="12" t="n"/>
      <c r="C299" s="12" t="n"/>
      <c r="D299" s="11">
        <f>IFERROR(INDEX(Products!$E$2:$E$500,MATCH(B299,Products!$A$2:$A$500,0)),"")</f>
        <v/>
      </c>
      <c r="E299" s="11">
        <f>IFERROR(C299*D299,"")</f>
        <v/>
      </c>
    </row>
    <row r="300">
      <c r="A300" s="12" t="n"/>
      <c r="B300" s="12" t="n"/>
      <c r="C300" s="12" t="n"/>
      <c r="D300" s="11">
        <f>IFERROR(INDEX(Products!$E$2:$E$500,MATCH(B300,Products!$A$2:$A$500,0)),"")</f>
        <v/>
      </c>
      <c r="E300" s="11">
        <f>IFERROR(C300*D300,"")</f>
        <v/>
      </c>
    </row>
    <row r="301">
      <c r="A301" s="12" t="n"/>
      <c r="B301" s="12" t="n"/>
      <c r="C301" s="12" t="n"/>
      <c r="D301" s="11">
        <f>IFERROR(INDEX(Products!$E$2:$E$500,MATCH(B301,Products!$A$2:$A$500,0)),"")</f>
        <v/>
      </c>
      <c r="E301" s="11">
        <f>IFERROR(C301*D301,"")</f>
        <v/>
      </c>
    </row>
    <row r="302">
      <c r="A302" s="12" t="n"/>
      <c r="B302" s="12" t="n"/>
      <c r="C302" s="12" t="n"/>
      <c r="D302" s="11">
        <f>IFERROR(INDEX(Products!$E$2:$E$500,MATCH(B302,Products!$A$2:$A$500,0)),"")</f>
        <v/>
      </c>
      <c r="E302" s="11">
        <f>IFERROR(C302*D302,"")</f>
        <v/>
      </c>
    </row>
    <row r="303">
      <c r="A303" s="12" t="n"/>
      <c r="B303" s="12" t="n"/>
      <c r="C303" s="12" t="n"/>
      <c r="D303" s="11">
        <f>IFERROR(INDEX(Products!$E$2:$E$500,MATCH(B303,Products!$A$2:$A$500,0)),"")</f>
        <v/>
      </c>
      <c r="E303" s="11">
        <f>IFERROR(C303*D303,"")</f>
        <v/>
      </c>
    </row>
    <row r="304">
      <c r="A304" s="12" t="n"/>
      <c r="B304" s="12" t="n"/>
      <c r="C304" s="12" t="n"/>
      <c r="D304" s="11">
        <f>IFERROR(INDEX(Products!$E$2:$E$500,MATCH(B304,Products!$A$2:$A$500,0)),"")</f>
        <v/>
      </c>
      <c r="E304" s="11">
        <f>IFERROR(C304*D304,"")</f>
        <v/>
      </c>
    </row>
    <row r="305">
      <c r="A305" s="12" t="n"/>
      <c r="B305" s="12" t="n"/>
      <c r="C305" s="12" t="n"/>
      <c r="D305" s="11">
        <f>IFERROR(INDEX(Products!$E$2:$E$500,MATCH(B305,Products!$A$2:$A$500,0)),"")</f>
        <v/>
      </c>
      <c r="E305" s="11">
        <f>IFERROR(C305*D305,"")</f>
        <v/>
      </c>
    </row>
    <row r="306">
      <c r="A306" s="12" t="n"/>
      <c r="B306" s="12" t="n"/>
      <c r="C306" s="12" t="n"/>
      <c r="D306" s="11">
        <f>IFERROR(INDEX(Products!$E$2:$E$500,MATCH(B306,Products!$A$2:$A$500,0)),"")</f>
        <v/>
      </c>
      <c r="E306" s="11">
        <f>IFERROR(C306*D306,"")</f>
        <v/>
      </c>
    </row>
    <row r="307">
      <c r="A307" s="12" t="n"/>
      <c r="B307" s="12" t="n"/>
      <c r="C307" s="12" t="n"/>
      <c r="D307" s="11">
        <f>IFERROR(INDEX(Products!$E$2:$E$500,MATCH(B307,Products!$A$2:$A$500,0)),"")</f>
        <v/>
      </c>
      <c r="E307" s="11">
        <f>IFERROR(C307*D307,"")</f>
        <v/>
      </c>
    </row>
    <row r="308">
      <c r="A308" s="12" t="n"/>
      <c r="B308" s="12" t="n"/>
      <c r="C308" s="12" t="n"/>
      <c r="D308" s="11">
        <f>IFERROR(INDEX(Products!$E$2:$E$500,MATCH(B308,Products!$A$2:$A$500,0)),"")</f>
        <v/>
      </c>
      <c r="E308" s="11">
        <f>IFERROR(C308*D308,"")</f>
        <v/>
      </c>
    </row>
    <row r="309">
      <c r="A309" s="12" t="n"/>
      <c r="B309" s="12" t="n"/>
      <c r="C309" s="12" t="n"/>
      <c r="D309" s="11">
        <f>IFERROR(INDEX(Products!$E$2:$E$500,MATCH(B309,Products!$A$2:$A$500,0)),"")</f>
        <v/>
      </c>
      <c r="E309" s="11">
        <f>IFERROR(C309*D309,"")</f>
        <v/>
      </c>
    </row>
    <row r="310">
      <c r="A310" s="12" t="n"/>
      <c r="B310" s="12" t="n"/>
      <c r="C310" s="12" t="n"/>
      <c r="D310" s="11">
        <f>IFERROR(INDEX(Products!$E$2:$E$500,MATCH(B310,Products!$A$2:$A$500,0)),"")</f>
        <v/>
      </c>
      <c r="E310" s="11">
        <f>IFERROR(C310*D310,"")</f>
        <v/>
      </c>
    </row>
    <row r="311">
      <c r="A311" s="12" t="n"/>
      <c r="B311" s="12" t="n"/>
      <c r="C311" s="12" t="n"/>
      <c r="D311" s="11">
        <f>IFERROR(INDEX(Products!$E$2:$E$500,MATCH(B311,Products!$A$2:$A$500,0)),"")</f>
        <v/>
      </c>
      <c r="E311" s="11">
        <f>IFERROR(C311*D311,"")</f>
        <v/>
      </c>
    </row>
    <row r="312">
      <c r="A312" s="12" t="n"/>
      <c r="B312" s="12" t="n"/>
      <c r="C312" s="12" t="n"/>
      <c r="D312" s="11">
        <f>IFERROR(INDEX(Products!$E$2:$E$500,MATCH(B312,Products!$A$2:$A$500,0)),"")</f>
        <v/>
      </c>
      <c r="E312" s="11">
        <f>IFERROR(C312*D312,"")</f>
        <v/>
      </c>
    </row>
    <row r="313">
      <c r="A313" s="12" t="n"/>
      <c r="B313" s="12" t="n"/>
      <c r="C313" s="12" t="n"/>
      <c r="D313" s="11">
        <f>IFERROR(INDEX(Products!$E$2:$E$500,MATCH(B313,Products!$A$2:$A$500,0)),"")</f>
        <v/>
      </c>
      <c r="E313" s="11">
        <f>IFERROR(C313*D313,"")</f>
        <v/>
      </c>
    </row>
    <row r="314">
      <c r="A314" s="12" t="n"/>
      <c r="B314" s="12" t="n"/>
      <c r="C314" s="12" t="n"/>
      <c r="D314" s="11">
        <f>IFERROR(INDEX(Products!$E$2:$E$500,MATCH(B314,Products!$A$2:$A$500,0)),"")</f>
        <v/>
      </c>
      <c r="E314" s="11">
        <f>IFERROR(C314*D314,"")</f>
        <v/>
      </c>
    </row>
    <row r="315">
      <c r="A315" s="12" t="n"/>
      <c r="B315" s="12" t="n"/>
      <c r="C315" s="12" t="n"/>
      <c r="D315" s="11">
        <f>IFERROR(INDEX(Products!$E$2:$E$500,MATCH(B315,Products!$A$2:$A$500,0)),"")</f>
        <v/>
      </c>
      <c r="E315" s="11">
        <f>IFERROR(C315*D315,"")</f>
        <v/>
      </c>
    </row>
    <row r="316">
      <c r="A316" s="12" t="n"/>
      <c r="B316" s="12" t="n"/>
      <c r="C316" s="12" t="n"/>
      <c r="D316" s="11">
        <f>IFERROR(INDEX(Products!$E$2:$E$500,MATCH(B316,Products!$A$2:$A$500,0)),"")</f>
        <v/>
      </c>
      <c r="E316" s="11">
        <f>IFERROR(C316*D316,"")</f>
        <v/>
      </c>
    </row>
    <row r="317">
      <c r="A317" s="12" t="n"/>
      <c r="B317" s="12" t="n"/>
      <c r="C317" s="12" t="n"/>
      <c r="D317" s="11">
        <f>IFERROR(INDEX(Products!$E$2:$E$500,MATCH(B317,Products!$A$2:$A$500,0)),"")</f>
        <v/>
      </c>
      <c r="E317" s="11">
        <f>IFERROR(C317*D317,"")</f>
        <v/>
      </c>
    </row>
    <row r="318">
      <c r="A318" s="12" t="n"/>
      <c r="B318" s="12" t="n"/>
      <c r="C318" s="12" t="n"/>
      <c r="D318" s="11">
        <f>IFERROR(INDEX(Products!$E$2:$E$500,MATCH(B318,Products!$A$2:$A$500,0)),"")</f>
        <v/>
      </c>
      <c r="E318" s="11">
        <f>IFERROR(C318*D318,"")</f>
        <v/>
      </c>
    </row>
    <row r="319">
      <c r="A319" s="12" t="n"/>
      <c r="B319" s="12" t="n"/>
      <c r="C319" s="12" t="n"/>
      <c r="D319" s="11">
        <f>IFERROR(INDEX(Products!$E$2:$E$500,MATCH(B319,Products!$A$2:$A$500,0)),"")</f>
        <v/>
      </c>
      <c r="E319" s="11">
        <f>IFERROR(C319*D319,"")</f>
        <v/>
      </c>
    </row>
    <row r="320">
      <c r="A320" s="12" t="n"/>
      <c r="B320" s="12" t="n"/>
      <c r="C320" s="12" t="n"/>
      <c r="D320" s="11">
        <f>IFERROR(INDEX(Products!$E$2:$E$500,MATCH(B320,Products!$A$2:$A$500,0)),"")</f>
        <v/>
      </c>
      <c r="E320" s="11">
        <f>IFERROR(C320*D320,"")</f>
        <v/>
      </c>
    </row>
    <row r="321">
      <c r="A321" s="12" t="n"/>
      <c r="B321" s="12" t="n"/>
      <c r="C321" s="12" t="n"/>
      <c r="D321" s="11">
        <f>IFERROR(INDEX(Products!$E$2:$E$500,MATCH(B321,Products!$A$2:$A$500,0)),"")</f>
        <v/>
      </c>
      <c r="E321" s="11">
        <f>IFERROR(C321*D321,"")</f>
        <v/>
      </c>
    </row>
    <row r="322">
      <c r="A322" s="12" t="n"/>
      <c r="B322" s="12" t="n"/>
      <c r="C322" s="12" t="n"/>
      <c r="D322" s="11">
        <f>IFERROR(INDEX(Products!$E$2:$E$500,MATCH(B322,Products!$A$2:$A$500,0)),"")</f>
        <v/>
      </c>
      <c r="E322" s="11">
        <f>IFERROR(C322*D322,"")</f>
        <v/>
      </c>
    </row>
    <row r="323">
      <c r="A323" s="12" t="n"/>
      <c r="B323" s="12" t="n"/>
      <c r="C323" s="12" t="n"/>
      <c r="D323" s="11">
        <f>IFERROR(INDEX(Products!$E$2:$E$500,MATCH(B323,Products!$A$2:$A$500,0)),"")</f>
        <v/>
      </c>
      <c r="E323" s="11">
        <f>IFERROR(C323*D323,"")</f>
        <v/>
      </c>
    </row>
    <row r="324">
      <c r="A324" s="12" t="n"/>
      <c r="B324" s="12" t="n"/>
      <c r="C324" s="12" t="n"/>
      <c r="D324" s="11">
        <f>IFERROR(INDEX(Products!$E$2:$E$500,MATCH(B324,Products!$A$2:$A$500,0)),"")</f>
        <v/>
      </c>
      <c r="E324" s="11">
        <f>IFERROR(C324*D324,"")</f>
        <v/>
      </c>
    </row>
    <row r="325">
      <c r="A325" s="12" t="n"/>
      <c r="B325" s="12" t="n"/>
      <c r="C325" s="12" t="n"/>
      <c r="D325" s="11">
        <f>IFERROR(INDEX(Products!$E$2:$E$500,MATCH(B325,Products!$A$2:$A$500,0)),"")</f>
        <v/>
      </c>
      <c r="E325" s="11">
        <f>IFERROR(C325*D325,"")</f>
        <v/>
      </c>
    </row>
    <row r="326">
      <c r="A326" s="12" t="n"/>
      <c r="B326" s="12" t="n"/>
      <c r="C326" s="12" t="n"/>
      <c r="D326" s="11">
        <f>IFERROR(INDEX(Products!$E$2:$E$500,MATCH(B326,Products!$A$2:$A$500,0)),"")</f>
        <v/>
      </c>
      <c r="E326" s="11">
        <f>IFERROR(C326*D326,"")</f>
        <v/>
      </c>
    </row>
    <row r="327">
      <c r="A327" s="12" t="n"/>
      <c r="B327" s="12" t="n"/>
      <c r="C327" s="12" t="n"/>
      <c r="D327" s="11">
        <f>IFERROR(INDEX(Products!$E$2:$E$500,MATCH(B327,Products!$A$2:$A$500,0)),"")</f>
        <v/>
      </c>
      <c r="E327" s="11">
        <f>IFERROR(C327*D327,"")</f>
        <v/>
      </c>
    </row>
    <row r="328">
      <c r="A328" s="12" t="n"/>
      <c r="B328" s="12" t="n"/>
      <c r="C328" s="12" t="n"/>
      <c r="D328" s="11">
        <f>IFERROR(INDEX(Products!$E$2:$E$500,MATCH(B328,Products!$A$2:$A$500,0)),"")</f>
        <v/>
      </c>
      <c r="E328" s="11">
        <f>IFERROR(C328*D328,"")</f>
        <v/>
      </c>
    </row>
    <row r="329">
      <c r="A329" s="12" t="n"/>
      <c r="B329" s="12" t="n"/>
      <c r="C329" s="12" t="n"/>
      <c r="D329" s="11">
        <f>IFERROR(INDEX(Products!$E$2:$E$500,MATCH(B329,Products!$A$2:$A$500,0)),"")</f>
        <v/>
      </c>
      <c r="E329" s="11">
        <f>IFERROR(C329*D329,"")</f>
        <v/>
      </c>
    </row>
    <row r="330">
      <c r="A330" s="12" t="n"/>
      <c r="B330" s="12" t="n"/>
      <c r="C330" s="12" t="n"/>
      <c r="D330" s="11">
        <f>IFERROR(INDEX(Products!$E$2:$E$500,MATCH(B330,Products!$A$2:$A$500,0)),"")</f>
        <v/>
      </c>
      <c r="E330" s="11">
        <f>IFERROR(C330*D330,"")</f>
        <v/>
      </c>
    </row>
    <row r="331">
      <c r="A331" s="12" t="n"/>
      <c r="B331" s="12" t="n"/>
      <c r="C331" s="12" t="n"/>
      <c r="D331" s="11">
        <f>IFERROR(INDEX(Products!$E$2:$E$500,MATCH(B331,Products!$A$2:$A$500,0)),"")</f>
        <v/>
      </c>
      <c r="E331" s="11">
        <f>IFERROR(C331*D331,"")</f>
        <v/>
      </c>
    </row>
    <row r="332">
      <c r="A332" s="12" t="n"/>
      <c r="B332" s="12" t="n"/>
      <c r="C332" s="12" t="n"/>
      <c r="D332" s="11">
        <f>IFERROR(INDEX(Products!$E$2:$E$500,MATCH(B332,Products!$A$2:$A$500,0)),"")</f>
        <v/>
      </c>
      <c r="E332" s="11">
        <f>IFERROR(C332*D332,"")</f>
        <v/>
      </c>
    </row>
    <row r="333">
      <c r="A333" s="12" t="n"/>
      <c r="B333" s="12" t="n"/>
      <c r="C333" s="12" t="n"/>
      <c r="D333" s="11">
        <f>IFERROR(INDEX(Products!$E$2:$E$500,MATCH(B333,Products!$A$2:$A$500,0)),"")</f>
        <v/>
      </c>
      <c r="E333" s="11">
        <f>IFERROR(C333*D333,"")</f>
        <v/>
      </c>
    </row>
    <row r="334">
      <c r="A334" s="12" t="n"/>
      <c r="B334" s="12" t="n"/>
      <c r="C334" s="12" t="n"/>
      <c r="D334" s="11">
        <f>IFERROR(INDEX(Products!$E$2:$E$500,MATCH(B334,Products!$A$2:$A$500,0)),"")</f>
        <v/>
      </c>
      <c r="E334" s="11">
        <f>IFERROR(C334*D334,"")</f>
        <v/>
      </c>
    </row>
    <row r="335">
      <c r="A335" s="12" t="n"/>
      <c r="B335" s="12" t="n"/>
      <c r="C335" s="12" t="n"/>
      <c r="D335" s="11">
        <f>IFERROR(INDEX(Products!$E$2:$E$500,MATCH(B335,Products!$A$2:$A$500,0)),"")</f>
        <v/>
      </c>
      <c r="E335" s="11">
        <f>IFERROR(C335*D335,"")</f>
        <v/>
      </c>
    </row>
    <row r="336">
      <c r="A336" s="12" t="n"/>
      <c r="B336" s="12" t="n"/>
      <c r="C336" s="12" t="n"/>
      <c r="D336" s="11">
        <f>IFERROR(INDEX(Products!$E$2:$E$500,MATCH(B336,Products!$A$2:$A$500,0)),"")</f>
        <v/>
      </c>
      <c r="E336" s="11">
        <f>IFERROR(C336*D336,"")</f>
        <v/>
      </c>
    </row>
    <row r="337">
      <c r="A337" s="12" t="n"/>
      <c r="B337" s="12" t="n"/>
      <c r="C337" s="12" t="n"/>
      <c r="D337" s="11">
        <f>IFERROR(INDEX(Products!$E$2:$E$500,MATCH(B337,Products!$A$2:$A$500,0)),"")</f>
        <v/>
      </c>
      <c r="E337" s="11">
        <f>IFERROR(C337*D337,"")</f>
        <v/>
      </c>
    </row>
    <row r="338">
      <c r="A338" s="12" t="n"/>
      <c r="B338" s="12" t="n"/>
      <c r="C338" s="12" t="n"/>
      <c r="D338" s="11">
        <f>IFERROR(INDEX(Products!$E$2:$E$500,MATCH(B338,Products!$A$2:$A$500,0)),"")</f>
        <v/>
      </c>
      <c r="E338" s="11">
        <f>IFERROR(C338*D338,"")</f>
        <v/>
      </c>
    </row>
    <row r="339">
      <c r="A339" s="12" t="n"/>
      <c r="B339" s="12" t="n"/>
      <c r="C339" s="12" t="n"/>
      <c r="D339" s="11">
        <f>IFERROR(INDEX(Products!$E$2:$E$500,MATCH(B339,Products!$A$2:$A$500,0)),"")</f>
        <v/>
      </c>
      <c r="E339" s="11">
        <f>IFERROR(C339*D339,"")</f>
        <v/>
      </c>
    </row>
    <row r="340">
      <c r="A340" s="12" t="n"/>
      <c r="B340" s="12" t="n"/>
      <c r="C340" s="12" t="n"/>
      <c r="D340" s="11">
        <f>IFERROR(INDEX(Products!$E$2:$E$500,MATCH(B340,Products!$A$2:$A$500,0)),"")</f>
        <v/>
      </c>
      <c r="E340" s="11">
        <f>IFERROR(C340*D340,"")</f>
        <v/>
      </c>
    </row>
    <row r="341">
      <c r="A341" s="12" t="n"/>
      <c r="B341" s="12" t="n"/>
      <c r="C341" s="12" t="n"/>
      <c r="D341" s="11">
        <f>IFERROR(INDEX(Products!$E$2:$E$500,MATCH(B341,Products!$A$2:$A$500,0)),"")</f>
        <v/>
      </c>
      <c r="E341" s="11">
        <f>IFERROR(C341*D341,"")</f>
        <v/>
      </c>
    </row>
    <row r="342">
      <c r="A342" s="12" t="n"/>
      <c r="B342" s="12" t="n"/>
      <c r="C342" s="12" t="n"/>
      <c r="D342" s="11">
        <f>IFERROR(INDEX(Products!$E$2:$E$500,MATCH(B342,Products!$A$2:$A$500,0)),"")</f>
        <v/>
      </c>
      <c r="E342" s="11">
        <f>IFERROR(C342*D342,"")</f>
        <v/>
      </c>
    </row>
    <row r="343">
      <c r="A343" s="12" t="n"/>
      <c r="B343" s="12" t="n"/>
      <c r="C343" s="12" t="n"/>
      <c r="D343" s="11">
        <f>IFERROR(INDEX(Products!$E$2:$E$500,MATCH(B343,Products!$A$2:$A$500,0)),"")</f>
        <v/>
      </c>
      <c r="E343" s="11">
        <f>IFERROR(C343*D343,"")</f>
        <v/>
      </c>
    </row>
    <row r="344">
      <c r="A344" s="12" t="n"/>
      <c r="B344" s="12" t="n"/>
      <c r="C344" s="12" t="n"/>
      <c r="D344" s="11">
        <f>IFERROR(INDEX(Products!$E$2:$E$500,MATCH(B344,Products!$A$2:$A$500,0)),"")</f>
        <v/>
      </c>
      <c r="E344" s="11">
        <f>IFERROR(C344*D344,"")</f>
        <v/>
      </c>
    </row>
    <row r="345">
      <c r="A345" s="12" t="n"/>
      <c r="B345" s="12" t="n"/>
      <c r="C345" s="12" t="n"/>
      <c r="D345" s="11">
        <f>IFERROR(INDEX(Products!$E$2:$E$500,MATCH(B345,Products!$A$2:$A$500,0)),"")</f>
        <v/>
      </c>
      <c r="E345" s="11">
        <f>IFERROR(C345*D345,"")</f>
        <v/>
      </c>
    </row>
    <row r="346">
      <c r="A346" s="12" t="n"/>
      <c r="B346" s="12" t="n"/>
      <c r="C346" s="12" t="n"/>
      <c r="D346" s="11">
        <f>IFERROR(INDEX(Products!$E$2:$E$500,MATCH(B346,Products!$A$2:$A$500,0)),"")</f>
        <v/>
      </c>
      <c r="E346" s="11">
        <f>IFERROR(C346*D346,"")</f>
        <v/>
      </c>
    </row>
    <row r="347">
      <c r="A347" s="12" t="n"/>
      <c r="B347" s="12" t="n"/>
      <c r="C347" s="12" t="n"/>
      <c r="D347" s="11">
        <f>IFERROR(INDEX(Products!$E$2:$E$500,MATCH(B347,Products!$A$2:$A$500,0)),"")</f>
        <v/>
      </c>
      <c r="E347" s="11">
        <f>IFERROR(C347*D347,"")</f>
        <v/>
      </c>
    </row>
    <row r="348">
      <c r="A348" s="12" t="n"/>
      <c r="B348" s="12" t="n"/>
      <c r="C348" s="12" t="n"/>
      <c r="D348" s="11">
        <f>IFERROR(INDEX(Products!$E$2:$E$500,MATCH(B348,Products!$A$2:$A$500,0)),"")</f>
        <v/>
      </c>
      <c r="E348" s="11">
        <f>IFERROR(C348*D348,"")</f>
        <v/>
      </c>
    </row>
    <row r="349">
      <c r="A349" s="12" t="n"/>
      <c r="B349" s="12" t="n"/>
      <c r="C349" s="12" t="n"/>
      <c r="D349" s="11">
        <f>IFERROR(INDEX(Products!$E$2:$E$500,MATCH(B349,Products!$A$2:$A$500,0)),"")</f>
        <v/>
      </c>
      <c r="E349" s="11">
        <f>IFERROR(C349*D349,"")</f>
        <v/>
      </c>
    </row>
    <row r="350">
      <c r="A350" s="12" t="n"/>
      <c r="B350" s="12" t="n"/>
      <c r="C350" s="12" t="n"/>
      <c r="D350" s="11">
        <f>IFERROR(INDEX(Products!$E$2:$E$500,MATCH(B350,Products!$A$2:$A$500,0)),"")</f>
        <v/>
      </c>
      <c r="E350" s="11">
        <f>IFERROR(C350*D350,"")</f>
        <v/>
      </c>
    </row>
    <row r="351">
      <c r="A351" s="12" t="n"/>
      <c r="B351" s="12" t="n"/>
      <c r="C351" s="12" t="n"/>
      <c r="D351" s="11">
        <f>IFERROR(INDEX(Products!$E$2:$E$500,MATCH(B351,Products!$A$2:$A$500,0)),"")</f>
        <v/>
      </c>
      <c r="E351" s="11">
        <f>IFERROR(C351*D351,"")</f>
        <v/>
      </c>
    </row>
    <row r="352">
      <c r="A352" s="12" t="n"/>
      <c r="B352" s="12" t="n"/>
      <c r="C352" s="12" t="n"/>
      <c r="D352" s="11">
        <f>IFERROR(INDEX(Products!$E$2:$E$500,MATCH(B352,Products!$A$2:$A$500,0)),"")</f>
        <v/>
      </c>
      <c r="E352" s="11">
        <f>IFERROR(C352*D352,"")</f>
        <v/>
      </c>
    </row>
    <row r="353">
      <c r="A353" s="12" t="n"/>
      <c r="B353" s="12" t="n"/>
      <c r="C353" s="12" t="n"/>
      <c r="D353" s="11">
        <f>IFERROR(INDEX(Products!$E$2:$E$500,MATCH(B353,Products!$A$2:$A$500,0)),"")</f>
        <v/>
      </c>
      <c r="E353" s="11">
        <f>IFERROR(C353*D353,"")</f>
        <v/>
      </c>
    </row>
    <row r="354">
      <c r="A354" s="12" t="n"/>
      <c r="B354" s="12" t="n"/>
      <c r="C354" s="12" t="n"/>
      <c r="D354" s="11">
        <f>IFERROR(INDEX(Products!$E$2:$E$500,MATCH(B354,Products!$A$2:$A$500,0)),"")</f>
        <v/>
      </c>
      <c r="E354" s="11">
        <f>IFERROR(C354*D354,"")</f>
        <v/>
      </c>
    </row>
    <row r="355">
      <c r="A355" s="12" t="n"/>
      <c r="B355" s="12" t="n"/>
      <c r="C355" s="12" t="n"/>
      <c r="D355" s="11">
        <f>IFERROR(INDEX(Products!$E$2:$E$500,MATCH(B355,Products!$A$2:$A$500,0)),"")</f>
        <v/>
      </c>
      <c r="E355" s="11">
        <f>IFERROR(C355*D355,"")</f>
        <v/>
      </c>
    </row>
    <row r="356">
      <c r="A356" s="12" t="n"/>
      <c r="B356" s="12" t="n"/>
      <c r="C356" s="12" t="n"/>
      <c r="D356" s="11">
        <f>IFERROR(INDEX(Products!$E$2:$E$500,MATCH(B356,Products!$A$2:$A$500,0)),"")</f>
        <v/>
      </c>
      <c r="E356" s="11">
        <f>IFERROR(C356*D356,"")</f>
        <v/>
      </c>
    </row>
    <row r="357">
      <c r="A357" s="12" t="n"/>
      <c r="B357" s="12" t="n"/>
      <c r="C357" s="12" t="n"/>
      <c r="D357" s="11">
        <f>IFERROR(INDEX(Products!$E$2:$E$500,MATCH(B357,Products!$A$2:$A$500,0)),"")</f>
        <v/>
      </c>
      <c r="E357" s="11">
        <f>IFERROR(C357*D357,"")</f>
        <v/>
      </c>
    </row>
    <row r="358">
      <c r="A358" s="12" t="n"/>
      <c r="B358" s="12" t="n"/>
      <c r="C358" s="12" t="n"/>
      <c r="D358" s="11">
        <f>IFERROR(INDEX(Products!$E$2:$E$500,MATCH(B358,Products!$A$2:$A$500,0)),"")</f>
        <v/>
      </c>
      <c r="E358" s="11">
        <f>IFERROR(C358*D358,"")</f>
        <v/>
      </c>
    </row>
    <row r="359">
      <c r="A359" s="12" t="n"/>
      <c r="B359" s="12" t="n"/>
      <c r="C359" s="12" t="n"/>
      <c r="D359" s="11">
        <f>IFERROR(INDEX(Products!$E$2:$E$500,MATCH(B359,Products!$A$2:$A$500,0)),"")</f>
        <v/>
      </c>
      <c r="E359" s="11">
        <f>IFERROR(C359*D359,"")</f>
        <v/>
      </c>
    </row>
    <row r="360">
      <c r="A360" s="12" t="n"/>
      <c r="B360" s="12" t="n"/>
      <c r="C360" s="12" t="n"/>
      <c r="D360" s="11">
        <f>IFERROR(INDEX(Products!$E$2:$E$500,MATCH(B360,Products!$A$2:$A$500,0)),"")</f>
        <v/>
      </c>
      <c r="E360" s="11">
        <f>IFERROR(C360*D360,"")</f>
        <v/>
      </c>
    </row>
    <row r="361">
      <c r="A361" s="12" t="n"/>
      <c r="B361" s="12" t="n"/>
      <c r="C361" s="12" t="n"/>
      <c r="D361" s="11">
        <f>IFERROR(INDEX(Products!$E$2:$E$500,MATCH(B361,Products!$A$2:$A$500,0)),"")</f>
        <v/>
      </c>
      <c r="E361" s="11">
        <f>IFERROR(C361*D361,"")</f>
        <v/>
      </c>
    </row>
    <row r="362">
      <c r="A362" s="12" t="n"/>
      <c r="B362" s="12" t="n"/>
      <c r="C362" s="12" t="n"/>
      <c r="D362" s="11">
        <f>IFERROR(INDEX(Products!$E$2:$E$500,MATCH(B362,Products!$A$2:$A$500,0)),"")</f>
        <v/>
      </c>
      <c r="E362" s="11">
        <f>IFERROR(C362*D362,"")</f>
        <v/>
      </c>
    </row>
    <row r="363">
      <c r="A363" s="12" t="n"/>
      <c r="B363" s="12" t="n"/>
      <c r="C363" s="12" t="n"/>
      <c r="D363" s="11">
        <f>IFERROR(INDEX(Products!$E$2:$E$500,MATCH(B363,Products!$A$2:$A$500,0)),"")</f>
        <v/>
      </c>
      <c r="E363" s="11">
        <f>IFERROR(C363*D363,"")</f>
        <v/>
      </c>
    </row>
    <row r="364">
      <c r="A364" s="12" t="n"/>
      <c r="B364" s="12" t="n"/>
      <c r="C364" s="12" t="n"/>
      <c r="D364" s="11">
        <f>IFERROR(INDEX(Products!$E$2:$E$500,MATCH(B364,Products!$A$2:$A$500,0)),"")</f>
        <v/>
      </c>
      <c r="E364" s="11">
        <f>IFERROR(C364*D364,"")</f>
        <v/>
      </c>
    </row>
    <row r="365">
      <c r="A365" s="12" t="n"/>
      <c r="B365" s="12" t="n"/>
      <c r="C365" s="12" t="n"/>
      <c r="D365" s="11">
        <f>IFERROR(INDEX(Products!$E$2:$E$500,MATCH(B365,Products!$A$2:$A$500,0)),"")</f>
        <v/>
      </c>
      <c r="E365" s="11">
        <f>IFERROR(C365*D365,"")</f>
        <v/>
      </c>
    </row>
    <row r="366">
      <c r="A366" s="12" t="n"/>
      <c r="B366" s="12" t="n"/>
      <c r="C366" s="12" t="n"/>
      <c r="D366" s="11">
        <f>IFERROR(INDEX(Products!$E$2:$E$500,MATCH(B366,Products!$A$2:$A$500,0)),"")</f>
        <v/>
      </c>
      <c r="E366" s="11">
        <f>IFERROR(C366*D366,"")</f>
        <v/>
      </c>
    </row>
    <row r="367">
      <c r="A367" s="12" t="n"/>
      <c r="B367" s="12" t="n"/>
      <c r="C367" s="12" t="n"/>
      <c r="D367" s="11">
        <f>IFERROR(INDEX(Products!$E$2:$E$500,MATCH(B367,Products!$A$2:$A$500,0)),"")</f>
        <v/>
      </c>
      <c r="E367" s="11">
        <f>IFERROR(C367*D367,"")</f>
        <v/>
      </c>
    </row>
    <row r="368">
      <c r="A368" s="12" t="n"/>
      <c r="B368" s="12" t="n"/>
      <c r="C368" s="12" t="n"/>
      <c r="D368" s="11">
        <f>IFERROR(INDEX(Products!$E$2:$E$500,MATCH(B368,Products!$A$2:$A$500,0)),"")</f>
        <v/>
      </c>
      <c r="E368" s="11">
        <f>IFERROR(C368*D368,"")</f>
        <v/>
      </c>
    </row>
    <row r="369">
      <c r="A369" s="12" t="n"/>
      <c r="B369" s="12" t="n"/>
      <c r="C369" s="12" t="n"/>
      <c r="D369" s="11">
        <f>IFERROR(INDEX(Products!$E$2:$E$500,MATCH(B369,Products!$A$2:$A$500,0)),"")</f>
        <v/>
      </c>
      <c r="E369" s="11">
        <f>IFERROR(C369*D369,"")</f>
        <v/>
      </c>
    </row>
    <row r="370">
      <c r="A370" s="12" t="n"/>
      <c r="B370" s="12" t="n"/>
      <c r="C370" s="12" t="n"/>
      <c r="D370" s="11">
        <f>IFERROR(INDEX(Products!$E$2:$E$500,MATCH(B370,Products!$A$2:$A$500,0)),"")</f>
        <v/>
      </c>
      <c r="E370" s="11">
        <f>IFERROR(C370*D370,"")</f>
        <v/>
      </c>
    </row>
    <row r="371">
      <c r="A371" s="12" t="n"/>
      <c r="B371" s="12" t="n"/>
      <c r="C371" s="12" t="n"/>
      <c r="D371" s="11">
        <f>IFERROR(INDEX(Products!$E$2:$E$500,MATCH(B371,Products!$A$2:$A$500,0)),"")</f>
        <v/>
      </c>
      <c r="E371" s="11">
        <f>IFERROR(C371*D371,"")</f>
        <v/>
      </c>
    </row>
    <row r="372">
      <c r="A372" s="12" t="n"/>
      <c r="B372" s="12" t="n"/>
      <c r="C372" s="12" t="n"/>
      <c r="D372" s="11">
        <f>IFERROR(INDEX(Products!$E$2:$E$500,MATCH(B372,Products!$A$2:$A$500,0)),"")</f>
        <v/>
      </c>
      <c r="E372" s="11">
        <f>IFERROR(C372*D372,"")</f>
        <v/>
      </c>
    </row>
    <row r="373">
      <c r="A373" s="12" t="n"/>
      <c r="B373" s="12" t="n"/>
      <c r="C373" s="12" t="n"/>
      <c r="D373" s="11">
        <f>IFERROR(INDEX(Products!$E$2:$E$500,MATCH(B373,Products!$A$2:$A$500,0)),"")</f>
        <v/>
      </c>
      <c r="E373" s="11">
        <f>IFERROR(C373*D373,"")</f>
        <v/>
      </c>
    </row>
    <row r="374">
      <c r="A374" s="12" t="n"/>
      <c r="B374" s="12" t="n"/>
      <c r="C374" s="12" t="n"/>
      <c r="D374" s="11">
        <f>IFERROR(INDEX(Products!$E$2:$E$500,MATCH(B374,Products!$A$2:$A$500,0)),"")</f>
        <v/>
      </c>
      <c r="E374" s="11">
        <f>IFERROR(C374*D374,"")</f>
        <v/>
      </c>
    </row>
    <row r="375">
      <c r="A375" s="12" t="n"/>
      <c r="B375" s="12" t="n"/>
      <c r="C375" s="12" t="n"/>
      <c r="D375" s="11">
        <f>IFERROR(INDEX(Products!$E$2:$E$500,MATCH(B375,Products!$A$2:$A$500,0)),"")</f>
        <v/>
      </c>
      <c r="E375" s="11">
        <f>IFERROR(C375*D375,"")</f>
        <v/>
      </c>
    </row>
    <row r="376">
      <c r="A376" s="12" t="n"/>
      <c r="B376" s="12" t="n"/>
      <c r="C376" s="12" t="n"/>
      <c r="D376" s="11">
        <f>IFERROR(INDEX(Products!$E$2:$E$500,MATCH(B376,Products!$A$2:$A$500,0)),"")</f>
        <v/>
      </c>
      <c r="E376" s="11">
        <f>IFERROR(C376*D376,"")</f>
        <v/>
      </c>
    </row>
    <row r="377">
      <c r="A377" s="12" t="n"/>
      <c r="B377" s="12" t="n"/>
      <c r="C377" s="12" t="n"/>
      <c r="D377" s="11">
        <f>IFERROR(INDEX(Products!$E$2:$E$500,MATCH(B377,Products!$A$2:$A$500,0)),"")</f>
        <v/>
      </c>
      <c r="E377" s="11">
        <f>IFERROR(C377*D377,"")</f>
        <v/>
      </c>
    </row>
    <row r="378">
      <c r="A378" s="12" t="n"/>
      <c r="B378" s="12" t="n"/>
      <c r="C378" s="12" t="n"/>
      <c r="D378" s="11">
        <f>IFERROR(INDEX(Products!$E$2:$E$500,MATCH(B378,Products!$A$2:$A$500,0)),"")</f>
        <v/>
      </c>
      <c r="E378" s="11">
        <f>IFERROR(C378*D378,"")</f>
        <v/>
      </c>
    </row>
    <row r="379">
      <c r="A379" s="12" t="n"/>
      <c r="B379" s="12" t="n"/>
      <c r="C379" s="12" t="n"/>
      <c r="D379" s="11">
        <f>IFERROR(INDEX(Products!$E$2:$E$500,MATCH(B379,Products!$A$2:$A$500,0)),"")</f>
        <v/>
      </c>
      <c r="E379" s="11">
        <f>IFERROR(C379*D379,"")</f>
        <v/>
      </c>
    </row>
    <row r="380">
      <c r="A380" s="12" t="n"/>
      <c r="B380" s="12" t="n"/>
      <c r="C380" s="12" t="n"/>
      <c r="D380" s="11">
        <f>IFERROR(INDEX(Products!$E$2:$E$500,MATCH(B380,Products!$A$2:$A$500,0)),"")</f>
        <v/>
      </c>
      <c r="E380" s="11">
        <f>IFERROR(C380*D380,"")</f>
        <v/>
      </c>
    </row>
    <row r="381">
      <c r="A381" s="12" t="n"/>
      <c r="B381" s="12" t="n"/>
      <c r="C381" s="12" t="n"/>
      <c r="D381" s="11">
        <f>IFERROR(INDEX(Products!$E$2:$E$500,MATCH(B381,Products!$A$2:$A$500,0)),"")</f>
        <v/>
      </c>
      <c r="E381" s="11">
        <f>IFERROR(C381*D381,"")</f>
        <v/>
      </c>
    </row>
    <row r="382">
      <c r="A382" s="12" t="n"/>
      <c r="B382" s="12" t="n"/>
      <c r="C382" s="12" t="n"/>
      <c r="D382" s="11">
        <f>IFERROR(INDEX(Products!$E$2:$E$500,MATCH(B382,Products!$A$2:$A$500,0)),"")</f>
        <v/>
      </c>
      <c r="E382" s="11">
        <f>IFERROR(C382*D382,"")</f>
        <v/>
      </c>
    </row>
    <row r="383">
      <c r="A383" s="12" t="n"/>
      <c r="B383" s="12" t="n"/>
      <c r="C383" s="12" t="n"/>
      <c r="D383" s="11">
        <f>IFERROR(INDEX(Products!$E$2:$E$500,MATCH(B383,Products!$A$2:$A$500,0)),"")</f>
        <v/>
      </c>
      <c r="E383" s="11">
        <f>IFERROR(C383*D383,"")</f>
        <v/>
      </c>
    </row>
    <row r="384">
      <c r="A384" s="12" t="n"/>
      <c r="B384" s="12" t="n"/>
      <c r="C384" s="12" t="n"/>
      <c r="D384" s="11">
        <f>IFERROR(INDEX(Products!$E$2:$E$500,MATCH(B384,Products!$A$2:$A$500,0)),"")</f>
        <v/>
      </c>
      <c r="E384" s="11">
        <f>IFERROR(C384*D384,"")</f>
        <v/>
      </c>
    </row>
    <row r="385">
      <c r="A385" s="12" t="n"/>
      <c r="B385" s="12" t="n"/>
      <c r="C385" s="12" t="n"/>
      <c r="D385" s="11">
        <f>IFERROR(INDEX(Products!$E$2:$E$500,MATCH(B385,Products!$A$2:$A$500,0)),"")</f>
        <v/>
      </c>
      <c r="E385" s="11">
        <f>IFERROR(C385*D385,"")</f>
        <v/>
      </c>
    </row>
    <row r="386">
      <c r="A386" s="12" t="n"/>
      <c r="B386" s="12" t="n"/>
      <c r="C386" s="12" t="n"/>
      <c r="D386" s="11">
        <f>IFERROR(INDEX(Products!$E$2:$E$500,MATCH(B386,Products!$A$2:$A$500,0)),"")</f>
        <v/>
      </c>
      <c r="E386" s="11">
        <f>IFERROR(C386*D386,"")</f>
        <v/>
      </c>
    </row>
    <row r="387">
      <c r="A387" s="12" t="n"/>
      <c r="B387" s="12" t="n"/>
      <c r="C387" s="12" t="n"/>
      <c r="D387" s="11">
        <f>IFERROR(INDEX(Products!$E$2:$E$500,MATCH(B387,Products!$A$2:$A$500,0)),"")</f>
        <v/>
      </c>
      <c r="E387" s="11">
        <f>IFERROR(C387*D387,"")</f>
        <v/>
      </c>
    </row>
    <row r="388">
      <c r="A388" s="12" t="n"/>
      <c r="B388" s="12" t="n"/>
      <c r="C388" s="12" t="n"/>
      <c r="D388" s="11">
        <f>IFERROR(INDEX(Products!$E$2:$E$500,MATCH(B388,Products!$A$2:$A$500,0)),"")</f>
        <v/>
      </c>
      <c r="E388" s="11">
        <f>IFERROR(C388*D388,"")</f>
        <v/>
      </c>
    </row>
    <row r="389">
      <c r="A389" s="12" t="n"/>
      <c r="B389" s="12" t="n"/>
      <c r="C389" s="12" t="n"/>
      <c r="D389" s="11">
        <f>IFERROR(INDEX(Products!$E$2:$E$500,MATCH(B389,Products!$A$2:$A$500,0)),"")</f>
        <v/>
      </c>
      <c r="E389" s="11">
        <f>IFERROR(C389*D389,"")</f>
        <v/>
      </c>
    </row>
    <row r="390">
      <c r="A390" s="12" t="n"/>
      <c r="B390" s="12" t="n"/>
      <c r="C390" s="12" t="n"/>
      <c r="D390" s="11">
        <f>IFERROR(INDEX(Products!$E$2:$E$500,MATCH(B390,Products!$A$2:$A$500,0)),"")</f>
        <v/>
      </c>
      <c r="E390" s="11">
        <f>IFERROR(C390*D390,"")</f>
        <v/>
      </c>
    </row>
    <row r="391">
      <c r="A391" s="12" t="n"/>
      <c r="B391" s="12" t="n"/>
      <c r="C391" s="12" t="n"/>
      <c r="D391" s="11">
        <f>IFERROR(INDEX(Products!$E$2:$E$500,MATCH(B391,Products!$A$2:$A$500,0)),"")</f>
        <v/>
      </c>
      <c r="E391" s="11">
        <f>IFERROR(C391*D391,"")</f>
        <v/>
      </c>
    </row>
    <row r="392">
      <c r="A392" s="12" t="n"/>
      <c r="B392" s="12" t="n"/>
      <c r="C392" s="12" t="n"/>
      <c r="D392" s="11">
        <f>IFERROR(INDEX(Products!$E$2:$E$500,MATCH(B392,Products!$A$2:$A$500,0)),"")</f>
        <v/>
      </c>
      <c r="E392" s="11">
        <f>IFERROR(C392*D392,"")</f>
        <v/>
      </c>
    </row>
    <row r="393">
      <c r="A393" s="12" t="n"/>
      <c r="B393" s="12" t="n"/>
      <c r="C393" s="12" t="n"/>
      <c r="D393" s="11">
        <f>IFERROR(INDEX(Products!$E$2:$E$500,MATCH(B393,Products!$A$2:$A$500,0)),"")</f>
        <v/>
      </c>
      <c r="E393" s="11">
        <f>IFERROR(C393*D393,"")</f>
        <v/>
      </c>
    </row>
    <row r="394">
      <c r="A394" s="12" t="n"/>
      <c r="B394" s="12" t="n"/>
      <c r="C394" s="12" t="n"/>
      <c r="D394" s="11">
        <f>IFERROR(INDEX(Products!$E$2:$E$500,MATCH(B394,Products!$A$2:$A$500,0)),"")</f>
        <v/>
      </c>
      <c r="E394" s="11">
        <f>IFERROR(C394*D394,"")</f>
        <v/>
      </c>
    </row>
    <row r="395">
      <c r="A395" s="12" t="n"/>
      <c r="B395" s="12" t="n"/>
      <c r="C395" s="12" t="n"/>
      <c r="D395" s="11">
        <f>IFERROR(INDEX(Products!$E$2:$E$500,MATCH(B395,Products!$A$2:$A$500,0)),"")</f>
        <v/>
      </c>
      <c r="E395" s="11">
        <f>IFERROR(C395*D395,"")</f>
        <v/>
      </c>
    </row>
    <row r="396">
      <c r="A396" s="12" t="n"/>
      <c r="B396" s="12" t="n"/>
      <c r="C396" s="12" t="n"/>
      <c r="D396" s="11">
        <f>IFERROR(INDEX(Products!$E$2:$E$500,MATCH(B396,Products!$A$2:$A$500,0)),"")</f>
        <v/>
      </c>
      <c r="E396" s="11">
        <f>IFERROR(C396*D396,"")</f>
        <v/>
      </c>
    </row>
    <row r="397">
      <c r="A397" s="12" t="n"/>
      <c r="B397" s="12" t="n"/>
      <c r="C397" s="12" t="n"/>
      <c r="D397" s="11">
        <f>IFERROR(INDEX(Products!$E$2:$E$500,MATCH(B397,Products!$A$2:$A$500,0)),"")</f>
        <v/>
      </c>
      <c r="E397" s="11">
        <f>IFERROR(C397*D397,"")</f>
        <v/>
      </c>
    </row>
    <row r="398">
      <c r="A398" s="12" t="n"/>
      <c r="B398" s="12" t="n"/>
      <c r="C398" s="12" t="n"/>
      <c r="D398" s="11">
        <f>IFERROR(INDEX(Products!$E$2:$E$500,MATCH(B398,Products!$A$2:$A$500,0)),"")</f>
        <v/>
      </c>
      <c r="E398" s="11">
        <f>IFERROR(C398*D398,"")</f>
        <v/>
      </c>
    </row>
    <row r="399">
      <c r="A399" s="12" t="n"/>
      <c r="B399" s="12" t="n"/>
      <c r="C399" s="12" t="n"/>
      <c r="D399" s="11">
        <f>IFERROR(INDEX(Products!$E$2:$E$500,MATCH(B399,Products!$A$2:$A$500,0)),"")</f>
        <v/>
      </c>
      <c r="E399" s="11">
        <f>IFERROR(C399*D399,"")</f>
        <v/>
      </c>
    </row>
    <row r="400">
      <c r="A400" s="12" t="n"/>
      <c r="B400" s="12" t="n"/>
      <c r="C400" s="12" t="n"/>
      <c r="D400" s="11">
        <f>IFERROR(INDEX(Products!$E$2:$E$500,MATCH(B400,Products!$A$2:$A$500,0)),"")</f>
        <v/>
      </c>
      <c r="E400" s="11">
        <f>IFERROR(C400*D400,"")</f>
        <v/>
      </c>
    </row>
    <row r="401">
      <c r="A401" s="12" t="n"/>
      <c r="B401" s="12" t="n"/>
      <c r="C401" s="12" t="n"/>
      <c r="D401" s="11">
        <f>IFERROR(INDEX(Products!$E$2:$E$500,MATCH(B401,Products!$A$2:$A$500,0)),"")</f>
        <v/>
      </c>
      <c r="E401" s="11">
        <f>IFERROR(C401*D401,"")</f>
        <v/>
      </c>
    </row>
    <row r="402">
      <c r="A402" s="12" t="n"/>
      <c r="B402" s="12" t="n"/>
      <c r="C402" s="12" t="n"/>
      <c r="D402" s="11">
        <f>IFERROR(INDEX(Products!$E$2:$E$500,MATCH(B402,Products!$A$2:$A$500,0)),"")</f>
        <v/>
      </c>
      <c r="E402" s="11">
        <f>IFERROR(C402*D402,"")</f>
        <v/>
      </c>
    </row>
    <row r="403">
      <c r="A403" s="12" t="n"/>
      <c r="B403" s="12" t="n"/>
      <c r="C403" s="12" t="n"/>
      <c r="D403" s="11">
        <f>IFERROR(INDEX(Products!$E$2:$E$500,MATCH(B403,Products!$A$2:$A$500,0)),"")</f>
        <v/>
      </c>
      <c r="E403" s="11">
        <f>IFERROR(C403*D403,"")</f>
        <v/>
      </c>
    </row>
    <row r="404">
      <c r="A404" s="12" t="n"/>
      <c r="B404" s="12" t="n"/>
      <c r="C404" s="12" t="n"/>
      <c r="D404" s="11">
        <f>IFERROR(INDEX(Products!$E$2:$E$500,MATCH(B404,Products!$A$2:$A$500,0)),"")</f>
        <v/>
      </c>
      <c r="E404" s="11">
        <f>IFERROR(C404*D404,"")</f>
        <v/>
      </c>
    </row>
    <row r="405">
      <c r="A405" s="12" t="n"/>
      <c r="B405" s="12" t="n"/>
      <c r="C405" s="12" t="n"/>
      <c r="D405" s="11">
        <f>IFERROR(INDEX(Products!$E$2:$E$500,MATCH(B405,Products!$A$2:$A$500,0)),"")</f>
        <v/>
      </c>
      <c r="E405" s="11">
        <f>IFERROR(C405*D405,"")</f>
        <v/>
      </c>
    </row>
    <row r="406">
      <c r="A406" s="12" t="n"/>
      <c r="B406" s="12" t="n"/>
      <c r="C406" s="12" t="n"/>
      <c r="D406" s="11">
        <f>IFERROR(INDEX(Products!$E$2:$E$500,MATCH(B406,Products!$A$2:$A$500,0)),"")</f>
        <v/>
      </c>
      <c r="E406" s="11">
        <f>IFERROR(C406*D406,"")</f>
        <v/>
      </c>
    </row>
    <row r="407">
      <c r="A407" s="12" t="n"/>
      <c r="B407" s="12" t="n"/>
      <c r="C407" s="12" t="n"/>
      <c r="D407" s="11">
        <f>IFERROR(INDEX(Products!$E$2:$E$500,MATCH(B407,Products!$A$2:$A$500,0)),"")</f>
        <v/>
      </c>
      <c r="E407" s="11">
        <f>IFERROR(C407*D407,"")</f>
        <v/>
      </c>
    </row>
    <row r="408">
      <c r="A408" s="12" t="n"/>
      <c r="B408" s="12" t="n"/>
      <c r="C408" s="12" t="n"/>
      <c r="D408" s="11">
        <f>IFERROR(INDEX(Products!$E$2:$E$500,MATCH(B408,Products!$A$2:$A$500,0)),"")</f>
        <v/>
      </c>
      <c r="E408" s="11">
        <f>IFERROR(C408*D408,"")</f>
        <v/>
      </c>
    </row>
    <row r="409">
      <c r="A409" s="12" t="n"/>
      <c r="B409" s="12" t="n"/>
      <c r="C409" s="12" t="n"/>
      <c r="D409" s="11">
        <f>IFERROR(INDEX(Products!$E$2:$E$500,MATCH(B409,Products!$A$2:$A$500,0)),"")</f>
        <v/>
      </c>
      <c r="E409" s="11">
        <f>IFERROR(C409*D409,"")</f>
        <v/>
      </c>
    </row>
    <row r="410">
      <c r="A410" s="12" t="n"/>
      <c r="B410" s="12" t="n"/>
      <c r="C410" s="12" t="n"/>
      <c r="D410" s="11">
        <f>IFERROR(INDEX(Products!$E$2:$E$500,MATCH(B410,Products!$A$2:$A$500,0)),"")</f>
        <v/>
      </c>
      <c r="E410" s="11">
        <f>IFERROR(C410*D410,"")</f>
        <v/>
      </c>
    </row>
    <row r="411">
      <c r="A411" s="12" t="n"/>
      <c r="B411" s="12" t="n"/>
      <c r="C411" s="12" t="n"/>
      <c r="D411" s="11">
        <f>IFERROR(INDEX(Products!$E$2:$E$500,MATCH(B411,Products!$A$2:$A$500,0)),"")</f>
        <v/>
      </c>
      <c r="E411" s="11">
        <f>IFERROR(C411*D411,"")</f>
        <v/>
      </c>
    </row>
    <row r="412">
      <c r="A412" s="12" t="n"/>
      <c r="B412" s="12" t="n"/>
      <c r="C412" s="12" t="n"/>
      <c r="D412" s="11">
        <f>IFERROR(INDEX(Products!$E$2:$E$500,MATCH(B412,Products!$A$2:$A$500,0)),"")</f>
        <v/>
      </c>
      <c r="E412" s="11">
        <f>IFERROR(C412*D412,"")</f>
        <v/>
      </c>
    </row>
    <row r="413">
      <c r="A413" s="12" t="n"/>
      <c r="B413" s="12" t="n"/>
      <c r="C413" s="12" t="n"/>
      <c r="D413" s="11">
        <f>IFERROR(INDEX(Products!$E$2:$E$500,MATCH(B413,Products!$A$2:$A$500,0)),"")</f>
        <v/>
      </c>
      <c r="E413" s="11">
        <f>IFERROR(C413*D413,"")</f>
        <v/>
      </c>
    </row>
    <row r="414">
      <c r="A414" s="12" t="n"/>
      <c r="B414" s="12" t="n"/>
      <c r="C414" s="12" t="n"/>
      <c r="D414" s="11">
        <f>IFERROR(INDEX(Products!$E$2:$E$500,MATCH(B414,Products!$A$2:$A$500,0)),"")</f>
        <v/>
      </c>
      <c r="E414" s="11">
        <f>IFERROR(C414*D414,"")</f>
        <v/>
      </c>
    </row>
    <row r="415">
      <c r="A415" s="12" t="n"/>
      <c r="B415" s="12" t="n"/>
      <c r="C415" s="12" t="n"/>
      <c r="D415" s="11">
        <f>IFERROR(INDEX(Products!$E$2:$E$500,MATCH(B415,Products!$A$2:$A$500,0)),"")</f>
        <v/>
      </c>
      <c r="E415" s="11">
        <f>IFERROR(C415*D415,"")</f>
        <v/>
      </c>
    </row>
    <row r="416">
      <c r="A416" s="12" t="n"/>
      <c r="B416" s="12" t="n"/>
      <c r="C416" s="12" t="n"/>
      <c r="D416" s="11">
        <f>IFERROR(INDEX(Products!$E$2:$E$500,MATCH(B416,Products!$A$2:$A$500,0)),"")</f>
        <v/>
      </c>
      <c r="E416" s="11">
        <f>IFERROR(C416*D416,"")</f>
        <v/>
      </c>
    </row>
    <row r="417">
      <c r="A417" s="12" t="n"/>
      <c r="B417" s="12" t="n"/>
      <c r="C417" s="12" t="n"/>
      <c r="D417" s="11">
        <f>IFERROR(INDEX(Products!$E$2:$E$500,MATCH(B417,Products!$A$2:$A$500,0)),"")</f>
        <v/>
      </c>
      <c r="E417" s="11">
        <f>IFERROR(C417*D417,"")</f>
        <v/>
      </c>
    </row>
    <row r="418">
      <c r="A418" s="12" t="n"/>
      <c r="B418" s="12" t="n"/>
      <c r="C418" s="12" t="n"/>
      <c r="D418" s="11">
        <f>IFERROR(INDEX(Products!$E$2:$E$500,MATCH(B418,Products!$A$2:$A$500,0)),"")</f>
        <v/>
      </c>
      <c r="E418" s="11">
        <f>IFERROR(C418*D418,"")</f>
        <v/>
      </c>
    </row>
    <row r="419">
      <c r="A419" s="12" t="n"/>
      <c r="B419" s="12" t="n"/>
      <c r="C419" s="12" t="n"/>
      <c r="D419" s="11">
        <f>IFERROR(INDEX(Products!$E$2:$E$500,MATCH(B419,Products!$A$2:$A$500,0)),"")</f>
        <v/>
      </c>
      <c r="E419" s="11">
        <f>IFERROR(C419*D419,"")</f>
        <v/>
      </c>
    </row>
    <row r="420">
      <c r="A420" s="12" t="n"/>
      <c r="B420" s="12" t="n"/>
      <c r="C420" s="12" t="n"/>
      <c r="D420" s="11">
        <f>IFERROR(INDEX(Products!$E$2:$E$500,MATCH(B420,Products!$A$2:$A$500,0)),"")</f>
        <v/>
      </c>
      <c r="E420" s="11">
        <f>IFERROR(C420*D420,"")</f>
        <v/>
      </c>
    </row>
    <row r="421">
      <c r="A421" s="12" t="n"/>
      <c r="B421" s="12" t="n"/>
      <c r="C421" s="12" t="n"/>
      <c r="D421" s="11">
        <f>IFERROR(INDEX(Products!$E$2:$E$500,MATCH(B421,Products!$A$2:$A$500,0)),"")</f>
        <v/>
      </c>
      <c r="E421" s="11">
        <f>IFERROR(C421*D421,"")</f>
        <v/>
      </c>
    </row>
    <row r="422">
      <c r="A422" s="12" t="n"/>
      <c r="B422" s="12" t="n"/>
      <c r="C422" s="12" t="n"/>
      <c r="D422" s="11">
        <f>IFERROR(INDEX(Products!$E$2:$E$500,MATCH(B422,Products!$A$2:$A$500,0)),"")</f>
        <v/>
      </c>
      <c r="E422" s="11">
        <f>IFERROR(C422*D422,"")</f>
        <v/>
      </c>
    </row>
    <row r="423">
      <c r="A423" s="12" t="n"/>
      <c r="B423" s="12" t="n"/>
      <c r="C423" s="12" t="n"/>
      <c r="D423" s="11">
        <f>IFERROR(INDEX(Products!$E$2:$E$500,MATCH(B423,Products!$A$2:$A$500,0)),"")</f>
        <v/>
      </c>
      <c r="E423" s="11">
        <f>IFERROR(C423*D423,"")</f>
        <v/>
      </c>
    </row>
    <row r="424">
      <c r="A424" s="12" t="n"/>
      <c r="B424" s="12" t="n"/>
      <c r="C424" s="12" t="n"/>
      <c r="D424" s="11">
        <f>IFERROR(INDEX(Products!$E$2:$E$500,MATCH(B424,Products!$A$2:$A$500,0)),"")</f>
        <v/>
      </c>
      <c r="E424" s="11">
        <f>IFERROR(C424*D424,"")</f>
        <v/>
      </c>
    </row>
    <row r="425">
      <c r="A425" s="12" t="n"/>
      <c r="B425" s="12" t="n"/>
      <c r="C425" s="12" t="n"/>
      <c r="D425" s="11">
        <f>IFERROR(INDEX(Products!$E$2:$E$500,MATCH(B425,Products!$A$2:$A$500,0)),"")</f>
        <v/>
      </c>
      <c r="E425" s="11">
        <f>IFERROR(C425*D425,"")</f>
        <v/>
      </c>
    </row>
    <row r="426">
      <c r="A426" s="12" t="n"/>
      <c r="B426" s="12" t="n"/>
      <c r="C426" s="12" t="n"/>
      <c r="D426" s="11">
        <f>IFERROR(INDEX(Products!$E$2:$E$500,MATCH(B426,Products!$A$2:$A$500,0)),"")</f>
        <v/>
      </c>
      <c r="E426" s="11">
        <f>IFERROR(C426*D426,"")</f>
        <v/>
      </c>
    </row>
    <row r="427">
      <c r="A427" s="12" t="n"/>
      <c r="B427" s="12" t="n"/>
      <c r="C427" s="12" t="n"/>
      <c r="D427" s="11">
        <f>IFERROR(INDEX(Products!$E$2:$E$500,MATCH(B427,Products!$A$2:$A$500,0)),"")</f>
        <v/>
      </c>
      <c r="E427" s="11">
        <f>IFERROR(C427*D427,"")</f>
        <v/>
      </c>
    </row>
    <row r="428">
      <c r="A428" s="12" t="n"/>
      <c r="B428" s="12" t="n"/>
      <c r="C428" s="12" t="n"/>
      <c r="D428" s="11">
        <f>IFERROR(INDEX(Products!$E$2:$E$500,MATCH(B428,Products!$A$2:$A$500,0)),"")</f>
        <v/>
      </c>
      <c r="E428" s="11">
        <f>IFERROR(C428*D428,"")</f>
        <v/>
      </c>
    </row>
    <row r="429">
      <c r="A429" s="12" t="n"/>
      <c r="B429" s="12" t="n"/>
      <c r="C429" s="12" t="n"/>
      <c r="D429" s="11">
        <f>IFERROR(INDEX(Products!$E$2:$E$500,MATCH(B429,Products!$A$2:$A$500,0)),"")</f>
        <v/>
      </c>
      <c r="E429" s="11">
        <f>IFERROR(C429*D429,"")</f>
        <v/>
      </c>
    </row>
    <row r="430">
      <c r="A430" s="12" t="n"/>
      <c r="B430" s="12" t="n"/>
      <c r="C430" s="12" t="n"/>
      <c r="D430" s="11">
        <f>IFERROR(INDEX(Products!$E$2:$E$500,MATCH(B430,Products!$A$2:$A$500,0)),"")</f>
        <v/>
      </c>
      <c r="E430" s="11">
        <f>IFERROR(C430*D430,"")</f>
        <v/>
      </c>
    </row>
    <row r="431">
      <c r="A431" s="12" t="n"/>
      <c r="B431" s="12" t="n"/>
      <c r="C431" s="12" t="n"/>
      <c r="D431" s="11">
        <f>IFERROR(INDEX(Products!$E$2:$E$500,MATCH(B431,Products!$A$2:$A$500,0)),"")</f>
        <v/>
      </c>
      <c r="E431" s="11">
        <f>IFERROR(C431*D431,"")</f>
        <v/>
      </c>
    </row>
    <row r="432">
      <c r="A432" s="12" t="n"/>
      <c r="B432" s="12" t="n"/>
      <c r="C432" s="12" t="n"/>
      <c r="D432" s="11">
        <f>IFERROR(INDEX(Products!$E$2:$E$500,MATCH(B432,Products!$A$2:$A$500,0)),"")</f>
        <v/>
      </c>
      <c r="E432" s="11">
        <f>IFERROR(C432*D432,"")</f>
        <v/>
      </c>
    </row>
    <row r="433">
      <c r="A433" s="12" t="n"/>
      <c r="B433" s="12" t="n"/>
      <c r="C433" s="12" t="n"/>
      <c r="D433" s="11">
        <f>IFERROR(INDEX(Products!$E$2:$E$500,MATCH(B433,Products!$A$2:$A$500,0)),"")</f>
        <v/>
      </c>
      <c r="E433" s="11">
        <f>IFERROR(C433*D433,"")</f>
        <v/>
      </c>
    </row>
    <row r="434">
      <c r="A434" s="12" t="n"/>
      <c r="B434" s="12" t="n"/>
      <c r="C434" s="12" t="n"/>
      <c r="D434" s="11">
        <f>IFERROR(INDEX(Products!$E$2:$E$500,MATCH(B434,Products!$A$2:$A$500,0)),"")</f>
        <v/>
      </c>
      <c r="E434" s="11">
        <f>IFERROR(C434*D434,"")</f>
        <v/>
      </c>
    </row>
    <row r="435">
      <c r="A435" s="12" t="n"/>
      <c r="B435" s="12" t="n"/>
      <c r="C435" s="12" t="n"/>
      <c r="D435" s="11">
        <f>IFERROR(INDEX(Products!$E$2:$E$500,MATCH(B435,Products!$A$2:$A$500,0)),"")</f>
        <v/>
      </c>
      <c r="E435" s="11">
        <f>IFERROR(C435*D435,"")</f>
        <v/>
      </c>
    </row>
    <row r="436">
      <c r="A436" s="12" t="n"/>
      <c r="B436" s="12" t="n"/>
      <c r="C436" s="12" t="n"/>
      <c r="D436" s="11">
        <f>IFERROR(INDEX(Products!$E$2:$E$500,MATCH(B436,Products!$A$2:$A$500,0)),"")</f>
        <v/>
      </c>
      <c r="E436" s="11">
        <f>IFERROR(C436*D436,"")</f>
        <v/>
      </c>
    </row>
    <row r="437">
      <c r="A437" s="12" t="n"/>
      <c r="B437" s="12" t="n"/>
      <c r="C437" s="12" t="n"/>
      <c r="D437" s="11">
        <f>IFERROR(INDEX(Products!$E$2:$E$500,MATCH(B437,Products!$A$2:$A$500,0)),"")</f>
        <v/>
      </c>
      <c r="E437" s="11">
        <f>IFERROR(C437*D437,"")</f>
        <v/>
      </c>
    </row>
    <row r="438">
      <c r="A438" s="12" t="n"/>
      <c r="B438" s="12" t="n"/>
      <c r="C438" s="12" t="n"/>
      <c r="D438" s="11">
        <f>IFERROR(INDEX(Products!$E$2:$E$500,MATCH(B438,Products!$A$2:$A$500,0)),"")</f>
        <v/>
      </c>
      <c r="E438" s="11">
        <f>IFERROR(C438*D438,"")</f>
        <v/>
      </c>
    </row>
    <row r="439">
      <c r="A439" s="12" t="n"/>
      <c r="B439" s="12" t="n"/>
      <c r="C439" s="12" t="n"/>
      <c r="D439" s="11">
        <f>IFERROR(INDEX(Products!$E$2:$E$500,MATCH(B439,Products!$A$2:$A$500,0)),"")</f>
        <v/>
      </c>
      <c r="E439" s="11">
        <f>IFERROR(C439*D439,"")</f>
        <v/>
      </c>
    </row>
    <row r="440">
      <c r="A440" s="12" t="n"/>
      <c r="B440" s="12" t="n"/>
      <c r="C440" s="12" t="n"/>
      <c r="D440" s="11">
        <f>IFERROR(INDEX(Products!$E$2:$E$500,MATCH(B440,Products!$A$2:$A$500,0)),"")</f>
        <v/>
      </c>
      <c r="E440" s="11">
        <f>IFERROR(C440*D440,"")</f>
        <v/>
      </c>
    </row>
    <row r="441">
      <c r="A441" s="12" t="n"/>
      <c r="B441" s="12" t="n"/>
      <c r="C441" s="12" t="n"/>
      <c r="D441" s="11">
        <f>IFERROR(INDEX(Products!$E$2:$E$500,MATCH(B441,Products!$A$2:$A$500,0)),"")</f>
        <v/>
      </c>
      <c r="E441" s="11">
        <f>IFERROR(C441*D441,"")</f>
        <v/>
      </c>
    </row>
    <row r="442">
      <c r="A442" s="12" t="n"/>
      <c r="B442" s="12" t="n"/>
      <c r="C442" s="12" t="n"/>
      <c r="D442" s="11">
        <f>IFERROR(INDEX(Products!$E$2:$E$500,MATCH(B442,Products!$A$2:$A$500,0)),"")</f>
        <v/>
      </c>
      <c r="E442" s="11">
        <f>IFERROR(C442*D442,"")</f>
        <v/>
      </c>
    </row>
    <row r="443">
      <c r="A443" s="12" t="n"/>
      <c r="B443" s="12" t="n"/>
      <c r="C443" s="12" t="n"/>
      <c r="D443" s="11">
        <f>IFERROR(INDEX(Products!$E$2:$E$500,MATCH(B443,Products!$A$2:$A$500,0)),"")</f>
        <v/>
      </c>
      <c r="E443" s="11">
        <f>IFERROR(C443*D443,"")</f>
        <v/>
      </c>
    </row>
    <row r="444">
      <c r="A444" s="12" t="n"/>
      <c r="B444" s="12" t="n"/>
      <c r="C444" s="12" t="n"/>
      <c r="D444" s="11">
        <f>IFERROR(INDEX(Products!$E$2:$E$500,MATCH(B444,Products!$A$2:$A$500,0)),"")</f>
        <v/>
      </c>
      <c r="E444" s="11">
        <f>IFERROR(C444*D444,"")</f>
        <v/>
      </c>
    </row>
    <row r="445">
      <c r="A445" s="12" t="n"/>
      <c r="B445" s="12" t="n"/>
      <c r="C445" s="12" t="n"/>
      <c r="D445" s="11">
        <f>IFERROR(INDEX(Products!$E$2:$E$500,MATCH(B445,Products!$A$2:$A$500,0)),"")</f>
        <v/>
      </c>
      <c r="E445" s="11">
        <f>IFERROR(C445*D445,"")</f>
        <v/>
      </c>
    </row>
    <row r="446">
      <c r="A446" s="12" t="n"/>
      <c r="B446" s="12" t="n"/>
      <c r="C446" s="12" t="n"/>
      <c r="D446" s="11">
        <f>IFERROR(INDEX(Products!$E$2:$E$500,MATCH(B446,Products!$A$2:$A$500,0)),"")</f>
        <v/>
      </c>
      <c r="E446" s="11">
        <f>IFERROR(C446*D446,"")</f>
        <v/>
      </c>
    </row>
    <row r="447">
      <c r="A447" s="12" t="n"/>
      <c r="B447" s="12" t="n"/>
      <c r="C447" s="12" t="n"/>
      <c r="D447" s="11">
        <f>IFERROR(INDEX(Products!$E$2:$E$500,MATCH(B447,Products!$A$2:$A$500,0)),"")</f>
        <v/>
      </c>
      <c r="E447" s="11">
        <f>IFERROR(C447*D447,"")</f>
        <v/>
      </c>
    </row>
    <row r="448">
      <c r="A448" s="12" t="n"/>
      <c r="B448" s="12" t="n"/>
      <c r="C448" s="12" t="n"/>
      <c r="D448" s="11">
        <f>IFERROR(INDEX(Products!$E$2:$E$500,MATCH(B448,Products!$A$2:$A$500,0)),"")</f>
        <v/>
      </c>
      <c r="E448" s="11">
        <f>IFERROR(C448*D448,"")</f>
        <v/>
      </c>
    </row>
    <row r="449">
      <c r="A449" s="12" t="n"/>
      <c r="B449" s="12" t="n"/>
      <c r="C449" s="12" t="n"/>
      <c r="D449" s="11">
        <f>IFERROR(INDEX(Products!$E$2:$E$500,MATCH(B449,Products!$A$2:$A$500,0)),"")</f>
        <v/>
      </c>
      <c r="E449" s="11">
        <f>IFERROR(C449*D449,"")</f>
        <v/>
      </c>
    </row>
    <row r="450">
      <c r="A450" s="12" t="n"/>
      <c r="B450" s="12" t="n"/>
      <c r="C450" s="12" t="n"/>
      <c r="D450" s="11">
        <f>IFERROR(INDEX(Products!$E$2:$E$500,MATCH(B450,Products!$A$2:$A$500,0)),"")</f>
        <v/>
      </c>
      <c r="E450" s="11">
        <f>IFERROR(C450*D450,"")</f>
        <v/>
      </c>
    </row>
    <row r="451">
      <c r="A451" s="12" t="n"/>
      <c r="B451" s="12" t="n"/>
      <c r="C451" s="12" t="n"/>
      <c r="D451" s="11">
        <f>IFERROR(INDEX(Products!$E$2:$E$500,MATCH(B451,Products!$A$2:$A$500,0)),"")</f>
        <v/>
      </c>
      <c r="E451" s="11">
        <f>IFERROR(C451*D451,"")</f>
        <v/>
      </c>
    </row>
    <row r="452">
      <c r="A452" s="12" t="n"/>
      <c r="B452" s="12" t="n"/>
      <c r="C452" s="12" t="n"/>
      <c r="D452" s="11">
        <f>IFERROR(INDEX(Products!$E$2:$E$500,MATCH(B452,Products!$A$2:$A$500,0)),"")</f>
        <v/>
      </c>
      <c r="E452" s="11">
        <f>IFERROR(C452*D452,"")</f>
        <v/>
      </c>
    </row>
    <row r="453">
      <c r="A453" s="12" t="n"/>
      <c r="B453" s="12" t="n"/>
      <c r="C453" s="12" t="n"/>
      <c r="D453" s="11">
        <f>IFERROR(INDEX(Products!$E$2:$E$500,MATCH(B453,Products!$A$2:$A$500,0)),"")</f>
        <v/>
      </c>
      <c r="E453" s="11">
        <f>IFERROR(C453*D453,"")</f>
        <v/>
      </c>
    </row>
    <row r="454">
      <c r="A454" s="12" t="n"/>
      <c r="B454" s="12" t="n"/>
      <c r="C454" s="12" t="n"/>
      <c r="D454" s="11">
        <f>IFERROR(INDEX(Products!$E$2:$E$500,MATCH(B454,Products!$A$2:$A$500,0)),"")</f>
        <v/>
      </c>
      <c r="E454" s="11">
        <f>IFERROR(C454*D454,"")</f>
        <v/>
      </c>
    </row>
    <row r="455">
      <c r="A455" s="12" t="n"/>
      <c r="B455" s="12" t="n"/>
      <c r="C455" s="12" t="n"/>
      <c r="D455" s="11">
        <f>IFERROR(INDEX(Products!$E$2:$E$500,MATCH(B455,Products!$A$2:$A$500,0)),"")</f>
        <v/>
      </c>
      <c r="E455" s="11">
        <f>IFERROR(C455*D455,"")</f>
        <v/>
      </c>
    </row>
    <row r="456">
      <c r="A456" s="12" t="n"/>
      <c r="B456" s="12" t="n"/>
      <c r="C456" s="12" t="n"/>
      <c r="D456" s="11">
        <f>IFERROR(INDEX(Products!$E$2:$E$500,MATCH(B456,Products!$A$2:$A$500,0)),"")</f>
        <v/>
      </c>
      <c r="E456" s="11">
        <f>IFERROR(C456*D456,"")</f>
        <v/>
      </c>
    </row>
    <row r="457">
      <c r="A457" s="12" t="n"/>
      <c r="B457" s="12" t="n"/>
      <c r="C457" s="12" t="n"/>
      <c r="D457" s="11">
        <f>IFERROR(INDEX(Products!$E$2:$E$500,MATCH(B457,Products!$A$2:$A$500,0)),"")</f>
        <v/>
      </c>
      <c r="E457" s="11">
        <f>IFERROR(C457*D457,"")</f>
        <v/>
      </c>
    </row>
    <row r="458">
      <c r="A458" s="12" t="n"/>
      <c r="B458" s="12" t="n"/>
      <c r="C458" s="12" t="n"/>
      <c r="D458" s="11">
        <f>IFERROR(INDEX(Products!$E$2:$E$500,MATCH(B458,Products!$A$2:$A$500,0)),"")</f>
        <v/>
      </c>
      <c r="E458" s="11">
        <f>IFERROR(C458*D458,"")</f>
        <v/>
      </c>
    </row>
    <row r="459">
      <c r="A459" s="12" t="n"/>
      <c r="B459" s="12" t="n"/>
      <c r="C459" s="12" t="n"/>
      <c r="D459" s="11">
        <f>IFERROR(INDEX(Products!$E$2:$E$500,MATCH(B459,Products!$A$2:$A$500,0)),"")</f>
        <v/>
      </c>
      <c r="E459" s="11">
        <f>IFERROR(C459*D459,"")</f>
        <v/>
      </c>
    </row>
    <row r="460">
      <c r="A460" s="12" t="n"/>
      <c r="B460" s="12" t="n"/>
      <c r="C460" s="12" t="n"/>
      <c r="D460" s="11">
        <f>IFERROR(INDEX(Products!$E$2:$E$500,MATCH(B460,Products!$A$2:$A$500,0)),"")</f>
        <v/>
      </c>
      <c r="E460" s="11">
        <f>IFERROR(C460*D460,"")</f>
        <v/>
      </c>
    </row>
    <row r="461">
      <c r="A461" s="12" t="n"/>
      <c r="B461" s="12" t="n"/>
      <c r="C461" s="12" t="n"/>
      <c r="D461" s="11">
        <f>IFERROR(INDEX(Products!$E$2:$E$500,MATCH(B461,Products!$A$2:$A$500,0)),"")</f>
        <v/>
      </c>
      <c r="E461" s="11">
        <f>IFERROR(C461*D461,"")</f>
        <v/>
      </c>
    </row>
    <row r="462">
      <c r="A462" s="12" t="n"/>
      <c r="B462" s="12" t="n"/>
      <c r="C462" s="12" t="n"/>
      <c r="D462" s="11">
        <f>IFERROR(INDEX(Products!$E$2:$E$500,MATCH(B462,Products!$A$2:$A$500,0)),"")</f>
        <v/>
      </c>
      <c r="E462" s="11">
        <f>IFERROR(C462*D462,"")</f>
        <v/>
      </c>
    </row>
    <row r="463">
      <c r="A463" s="12" t="n"/>
      <c r="B463" s="12" t="n"/>
      <c r="C463" s="12" t="n"/>
      <c r="D463" s="11">
        <f>IFERROR(INDEX(Products!$E$2:$E$500,MATCH(B463,Products!$A$2:$A$500,0)),"")</f>
        <v/>
      </c>
      <c r="E463" s="11">
        <f>IFERROR(C463*D463,"")</f>
        <v/>
      </c>
    </row>
    <row r="464">
      <c r="A464" s="12" t="n"/>
      <c r="B464" s="12" t="n"/>
      <c r="C464" s="12" t="n"/>
      <c r="D464" s="11">
        <f>IFERROR(INDEX(Products!$E$2:$E$500,MATCH(B464,Products!$A$2:$A$500,0)),"")</f>
        <v/>
      </c>
      <c r="E464" s="11">
        <f>IFERROR(C464*D464,"")</f>
        <v/>
      </c>
    </row>
    <row r="465">
      <c r="A465" s="12" t="n"/>
      <c r="B465" s="12" t="n"/>
      <c r="C465" s="12" t="n"/>
      <c r="D465" s="11">
        <f>IFERROR(INDEX(Products!$E$2:$E$500,MATCH(B465,Products!$A$2:$A$500,0)),"")</f>
        <v/>
      </c>
      <c r="E465" s="11">
        <f>IFERROR(C465*D465,"")</f>
        <v/>
      </c>
    </row>
    <row r="466">
      <c r="A466" s="12" t="n"/>
      <c r="B466" s="12" t="n"/>
      <c r="C466" s="12" t="n"/>
      <c r="D466" s="11">
        <f>IFERROR(INDEX(Products!$E$2:$E$500,MATCH(B466,Products!$A$2:$A$500,0)),"")</f>
        <v/>
      </c>
      <c r="E466" s="11">
        <f>IFERROR(C466*D466,"")</f>
        <v/>
      </c>
    </row>
    <row r="467">
      <c r="A467" s="12" t="n"/>
      <c r="B467" s="12" t="n"/>
      <c r="C467" s="12" t="n"/>
      <c r="D467" s="11">
        <f>IFERROR(INDEX(Products!$E$2:$E$500,MATCH(B467,Products!$A$2:$A$500,0)),"")</f>
        <v/>
      </c>
      <c r="E467" s="11">
        <f>IFERROR(C467*D467,"")</f>
        <v/>
      </c>
    </row>
    <row r="468">
      <c r="A468" s="12" t="n"/>
      <c r="B468" s="12" t="n"/>
      <c r="C468" s="12" t="n"/>
      <c r="D468" s="11">
        <f>IFERROR(INDEX(Products!$E$2:$E$500,MATCH(B468,Products!$A$2:$A$500,0)),"")</f>
        <v/>
      </c>
      <c r="E468" s="11">
        <f>IFERROR(C468*D468,"")</f>
        <v/>
      </c>
    </row>
    <row r="469">
      <c r="A469" s="12" t="n"/>
      <c r="B469" s="12" t="n"/>
      <c r="C469" s="12" t="n"/>
      <c r="D469" s="11">
        <f>IFERROR(INDEX(Products!$E$2:$E$500,MATCH(B469,Products!$A$2:$A$500,0)),"")</f>
        <v/>
      </c>
      <c r="E469" s="11">
        <f>IFERROR(C469*D469,"")</f>
        <v/>
      </c>
    </row>
    <row r="470">
      <c r="A470" s="12" t="n"/>
      <c r="B470" s="12" t="n"/>
      <c r="C470" s="12" t="n"/>
      <c r="D470" s="11">
        <f>IFERROR(INDEX(Products!$E$2:$E$500,MATCH(B470,Products!$A$2:$A$500,0)),"")</f>
        <v/>
      </c>
      <c r="E470" s="11">
        <f>IFERROR(C470*D470,"")</f>
        <v/>
      </c>
    </row>
    <row r="471">
      <c r="A471" s="12" t="n"/>
      <c r="B471" s="12" t="n"/>
      <c r="C471" s="12" t="n"/>
      <c r="D471" s="11">
        <f>IFERROR(INDEX(Products!$E$2:$E$500,MATCH(B471,Products!$A$2:$A$500,0)),"")</f>
        <v/>
      </c>
      <c r="E471" s="11">
        <f>IFERROR(C471*D471,"")</f>
        <v/>
      </c>
    </row>
    <row r="472">
      <c r="A472" s="12" t="n"/>
      <c r="B472" s="12" t="n"/>
      <c r="C472" s="12" t="n"/>
      <c r="D472" s="11">
        <f>IFERROR(INDEX(Products!$E$2:$E$500,MATCH(B472,Products!$A$2:$A$500,0)),"")</f>
        <v/>
      </c>
      <c r="E472" s="11">
        <f>IFERROR(C472*D472,"")</f>
        <v/>
      </c>
    </row>
    <row r="473">
      <c r="A473" s="12" t="n"/>
      <c r="B473" s="12" t="n"/>
      <c r="C473" s="12" t="n"/>
      <c r="D473" s="11">
        <f>IFERROR(INDEX(Products!$E$2:$E$500,MATCH(B473,Products!$A$2:$A$500,0)),"")</f>
        <v/>
      </c>
      <c r="E473" s="11">
        <f>IFERROR(C473*D473,"")</f>
        <v/>
      </c>
    </row>
    <row r="474">
      <c r="A474" s="12" t="n"/>
      <c r="B474" s="12" t="n"/>
      <c r="C474" s="12" t="n"/>
      <c r="D474" s="11">
        <f>IFERROR(INDEX(Products!$E$2:$E$500,MATCH(B474,Products!$A$2:$A$500,0)),"")</f>
        <v/>
      </c>
      <c r="E474" s="11">
        <f>IFERROR(C474*D474,"")</f>
        <v/>
      </c>
    </row>
    <row r="475">
      <c r="A475" s="12" t="n"/>
      <c r="B475" s="12" t="n"/>
      <c r="C475" s="12" t="n"/>
      <c r="D475" s="11">
        <f>IFERROR(INDEX(Products!$E$2:$E$500,MATCH(B475,Products!$A$2:$A$500,0)),"")</f>
        <v/>
      </c>
      <c r="E475" s="11">
        <f>IFERROR(C475*D475,"")</f>
        <v/>
      </c>
    </row>
    <row r="476">
      <c r="A476" s="12" t="n"/>
      <c r="B476" s="12" t="n"/>
      <c r="C476" s="12" t="n"/>
      <c r="D476" s="11">
        <f>IFERROR(INDEX(Products!$E$2:$E$500,MATCH(B476,Products!$A$2:$A$500,0)),"")</f>
        <v/>
      </c>
      <c r="E476" s="11">
        <f>IFERROR(C476*D476,"")</f>
        <v/>
      </c>
    </row>
    <row r="477">
      <c r="A477" s="12" t="n"/>
      <c r="B477" s="12" t="n"/>
      <c r="C477" s="12" t="n"/>
      <c r="D477" s="11">
        <f>IFERROR(INDEX(Products!$E$2:$E$500,MATCH(B477,Products!$A$2:$A$500,0)),"")</f>
        <v/>
      </c>
      <c r="E477" s="11">
        <f>IFERROR(C477*D477,"")</f>
        <v/>
      </c>
    </row>
    <row r="478">
      <c r="A478" s="12" t="n"/>
      <c r="B478" s="12" t="n"/>
      <c r="C478" s="12" t="n"/>
      <c r="D478" s="11">
        <f>IFERROR(INDEX(Products!$E$2:$E$500,MATCH(B478,Products!$A$2:$A$500,0)),"")</f>
        <v/>
      </c>
      <c r="E478" s="11">
        <f>IFERROR(C478*D478,"")</f>
        <v/>
      </c>
    </row>
    <row r="479">
      <c r="A479" s="12" t="n"/>
      <c r="B479" s="12" t="n"/>
      <c r="C479" s="12" t="n"/>
      <c r="D479" s="11">
        <f>IFERROR(INDEX(Products!$E$2:$E$500,MATCH(B479,Products!$A$2:$A$500,0)),"")</f>
        <v/>
      </c>
      <c r="E479" s="11">
        <f>IFERROR(C479*D479,"")</f>
        <v/>
      </c>
    </row>
    <row r="480">
      <c r="A480" s="12" t="n"/>
      <c r="B480" s="12" t="n"/>
      <c r="C480" s="12" t="n"/>
      <c r="D480" s="11">
        <f>IFERROR(INDEX(Products!$E$2:$E$500,MATCH(B480,Products!$A$2:$A$500,0)),"")</f>
        <v/>
      </c>
      <c r="E480" s="11">
        <f>IFERROR(C480*D480,"")</f>
        <v/>
      </c>
    </row>
    <row r="481">
      <c r="A481" s="12" t="n"/>
      <c r="B481" s="12" t="n"/>
      <c r="C481" s="12" t="n"/>
      <c r="D481" s="11">
        <f>IFERROR(INDEX(Products!$E$2:$E$500,MATCH(B481,Products!$A$2:$A$500,0)),"")</f>
        <v/>
      </c>
      <c r="E481" s="11">
        <f>IFERROR(C481*D481,"")</f>
        <v/>
      </c>
    </row>
    <row r="482">
      <c r="A482" s="12" t="n"/>
      <c r="B482" s="12" t="n"/>
      <c r="C482" s="12" t="n"/>
      <c r="D482" s="11">
        <f>IFERROR(INDEX(Products!$E$2:$E$500,MATCH(B482,Products!$A$2:$A$500,0)),"")</f>
        <v/>
      </c>
      <c r="E482" s="11">
        <f>IFERROR(C482*D482,"")</f>
        <v/>
      </c>
    </row>
    <row r="483">
      <c r="A483" s="12" t="n"/>
      <c r="B483" s="12" t="n"/>
      <c r="C483" s="12" t="n"/>
      <c r="D483" s="11">
        <f>IFERROR(INDEX(Products!$E$2:$E$500,MATCH(B483,Products!$A$2:$A$500,0)),"")</f>
        <v/>
      </c>
      <c r="E483" s="11">
        <f>IFERROR(C483*D483,"")</f>
        <v/>
      </c>
    </row>
    <row r="484">
      <c r="A484" s="12" t="n"/>
      <c r="B484" s="12" t="n"/>
      <c r="C484" s="12" t="n"/>
      <c r="D484" s="11">
        <f>IFERROR(INDEX(Products!$E$2:$E$500,MATCH(B484,Products!$A$2:$A$500,0)),"")</f>
        <v/>
      </c>
      <c r="E484" s="11">
        <f>IFERROR(C484*D484,"")</f>
        <v/>
      </c>
    </row>
    <row r="485">
      <c r="A485" s="12" t="n"/>
      <c r="B485" s="12" t="n"/>
      <c r="C485" s="12" t="n"/>
      <c r="D485" s="11">
        <f>IFERROR(INDEX(Products!$E$2:$E$500,MATCH(B485,Products!$A$2:$A$500,0)),"")</f>
        <v/>
      </c>
      <c r="E485" s="11">
        <f>IFERROR(C485*D485,"")</f>
        <v/>
      </c>
    </row>
    <row r="486">
      <c r="A486" s="12" t="n"/>
      <c r="B486" s="12" t="n"/>
      <c r="C486" s="12" t="n"/>
      <c r="D486" s="11">
        <f>IFERROR(INDEX(Products!$E$2:$E$500,MATCH(B486,Products!$A$2:$A$500,0)),"")</f>
        <v/>
      </c>
      <c r="E486" s="11">
        <f>IFERROR(C486*D486,"")</f>
        <v/>
      </c>
    </row>
    <row r="487">
      <c r="A487" s="12" t="n"/>
      <c r="B487" s="12" t="n"/>
      <c r="C487" s="12" t="n"/>
      <c r="D487" s="11">
        <f>IFERROR(INDEX(Products!$E$2:$E$500,MATCH(B487,Products!$A$2:$A$500,0)),"")</f>
        <v/>
      </c>
      <c r="E487" s="11">
        <f>IFERROR(C487*D487,"")</f>
        <v/>
      </c>
    </row>
    <row r="488">
      <c r="A488" s="12" t="n"/>
      <c r="B488" s="12" t="n"/>
      <c r="C488" s="12" t="n"/>
      <c r="D488" s="11">
        <f>IFERROR(INDEX(Products!$E$2:$E$500,MATCH(B488,Products!$A$2:$A$500,0)),"")</f>
        <v/>
      </c>
      <c r="E488" s="11">
        <f>IFERROR(C488*D488,"")</f>
        <v/>
      </c>
    </row>
    <row r="489">
      <c r="A489" s="12" t="n"/>
      <c r="B489" s="12" t="n"/>
      <c r="C489" s="12" t="n"/>
      <c r="D489" s="11">
        <f>IFERROR(INDEX(Products!$E$2:$E$500,MATCH(B489,Products!$A$2:$A$500,0)),"")</f>
        <v/>
      </c>
      <c r="E489" s="11">
        <f>IFERROR(C489*D489,"")</f>
        <v/>
      </c>
    </row>
    <row r="490">
      <c r="A490" s="12" t="n"/>
      <c r="B490" s="12" t="n"/>
      <c r="C490" s="12" t="n"/>
      <c r="D490" s="11">
        <f>IFERROR(INDEX(Products!$E$2:$E$500,MATCH(B490,Products!$A$2:$A$500,0)),"")</f>
        <v/>
      </c>
      <c r="E490" s="11">
        <f>IFERROR(C490*D490,"")</f>
        <v/>
      </c>
    </row>
    <row r="491">
      <c r="A491" s="12" t="n"/>
      <c r="B491" s="12" t="n"/>
      <c r="C491" s="12" t="n"/>
      <c r="D491" s="11">
        <f>IFERROR(INDEX(Products!$E$2:$E$500,MATCH(B491,Products!$A$2:$A$500,0)),"")</f>
        <v/>
      </c>
      <c r="E491" s="11">
        <f>IFERROR(C491*D491,"")</f>
        <v/>
      </c>
    </row>
    <row r="492">
      <c r="A492" s="12" t="n"/>
      <c r="B492" s="12" t="n"/>
      <c r="C492" s="12" t="n"/>
      <c r="D492" s="11">
        <f>IFERROR(INDEX(Products!$E$2:$E$500,MATCH(B492,Products!$A$2:$A$500,0)),"")</f>
        <v/>
      </c>
      <c r="E492" s="11">
        <f>IFERROR(C492*D492,"")</f>
        <v/>
      </c>
    </row>
    <row r="493">
      <c r="A493" s="12" t="n"/>
      <c r="B493" s="12" t="n"/>
      <c r="C493" s="12" t="n"/>
      <c r="D493" s="11">
        <f>IFERROR(INDEX(Products!$E$2:$E$500,MATCH(B493,Products!$A$2:$A$500,0)),"")</f>
        <v/>
      </c>
      <c r="E493" s="11">
        <f>IFERROR(C493*D493,"")</f>
        <v/>
      </c>
    </row>
    <row r="494">
      <c r="A494" s="12" t="n"/>
      <c r="B494" s="12" t="n"/>
      <c r="C494" s="12" t="n"/>
      <c r="D494" s="11">
        <f>IFERROR(INDEX(Products!$E$2:$E$500,MATCH(B494,Products!$A$2:$A$500,0)),"")</f>
        <v/>
      </c>
      <c r="E494" s="11">
        <f>IFERROR(C494*D494,"")</f>
        <v/>
      </c>
    </row>
    <row r="495">
      <c r="A495" s="12" t="n"/>
      <c r="B495" s="12" t="n"/>
      <c r="C495" s="12" t="n"/>
      <c r="D495" s="11">
        <f>IFERROR(INDEX(Products!$E$2:$E$500,MATCH(B495,Products!$A$2:$A$500,0)),"")</f>
        <v/>
      </c>
      <c r="E495" s="11">
        <f>IFERROR(C495*D495,"")</f>
        <v/>
      </c>
    </row>
    <row r="496">
      <c r="A496" s="12" t="n"/>
      <c r="B496" s="12" t="n"/>
      <c r="C496" s="12" t="n"/>
      <c r="D496" s="11">
        <f>IFERROR(INDEX(Products!$E$2:$E$500,MATCH(B496,Products!$A$2:$A$500,0)),"")</f>
        <v/>
      </c>
      <c r="E496" s="11">
        <f>IFERROR(C496*D496,"")</f>
        <v/>
      </c>
    </row>
    <row r="497">
      <c r="A497" s="12" t="n"/>
      <c r="B497" s="12" t="n"/>
      <c r="C497" s="12" t="n"/>
      <c r="D497" s="11">
        <f>IFERROR(INDEX(Products!$E$2:$E$500,MATCH(B497,Products!$A$2:$A$500,0)),"")</f>
        <v/>
      </c>
      <c r="E497" s="11">
        <f>IFERROR(C497*D497,"")</f>
        <v/>
      </c>
    </row>
    <row r="498">
      <c r="A498" s="12" t="n"/>
      <c r="B498" s="12" t="n"/>
      <c r="C498" s="12" t="n"/>
      <c r="D498" s="11">
        <f>IFERROR(INDEX(Products!$E$2:$E$500,MATCH(B498,Products!$A$2:$A$500,0)),"")</f>
        <v/>
      </c>
      <c r="E498" s="11">
        <f>IFERROR(C498*D498,"")</f>
        <v/>
      </c>
    </row>
    <row r="499">
      <c r="A499" s="12" t="n"/>
      <c r="B499" s="12" t="n"/>
      <c r="C499" s="12" t="n"/>
      <c r="D499" s="11">
        <f>IFERROR(INDEX(Products!$E$2:$E$500,MATCH(B499,Products!$A$2:$A$500,0)),"")</f>
        <v/>
      </c>
      <c r="E499" s="11">
        <f>IFERROR(C499*D499,"")</f>
        <v/>
      </c>
    </row>
    <row r="500">
      <c r="A500" s="12" t="n"/>
      <c r="B500" s="12" t="n"/>
      <c r="C500" s="12" t="n"/>
      <c r="D500" s="11">
        <f>IFERROR(INDEX(Products!$E$2:$E$500,MATCH(B500,Products!$A$2:$A$500,0)),"")</f>
        <v/>
      </c>
      <c r="E500" s="11">
        <f>IFERROR(C500*D500,"")</f>
        <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500"/>
  <sheetViews>
    <sheetView workbookViewId="0">
      <selection activeCell="A1" sqref="A1"/>
    </sheetView>
  </sheetViews>
  <sheetFormatPr baseColWidth="8" defaultRowHeight="15"/>
  <cols>
    <col width="18" customWidth="1" min="1" max="1"/>
    <col width="16" customWidth="1" min="2" max="2"/>
    <col width="20" customWidth="1" min="3" max="3"/>
    <col width="15" customWidth="1" min="4" max="4"/>
    <col width="10" customWidth="1" min="5" max="5"/>
    <col width="10" customWidth="1" min="6" max="6"/>
    <col width="14" customWidth="1" min="7" max="7"/>
    <col width="16" customWidth="1" min="8" max="8"/>
    <col width="12" customWidth="1" min="9" max="9"/>
  </cols>
  <sheetData>
    <row r="1">
      <c r="A1" s="7" t="inlineStr">
        <is>
          <t>Date</t>
        </is>
      </c>
      <c r="B1" s="7" t="inlineStr">
        <is>
          <t>ProductSKU</t>
        </is>
      </c>
      <c r="C1" s="7" t="inlineStr">
        <is>
          <t>Warehouse</t>
        </is>
      </c>
      <c r="D1" s="7" t="inlineStr">
        <is>
          <t>MovementType</t>
        </is>
      </c>
      <c r="E1" s="7" t="inlineStr">
        <is>
          <t>Quantity</t>
        </is>
      </c>
      <c r="F1" s="7" t="inlineStr">
        <is>
          <t>UnitCost</t>
        </is>
      </c>
      <c r="G1" s="7" t="inlineStr">
        <is>
          <t>Reference</t>
        </is>
      </c>
      <c r="H1" s="7" t="inlineStr">
        <is>
          <t>WorkOrderNo</t>
        </is>
      </c>
      <c r="I1" s="7" t="inlineStr">
        <is>
          <t>Value</t>
        </is>
      </c>
    </row>
    <row r="2">
      <c r="A2" s="13" t="n">
        <v>46257.375</v>
      </c>
      <c r="B2" s="8" t="inlineStr">
        <is>
          <t>RM-STEEL-COIL</t>
        </is>
      </c>
      <c r="C2" s="8" t="inlineStr">
        <is>
          <t>Raw Material Store</t>
        </is>
      </c>
      <c r="D2" s="9" t="inlineStr">
        <is>
          <t>receipt</t>
        </is>
      </c>
      <c r="E2" s="8" t="n">
        <v>3000</v>
      </c>
      <c r="F2" s="8" t="n">
        <v>65</v>
      </c>
      <c r="G2" s="8" t="inlineStr">
        <is>
          <t>PO-1001</t>
        </is>
      </c>
      <c r="H2" s="8" t="n"/>
      <c r="I2" s="11">
        <f>IFERROR(E2*F2,"")</f>
        <v/>
      </c>
    </row>
    <row r="3">
      <c r="A3" s="13" t="n">
        <v>46266.33333333334</v>
      </c>
      <c r="B3" s="8" t="inlineStr">
        <is>
          <t>RM-STEEL-COIL</t>
        </is>
      </c>
      <c r="C3" s="8" t="inlineStr">
        <is>
          <t>Raw Material Store</t>
        </is>
      </c>
      <c r="D3" s="9" t="inlineStr">
        <is>
          <t>issue</t>
        </is>
      </c>
      <c r="E3" s="8" t="n">
        <v>900</v>
      </c>
      <c r="F3" s="8" t="n">
        <v>65</v>
      </c>
      <c r="G3" s="8" t="inlineStr">
        <is>
          <t>WO-2026-0001</t>
        </is>
      </c>
      <c r="H3" s="8" t="inlineStr">
        <is>
          <t>WO-2026-0001</t>
        </is>
      </c>
      <c r="I3" s="11">
        <f>IFERROR(E3*F3,"")</f>
        <v/>
      </c>
    </row>
    <row r="4">
      <c r="A4" s="13" t="n">
        <v>46266.5</v>
      </c>
      <c r="B4" s="8" t="inlineStr">
        <is>
          <t>FG-BRACKET-A</t>
        </is>
      </c>
      <c r="C4" s="8" t="inlineStr">
        <is>
          <t>Finished Goods Store</t>
        </is>
      </c>
      <c r="D4" s="9" t="inlineStr">
        <is>
          <t>production_in</t>
        </is>
      </c>
      <c r="E4" s="8" t="n">
        <v>470</v>
      </c>
      <c r="F4" s="8" t="n">
        <v>180</v>
      </c>
      <c r="G4" s="8" t="inlineStr">
        <is>
          <t>WO-2026-0001</t>
        </is>
      </c>
      <c r="H4" s="8" t="inlineStr">
        <is>
          <t>WO-2026-0001</t>
        </is>
      </c>
      <c r="I4" s="11">
        <f>IFERROR(E4*F4,"")</f>
        <v/>
      </c>
    </row>
    <row r="5">
      <c r="D5" s="10" t="n"/>
      <c r="I5" s="11">
        <f>IFERROR(E5*F5,"")</f>
        <v/>
      </c>
    </row>
    <row r="6">
      <c r="D6" s="10" t="n"/>
      <c r="I6" s="11">
        <f>IFERROR(E6*F6,"")</f>
        <v/>
      </c>
    </row>
    <row r="7">
      <c r="D7" s="10" t="n"/>
      <c r="I7" s="11">
        <f>IFERROR(E7*F7,"")</f>
        <v/>
      </c>
    </row>
    <row r="8">
      <c r="D8" s="10" t="n"/>
      <c r="I8" s="11">
        <f>IFERROR(E8*F8,"")</f>
        <v/>
      </c>
    </row>
    <row r="9">
      <c r="D9" s="10" t="n"/>
      <c r="I9" s="11">
        <f>IFERROR(E9*F9,"")</f>
        <v/>
      </c>
    </row>
    <row r="10">
      <c r="D10" s="10" t="n"/>
      <c r="I10" s="11">
        <f>IFERROR(E10*F10,"")</f>
        <v/>
      </c>
    </row>
    <row r="11">
      <c r="D11" s="10" t="n"/>
      <c r="I11" s="11">
        <f>IFERROR(E11*F11,"")</f>
        <v/>
      </c>
    </row>
    <row r="12">
      <c r="D12" s="10" t="n"/>
      <c r="I12" s="11">
        <f>IFERROR(E12*F12,"")</f>
        <v/>
      </c>
    </row>
    <row r="13">
      <c r="D13" s="10" t="n"/>
      <c r="I13" s="11">
        <f>IFERROR(E13*F13,"")</f>
        <v/>
      </c>
    </row>
    <row r="14">
      <c r="D14" s="10" t="n"/>
      <c r="I14" s="11">
        <f>IFERROR(E14*F14,"")</f>
        <v/>
      </c>
    </row>
    <row r="15">
      <c r="D15" s="10" t="n"/>
      <c r="I15" s="11">
        <f>IFERROR(E15*F15,"")</f>
        <v/>
      </c>
    </row>
    <row r="16">
      <c r="D16" s="10" t="n"/>
      <c r="I16" s="11">
        <f>IFERROR(E16*F16,"")</f>
        <v/>
      </c>
    </row>
    <row r="17">
      <c r="D17" s="10" t="n"/>
      <c r="I17" s="11">
        <f>IFERROR(E17*F17,"")</f>
        <v/>
      </c>
    </row>
    <row r="18">
      <c r="D18" s="10" t="n"/>
      <c r="I18" s="11">
        <f>IFERROR(E18*F18,"")</f>
        <v/>
      </c>
    </row>
    <row r="19">
      <c r="D19" s="10" t="n"/>
      <c r="I19" s="11">
        <f>IFERROR(E19*F19,"")</f>
        <v/>
      </c>
    </row>
    <row r="20">
      <c r="D20" s="10" t="n"/>
      <c r="I20" s="11">
        <f>IFERROR(E20*F20,"")</f>
        <v/>
      </c>
    </row>
    <row r="21">
      <c r="D21" s="10" t="n"/>
      <c r="I21" s="11">
        <f>IFERROR(E21*F21,"")</f>
        <v/>
      </c>
    </row>
    <row r="22">
      <c r="D22" s="10" t="n"/>
      <c r="I22" s="11">
        <f>IFERROR(E22*F22,"")</f>
        <v/>
      </c>
    </row>
    <row r="23">
      <c r="D23" s="10" t="n"/>
      <c r="I23" s="11">
        <f>IFERROR(E23*F23,"")</f>
        <v/>
      </c>
    </row>
    <row r="24">
      <c r="D24" s="10" t="n"/>
      <c r="I24" s="11">
        <f>IFERROR(E24*F24,"")</f>
        <v/>
      </c>
    </row>
    <row r="25">
      <c r="D25" s="10" t="n"/>
      <c r="I25" s="11">
        <f>IFERROR(E25*F25,"")</f>
        <v/>
      </c>
    </row>
    <row r="26">
      <c r="D26" s="10" t="n"/>
      <c r="I26" s="11">
        <f>IFERROR(E26*F26,"")</f>
        <v/>
      </c>
    </row>
    <row r="27">
      <c r="D27" s="10" t="n"/>
      <c r="I27" s="11">
        <f>IFERROR(E27*F27,"")</f>
        <v/>
      </c>
    </row>
    <row r="28">
      <c r="D28" s="10" t="n"/>
      <c r="I28" s="11">
        <f>IFERROR(E28*F28,"")</f>
        <v/>
      </c>
    </row>
    <row r="29">
      <c r="D29" s="10" t="n"/>
      <c r="I29" s="11">
        <f>IFERROR(E29*F29,"")</f>
        <v/>
      </c>
    </row>
    <row r="30">
      <c r="D30" s="10" t="n"/>
      <c r="I30" s="11">
        <f>IFERROR(E30*F30,"")</f>
        <v/>
      </c>
    </row>
    <row r="31">
      <c r="D31" s="10" t="n"/>
      <c r="I31" s="11">
        <f>IFERROR(E31*F31,"")</f>
        <v/>
      </c>
    </row>
    <row r="32">
      <c r="D32" s="10" t="n"/>
      <c r="I32" s="11">
        <f>IFERROR(E32*F32,"")</f>
        <v/>
      </c>
    </row>
    <row r="33">
      <c r="D33" s="10" t="n"/>
      <c r="I33" s="11">
        <f>IFERROR(E33*F33,"")</f>
        <v/>
      </c>
    </row>
    <row r="34">
      <c r="D34" s="10" t="n"/>
      <c r="I34" s="11">
        <f>IFERROR(E34*F34,"")</f>
        <v/>
      </c>
    </row>
    <row r="35">
      <c r="D35" s="10" t="n"/>
      <c r="I35" s="11">
        <f>IFERROR(E35*F35,"")</f>
        <v/>
      </c>
    </row>
    <row r="36">
      <c r="D36" s="10" t="n"/>
      <c r="I36" s="11">
        <f>IFERROR(E36*F36,"")</f>
        <v/>
      </c>
    </row>
    <row r="37">
      <c r="D37" s="10" t="n"/>
      <c r="I37" s="11">
        <f>IFERROR(E37*F37,"")</f>
        <v/>
      </c>
    </row>
    <row r="38">
      <c r="D38" s="10" t="n"/>
      <c r="I38" s="11">
        <f>IFERROR(E38*F38,"")</f>
        <v/>
      </c>
    </row>
    <row r="39">
      <c r="D39" s="10" t="n"/>
      <c r="I39" s="11">
        <f>IFERROR(E39*F39,"")</f>
        <v/>
      </c>
    </row>
    <row r="40">
      <c r="D40" s="10" t="n"/>
      <c r="I40" s="11">
        <f>IFERROR(E40*F40,"")</f>
        <v/>
      </c>
    </row>
    <row r="41">
      <c r="D41" s="10" t="n"/>
      <c r="I41" s="11">
        <f>IFERROR(E41*F41,"")</f>
        <v/>
      </c>
    </row>
    <row r="42">
      <c r="D42" s="10" t="n"/>
      <c r="I42" s="11">
        <f>IFERROR(E42*F42,"")</f>
        <v/>
      </c>
    </row>
    <row r="43">
      <c r="D43" s="10" t="n"/>
      <c r="I43" s="11">
        <f>IFERROR(E43*F43,"")</f>
        <v/>
      </c>
    </row>
    <row r="44">
      <c r="D44" s="10" t="n"/>
      <c r="I44" s="11">
        <f>IFERROR(E44*F44,"")</f>
        <v/>
      </c>
    </row>
    <row r="45">
      <c r="D45" s="10" t="n"/>
      <c r="I45" s="11">
        <f>IFERROR(E45*F45,"")</f>
        <v/>
      </c>
    </row>
    <row r="46">
      <c r="D46" s="10" t="n"/>
      <c r="I46" s="11">
        <f>IFERROR(E46*F46,"")</f>
        <v/>
      </c>
    </row>
    <row r="47">
      <c r="D47" s="10" t="n"/>
      <c r="I47" s="11">
        <f>IFERROR(E47*F47,"")</f>
        <v/>
      </c>
    </row>
    <row r="48">
      <c r="D48" s="10" t="n"/>
      <c r="I48" s="11">
        <f>IFERROR(E48*F48,"")</f>
        <v/>
      </c>
    </row>
    <row r="49">
      <c r="D49" s="10" t="n"/>
      <c r="I49" s="11">
        <f>IFERROR(E49*F49,"")</f>
        <v/>
      </c>
    </row>
    <row r="50">
      <c r="D50" s="10" t="n"/>
      <c r="I50" s="11">
        <f>IFERROR(E50*F50,"")</f>
        <v/>
      </c>
    </row>
    <row r="51">
      <c r="D51" s="10" t="n"/>
      <c r="I51" s="11">
        <f>IFERROR(E51*F51,"")</f>
        <v/>
      </c>
    </row>
    <row r="52">
      <c r="D52" s="10" t="n"/>
      <c r="I52" s="11">
        <f>IFERROR(E52*F52,"")</f>
        <v/>
      </c>
    </row>
    <row r="53">
      <c r="D53" s="10" t="n"/>
      <c r="I53" s="11">
        <f>IFERROR(E53*F53,"")</f>
        <v/>
      </c>
    </row>
    <row r="54">
      <c r="D54" s="10" t="n"/>
      <c r="I54" s="11">
        <f>IFERROR(E54*F54,"")</f>
        <v/>
      </c>
    </row>
    <row r="55">
      <c r="D55" s="10" t="n"/>
      <c r="I55" s="11">
        <f>IFERROR(E55*F55,"")</f>
        <v/>
      </c>
    </row>
    <row r="56">
      <c r="D56" s="10" t="n"/>
      <c r="I56" s="11">
        <f>IFERROR(E56*F56,"")</f>
        <v/>
      </c>
    </row>
    <row r="57">
      <c r="D57" s="10" t="n"/>
      <c r="I57" s="11">
        <f>IFERROR(E57*F57,"")</f>
        <v/>
      </c>
    </row>
    <row r="58">
      <c r="D58" s="10" t="n"/>
      <c r="I58" s="11">
        <f>IFERROR(E58*F58,"")</f>
        <v/>
      </c>
    </row>
    <row r="59">
      <c r="D59" s="10" t="n"/>
      <c r="I59" s="11">
        <f>IFERROR(E59*F59,"")</f>
        <v/>
      </c>
    </row>
    <row r="60">
      <c r="D60" s="10" t="n"/>
      <c r="I60" s="11">
        <f>IFERROR(E60*F60,"")</f>
        <v/>
      </c>
    </row>
    <row r="61">
      <c r="D61" s="10" t="n"/>
      <c r="I61" s="11">
        <f>IFERROR(E61*F61,"")</f>
        <v/>
      </c>
    </row>
    <row r="62">
      <c r="D62" s="10" t="n"/>
      <c r="I62" s="11">
        <f>IFERROR(E62*F62,"")</f>
        <v/>
      </c>
    </row>
    <row r="63">
      <c r="D63" s="10" t="n"/>
      <c r="I63" s="11">
        <f>IFERROR(E63*F63,"")</f>
        <v/>
      </c>
    </row>
    <row r="64">
      <c r="D64" s="10" t="n"/>
      <c r="I64" s="11">
        <f>IFERROR(E64*F64,"")</f>
        <v/>
      </c>
    </row>
    <row r="65">
      <c r="D65" s="10" t="n"/>
      <c r="I65" s="11">
        <f>IFERROR(E65*F65,"")</f>
        <v/>
      </c>
    </row>
    <row r="66">
      <c r="D66" s="10" t="n"/>
      <c r="I66" s="11">
        <f>IFERROR(E66*F66,"")</f>
        <v/>
      </c>
    </row>
    <row r="67">
      <c r="D67" s="10" t="n"/>
      <c r="I67" s="11">
        <f>IFERROR(E67*F67,"")</f>
        <v/>
      </c>
    </row>
    <row r="68">
      <c r="D68" s="10" t="n"/>
      <c r="I68" s="11">
        <f>IFERROR(E68*F68,"")</f>
        <v/>
      </c>
    </row>
    <row r="69">
      <c r="D69" s="10" t="n"/>
      <c r="I69" s="11">
        <f>IFERROR(E69*F69,"")</f>
        <v/>
      </c>
    </row>
    <row r="70">
      <c r="D70" s="10" t="n"/>
      <c r="I70" s="11">
        <f>IFERROR(E70*F70,"")</f>
        <v/>
      </c>
    </row>
    <row r="71">
      <c r="D71" s="10" t="n"/>
      <c r="I71" s="11">
        <f>IFERROR(E71*F71,"")</f>
        <v/>
      </c>
    </row>
    <row r="72">
      <c r="D72" s="10" t="n"/>
      <c r="I72" s="11">
        <f>IFERROR(E72*F72,"")</f>
        <v/>
      </c>
    </row>
    <row r="73">
      <c r="D73" s="10" t="n"/>
      <c r="I73" s="11">
        <f>IFERROR(E73*F73,"")</f>
        <v/>
      </c>
    </row>
    <row r="74">
      <c r="D74" s="10" t="n"/>
      <c r="I74" s="11">
        <f>IFERROR(E74*F74,"")</f>
        <v/>
      </c>
    </row>
    <row r="75">
      <c r="D75" s="10" t="n"/>
      <c r="I75" s="11">
        <f>IFERROR(E75*F75,"")</f>
        <v/>
      </c>
    </row>
    <row r="76">
      <c r="D76" s="10" t="n"/>
      <c r="I76" s="11">
        <f>IFERROR(E76*F76,"")</f>
        <v/>
      </c>
    </row>
    <row r="77">
      <c r="D77" s="10" t="n"/>
      <c r="I77" s="11">
        <f>IFERROR(E77*F77,"")</f>
        <v/>
      </c>
    </row>
    <row r="78">
      <c r="D78" s="10" t="n"/>
      <c r="I78" s="11">
        <f>IFERROR(E78*F78,"")</f>
        <v/>
      </c>
    </row>
    <row r="79">
      <c r="D79" s="10" t="n"/>
      <c r="I79" s="11">
        <f>IFERROR(E79*F79,"")</f>
        <v/>
      </c>
    </row>
    <row r="80">
      <c r="D80" s="10" t="n"/>
      <c r="I80" s="11">
        <f>IFERROR(E80*F80,"")</f>
        <v/>
      </c>
    </row>
    <row r="81">
      <c r="D81" s="10" t="n"/>
      <c r="I81" s="11">
        <f>IFERROR(E81*F81,"")</f>
        <v/>
      </c>
    </row>
    <row r="82">
      <c r="D82" s="10" t="n"/>
      <c r="I82" s="11">
        <f>IFERROR(E82*F82,"")</f>
        <v/>
      </c>
    </row>
    <row r="83">
      <c r="D83" s="10" t="n"/>
      <c r="I83" s="11">
        <f>IFERROR(E83*F83,"")</f>
        <v/>
      </c>
    </row>
    <row r="84">
      <c r="D84" s="10" t="n"/>
      <c r="I84" s="11">
        <f>IFERROR(E84*F84,"")</f>
        <v/>
      </c>
    </row>
    <row r="85">
      <c r="D85" s="10" t="n"/>
      <c r="I85" s="11">
        <f>IFERROR(E85*F85,"")</f>
        <v/>
      </c>
    </row>
    <row r="86">
      <c r="D86" s="10" t="n"/>
      <c r="I86" s="11">
        <f>IFERROR(E86*F86,"")</f>
        <v/>
      </c>
    </row>
    <row r="87">
      <c r="D87" s="10" t="n"/>
      <c r="I87" s="11">
        <f>IFERROR(E87*F87,"")</f>
        <v/>
      </c>
    </row>
    <row r="88">
      <c r="D88" s="10" t="n"/>
      <c r="I88" s="11">
        <f>IFERROR(E88*F88,"")</f>
        <v/>
      </c>
    </row>
    <row r="89">
      <c r="D89" s="10" t="n"/>
      <c r="I89" s="11">
        <f>IFERROR(E89*F89,"")</f>
        <v/>
      </c>
    </row>
    <row r="90">
      <c r="D90" s="10" t="n"/>
      <c r="I90" s="11">
        <f>IFERROR(E90*F90,"")</f>
        <v/>
      </c>
    </row>
    <row r="91">
      <c r="D91" s="10" t="n"/>
      <c r="I91" s="11">
        <f>IFERROR(E91*F91,"")</f>
        <v/>
      </c>
    </row>
    <row r="92">
      <c r="D92" s="10" t="n"/>
      <c r="I92" s="11">
        <f>IFERROR(E92*F92,"")</f>
        <v/>
      </c>
    </row>
    <row r="93">
      <c r="D93" s="10" t="n"/>
      <c r="I93" s="11">
        <f>IFERROR(E93*F93,"")</f>
        <v/>
      </c>
    </row>
    <row r="94">
      <c r="D94" s="10" t="n"/>
      <c r="I94" s="11">
        <f>IFERROR(E94*F94,"")</f>
        <v/>
      </c>
    </row>
    <row r="95">
      <c r="D95" s="10" t="n"/>
      <c r="I95" s="11">
        <f>IFERROR(E95*F95,"")</f>
        <v/>
      </c>
    </row>
    <row r="96">
      <c r="D96" s="10" t="n"/>
      <c r="I96" s="11">
        <f>IFERROR(E96*F96,"")</f>
        <v/>
      </c>
    </row>
    <row r="97">
      <c r="D97" s="10" t="n"/>
      <c r="I97" s="11">
        <f>IFERROR(E97*F97,"")</f>
        <v/>
      </c>
    </row>
    <row r="98">
      <c r="D98" s="10" t="n"/>
      <c r="I98" s="11">
        <f>IFERROR(E98*F98,"")</f>
        <v/>
      </c>
    </row>
    <row r="99">
      <c r="D99" s="10" t="n"/>
      <c r="I99" s="11">
        <f>IFERROR(E99*F99,"")</f>
        <v/>
      </c>
    </row>
    <row r="100">
      <c r="D100" s="10" t="n"/>
      <c r="I100" s="11">
        <f>IFERROR(E100*F100,"")</f>
        <v/>
      </c>
    </row>
    <row r="101">
      <c r="D101" s="10" t="n"/>
      <c r="I101" s="11">
        <f>IFERROR(E101*F101,"")</f>
        <v/>
      </c>
    </row>
    <row r="102">
      <c r="D102" s="10" t="n"/>
      <c r="I102" s="11">
        <f>IFERROR(E102*F102,"")</f>
        <v/>
      </c>
    </row>
    <row r="103">
      <c r="D103" s="10" t="n"/>
      <c r="I103" s="11">
        <f>IFERROR(E103*F103,"")</f>
        <v/>
      </c>
    </row>
    <row r="104">
      <c r="D104" s="10" t="n"/>
      <c r="I104" s="11">
        <f>IFERROR(E104*F104,"")</f>
        <v/>
      </c>
    </row>
    <row r="105">
      <c r="D105" s="10" t="n"/>
      <c r="I105" s="11">
        <f>IFERROR(E105*F105,"")</f>
        <v/>
      </c>
    </row>
    <row r="106">
      <c r="D106" s="10" t="n"/>
      <c r="I106" s="11">
        <f>IFERROR(E106*F106,"")</f>
        <v/>
      </c>
    </row>
    <row r="107">
      <c r="D107" s="10" t="n"/>
      <c r="I107" s="11">
        <f>IFERROR(E107*F107,"")</f>
        <v/>
      </c>
    </row>
    <row r="108">
      <c r="D108" s="10" t="n"/>
      <c r="I108" s="11">
        <f>IFERROR(E108*F108,"")</f>
        <v/>
      </c>
    </row>
    <row r="109">
      <c r="D109" s="10" t="n"/>
      <c r="I109" s="11">
        <f>IFERROR(E109*F109,"")</f>
        <v/>
      </c>
    </row>
    <row r="110">
      <c r="D110" s="10" t="n"/>
      <c r="I110" s="11">
        <f>IFERROR(E110*F110,"")</f>
        <v/>
      </c>
    </row>
    <row r="111">
      <c r="D111" s="10" t="n"/>
      <c r="I111" s="11">
        <f>IFERROR(E111*F111,"")</f>
        <v/>
      </c>
    </row>
    <row r="112">
      <c r="D112" s="10" t="n"/>
      <c r="I112" s="11">
        <f>IFERROR(E112*F112,"")</f>
        <v/>
      </c>
    </row>
    <row r="113">
      <c r="D113" s="10" t="n"/>
      <c r="I113" s="11">
        <f>IFERROR(E113*F113,"")</f>
        <v/>
      </c>
    </row>
    <row r="114">
      <c r="D114" s="10" t="n"/>
      <c r="I114" s="11">
        <f>IFERROR(E114*F114,"")</f>
        <v/>
      </c>
    </row>
    <row r="115">
      <c r="D115" s="10" t="n"/>
      <c r="I115" s="11">
        <f>IFERROR(E115*F115,"")</f>
        <v/>
      </c>
    </row>
    <row r="116">
      <c r="D116" s="10" t="n"/>
      <c r="I116" s="11">
        <f>IFERROR(E116*F116,"")</f>
        <v/>
      </c>
    </row>
    <row r="117">
      <c r="D117" s="10" t="n"/>
      <c r="I117" s="11">
        <f>IFERROR(E117*F117,"")</f>
        <v/>
      </c>
    </row>
    <row r="118">
      <c r="D118" s="10" t="n"/>
      <c r="I118" s="11">
        <f>IFERROR(E118*F118,"")</f>
        <v/>
      </c>
    </row>
    <row r="119">
      <c r="D119" s="10" t="n"/>
      <c r="I119" s="11">
        <f>IFERROR(E119*F119,"")</f>
        <v/>
      </c>
    </row>
    <row r="120">
      <c r="D120" s="10" t="n"/>
      <c r="I120" s="11">
        <f>IFERROR(E120*F120,"")</f>
        <v/>
      </c>
    </row>
    <row r="121">
      <c r="D121" s="10" t="n"/>
      <c r="I121" s="11">
        <f>IFERROR(E121*F121,"")</f>
        <v/>
      </c>
    </row>
    <row r="122">
      <c r="D122" s="10" t="n"/>
      <c r="I122" s="11">
        <f>IFERROR(E122*F122,"")</f>
        <v/>
      </c>
    </row>
    <row r="123">
      <c r="D123" s="10" t="n"/>
      <c r="I123" s="11">
        <f>IFERROR(E123*F123,"")</f>
        <v/>
      </c>
    </row>
    <row r="124">
      <c r="D124" s="10" t="n"/>
      <c r="I124" s="11">
        <f>IFERROR(E124*F124,"")</f>
        <v/>
      </c>
    </row>
    <row r="125">
      <c r="D125" s="10" t="n"/>
      <c r="I125" s="11">
        <f>IFERROR(E125*F125,"")</f>
        <v/>
      </c>
    </row>
    <row r="126">
      <c r="D126" s="10" t="n"/>
      <c r="I126" s="11">
        <f>IFERROR(E126*F126,"")</f>
        <v/>
      </c>
    </row>
    <row r="127">
      <c r="D127" s="10" t="n"/>
      <c r="I127" s="11">
        <f>IFERROR(E127*F127,"")</f>
        <v/>
      </c>
    </row>
    <row r="128">
      <c r="D128" s="10" t="n"/>
      <c r="I128" s="11">
        <f>IFERROR(E128*F128,"")</f>
        <v/>
      </c>
    </row>
    <row r="129">
      <c r="D129" s="10" t="n"/>
      <c r="I129" s="11">
        <f>IFERROR(E129*F129,"")</f>
        <v/>
      </c>
    </row>
    <row r="130">
      <c r="D130" s="10" t="n"/>
      <c r="I130" s="11">
        <f>IFERROR(E130*F130,"")</f>
        <v/>
      </c>
    </row>
    <row r="131">
      <c r="D131" s="10" t="n"/>
      <c r="I131" s="11">
        <f>IFERROR(E131*F131,"")</f>
        <v/>
      </c>
    </row>
    <row r="132">
      <c r="D132" s="10" t="n"/>
      <c r="I132" s="11">
        <f>IFERROR(E132*F132,"")</f>
        <v/>
      </c>
    </row>
    <row r="133">
      <c r="D133" s="10" t="n"/>
      <c r="I133" s="11">
        <f>IFERROR(E133*F133,"")</f>
        <v/>
      </c>
    </row>
    <row r="134">
      <c r="D134" s="10" t="n"/>
      <c r="I134" s="11">
        <f>IFERROR(E134*F134,"")</f>
        <v/>
      </c>
    </row>
    <row r="135">
      <c r="D135" s="10" t="n"/>
      <c r="I135" s="11">
        <f>IFERROR(E135*F135,"")</f>
        <v/>
      </c>
    </row>
    <row r="136">
      <c r="D136" s="10" t="n"/>
      <c r="I136" s="11">
        <f>IFERROR(E136*F136,"")</f>
        <v/>
      </c>
    </row>
    <row r="137">
      <c r="D137" s="10" t="n"/>
      <c r="I137" s="11">
        <f>IFERROR(E137*F137,"")</f>
        <v/>
      </c>
    </row>
    <row r="138">
      <c r="D138" s="10" t="n"/>
      <c r="I138" s="11">
        <f>IFERROR(E138*F138,"")</f>
        <v/>
      </c>
    </row>
    <row r="139">
      <c r="D139" s="10" t="n"/>
      <c r="I139" s="11">
        <f>IFERROR(E139*F139,"")</f>
        <v/>
      </c>
    </row>
    <row r="140">
      <c r="D140" s="10" t="n"/>
      <c r="I140" s="11">
        <f>IFERROR(E140*F140,"")</f>
        <v/>
      </c>
    </row>
    <row r="141">
      <c r="D141" s="10" t="n"/>
      <c r="I141" s="11">
        <f>IFERROR(E141*F141,"")</f>
        <v/>
      </c>
    </row>
    <row r="142">
      <c r="D142" s="10" t="n"/>
      <c r="I142" s="11">
        <f>IFERROR(E142*F142,"")</f>
        <v/>
      </c>
    </row>
    <row r="143">
      <c r="D143" s="10" t="n"/>
      <c r="I143" s="11">
        <f>IFERROR(E143*F143,"")</f>
        <v/>
      </c>
    </row>
    <row r="144">
      <c r="D144" s="10" t="n"/>
      <c r="I144" s="11">
        <f>IFERROR(E144*F144,"")</f>
        <v/>
      </c>
    </row>
    <row r="145">
      <c r="D145" s="10" t="n"/>
      <c r="I145" s="11">
        <f>IFERROR(E145*F145,"")</f>
        <v/>
      </c>
    </row>
    <row r="146">
      <c r="D146" s="10" t="n"/>
      <c r="I146" s="11">
        <f>IFERROR(E146*F146,"")</f>
        <v/>
      </c>
    </row>
    <row r="147">
      <c r="D147" s="10" t="n"/>
      <c r="I147" s="11">
        <f>IFERROR(E147*F147,"")</f>
        <v/>
      </c>
    </row>
    <row r="148">
      <c r="D148" s="10" t="n"/>
      <c r="I148" s="11">
        <f>IFERROR(E148*F148,"")</f>
        <v/>
      </c>
    </row>
    <row r="149">
      <c r="D149" s="10" t="n"/>
      <c r="I149" s="11">
        <f>IFERROR(E149*F149,"")</f>
        <v/>
      </c>
    </row>
    <row r="150">
      <c r="D150" s="10" t="n"/>
      <c r="I150" s="11">
        <f>IFERROR(E150*F150,"")</f>
        <v/>
      </c>
    </row>
    <row r="151">
      <c r="D151" s="10" t="n"/>
      <c r="I151" s="11">
        <f>IFERROR(E151*F151,"")</f>
        <v/>
      </c>
    </row>
    <row r="152">
      <c r="D152" s="10" t="n"/>
      <c r="I152" s="11">
        <f>IFERROR(E152*F152,"")</f>
        <v/>
      </c>
    </row>
    <row r="153">
      <c r="D153" s="10" t="n"/>
      <c r="I153" s="11">
        <f>IFERROR(E153*F153,"")</f>
        <v/>
      </c>
    </row>
    <row r="154">
      <c r="D154" s="10" t="n"/>
      <c r="I154" s="11">
        <f>IFERROR(E154*F154,"")</f>
        <v/>
      </c>
    </row>
    <row r="155">
      <c r="D155" s="10" t="n"/>
      <c r="I155" s="11">
        <f>IFERROR(E155*F155,"")</f>
        <v/>
      </c>
    </row>
    <row r="156">
      <c r="D156" s="10" t="n"/>
      <c r="I156" s="11">
        <f>IFERROR(E156*F156,"")</f>
        <v/>
      </c>
    </row>
    <row r="157">
      <c r="D157" s="10" t="n"/>
      <c r="I157" s="11">
        <f>IFERROR(E157*F157,"")</f>
        <v/>
      </c>
    </row>
    <row r="158">
      <c r="D158" s="10" t="n"/>
      <c r="I158" s="11">
        <f>IFERROR(E158*F158,"")</f>
        <v/>
      </c>
    </row>
    <row r="159">
      <c r="D159" s="10" t="n"/>
      <c r="I159" s="11">
        <f>IFERROR(E159*F159,"")</f>
        <v/>
      </c>
    </row>
    <row r="160">
      <c r="D160" s="10" t="n"/>
      <c r="I160" s="11">
        <f>IFERROR(E160*F160,"")</f>
        <v/>
      </c>
    </row>
    <row r="161">
      <c r="D161" s="10" t="n"/>
      <c r="I161" s="11">
        <f>IFERROR(E161*F161,"")</f>
        <v/>
      </c>
    </row>
    <row r="162">
      <c r="D162" s="10" t="n"/>
      <c r="I162" s="11">
        <f>IFERROR(E162*F162,"")</f>
        <v/>
      </c>
    </row>
    <row r="163">
      <c r="D163" s="10" t="n"/>
      <c r="I163" s="11">
        <f>IFERROR(E163*F163,"")</f>
        <v/>
      </c>
    </row>
    <row r="164">
      <c r="D164" s="10" t="n"/>
      <c r="I164" s="11">
        <f>IFERROR(E164*F164,"")</f>
        <v/>
      </c>
    </row>
    <row r="165">
      <c r="D165" s="10" t="n"/>
      <c r="I165" s="11">
        <f>IFERROR(E165*F165,"")</f>
        <v/>
      </c>
    </row>
    <row r="166">
      <c r="D166" s="10" t="n"/>
      <c r="I166" s="11">
        <f>IFERROR(E166*F166,"")</f>
        <v/>
      </c>
    </row>
    <row r="167">
      <c r="D167" s="10" t="n"/>
      <c r="I167" s="11">
        <f>IFERROR(E167*F167,"")</f>
        <v/>
      </c>
    </row>
    <row r="168">
      <c r="D168" s="10" t="n"/>
      <c r="I168" s="11">
        <f>IFERROR(E168*F168,"")</f>
        <v/>
      </c>
    </row>
    <row r="169">
      <c r="D169" s="10" t="n"/>
      <c r="I169" s="11">
        <f>IFERROR(E169*F169,"")</f>
        <v/>
      </c>
    </row>
    <row r="170">
      <c r="D170" s="10" t="n"/>
      <c r="I170" s="11">
        <f>IFERROR(E170*F170,"")</f>
        <v/>
      </c>
    </row>
    <row r="171">
      <c r="D171" s="10" t="n"/>
      <c r="I171" s="11">
        <f>IFERROR(E171*F171,"")</f>
        <v/>
      </c>
    </row>
    <row r="172">
      <c r="D172" s="10" t="n"/>
      <c r="I172" s="11">
        <f>IFERROR(E172*F172,"")</f>
        <v/>
      </c>
    </row>
    <row r="173">
      <c r="D173" s="10" t="n"/>
      <c r="I173" s="11">
        <f>IFERROR(E173*F173,"")</f>
        <v/>
      </c>
    </row>
    <row r="174">
      <c r="D174" s="10" t="n"/>
      <c r="I174" s="11">
        <f>IFERROR(E174*F174,"")</f>
        <v/>
      </c>
    </row>
    <row r="175">
      <c r="D175" s="10" t="n"/>
      <c r="I175" s="11">
        <f>IFERROR(E175*F175,"")</f>
        <v/>
      </c>
    </row>
    <row r="176">
      <c r="D176" s="10" t="n"/>
      <c r="I176" s="11">
        <f>IFERROR(E176*F176,"")</f>
        <v/>
      </c>
    </row>
    <row r="177">
      <c r="D177" s="10" t="n"/>
      <c r="I177" s="11">
        <f>IFERROR(E177*F177,"")</f>
        <v/>
      </c>
    </row>
    <row r="178">
      <c r="D178" s="10" t="n"/>
      <c r="I178" s="11">
        <f>IFERROR(E178*F178,"")</f>
        <v/>
      </c>
    </row>
    <row r="179">
      <c r="D179" s="10" t="n"/>
      <c r="I179" s="11">
        <f>IFERROR(E179*F179,"")</f>
        <v/>
      </c>
    </row>
    <row r="180">
      <c r="D180" s="10" t="n"/>
      <c r="I180" s="11">
        <f>IFERROR(E180*F180,"")</f>
        <v/>
      </c>
    </row>
    <row r="181">
      <c r="D181" s="10" t="n"/>
      <c r="I181" s="11">
        <f>IFERROR(E181*F181,"")</f>
        <v/>
      </c>
    </row>
    <row r="182">
      <c r="D182" s="10" t="n"/>
      <c r="I182" s="11">
        <f>IFERROR(E182*F182,"")</f>
        <v/>
      </c>
    </row>
    <row r="183">
      <c r="D183" s="10" t="n"/>
      <c r="I183" s="11">
        <f>IFERROR(E183*F183,"")</f>
        <v/>
      </c>
    </row>
    <row r="184">
      <c r="D184" s="10" t="n"/>
      <c r="I184" s="11">
        <f>IFERROR(E184*F184,"")</f>
        <v/>
      </c>
    </row>
    <row r="185">
      <c r="D185" s="10" t="n"/>
      <c r="I185" s="11">
        <f>IFERROR(E185*F185,"")</f>
        <v/>
      </c>
    </row>
    <row r="186">
      <c r="D186" s="10" t="n"/>
      <c r="I186" s="11">
        <f>IFERROR(E186*F186,"")</f>
        <v/>
      </c>
    </row>
    <row r="187">
      <c r="D187" s="10" t="n"/>
      <c r="I187" s="11">
        <f>IFERROR(E187*F187,"")</f>
        <v/>
      </c>
    </row>
    <row r="188">
      <c r="D188" s="10" t="n"/>
      <c r="I188" s="11">
        <f>IFERROR(E188*F188,"")</f>
        <v/>
      </c>
    </row>
    <row r="189">
      <c r="D189" s="10" t="n"/>
      <c r="I189" s="11">
        <f>IFERROR(E189*F189,"")</f>
        <v/>
      </c>
    </row>
    <row r="190">
      <c r="D190" s="10" t="n"/>
      <c r="I190" s="11">
        <f>IFERROR(E190*F190,"")</f>
        <v/>
      </c>
    </row>
    <row r="191">
      <c r="D191" s="10" t="n"/>
      <c r="I191" s="11">
        <f>IFERROR(E191*F191,"")</f>
        <v/>
      </c>
    </row>
    <row r="192">
      <c r="D192" s="10" t="n"/>
      <c r="I192" s="11">
        <f>IFERROR(E192*F192,"")</f>
        <v/>
      </c>
    </row>
    <row r="193">
      <c r="D193" s="10" t="n"/>
      <c r="I193" s="11">
        <f>IFERROR(E193*F193,"")</f>
        <v/>
      </c>
    </row>
    <row r="194">
      <c r="D194" s="10" t="n"/>
      <c r="I194" s="11">
        <f>IFERROR(E194*F194,"")</f>
        <v/>
      </c>
    </row>
    <row r="195">
      <c r="D195" s="10" t="n"/>
      <c r="I195" s="11">
        <f>IFERROR(E195*F195,"")</f>
        <v/>
      </c>
    </row>
    <row r="196">
      <c r="D196" s="10" t="n"/>
      <c r="I196" s="11">
        <f>IFERROR(E196*F196,"")</f>
        <v/>
      </c>
    </row>
    <row r="197">
      <c r="D197" s="10" t="n"/>
      <c r="I197" s="11">
        <f>IFERROR(E197*F197,"")</f>
        <v/>
      </c>
    </row>
    <row r="198">
      <c r="D198" s="10" t="n"/>
      <c r="I198" s="11">
        <f>IFERROR(E198*F198,"")</f>
        <v/>
      </c>
    </row>
    <row r="199">
      <c r="D199" s="10" t="n"/>
      <c r="I199" s="11">
        <f>IFERROR(E199*F199,"")</f>
        <v/>
      </c>
    </row>
    <row r="200">
      <c r="D200" s="10" t="n"/>
      <c r="I200" s="11">
        <f>IFERROR(E200*F200,"")</f>
        <v/>
      </c>
    </row>
    <row r="201">
      <c r="D201" s="10" t="n"/>
      <c r="I201" s="11">
        <f>IFERROR(E201*F201,"")</f>
        <v/>
      </c>
    </row>
    <row r="202">
      <c r="D202" s="10" t="n"/>
      <c r="I202" s="11">
        <f>IFERROR(E202*F202,"")</f>
        <v/>
      </c>
    </row>
    <row r="203">
      <c r="D203" s="10" t="n"/>
      <c r="I203" s="11">
        <f>IFERROR(E203*F203,"")</f>
        <v/>
      </c>
    </row>
    <row r="204">
      <c r="D204" s="10" t="n"/>
      <c r="I204" s="11">
        <f>IFERROR(E204*F204,"")</f>
        <v/>
      </c>
    </row>
    <row r="205">
      <c r="D205" s="10" t="n"/>
      <c r="I205" s="11">
        <f>IFERROR(E205*F205,"")</f>
        <v/>
      </c>
    </row>
    <row r="206">
      <c r="D206" s="10" t="n"/>
      <c r="I206" s="11">
        <f>IFERROR(E206*F206,"")</f>
        <v/>
      </c>
    </row>
    <row r="207">
      <c r="D207" s="10" t="n"/>
      <c r="I207" s="11">
        <f>IFERROR(E207*F207,"")</f>
        <v/>
      </c>
    </row>
    <row r="208">
      <c r="D208" s="10" t="n"/>
      <c r="I208" s="11">
        <f>IFERROR(E208*F208,"")</f>
        <v/>
      </c>
    </row>
    <row r="209">
      <c r="D209" s="10" t="n"/>
      <c r="I209" s="11">
        <f>IFERROR(E209*F209,"")</f>
        <v/>
      </c>
    </row>
    <row r="210">
      <c r="D210" s="10" t="n"/>
      <c r="I210" s="11">
        <f>IFERROR(E210*F210,"")</f>
        <v/>
      </c>
    </row>
    <row r="211">
      <c r="D211" s="10" t="n"/>
      <c r="I211" s="11">
        <f>IFERROR(E211*F211,"")</f>
        <v/>
      </c>
    </row>
    <row r="212">
      <c r="D212" s="10" t="n"/>
      <c r="I212" s="11">
        <f>IFERROR(E212*F212,"")</f>
        <v/>
      </c>
    </row>
    <row r="213">
      <c r="D213" s="10" t="n"/>
      <c r="I213" s="11">
        <f>IFERROR(E213*F213,"")</f>
        <v/>
      </c>
    </row>
    <row r="214">
      <c r="D214" s="10" t="n"/>
      <c r="I214" s="11">
        <f>IFERROR(E214*F214,"")</f>
        <v/>
      </c>
    </row>
    <row r="215">
      <c r="D215" s="10" t="n"/>
      <c r="I215" s="11">
        <f>IFERROR(E215*F215,"")</f>
        <v/>
      </c>
    </row>
    <row r="216">
      <c r="D216" s="10" t="n"/>
      <c r="I216" s="11">
        <f>IFERROR(E216*F216,"")</f>
        <v/>
      </c>
    </row>
    <row r="217">
      <c r="D217" s="10" t="n"/>
      <c r="I217" s="11">
        <f>IFERROR(E217*F217,"")</f>
        <v/>
      </c>
    </row>
    <row r="218">
      <c r="D218" s="10" t="n"/>
      <c r="I218" s="11">
        <f>IFERROR(E218*F218,"")</f>
        <v/>
      </c>
    </row>
    <row r="219">
      <c r="D219" s="10" t="n"/>
      <c r="I219" s="11">
        <f>IFERROR(E219*F219,"")</f>
        <v/>
      </c>
    </row>
    <row r="220">
      <c r="D220" s="10" t="n"/>
      <c r="I220" s="11">
        <f>IFERROR(E220*F220,"")</f>
        <v/>
      </c>
    </row>
    <row r="221">
      <c r="D221" s="10" t="n"/>
      <c r="I221" s="11">
        <f>IFERROR(E221*F221,"")</f>
        <v/>
      </c>
    </row>
    <row r="222">
      <c r="D222" s="10" t="n"/>
      <c r="I222" s="11">
        <f>IFERROR(E222*F222,"")</f>
        <v/>
      </c>
    </row>
    <row r="223">
      <c r="D223" s="10" t="n"/>
      <c r="I223" s="11">
        <f>IFERROR(E223*F223,"")</f>
        <v/>
      </c>
    </row>
    <row r="224">
      <c r="D224" s="10" t="n"/>
      <c r="I224" s="11">
        <f>IFERROR(E224*F224,"")</f>
        <v/>
      </c>
    </row>
    <row r="225">
      <c r="D225" s="10" t="n"/>
      <c r="I225" s="11">
        <f>IFERROR(E225*F225,"")</f>
        <v/>
      </c>
    </row>
    <row r="226">
      <c r="D226" s="10" t="n"/>
      <c r="I226" s="11">
        <f>IFERROR(E226*F226,"")</f>
        <v/>
      </c>
    </row>
    <row r="227">
      <c r="D227" s="10" t="n"/>
      <c r="I227" s="11">
        <f>IFERROR(E227*F227,"")</f>
        <v/>
      </c>
    </row>
    <row r="228">
      <c r="D228" s="10" t="n"/>
      <c r="I228" s="11">
        <f>IFERROR(E228*F228,"")</f>
        <v/>
      </c>
    </row>
    <row r="229">
      <c r="D229" s="10" t="n"/>
      <c r="I229" s="11">
        <f>IFERROR(E229*F229,"")</f>
        <v/>
      </c>
    </row>
    <row r="230">
      <c r="D230" s="10" t="n"/>
      <c r="I230" s="11">
        <f>IFERROR(E230*F230,"")</f>
        <v/>
      </c>
    </row>
    <row r="231">
      <c r="D231" s="10" t="n"/>
      <c r="I231" s="11">
        <f>IFERROR(E231*F231,"")</f>
        <v/>
      </c>
    </row>
    <row r="232">
      <c r="D232" s="10" t="n"/>
      <c r="I232" s="11">
        <f>IFERROR(E232*F232,"")</f>
        <v/>
      </c>
    </row>
    <row r="233">
      <c r="D233" s="10" t="n"/>
      <c r="I233" s="11">
        <f>IFERROR(E233*F233,"")</f>
        <v/>
      </c>
    </row>
    <row r="234">
      <c r="D234" s="10" t="n"/>
      <c r="I234" s="11">
        <f>IFERROR(E234*F234,"")</f>
        <v/>
      </c>
    </row>
    <row r="235">
      <c r="D235" s="10" t="n"/>
      <c r="I235" s="11">
        <f>IFERROR(E235*F235,"")</f>
        <v/>
      </c>
    </row>
    <row r="236">
      <c r="D236" s="10" t="n"/>
      <c r="I236" s="11">
        <f>IFERROR(E236*F236,"")</f>
        <v/>
      </c>
    </row>
    <row r="237">
      <c r="D237" s="10" t="n"/>
      <c r="I237" s="11">
        <f>IFERROR(E237*F237,"")</f>
        <v/>
      </c>
    </row>
    <row r="238">
      <c r="D238" s="10" t="n"/>
      <c r="I238" s="11">
        <f>IFERROR(E238*F238,"")</f>
        <v/>
      </c>
    </row>
    <row r="239">
      <c r="D239" s="10" t="n"/>
      <c r="I239" s="11">
        <f>IFERROR(E239*F239,"")</f>
        <v/>
      </c>
    </row>
    <row r="240">
      <c r="D240" s="10" t="n"/>
      <c r="I240" s="11">
        <f>IFERROR(E240*F240,"")</f>
        <v/>
      </c>
    </row>
    <row r="241">
      <c r="D241" s="10" t="n"/>
      <c r="I241" s="11">
        <f>IFERROR(E241*F241,"")</f>
        <v/>
      </c>
    </row>
    <row r="242">
      <c r="D242" s="10" t="n"/>
      <c r="I242" s="11">
        <f>IFERROR(E242*F242,"")</f>
        <v/>
      </c>
    </row>
    <row r="243">
      <c r="D243" s="10" t="n"/>
      <c r="I243" s="11">
        <f>IFERROR(E243*F243,"")</f>
        <v/>
      </c>
    </row>
    <row r="244">
      <c r="D244" s="10" t="n"/>
      <c r="I244" s="11">
        <f>IFERROR(E244*F244,"")</f>
        <v/>
      </c>
    </row>
    <row r="245">
      <c r="D245" s="10" t="n"/>
      <c r="I245" s="11">
        <f>IFERROR(E245*F245,"")</f>
        <v/>
      </c>
    </row>
    <row r="246">
      <c r="D246" s="10" t="n"/>
      <c r="I246" s="11">
        <f>IFERROR(E246*F246,"")</f>
        <v/>
      </c>
    </row>
    <row r="247">
      <c r="D247" s="10" t="n"/>
      <c r="I247" s="11">
        <f>IFERROR(E247*F247,"")</f>
        <v/>
      </c>
    </row>
    <row r="248">
      <c r="D248" s="10" t="n"/>
      <c r="I248" s="11">
        <f>IFERROR(E248*F248,"")</f>
        <v/>
      </c>
    </row>
    <row r="249">
      <c r="D249" s="10" t="n"/>
      <c r="I249" s="11">
        <f>IFERROR(E249*F249,"")</f>
        <v/>
      </c>
    </row>
    <row r="250">
      <c r="D250" s="10" t="n"/>
      <c r="I250" s="11">
        <f>IFERROR(E250*F250,"")</f>
        <v/>
      </c>
    </row>
    <row r="251">
      <c r="D251" s="10" t="n"/>
      <c r="I251" s="11">
        <f>IFERROR(E251*F251,"")</f>
        <v/>
      </c>
    </row>
    <row r="252">
      <c r="D252" s="10" t="n"/>
      <c r="I252" s="11">
        <f>IFERROR(E252*F252,"")</f>
        <v/>
      </c>
    </row>
    <row r="253">
      <c r="D253" s="10" t="n"/>
      <c r="I253" s="11">
        <f>IFERROR(E253*F253,"")</f>
        <v/>
      </c>
    </row>
    <row r="254">
      <c r="D254" s="10" t="n"/>
      <c r="I254" s="11">
        <f>IFERROR(E254*F254,"")</f>
        <v/>
      </c>
    </row>
    <row r="255">
      <c r="D255" s="10" t="n"/>
      <c r="I255" s="11">
        <f>IFERROR(E255*F255,"")</f>
        <v/>
      </c>
    </row>
    <row r="256">
      <c r="D256" s="10" t="n"/>
      <c r="I256" s="11">
        <f>IFERROR(E256*F256,"")</f>
        <v/>
      </c>
    </row>
    <row r="257">
      <c r="D257" s="10" t="n"/>
      <c r="I257" s="11">
        <f>IFERROR(E257*F257,"")</f>
        <v/>
      </c>
    </row>
    <row r="258">
      <c r="D258" s="10" t="n"/>
      <c r="I258" s="11">
        <f>IFERROR(E258*F258,"")</f>
        <v/>
      </c>
    </row>
    <row r="259">
      <c r="D259" s="10" t="n"/>
      <c r="I259" s="11">
        <f>IFERROR(E259*F259,"")</f>
        <v/>
      </c>
    </row>
    <row r="260">
      <c r="D260" s="10" t="n"/>
      <c r="I260" s="11">
        <f>IFERROR(E260*F260,"")</f>
        <v/>
      </c>
    </row>
    <row r="261">
      <c r="D261" s="10" t="n"/>
      <c r="I261" s="11">
        <f>IFERROR(E261*F261,"")</f>
        <v/>
      </c>
    </row>
    <row r="262">
      <c r="D262" s="10" t="n"/>
      <c r="I262" s="11">
        <f>IFERROR(E262*F262,"")</f>
        <v/>
      </c>
    </row>
    <row r="263">
      <c r="D263" s="10" t="n"/>
      <c r="I263" s="11">
        <f>IFERROR(E263*F263,"")</f>
        <v/>
      </c>
    </row>
    <row r="264">
      <c r="D264" s="10" t="n"/>
      <c r="I264" s="11">
        <f>IFERROR(E264*F264,"")</f>
        <v/>
      </c>
    </row>
    <row r="265">
      <c r="D265" s="10" t="n"/>
      <c r="I265" s="11">
        <f>IFERROR(E265*F265,"")</f>
        <v/>
      </c>
    </row>
    <row r="266">
      <c r="D266" s="10" t="n"/>
      <c r="I266" s="11">
        <f>IFERROR(E266*F266,"")</f>
        <v/>
      </c>
    </row>
    <row r="267">
      <c r="D267" s="10" t="n"/>
      <c r="I267" s="11">
        <f>IFERROR(E267*F267,"")</f>
        <v/>
      </c>
    </row>
    <row r="268">
      <c r="D268" s="10" t="n"/>
      <c r="I268" s="11">
        <f>IFERROR(E268*F268,"")</f>
        <v/>
      </c>
    </row>
    <row r="269">
      <c r="D269" s="10" t="n"/>
      <c r="I269" s="11">
        <f>IFERROR(E269*F269,"")</f>
        <v/>
      </c>
    </row>
    <row r="270">
      <c r="D270" s="10" t="n"/>
      <c r="I270" s="11">
        <f>IFERROR(E270*F270,"")</f>
        <v/>
      </c>
    </row>
    <row r="271">
      <c r="D271" s="10" t="n"/>
      <c r="I271" s="11">
        <f>IFERROR(E271*F271,"")</f>
        <v/>
      </c>
    </row>
    <row r="272">
      <c r="D272" s="10" t="n"/>
      <c r="I272" s="11">
        <f>IFERROR(E272*F272,"")</f>
        <v/>
      </c>
    </row>
    <row r="273">
      <c r="D273" s="10" t="n"/>
      <c r="I273" s="11">
        <f>IFERROR(E273*F273,"")</f>
        <v/>
      </c>
    </row>
    <row r="274">
      <c r="D274" s="10" t="n"/>
      <c r="I274" s="11">
        <f>IFERROR(E274*F274,"")</f>
        <v/>
      </c>
    </row>
    <row r="275">
      <c r="D275" s="10" t="n"/>
      <c r="I275" s="11">
        <f>IFERROR(E275*F275,"")</f>
        <v/>
      </c>
    </row>
    <row r="276">
      <c r="D276" s="10" t="n"/>
      <c r="I276" s="11">
        <f>IFERROR(E276*F276,"")</f>
        <v/>
      </c>
    </row>
    <row r="277">
      <c r="D277" s="10" t="n"/>
      <c r="I277" s="11">
        <f>IFERROR(E277*F277,"")</f>
        <v/>
      </c>
    </row>
    <row r="278">
      <c r="D278" s="10" t="n"/>
      <c r="I278" s="11">
        <f>IFERROR(E278*F278,"")</f>
        <v/>
      </c>
    </row>
    <row r="279">
      <c r="D279" s="10" t="n"/>
      <c r="I279" s="11">
        <f>IFERROR(E279*F279,"")</f>
        <v/>
      </c>
    </row>
    <row r="280">
      <c r="D280" s="10" t="n"/>
      <c r="I280" s="11">
        <f>IFERROR(E280*F280,"")</f>
        <v/>
      </c>
    </row>
    <row r="281">
      <c r="D281" s="10" t="n"/>
      <c r="I281" s="11">
        <f>IFERROR(E281*F281,"")</f>
        <v/>
      </c>
    </row>
    <row r="282">
      <c r="D282" s="10" t="n"/>
      <c r="I282" s="11">
        <f>IFERROR(E282*F282,"")</f>
        <v/>
      </c>
    </row>
    <row r="283">
      <c r="D283" s="10" t="n"/>
      <c r="I283" s="11">
        <f>IFERROR(E283*F283,"")</f>
        <v/>
      </c>
    </row>
    <row r="284">
      <c r="D284" s="10" t="n"/>
      <c r="I284" s="11">
        <f>IFERROR(E284*F284,"")</f>
        <v/>
      </c>
    </row>
    <row r="285">
      <c r="D285" s="10" t="n"/>
      <c r="I285" s="11">
        <f>IFERROR(E285*F285,"")</f>
        <v/>
      </c>
    </row>
    <row r="286">
      <c r="D286" s="10" t="n"/>
      <c r="I286" s="11">
        <f>IFERROR(E286*F286,"")</f>
        <v/>
      </c>
    </row>
    <row r="287">
      <c r="D287" s="10" t="n"/>
      <c r="I287" s="11">
        <f>IFERROR(E287*F287,"")</f>
        <v/>
      </c>
    </row>
    <row r="288">
      <c r="D288" s="10" t="n"/>
      <c r="I288" s="11">
        <f>IFERROR(E288*F288,"")</f>
        <v/>
      </c>
    </row>
    <row r="289">
      <c r="D289" s="10" t="n"/>
      <c r="I289" s="11">
        <f>IFERROR(E289*F289,"")</f>
        <v/>
      </c>
    </row>
    <row r="290">
      <c r="D290" s="10" t="n"/>
      <c r="I290" s="11">
        <f>IFERROR(E290*F290,"")</f>
        <v/>
      </c>
    </row>
    <row r="291">
      <c r="D291" s="10" t="n"/>
      <c r="I291" s="11">
        <f>IFERROR(E291*F291,"")</f>
        <v/>
      </c>
    </row>
    <row r="292">
      <c r="D292" s="10" t="n"/>
      <c r="I292" s="11">
        <f>IFERROR(E292*F292,"")</f>
        <v/>
      </c>
    </row>
    <row r="293">
      <c r="D293" s="10" t="n"/>
      <c r="I293" s="11">
        <f>IFERROR(E293*F293,"")</f>
        <v/>
      </c>
    </row>
    <row r="294">
      <c r="D294" s="10" t="n"/>
      <c r="I294" s="11">
        <f>IFERROR(E294*F294,"")</f>
        <v/>
      </c>
    </row>
    <row r="295">
      <c r="D295" s="10" t="n"/>
      <c r="I295" s="11">
        <f>IFERROR(E295*F295,"")</f>
        <v/>
      </c>
    </row>
    <row r="296">
      <c r="D296" s="10" t="n"/>
      <c r="I296" s="11">
        <f>IFERROR(E296*F296,"")</f>
        <v/>
      </c>
    </row>
    <row r="297">
      <c r="D297" s="10" t="n"/>
      <c r="I297" s="11">
        <f>IFERROR(E297*F297,"")</f>
        <v/>
      </c>
    </row>
    <row r="298">
      <c r="D298" s="10" t="n"/>
      <c r="I298" s="11">
        <f>IFERROR(E298*F298,"")</f>
        <v/>
      </c>
    </row>
    <row r="299">
      <c r="D299" s="10" t="n"/>
      <c r="I299" s="11">
        <f>IFERROR(E299*F299,"")</f>
        <v/>
      </c>
    </row>
    <row r="300">
      <c r="D300" s="10" t="n"/>
      <c r="I300" s="11">
        <f>IFERROR(E300*F300,"")</f>
        <v/>
      </c>
    </row>
    <row r="301">
      <c r="D301" s="10" t="n"/>
      <c r="I301" s="11">
        <f>IFERROR(E301*F301,"")</f>
        <v/>
      </c>
    </row>
    <row r="302">
      <c r="D302" s="10" t="n"/>
      <c r="I302" s="11">
        <f>IFERROR(E302*F302,"")</f>
        <v/>
      </c>
    </row>
    <row r="303">
      <c r="D303" s="10" t="n"/>
      <c r="I303" s="11">
        <f>IFERROR(E303*F303,"")</f>
        <v/>
      </c>
    </row>
    <row r="304">
      <c r="D304" s="10" t="n"/>
      <c r="I304" s="11">
        <f>IFERROR(E304*F304,"")</f>
        <v/>
      </c>
    </row>
    <row r="305">
      <c r="D305" s="10" t="n"/>
      <c r="I305" s="11">
        <f>IFERROR(E305*F305,"")</f>
        <v/>
      </c>
    </row>
    <row r="306">
      <c r="D306" s="10" t="n"/>
      <c r="I306" s="11">
        <f>IFERROR(E306*F306,"")</f>
        <v/>
      </c>
    </row>
    <row r="307">
      <c r="D307" s="10" t="n"/>
      <c r="I307" s="11">
        <f>IFERROR(E307*F307,"")</f>
        <v/>
      </c>
    </row>
    <row r="308">
      <c r="D308" s="10" t="n"/>
      <c r="I308" s="11">
        <f>IFERROR(E308*F308,"")</f>
        <v/>
      </c>
    </row>
    <row r="309">
      <c r="D309" s="10" t="n"/>
      <c r="I309" s="11">
        <f>IFERROR(E309*F309,"")</f>
        <v/>
      </c>
    </row>
    <row r="310">
      <c r="D310" s="10" t="n"/>
      <c r="I310" s="11">
        <f>IFERROR(E310*F310,"")</f>
        <v/>
      </c>
    </row>
    <row r="311">
      <c r="D311" s="10" t="n"/>
      <c r="I311" s="11">
        <f>IFERROR(E311*F311,"")</f>
        <v/>
      </c>
    </row>
    <row r="312">
      <c r="D312" s="10" t="n"/>
      <c r="I312" s="11">
        <f>IFERROR(E312*F312,"")</f>
        <v/>
      </c>
    </row>
    <row r="313">
      <c r="D313" s="10" t="n"/>
      <c r="I313" s="11">
        <f>IFERROR(E313*F313,"")</f>
        <v/>
      </c>
    </row>
    <row r="314">
      <c r="D314" s="10" t="n"/>
      <c r="I314" s="11">
        <f>IFERROR(E314*F314,"")</f>
        <v/>
      </c>
    </row>
    <row r="315">
      <c r="D315" s="10" t="n"/>
      <c r="I315" s="11">
        <f>IFERROR(E315*F315,"")</f>
        <v/>
      </c>
    </row>
    <row r="316">
      <c r="D316" s="10" t="n"/>
      <c r="I316" s="11">
        <f>IFERROR(E316*F316,"")</f>
        <v/>
      </c>
    </row>
    <row r="317">
      <c r="D317" s="10" t="n"/>
      <c r="I317" s="11">
        <f>IFERROR(E317*F317,"")</f>
        <v/>
      </c>
    </row>
    <row r="318">
      <c r="D318" s="10" t="n"/>
      <c r="I318" s="11">
        <f>IFERROR(E318*F318,"")</f>
        <v/>
      </c>
    </row>
    <row r="319">
      <c r="D319" s="10" t="n"/>
      <c r="I319" s="11">
        <f>IFERROR(E319*F319,"")</f>
        <v/>
      </c>
    </row>
    <row r="320">
      <c r="D320" s="10" t="n"/>
      <c r="I320" s="11">
        <f>IFERROR(E320*F320,"")</f>
        <v/>
      </c>
    </row>
    <row r="321">
      <c r="D321" s="10" t="n"/>
      <c r="I321" s="11">
        <f>IFERROR(E321*F321,"")</f>
        <v/>
      </c>
    </row>
    <row r="322">
      <c r="D322" s="10" t="n"/>
      <c r="I322" s="11">
        <f>IFERROR(E322*F322,"")</f>
        <v/>
      </c>
    </row>
    <row r="323">
      <c r="D323" s="10" t="n"/>
      <c r="I323" s="11">
        <f>IFERROR(E323*F323,"")</f>
        <v/>
      </c>
    </row>
    <row r="324">
      <c r="D324" s="10" t="n"/>
      <c r="I324" s="11">
        <f>IFERROR(E324*F324,"")</f>
        <v/>
      </c>
    </row>
    <row r="325">
      <c r="D325" s="10" t="n"/>
      <c r="I325" s="11">
        <f>IFERROR(E325*F325,"")</f>
        <v/>
      </c>
    </row>
    <row r="326">
      <c r="D326" s="10" t="n"/>
      <c r="I326" s="11">
        <f>IFERROR(E326*F326,"")</f>
        <v/>
      </c>
    </row>
    <row r="327">
      <c r="D327" s="10" t="n"/>
      <c r="I327" s="11">
        <f>IFERROR(E327*F327,"")</f>
        <v/>
      </c>
    </row>
    <row r="328">
      <c r="D328" s="10" t="n"/>
      <c r="I328" s="11">
        <f>IFERROR(E328*F328,"")</f>
        <v/>
      </c>
    </row>
    <row r="329">
      <c r="D329" s="10" t="n"/>
      <c r="I329" s="11">
        <f>IFERROR(E329*F329,"")</f>
        <v/>
      </c>
    </row>
    <row r="330">
      <c r="D330" s="10" t="n"/>
      <c r="I330" s="11">
        <f>IFERROR(E330*F330,"")</f>
        <v/>
      </c>
    </row>
    <row r="331">
      <c r="D331" s="10" t="n"/>
      <c r="I331" s="11">
        <f>IFERROR(E331*F331,"")</f>
        <v/>
      </c>
    </row>
    <row r="332">
      <c r="D332" s="10" t="n"/>
      <c r="I332" s="11">
        <f>IFERROR(E332*F332,"")</f>
        <v/>
      </c>
    </row>
    <row r="333">
      <c r="D333" s="10" t="n"/>
      <c r="I333" s="11">
        <f>IFERROR(E333*F333,"")</f>
        <v/>
      </c>
    </row>
    <row r="334">
      <c r="D334" s="10" t="n"/>
      <c r="I334" s="11">
        <f>IFERROR(E334*F334,"")</f>
        <v/>
      </c>
    </row>
    <row r="335">
      <c r="D335" s="10" t="n"/>
      <c r="I335" s="11">
        <f>IFERROR(E335*F335,"")</f>
        <v/>
      </c>
    </row>
    <row r="336">
      <c r="D336" s="10" t="n"/>
      <c r="I336" s="11">
        <f>IFERROR(E336*F336,"")</f>
        <v/>
      </c>
    </row>
    <row r="337">
      <c r="D337" s="10" t="n"/>
      <c r="I337" s="11">
        <f>IFERROR(E337*F337,"")</f>
        <v/>
      </c>
    </row>
    <row r="338">
      <c r="D338" s="10" t="n"/>
      <c r="I338" s="11">
        <f>IFERROR(E338*F338,"")</f>
        <v/>
      </c>
    </row>
    <row r="339">
      <c r="D339" s="10" t="n"/>
      <c r="I339" s="11">
        <f>IFERROR(E339*F339,"")</f>
        <v/>
      </c>
    </row>
    <row r="340">
      <c r="D340" s="10" t="n"/>
      <c r="I340" s="11">
        <f>IFERROR(E340*F340,"")</f>
        <v/>
      </c>
    </row>
    <row r="341">
      <c r="D341" s="10" t="n"/>
      <c r="I341" s="11">
        <f>IFERROR(E341*F341,"")</f>
        <v/>
      </c>
    </row>
    <row r="342">
      <c r="D342" s="10" t="n"/>
      <c r="I342" s="11">
        <f>IFERROR(E342*F342,"")</f>
        <v/>
      </c>
    </row>
    <row r="343">
      <c r="D343" s="10" t="n"/>
      <c r="I343" s="11">
        <f>IFERROR(E343*F343,"")</f>
        <v/>
      </c>
    </row>
    <row r="344">
      <c r="D344" s="10" t="n"/>
      <c r="I344" s="11">
        <f>IFERROR(E344*F344,"")</f>
        <v/>
      </c>
    </row>
    <row r="345">
      <c r="D345" s="10" t="n"/>
      <c r="I345" s="11">
        <f>IFERROR(E345*F345,"")</f>
        <v/>
      </c>
    </row>
    <row r="346">
      <c r="D346" s="10" t="n"/>
      <c r="I346" s="11">
        <f>IFERROR(E346*F346,"")</f>
        <v/>
      </c>
    </row>
    <row r="347">
      <c r="D347" s="10" t="n"/>
      <c r="I347" s="11">
        <f>IFERROR(E347*F347,"")</f>
        <v/>
      </c>
    </row>
    <row r="348">
      <c r="D348" s="10" t="n"/>
      <c r="I348" s="11">
        <f>IFERROR(E348*F348,"")</f>
        <v/>
      </c>
    </row>
    <row r="349">
      <c r="D349" s="10" t="n"/>
      <c r="I349" s="11">
        <f>IFERROR(E349*F349,"")</f>
        <v/>
      </c>
    </row>
    <row r="350">
      <c r="D350" s="10" t="n"/>
      <c r="I350" s="11">
        <f>IFERROR(E350*F350,"")</f>
        <v/>
      </c>
    </row>
    <row r="351">
      <c r="D351" s="10" t="n"/>
      <c r="I351" s="11">
        <f>IFERROR(E351*F351,"")</f>
        <v/>
      </c>
    </row>
    <row r="352">
      <c r="D352" s="10" t="n"/>
      <c r="I352" s="11">
        <f>IFERROR(E352*F352,"")</f>
        <v/>
      </c>
    </row>
    <row r="353">
      <c r="D353" s="10" t="n"/>
      <c r="I353" s="11">
        <f>IFERROR(E353*F353,"")</f>
        <v/>
      </c>
    </row>
    <row r="354">
      <c r="D354" s="10" t="n"/>
      <c r="I354" s="11">
        <f>IFERROR(E354*F354,"")</f>
        <v/>
      </c>
    </row>
    <row r="355">
      <c r="D355" s="10" t="n"/>
      <c r="I355" s="11">
        <f>IFERROR(E355*F355,"")</f>
        <v/>
      </c>
    </row>
    <row r="356">
      <c r="D356" s="10" t="n"/>
      <c r="I356" s="11">
        <f>IFERROR(E356*F356,"")</f>
        <v/>
      </c>
    </row>
    <row r="357">
      <c r="D357" s="10" t="n"/>
      <c r="I357" s="11">
        <f>IFERROR(E357*F357,"")</f>
        <v/>
      </c>
    </row>
    <row r="358">
      <c r="D358" s="10" t="n"/>
      <c r="I358" s="11">
        <f>IFERROR(E358*F358,"")</f>
        <v/>
      </c>
    </row>
    <row r="359">
      <c r="D359" s="10" t="n"/>
      <c r="I359" s="11">
        <f>IFERROR(E359*F359,"")</f>
        <v/>
      </c>
    </row>
    <row r="360">
      <c r="D360" s="10" t="n"/>
      <c r="I360" s="11">
        <f>IFERROR(E360*F360,"")</f>
        <v/>
      </c>
    </row>
    <row r="361">
      <c r="D361" s="10" t="n"/>
      <c r="I361" s="11">
        <f>IFERROR(E361*F361,"")</f>
        <v/>
      </c>
    </row>
    <row r="362">
      <c r="D362" s="10" t="n"/>
      <c r="I362" s="11">
        <f>IFERROR(E362*F362,"")</f>
        <v/>
      </c>
    </row>
    <row r="363">
      <c r="D363" s="10" t="n"/>
      <c r="I363" s="11">
        <f>IFERROR(E363*F363,"")</f>
        <v/>
      </c>
    </row>
    <row r="364">
      <c r="D364" s="10" t="n"/>
      <c r="I364" s="11">
        <f>IFERROR(E364*F364,"")</f>
        <v/>
      </c>
    </row>
    <row r="365">
      <c r="D365" s="10" t="n"/>
      <c r="I365" s="11">
        <f>IFERROR(E365*F365,"")</f>
        <v/>
      </c>
    </row>
    <row r="366">
      <c r="D366" s="10" t="n"/>
      <c r="I366" s="11">
        <f>IFERROR(E366*F366,"")</f>
        <v/>
      </c>
    </row>
    <row r="367">
      <c r="D367" s="10" t="n"/>
      <c r="I367" s="11">
        <f>IFERROR(E367*F367,"")</f>
        <v/>
      </c>
    </row>
    <row r="368">
      <c r="D368" s="10" t="n"/>
      <c r="I368" s="11">
        <f>IFERROR(E368*F368,"")</f>
        <v/>
      </c>
    </row>
    <row r="369">
      <c r="D369" s="10" t="n"/>
      <c r="I369" s="11">
        <f>IFERROR(E369*F369,"")</f>
        <v/>
      </c>
    </row>
    <row r="370">
      <c r="D370" s="10" t="n"/>
      <c r="I370" s="11">
        <f>IFERROR(E370*F370,"")</f>
        <v/>
      </c>
    </row>
    <row r="371">
      <c r="D371" s="10" t="n"/>
      <c r="I371" s="11">
        <f>IFERROR(E371*F371,"")</f>
        <v/>
      </c>
    </row>
    <row r="372">
      <c r="D372" s="10" t="n"/>
      <c r="I372" s="11">
        <f>IFERROR(E372*F372,"")</f>
        <v/>
      </c>
    </row>
    <row r="373">
      <c r="D373" s="10" t="n"/>
      <c r="I373" s="11">
        <f>IFERROR(E373*F373,"")</f>
        <v/>
      </c>
    </row>
    <row r="374">
      <c r="D374" s="10" t="n"/>
      <c r="I374" s="11">
        <f>IFERROR(E374*F374,"")</f>
        <v/>
      </c>
    </row>
    <row r="375">
      <c r="D375" s="10" t="n"/>
      <c r="I375" s="11">
        <f>IFERROR(E375*F375,"")</f>
        <v/>
      </c>
    </row>
    <row r="376">
      <c r="D376" s="10" t="n"/>
      <c r="I376" s="11">
        <f>IFERROR(E376*F376,"")</f>
        <v/>
      </c>
    </row>
    <row r="377">
      <c r="D377" s="10" t="n"/>
      <c r="I377" s="11">
        <f>IFERROR(E377*F377,"")</f>
        <v/>
      </c>
    </row>
    <row r="378">
      <c r="D378" s="10" t="n"/>
      <c r="I378" s="11">
        <f>IFERROR(E378*F378,"")</f>
        <v/>
      </c>
    </row>
    <row r="379">
      <c r="D379" s="10" t="n"/>
      <c r="I379" s="11">
        <f>IFERROR(E379*F379,"")</f>
        <v/>
      </c>
    </row>
    <row r="380">
      <c r="D380" s="10" t="n"/>
      <c r="I380" s="11">
        <f>IFERROR(E380*F380,"")</f>
        <v/>
      </c>
    </row>
    <row r="381">
      <c r="D381" s="10" t="n"/>
      <c r="I381" s="11">
        <f>IFERROR(E381*F381,"")</f>
        <v/>
      </c>
    </row>
    <row r="382">
      <c r="D382" s="10" t="n"/>
      <c r="I382" s="11">
        <f>IFERROR(E382*F382,"")</f>
        <v/>
      </c>
    </row>
    <row r="383">
      <c r="D383" s="10" t="n"/>
      <c r="I383" s="11">
        <f>IFERROR(E383*F383,"")</f>
        <v/>
      </c>
    </row>
    <row r="384">
      <c r="D384" s="10" t="n"/>
      <c r="I384" s="11">
        <f>IFERROR(E384*F384,"")</f>
        <v/>
      </c>
    </row>
    <row r="385">
      <c r="D385" s="10" t="n"/>
      <c r="I385" s="11">
        <f>IFERROR(E385*F385,"")</f>
        <v/>
      </c>
    </row>
    <row r="386">
      <c r="D386" s="10" t="n"/>
      <c r="I386" s="11">
        <f>IFERROR(E386*F386,"")</f>
        <v/>
      </c>
    </row>
    <row r="387">
      <c r="D387" s="10" t="n"/>
      <c r="I387" s="11">
        <f>IFERROR(E387*F387,"")</f>
        <v/>
      </c>
    </row>
    <row r="388">
      <c r="D388" s="10" t="n"/>
      <c r="I388" s="11">
        <f>IFERROR(E388*F388,"")</f>
        <v/>
      </c>
    </row>
    <row r="389">
      <c r="D389" s="10" t="n"/>
      <c r="I389" s="11">
        <f>IFERROR(E389*F389,"")</f>
        <v/>
      </c>
    </row>
    <row r="390">
      <c r="D390" s="10" t="n"/>
      <c r="I390" s="11">
        <f>IFERROR(E390*F390,"")</f>
        <v/>
      </c>
    </row>
    <row r="391">
      <c r="D391" s="10" t="n"/>
      <c r="I391" s="11">
        <f>IFERROR(E391*F391,"")</f>
        <v/>
      </c>
    </row>
    <row r="392">
      <c r="D392" s="10" t="n"/>
      <c r="I392" s="11">
        <f>IFERROR(E392*F392,"")</f>
        <v/>
      </c>
    </row>
    <row r="393">
      <c r="D393" s="10" t="n"/>
      <c r="I393" s="11">
        <f>IFERROR(E393*F393,"")</f>
        <v/>
      </c>
    </row>
    <row r="394">
      <c r="D394" s="10" t="n"/>
      <c r="I394" s="11">
        <f>IFERROR(E394*F394,"")</f>
        <v/>
      </c>
    </row>
    <row r="395">
      <c r="D395" s="10" t="n"/>
      <c r="I395" s="11">
        <f>IFERROR(E395*F395,"")</f>
        <v/>
      </c>
    </row>
    <row r="396">
      <c r="D396" s="10" t="n"/>
      <c r="I396" s="11">
        <f>IFERROR(E396*F396,"")</f>
        <v/>
      </c>
    </row>
    <row r="397">
      <c r="D397" s="10" t="n"/>
      <c r="I397" s="11">
        <f>IFERROR(E397*F397,"")</f>
        <v/>
      </c>
    </row>
    <row r="398">
      <c r="D398" s="10" t="n"/>
      <c r="I398" s="11">
        <f>IFERROR(E398*F398,"")</f>
        <v/>
      </c>
    </row>
    <row r="399">
      <c r="D399" s="10" t="n"/>
      <c r="I399" s="11">
        <f>IFERROR(E399*F399,"")</f>
        <v/>
      </c>
    </row>
    <row r="400">
      <c r="D400" s="10" t="n"/>
      <c r="I400" s="11">
        <f>IFERROR(E400*F400,"")</f>
        <v/>
      </c>
    </row>
    <row r="401">
      <c r="D401" s="10" t="n"/>
      <c r="I401" s="11">
        <f>IFERROR(E401*F401,"")</f>
        <v/>
      </c>
    </row>
    <row r="402">
      <c r="D402" s="10" t="n"/>
      <c r="I402" s="11">
        <f>IFERROR(E402*F402,"")</f>
        <v/>
      </c>
    </row>
    <row r="403">
      <c r="D403" s="10" t="n"/>
      <c r="I403" s="11">
        <f>IFERROR(E403*F403,"")</f>
        <v/>
      </c>
    </row>
    <row r="404">
      <c r="D404" s="10" t="n"/>
      <c r="I404" s="11">
        <f>IFERROR(E404*F404,"")</f>
        <v/>
      </c>
    </row>
    <row r="405">
      <c r="D405" s="10" t="n"/>
      <c r="I405" s="11">
        <f>IFERROR(E405*F405,"")</f>
        <v/>
      </c>
    </row>
    <row r="406">
      <c r="D406" s="10" t="n"/>
      <c r="I406" s="11">
        <f>IFERROR(E406*F406,"")</f>
        <v/>
      </c>
    </row>
    <row r="407">
      <c r="D407" s="10" t="n"/>
      <c r="I407" s="11">
        <f>IFERROR(E407*F407,"")</f>
        <v/>
      </c>
    </row>
    <row r="408">
      <c r="D408" s="10" t="n"/>
      <c r="I408" s="11">
        <f>IFERROR(E408*F408,"")</f>
        <v/>
      </c>
    </row>
    <row r="409">
      <c r="D409" s="10" t="n"/>
      <c r="I409" s="11">
        <f>IFERROR(E409*F409,"")</f>
        <v/>
      </c>
    </row>
    <row r="410">
      <c r="D410" s="10" t="n"/>
      <c r="I410" s="11">
        <f>IFERROR(E410*F410,"")</f>
        <v/>
      </c>
    </row>
    <row r="411">
      <c r="D411" s="10" t="n"/>
      <c r="I411" s="11">
        <f>IFERROR(E411*F411,"")</f>
        <v/>
      </c>
    </row>
    <row r="412">
      <c r="D412" s="10" t="n"/>
      <c r="I412" s="11">
        <f>IFERROR(E412*F412,"")</f>
        <v/>
      </c>
    </row>
    <row r="413">
      <c r="D413" s="10" t="n"/>
      <c r="I413" s="11">
        <f>IFERROR(E413*F413,"")</f>
        <v/>
      </c>
    </row>
    <row r="414">
      <c r="D414" s="10" t="n"/>
      <c r="I414" s="11">
        <f>IFERROR(E414*F414,"")</f>
        <v/>
      </c>
    </row>
    <row r="415">
      <c r="D415" s="10" t="n"/>
      <c r="I415" s="11">
        <f>IFERROR(E415*F415,"")</f>
        <v/>
      </c>
    </row>
    <row r="416">
      <c r="D416" s="10" t="n"/>
      <c r="I416" s="11">
        <f>IFERROR(E416*F416,"")</f>
        <v/>
      </c>
    </row>
    <row r="417">
      <c r="D417" s="10" t="n"/>
      <c r="I417" s="11">
        <f>IFERROR(E417*F417,"")</f>
        <v/>
      </c>
    </row>
    <row r="418">
      <c r="D418" s="10" t="n"/>
      <c r="I418" s="11">
        <f>IFERROR(E418*F418,"")</f>
        <v/>
      </c>
    </row>
    <row r="419">
      <c r="D419" s="10" t="n"/>
      <c r="I419" s="11">
        <f>IFERROR(E419*F419,"")</f>
        <v/>
      </c>
    </row>
    <row r="420">
      <c r="D420" s="10" t="n"/>
      <c r="I420" s="11">
        <f>IFERROR(E420*F420,"")</f>
        <v/>
      </c>
    </row>
    <row r="421">
      <c r="D421" s="10" t="n"/>
      <c r="I421" s="11">
        <f>IFERROR(E421*F421,"")</f>
        <v/>
      </c>
    </row>
    <row r="422">
      <c r="D422" s="10" t="n"/>
      <c r="I422" s="11">
        <f>IFERROR(E422*F422,"")</f>
        <v/>
      </c>
    </row>
    <row r="423">
      <c r="D423" s="10" t="n"/>
      <c r="I423" s="11">
        <f>IFERROR(E423*F423,"")</f>
        <v/>
      </c>
    </row>
    <row r="424">
      <c r="D424" s="10" t="n"/>
      <c r="I424" s="11">
        <f>IFERROR(E424*F424,"")</f>
        <v/>
      </c>
    </row>
    <row r="425">
      <c r="D425" s="10" t="n"/>
      <c r="I425" s="11">
        <f>IFERROR(E425*F425,"")</f>
        <v/>
      </c>
    </row>
    <row r="426">
      <c r="D426" s="10" t="n"/>
      <c r="I426" s="11">
        <f>IFERROR(E426*F426,"")</f>
        <v/>
      </c>
    </row>
    <row r="427">
      <c r="D427" s="10" t="n"/>
      <c r="I427" s="11">
        <f>IFERROR(E427*F427,"")</f>
        <v/>
      </c>
    </row>
    <row r="428">
      <c r="D428" s="10" t="n"/>
      <c r="I428" s="11">
        <f>IFERROR(E428*F428,"")</f>
        <v/>
      </c>
    </row>
    <row r="429">
      <c r="D429" s="10" t="n"/>
      <c r="I429" s="11">
        <f>IFERROR(E429*F429,"")</f>
        <v/>
      </c>
    </row>
    <row r="430">
      <c r="D430" s="10" t="n"/>
      <c r="I430" s="11">
        <f>IFERROR(E430*F430,"")</f>
        <v/>
      </c>
    </row>
    <row r="431">
      <c r="D431" s="10" t="n"/>
      <c r="I431" s="11">
        <f>IFERROR(E431*F431,"")</f>
        <v/>
      </c>
    </row>
    <row r="432">
      <c r="D432" s="10" t="n"/>
      <c r="I432" s="11">
        <f>IFERROR(E432*F432,"")</f>
        <v/>
      </c>
    </row>
    <row r="433">
      <c r="D433" s="10" t="n"/>
      <c r="I433" s="11">
        <f>IFERROR(E433*F433,"")</f>
        <v/>
      </c>
    </row>
    <row r="434">
      <c r="D434" s="10" t="n"/>
      <c r="I434" s="11">
        <f>IFERROR(E434*F434,"")</f>
        <v/>
      </c>
    </row>
    <row r="435">
      <c r="D435" s="10" t="n"/>
      <c r="I435" s="11">
        <f>IFERROR(E435*F435,"")</f>
        <v/>
      </c>
    </row>
    <row r="436">
      <c r="D436" s="10" t="n"/>
      <c r="I436" s="11">
        <f>IFERROR(E436*F436,"")</f>
        <v/>
      </c>
    </row>
    <row r="437">
      <c r="D437" s="10" t="n"/>
      <c r="I437" s="11">
        <f>IFERROR(E437*F437,"")</f>
        <v/>
      </c>
    </row>
    <row r="438">
      <c r="D438" s="10" t="n"/>
      <c r="I438" s="11">
        <f>IFERROR(E438*F438,"")</f>
        <v/>
      </c>
    </row>
    <row r="439">
      <c r="D439" s="10" t="n"/>
      <c r="I439" s="11">
        <f>IFERROR(E439*F439,"")</f>
        <v/>
      </c>
    </row>
    <row r="440">
      <c r="D440" s="10" t="n"/>
      <c r="I440" s="11">
        <f>IFERROR(E440*F440,"")</f>
        <v/>
      </c>
    </row>
    <row r="441">
      <c r="D441" s="10" t="n"/>
      <c r="I441" s="11">
        <f>IFERROR(E441*F441,"")</f>
        <v/>
      </c>
    </row>
    <row r="442">
      <c r="D442" s="10" t="n"/>
      <c r="I442" s="11">
        <f>IFERROR(E442*F442,"")</f>
        <v/>
      </c>
    </row>
    <row r="443">
      <c r="D443" s="10" t="n"/>
      <c r="I443" s="11">
        <f>IFERROR(E443*F443,"")</f>
        <v/>
      </c>
    </row>
    <row r="444">
      <c r="D444" s="10" t="n"/>
      <c r="I444" s="11">
        <f>IFERROR(E444*F444,"")</f>
        <v/>
      </c>
    </row>
    <row r="445">
      <c r="D445" s="10" t="n"/>
      <c r="I445" s="11">
        <f>IFERROR(E445*F445,"")</f>
        <v/>
      </c>
    </row>
    <row r="446">
      <c r="D446" s="10" t="n"/>
      <c r="I446" s="11">
        <f>IFERROR(E446*F446,"")</f>
        <v/>
      </c>
    </row>
    <row r="447">
      <c r="D447" s="10" t="n"/>
      <c r="I447" s="11">
        <f>IFERROR(E447*F447,"")</f>
        <v/>
      </c>
    </row>
    <row r="448">
      <c r="D448" s="10" t="n"/>
      <c r="I448" s="11">
        <f>IFERROR(E448*F448,"")</f>
        <v/>
      </c>
    </row>
    <row r="449">
      <c r="D449" s="10" t="n"/>
      <c r="I449" s="11">
        <f>IFERROR(E449*F449,"")</f>
        <v/>
      </c>
    </row>
    <row r="450">
      <c r="D450" s="10" t="n"/>
      <c r="I450" s="11">
        <f>IFERROR(E450*F450,"")</f>
        <v/>
      </c>
    </row>
    <row r="451">
      <c r="D451" s="10" t="n"/>
      <c r="I451" s="11">
        <f>IFERROR(E451*F451,"")</f>
        <v/>
      </c>
    </row>
    <row r="452">
      <c r="D452" s="10" t="n"/>
      <c r="I452" s="11">
        <f>IFERROR(E452*F452,"")</f>
        <v/>
      </c>
    </row>
    <row r="453">
      <c r="D453" s="10" t="n"/>
      <c r="I453" s="11">
        <f>IFERROR(E453*F453,"")</f>
        <v/>
      </c>
    </row>
    <row r="454">
      <c r="D454" s="10" t="n"/>
      <c r="I454" s="11">
        <f>IFERROR(E454*F454,"")</f>
        <v/>
      </c>
    </row>
    <row r="455">
      <c r="D455" s="10" t="n"/>
      <c r="I455" s="11">
        <f>IFERROR(E455*F455,"")</f>
        <v/>
      </c>
    </row>
    <row r="456">
      <c r="D456" s="10" t="n"/>
      <c r="I456" s="11">
        <f>IFERROR(E456*F456,"")</f>
        <v/>
      </c>
    </row>
    <row r="457">
      <c r="D457" s="10" t="n"/>
      <c r="I457" s="11">
        <f>IFERROR(E457*F457,"")</f>
        <v/>
      </c>
    </row>
    <row r="458">
      <c r="D458" s="10" t="n"/>
      <c r="I458" s="11">
        <f>IFERROR(E458*F458,"")</f>
        <v/>
      </c>
    </row>
    <row r="459">
      <c r="D459" s="10" t="n"/>
      <c r="I459" s="11">
        <f>IFERROR(E459*F459,"")</f>
        <v/>
      </c>
    </row>
    <row r="460">
      <c r="D460" s="10" t="n"/>
      <c r="I460" s="11">
        <f>IFERROR(E460*F460,"")</f>
        <v/>
      </c>
    </row>
    <row r="461">
      <c r="D461" s="10" t="n"/>
      <c r="I461" s="11">
        <f>IFERROR(E461*F461,"")</f>
        <v/>
      </c>
    </row>
    <row r="462">
      <c r="D462" s="10" t="n"/>
      <c r="I462" s="11">
        <f>IFERROR(E462*F462,"")</f>
        <v/>
      </c>
    </row>
    <row r="463">
      <c r="D463" s="10" t="n"/>
      <c r="I463" s="11">
        <f>IFERROR(E463*F463,"")</f>
        <v/>
      </c>
    </row>
    <row r="464">
      <c r="D464" s="10" t="n"/>
      <c r="I464" s="11">
        <f>IFERROR(E464*F464,"")</f>
        <v/>
      </c>
    </row>
    <row r="465">
      <c r="D465" s="10" t="n"/>
      <c r="I465" s="11">
        <f>IFERROR(E465*F465,"")</f>
        <v/>
      </c>
    </row>
    <row r="466">
      <c r="D466" s="10" t="n"/>
      <c r="I466" s="11">
        <f>IFERROR(E466*F466,"")</f>
        <v/>
      </c>
    </row>
    <row r="467">
      <c r="D467" s="10" t="n"/>
      <c r="I467" s="11">
        <f>IFERROR(E467*F467,"")</f>
        <v/>
      </c>
    </row>
    <row r="468">
      <c r="D468" s="10" t="n"/>
      <c r="I468" s="11">
        <f>IFERROR(E468*F468,"")</f>
        <v/>
      </c>
    </row>
    <row r="469">
      <c r="D469" s="10" t="n"/>
      <c r="I469" s="11">
        <f>IFERROR(E469*F469,"")</f>
        <v/>
      </c>
    </row>
    <row r="470">
      <c r="D470" s="10" t="n"/>
      <c r="I470" s="11">
        <f>IFERROR(E470*F470,"")</f>
        <v/>
      </c>
    </row>
    <row r="471">
      <c r="D471" s="10" t="n"/>
      <c r="I471" s="11">
        <f>IFERROR(E471*F471,"")</f>
        <v/>
      </c>
    </row>
    <row r="472">
      <c r="D472" s="10" t="n"/>
      <c r="I472" s="11">
        <f>IFERROR(E472*F472,"")</f>
        <v/>
      </c>
    </row>
    <row r="473">
      <c r="D473" s="10" t="n"/>
      <c r="I473" s="11">
        <f>IFERROR(E473*F473,"")</f>
        <v/>
      </c>
    </row>
    <row r="474">
      <c r="D474" s="10" t="n"/>
      <c r="I474" s="11">
        <f>IFERROR(E474*F474,"")</f>
        <v/>
      </c>
    </row>
    <row r="475">
      <c r="D475" s="10" t="n"/>
      <c r="I475" s="11">
        <f>IFERROR(E475*F475,"")</f>
        <v/>
      </c>
    </row>
    <row r="476">
      <c r="D476" s="10" t="n"/>
      <c r="I476" s="11">
        <f>IFERROR(E476*F476,"")</f>
        <v/>
      </c>
    </row>
    <row r="477">
      <c r="D477" s="10" t="n"/>
      <c r="I477" s="11">
        <f>IFERROR(E477*F477,"")</f>
        <v/>
      </c>
    </row>
    <row r="478">
      <c r="D478" s="10" t="n"/>
      <c r="I478" s="11">
        <f>IFERROR(E478*F478,"")</f>
        <v/>
      </c>
    </row>
    <row r="479">
      <c r="D479" s="10" t="n"/>
      <c r="I479" s="11">
        <f>IFERROR(E479*F479,"")</f>
        <v/>
      </c>
    </row>
    <row r="480">
      <c r="D480" s="10" t="n"/>
      <c r="I480" s="11">
        <f>IFERROR(E480*F480,"")</f>
        <v/>
      </c>
    </row>
    <row r="481">
      <c r="D481" s="10" t="n"/>
      <c r="I481" s="11">
        <f>IFERROR(E481*F481,"")</f>
        <v/>
      </c>
    </row>
    <row r="482">
      <c r="D482" s="10" t="n"/>
      <c r="I482" s="11">
        <f>IFERROR(E482*F482,"")</f>
        <v/>
      </c>
    </row>
    <row r="483">
      <c r="D483" s="10" t="n"/>
      <c r="I483" s="11">
        <f>IFERROR(E483*F483,"")</f>
        <v/>
      </c>
    </row>
    <row r="484">
      <c r="D484" s="10" t="n"/>
      <c r="I484" s="11">
        <f>IFERROR(E484*F484,"")</f>
        <v/>
      </c>
    </row>
    <row r="485">
      <c r="D485" s="10" t="n"/>
      <c r="I485" s="11">
        <f>IFERROR(E485*F485,"")</f>
        <v/>
      </c>
    </row>
    <row r="486">
      <c r="D486" s="10" t="n"/>
      <c r="I486" s="11">
        <f>IFERROR(E486*F486,"")</f>
        <v/>
      </c>
    </row>
    <row r="487">
      <c r="D487" s="10" t="n"/>
      <c r="I487" s="11">
        <f>IFERROR(E487*F487,"")</f>
        <v/>
      </c>
    </row>
    <row r="488">
      <c r="D488" s="10" t="n"/>
      <c r="I488" s="11">
        <f>IFERROR(E488*F488,"")</f>
        <v/>
      </c>
    </row>
    <row r="489">
      <c r="D489" s="10" t="n"/>
      <c r="I489" s="11">
        <f>IFERROR(E489*F489,"")</f>
        <v/>
      </c>
    </row>
    <row r="490">
      <c r="D490" s="10" t="n"/>
      <c r="I490" s="11">
        <f>IFERROR(E490*F490,"")</f>
        <v/>
      </c>
    </row>
    <row r="491">
      <c r="D491" s="10" t="n"/>
      <c r="I491" s="11">
        <f>IFERROR(E491*F491,"")</f>
        <v/>
      </c>
    </row>
    <row r="492">
      <c r="D492" s="10" t="n"/>
      <c r="I492" s="11">
        <f>IFERROR(E492*F492,"")</f>
        <v/>
      </c>
    </row>
    <row r="493">
      <c r="D493" s="10" t="n"/>
      <c r="I493" s="11">
        <f>IFERROR(E493*F493,"")</f>
        <v/>
      </c>
    </row>
    <row r="494">
      <c r="D494" s="10" t="n"/>
      <c r="I494" s="11">
        <f>IFERROR(E494*F494,"")</f>
        <v/>
      </c>
    </row>
    <row r="495">
      <c r="D495" s="10" t="n"/>
      <c r="I495" s="11">
        <f>IFERROR(E495*F495,"")</f>
        <v/>
      </c>
    </row>
    <row r="496">
      <c r="D496" s="10" t="n"/>
      <c r="I496" s="11">
        <f>IFERROR(E496*F496,"")</f>
        <v/>
      </c>
    </row>
    <row r="497">
      <c r="D497" s="10" t="n"/>
      <c r="I497" s="11">
        <f>IFERROR(E497*F497,"")</f>
        <v/>
      </c>
    </row>
    <row r="498">
      <c r="D498" s="10" t="n"/>
      <c r="I498" s="11">
        <f>IFERROR(E498*F498,"")</f>
        <v/>
      </c>
    </row>
    <row r="499">
      <c r="D499" s="10" t="n"/>
      <c r="I499" s="11">
        <f>IFERROR(E499*F499,"")</f>
        <v/>
      </c>
    </row>
    <row r="500">
      <c r="D500" s="10" t="n"/>
      <c r="I500" s="11">
        <f>IFERROR(E500*F500,"")</f>
        <v/>
      </c>
    </row>
  </sheetData>
  <dataValidations count="1">
    <dataValidation sqref="D2:D500" showDropDown="0" showInputMessage="0" showErrorMessage="0" allowBlank="1" type="list">
      <formula1>"receipt,issue,production_in,production_out,transfer,adjustment,scrap"</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500"/>
  <sheetViews>
    <sheetView workbookViewId="0">
      <selection activeCell="A1" sqref="A1"/>
    </sheetView>
  </sheetViews>
  <sheetFormatPr baseColWidth="8" defaultRowHeight="15"/>
  <cols>
    <col width="14" customWidth="1" min="1" max="1"/>
    <col width="16" customWidth="1" min="2" max="2"/>
    <col width="18" customWidth="1" min="3" max="3"/>
    <col width="18" customWidth="1" min="4" max="4"/>
    <col width="16" customWidth="1" min="5" max="5"/>
    <col width="24" customWidth="1" min="6" max="6"/>
    <col width="15" customWidth="1" min="7" max="7"/>
  </cols>
  <sheetData>
    <row r="1">
      <c r="A1" s="7" t="inlineStr">
        <is>
          <t>MachineCode</t>
        </is>
      </c>
      <c r="B1" s="7" t="inlineStr">
        <is>
          <t>WorkOrderNo</t>
        </is>
      </c>
      <c r="C1" s="7" t="inlineStr">
        <is>
          <t>StartTime</t>
        </is>
      </c>
      <c r="D1" s="7" t="inlineStr">
        <is>
          <t>EndTime</t>
        </is>
      </c>
      <c r="E1" s="7" t="inlineStr">
        <is>
          <t>ReasonCategory</t>
        </is>
      </c>
      <c r="F1" s="7" t="inlineStr">
        <is>
          <t>Remarks</t>
        </is>
      </c>
      <c r="G1" s="7" t="inlineStr">
        <is>
          <t>DurationMinutes</t>
        </is>
      </c>
    </row>
    <row r="2">
      <c r="A2" s="8" t="inlineStr">
        <is>
          <t>PRESS-01</t>
        </is>
      </c>
      <c r="B2" s="8" t="inlineStr">
        <is>
          <t>WO-2026-0001</t>
        </is>
      </c>
      <c r="C2" s="13" t="n">
        <v>46266.375</v>
      </c>
      <c r="D2" s="13" t="n">
        <v>46266.39236111111</v>
      </c>
      <c r="E2" s="9" t="inlineStr">
        <is>
          <t>breakdown</t>
        </is>
      </c>
      <c r="F2" s="8" t="inlineStr">
        <is>
          <t>Hydraulic seal leak</t>
        </is>
      </c>
      <c r="G2" s="11">
        <f>IFERROR((D2-C2)*1440,"")</f>
        <v/>
      </c>
    </row>
    <row r="3">
      <c r="A3" s="8" t="inlineStr">
        <is>
          <t>PRESS-01</t>
        </is>
      </c>
      <c r="B3" s="8" t="inlineStr">
        <is>
          <t>WO-2026-0001</t>
        </is>
      </c>
      <c r="C3" s="13" t="n">
        <v>46266.4375</v>
      </c>
      <c r="D3" s="13" t="n">
        <v>46266.44791666666</v>
      </c>
      <c r="E3" s="9" t="inlineStr">
        <is>
          <t>changeover</t>
        </is>
      </c>
      <c r="F3" s="8" t="inlineStr">
        <is>
          <t>Die change</t>
        </is>
      </c>
      <c r="G3" s="11">
        <f>IFERROR((D3-C3)*1440,"")</f>
        <v/>
      </c>
    </row>
    <row r="4">
      <c r="E4" s="10" t="n"/>
      <c r="G4" s="11">
        <f>IFERROR((D4-C4)*1440,"")</f>
        <v/>
      </c>
    </row>
    <row r="5">
      <c r="E5" s="10" t="n"/>
      <c r="G5" s="11">
        <f>IFERROR((D5-C5)*1440,"")</f>
        <v/>
      </c>
    </row>
    <row r="6">
      <c r="E6" s="10" t="n"/>
      <c r="G6" s="11">
        <f>IFERROR((D6-C6)*1440,"")</f>
        <v/>
      </c>
    </row>
    <row r="7">
      <c r="E7" s="10" t="n"/>
      <c r="G7" s="11">
        <f>IFERROR((D7-C7)*1440,"")</f>
        <v/>
      </c>
    </row>
    <row r="8">
      <c r="E8" s="10" t="n"/>
      <c r="G8" s="11">
        <f>IFERROR((D8-C8)*1440,"")</f>
        <v/>
      </c>
    </row>
    <row r="9">
      <c r="E9" s="10" t="n"/>
      <c r="G9" s="11">
        <f>IFERROR((D9-C9)*1440,"")</f>
        <v/>
      </c>
    </row>
    <row r="10">
      <c r="E10" s="10" t="n"/>
      <c r="G10" s="11">
        <f>IFERROR((D10-C10)*1440,"")</f>
        <v/>
      </c>
    </row>
    <row r="11">
      <c r="E11" s="10" t="n"/>
      <c r="G11" s="11">
        <f>IFERROR((D11-C11)*1440,"")</f>
        <v/>
      </c>
    </row>
    <row r="12">
      <c r="E12" s="10" t="n"/>
      <c r="G12" s="11">
        <f>IFERROR((D12-C12)*1440,"")</f>
        <v/>
      </c>
    </row>
    <row r="13">
      <c r="E13" s="10" t="n"/>
      <c r="G13" s="11">
        <f>IFERROR((D13-C13)*1440,"")</f>
        <v/>
      </c>
    </row>
    <row r="14">
      <c r="E14" s="10" t="n"/>
      <c r="G14" s="11">
        <f>IFERROR((D14-C14)*1440,"")</f>
        <v/>
      </c>
    </row>
    <row r="15">
      <c r="E15" s="10" t="n"/>
      <c r="G15" s="11">
        <f>IFERROR((D15-C15)*1440,"")</f>
        <v/>
      </c>
    </row>
    <row r="16">
      <c r="E16" s="10" t="n"/>
      <c r="G16" s="11">
        <f>IFERROR((D16-C16)*1440,"")</f>
        <v/>
      </c>
    </row>
    <row r="17">
      <c r="E17" s="10" t="n"/>
      <c r="G17" s="11">
        <f>IFERROR((D17-C17)*1440,"")</f>
        <v/>
      </c>
    </row>
    <row r="18">
      <c r="E18" s="10" t="n"/>
      <c r="G18" s="11">
        <f>IFERROR((D18-C18)*1440,"")</f>
        <v/>
      </c>
    </row>
    <row r="19">
      <c r="E19" s="10" t="n"/>
      <c r="G19" s="11">
        <f>IFERROR((D19-C19)*1440,"")</f>
        <v/>
      </c>
    </row>
    <row r="20">
      <c r="E20" s="10" t="n"/>
      <c r="G20" s="11">
        <f>IFERROR((D20-C20)*1440,"")</f>
        <v/>
      </c>
    </row>
    <row r="21">
      <c r="E21" s="10" t="n"/>
      <c r="G21" s="11">
        <f>IFERROR((D21-C21)*1440,"")</f>
        <v/>
      </c>
    </row>
    <row r="22">
      <c r="E22" s="10" t="n"/>
      <c r="G22" s="11">
        <f>IFERROR((D22-C22)*1440,"")</f>
        <v/>
      </c>
    </row>
    <row r="23">
      <c r="E23" s="10" t="n"/>
      <c r="G23" s="11">
        <f>IFERROR((D23-C23)*1440,"")</f>
        <v/>
      </c>
    </row>
    <row r="24">
      <c r="E24" s="10" t="n"/>
      <c r="G24" s="11">
        <f>IFERROR((D24-C24)*1440,"")</f>
        <v/>
      </c>
    </row>
    <row r="25">
      <c r="E25" s="10" t="n"/>
      <c r="G25" s="11">
        <f>IFERROR((D25-C25)*1440,"")</f>
        <v/>
      </c>
    </row>
    <row r="26">
      <c r="E26" s="10" t="n"/>
      <c r="G26" s="11">
        <f>IFERROR((D26-C26)*1440,"")</f>
        <v/>
      </c>
    </row>
    <row r="27">
      <c r="E27" s="10" t="n"/>
      <c r="G27" s="11">
        <f>IFERROR((D27-C27)*1440,"")</f>
        <v/>
      </c>
    </row>
    <row r="28">
      <c r="E28" s="10" t="n"/>
      <c r="G28" s="11">
        <f>IFERROR((D28-C28)*1440,"")</f>
        <v/>
      </c>
    </row>
    <row r="29">
      <c r="E29" s="10" t="n"/>
      <c r="G29" s="11">
        <f>IFERROR((D29-C29)*1440,"")</f>
        <v/>
      </c>
    </row>
    <row r="30">
      <c r="E30" s="10" t="n"/>
      <c r="G30" s="11">
        <f>IFERROR((D30-C30)*1440,"")</f>
        <v/>
      </c>
    </row>
    <row r="31">
      <c r="E31" s="10" t="n"/>
      <c r="G31" s="11">
        <f>IFERROR((D31-C31)*1440,"")</f>
        <v/>
      </c>
    </row>
    <row r="32">
      <c r="E32" s="10" t="n"/>
      <c r="G32" s="11">
        <f>IFERROR((D32-C32)*1440,"")</f>
        <v/>
      </c>
    </row>
    <row r="33">
      <c r="E33" s="10" t="n"/>
      <c r="G33" s="11">
        <f>IFERROR((D33-C33)*1440,"")</f>
        <v/>
      </c>
    </row>
    <row r="34">
      <c r="E34" s="10" t="n"/>
      <c r="G34" s="11">
        <f>IFERROR((D34-C34)*1440,"")</f>
        <v/>
      </c>
    </row>
    <row r="35">
      <c r="E35" s="10" t="n"/>
      <c r="G35" s="11">
        <f>IFERROR((D35-C35)*1440,"")</f>
        <v/>
      </c>
    </row>
    <row r="36">
      <c r="E36" s="10" t="n"/>
      <c r="G36" s="11">
        <f>IFERROR((D36-C36)*1440,"")</f>
        <v/>
      </c>
    </row>
    <row r="37">
      <c r="E37" s="10" t="n"/>
      <c r="G37" s="11">
        <f>IFERROR((D37-C37)*1440,"")</f>
        <v/>
      </c>
    </row>
    <row r="38">
      <c r="E38" s="10" t="n"/>
      <c r="G38" s="11">
        <f>IFERROR((D38-C38)*1440,"")</f>
        <v/>
      </c>
    </row>
    <row r="39">
      <c r="E39" s="10" t="n"/>
      <c r="G39" s="11">
        <f>IFERROR((D39-C39)*1440,"")</f>
        <v/>
      </c>
    </row>
    <row r="40">
      <c r="E40" s="10" t="n"/>
      <c r="G40" s="11">
        <f>IFERROR((D40-C40)*1440,"")</f>
        <v/>
      </c>
    </row>
    <row r="41">
      <c r="E41" s="10" t="n"/>
      <c r="G41" s="11">
        <f>IFERROR((D41-C41)*1440,"")</f>
        <v/>
      </c>
    </row>
    <row r="42">
      <c r="E42" s="10" t="n"/>
      <c r="G42" s="11">
        <f>IFERROR((D42-C42)*1440,"")</f>
        <v/>
      </c>
    </row>
    <row r="43">
      <c r="E43" s="10" t="n"/>
      <c r="G43" s="11">
        <f>IFERROR((D43-C43)*1440,"")</f>
        <v/>
      </c>
    </row>
    <row r="44">
      <c r="E44" s="10" t="n"/>
      <c r="G44" s="11">
        <f>IFERROR((D44-C44)*1440,"")</f>
        <v/>
      </c>
    </row>
    <row r="45">
      <c r="E45" s="10" t="n"/>
      <c r="G45" s="11">
        <f>IFERROR((D45-C45)*1440,"")</f>
        <v/>
      </c>
    </row>
    <row r="46">
      <c r="E46" s="10" t="n"/>
      <c r="G46" s="11">
        <f>IFERROR((D46-C46)*1440,"")</f>
        <v/>
      </c>
    </row>
    <row r="47">
      <c r="E47" s="10" t="n"/>
      <c r="G47" s="11">
        <f>IFERROR((D47-C47)*1440,"")</f>
        <v/>
      </c>
    </row>
    <row r="48">
      <c r="E48" s="10" t="n"/>
      <c r="G48" s="11">
        <f>IFERROR((D48-C48)*1440,"")</f>
        <v/>
      </c>
    </row>
    <row r="49">
      <c r="E49" s="10" t="n"/>
      <c r="G49" s="11">
        <f>IFERROR((D49-C49)*1440,"")</f>
        <v/>
      </c>
    </row>
    <row r="50">
      <c r="E50" s="10" t="n"/>
      <c r="G50" s="11">
        <f>IFERROR((D50-C50)*1440,"")</f>
        <v/>
      </c>
    </row>
    <row r="51">
      <c r="E51" s="10" t="n"/>
      <c r="G51" s="11">
        <f>IFERROR((D51-C51)*1440,"")</f>
        <v/>
      </c>
    </row>
    <row r="52">
      <c r="E52" s="10" t="n"/>
      <c r="G52" s="11">
        <f>IFERROR((D52-C52)*1440,"")</f>
        <v/>
      </c>
    </row>
    <row r="53">
      <c r="E53" s="10" t="n"/>
      <c r="G53" s="11">
        <f>IFERROR((D53-C53)*1440,"")</f>
        <v/>
      </c>
    </row>
    <row r="54">
      <c r="E54" s="10" t="n"/>
      <c r="G54" s="11">
        <f>IFERROR((D54-C54)*1440,"")</f>
        <v/>
      </c>
    </row>
    <row r="55">
      <c r="E55" s="10" t="n"/>
      <c r="G55" s="11">
        <f>IFERROR((D55-C55)*1440,"")</f>
        <v/>
      </c>
    </row>
    <row r="56">
      <c r="E56" s="10" t="n"/>
      <c r="G56" s="11">
        <f>IFERROR((D56-C56)*1440,"")</f>
        <v/>
      </c>
    </row>
    <row r="57">
      <c r="E57" s="10" t="n"/>
      <c r="G57" s="11">
        <f>IFERROR((D57-C57)*1440,"")</f>
        <v/>
      </c>
    </row>
    <row r="58">
      <c r="E58" s="10" t="n"/>
      <c r="G58" s="11">
        <f>IFERROR((D58-C58)*1440,"")</f>
        <v/>
      </c>
    </row>
    <row r="59">
      <c r="E59" s="10" t="n"/>
      <c r="G59" s="11">
        <f>IFERROR((D59-C59)*1440,"")</f>
        <v/>
      </c>
    </row>
    <row r="60">
      <c r="E60" s="10" t="n"/>
      <c r="G60" s="11">
        <f>IFERROR((D60-C60)*1440,"")</f>
        <v/>
      </c>
    </row>
    <row r="61">
      <c r="E61" s="10" t="n"/>
      <c r="G61" s="11">
        <f>IFERROR((D61-C61)*1440,"")</f>
        <v/>
      </c>
    </row>
    <row r="62">
      <c r="E62" s="10" t="n"/>
      <c r="G62" s="11">
        <f>IFERROR((D62-C62)*1440,"")</f>
        <v/>
      </c>
    </row>
    <row r="63">
      <c r="E63" s="10" t="n"/>
      <c r="G63" s="11">
        <f>IFERROR((D63-C63)*1440,"")</f>
        <v/>
      </c>
    </row>
    <row r="64">
      <c r="E64" s="10" t="n"/>
      <c r="G64" s="11">
        <f>IFERROR((D64-C64)*1440,"")</f>
        <v/>
      </c>
    </row>
    <row r="65">
      <c r="E65" s="10" t="n"/>
      <c r="G65" s="11">
        <f>IFERROR((D65-C65)*1440,"")</f>
        <v/>
      </c>
    </row>
    <row r="66">
      <c r="E66" s="10" t="n"/>
      <c r="G66" s="11">
        <f>IFERROR((D66-C66)*1440,"")</f>
        <v/>
      </c>
    </row>
    <row r="67">
      <c r="E67" s="10" t="n"/>
      <c r="G67" s="11">
        <f>IFERROR((D67-C67)*1440,"")</f>
        <v/>
      </c>
    </row>
    <row r="68">
      <c r="E68" s="10" t="n"/>
      <c r="G68" s="11">
        <f>IFERROR((D68-C68)*1440,"")</f>
        <v/>
      </c>
    </row>
    <row r="69">
      <c r="E69" s="10" t="n"/>
      <c r="G69" s="11">
        <f>IFERROR((D69-C69)*1440,"")</f>
        <v/>
      </c>
    </row>
    <row r="70">
      <c r="E70" s="10" t="n"/>
      <c r="G70" s="11">
        <f>IFERROR((D70-C70)*1440,"")</f>
        <v/>
      </c>
    </row>
    <row r="71">
      <c r="E71" s="10" t="n"/>
      <c r="G71" s="11">
        <f>IFERROR((D71-C71)*1440,"")</f>
        <v/>
      </c>
    </row>
    <row r="72">
      <c r="E72" s="10" t="n"/>
      <c r="G72" s="11">
        <f>IFERROR((D72-C72)*1440,"")</f>
        <v/>
      </c>
    </row>
    <row r="73">
      <c r="E73" s="10" t="n"/>
      <c r="G73" s="11">
        <f>IFERROR((D73-C73)*1440,"")</f>
        <v/>
      </c>
    </row>
    <row r="74">
      <c r="E74" s="10" t="n"/>
      <c r="G74" s="11">
        <f>IFERROR((D74-C74)*1440,"")</f>
        <v/>
      </c>
    </row>
    <row r="75">
      <c r="E75" s="10" t="n"/>
      <c r="G75" s="11">
        <f>IFERROR((D75-C75)*1440,"")</f>
        <v/>
      </c>
    </row>
    <row r="76">
      <c r="E76" s="10" t="n"/>
      <c r="G76" s="11">
        <f>IFERROR((D76-C76)*1440,"")</f>
        <v/>
      </c>
    </row>
    <row r="77">
      <c r="E77" s="10" t="n"/>
      <c r="G77" s="11">
        <f>IFERROR((D77-C77)*1440,"")</f>
        <v/>
      </c>
    </row>
    <row r="78">
      <c r="E78" s="10" t="n"/>
      <c r="G78" s="11">
        <f>IFERROR((D78-C78)*1440,"")</f>
        <v/>
      </c>
    </row>
    <row r="79">
      <c r="E79" s="10" t="n"/>
      <c r="G79" s="11">
        <f>IFERROR((D79-C79)*1440,"")</f>
        <v/>
      </c>
    </row>
    <row r="80">
      <c r="E80" s="10" t="n"/>
      <c r="G80" s="11">
        <f>IFERROR((D80-C80)*1440,"")</f>
        <v/>
      </c>
    </row>
    <row r="81">
      <c r="E81" s="10" t="n"/>
      <c r="G81" s="11">
        <f>IFERROR((D81-C81)*1440,"")</f>
        <v/>
      </c>
    </row>
    <row r="82">
      <c r="E82" s="10" t="n"/>
      <c r="G82" s="11">
        <f>IFERROR((D82-C82)*1440,"")</f>
        <v/>
      </c>
    </row>
    <row r="83">
      <c r="E83" s="10" t="n"/>
      <c r="G83" s="11">
        <f>IFERROR((D83-C83)*1440,"")</f>
        <v/>
      </c>
    </row>
    <row r="84">
      <c r="E84" s="10" t="n"/>
      <c r="G84" s="11">
        <f>IFERROR((D84-C84)*1440,"")</f>
        <v/>
      </c>
    </row>
    <row r="85">
      <c r="E85" s="10" t="n"/>
      <c r="G85" s="11">
        <f>IFERROR((D85-C85)*1440,"")</f>
        <v/>
      </c>
    </row>
    <row r="86">
      <c r="E86" s="10" t="n"/>
      <c r="G86" s="11">
        <f>IFERROR((D86-C86)*1440,"")</f>
        <v/>
      </c>
    </row>
    <row r="87">
      <c r="E87" s="10" t="n"/>
      <c r="G87" s="11">
        <f>IFERROR((D87-C87)*1440,"")</f>
        <v/>
      </c>
    </row>
    <row r="88">
      <c r="E88" s="10" t="n"/>
      <c r="G88" s="11">
        <f>IFERROR((D88-C88)*1440,"")</f>
        <v/>
      </c>
    </row>
    <row r="89">
      <c r="E89" s="10" t="n"/>
      <c r="G89" s="11">
        <f>IFERROR((D89-C89)*1440,"")</f>
        <v/>
      </c>
    </row>
    <row r="90">
      <c r="E90" s="10" t="n"/>
      <c r="G90" s="11">
        <f>IFERROR((D90-C90)*1440,"")</f>
        <v/>
      </c>
    </row>
    <row r="91">
      <c r="E91" s="10" t="n"/>
      <c r="G91" s="11">
        <f>IFERROR((D91-C91)*1440,"")</f>
        <v/>
      </c>
    </row>
    <row r="92">
      <c r="E92" s="10" t="n"/>
      <c r="G92" s="11">
        <f>IFERROR((D92-C92)*1440,"")</f>
        <v/>
      </c>
    </row>
    <row r="93">
      <c r="E93" s="10" t="n"/>
      <c r="G93" s="11">
        <f>IFERROR((D93-C93)*1440,"")</f>
        <v/>
      </c>
    </row>
    <row r="94">
      <c r="E94" s="10" t="n"/>
      <c r="G94" s="11">
        <f>IFERROR((D94-C94)*1440,"")</f>
        <v/>
      </c>
    </row>
    <row r="95">
      <c r="E95" s="10" t="n"/>
      <c r="G95" s="11">
        <f>IFERROR((D95-C95)*1440,"")</f>
        <v/>
      </c>
    </row>
    <row r="96">
      <c r="E96" s="10" t="n"/>
      <c r="G96" s="11">
        <f>IFERROR((D96-C96)*1440,"")</f>
        <v/>
      </c>
    </row>
    <row r="97">
      <c r="E97" s="10" t="n"/>
      <c r="G97" s="11">
        <f>IFERROR((D97-C97)*1440,"")</f>
        <v/>
      </c>
    </row>
    <row r="98">
      <c r="E98" s="10" t="n"/>
      <c r="G98" s="11">
        <f>IFERROR((D98-C98)*1440,"")</f>
        <v/>
      </c>
    </row>
    <row r="99">
      <c r="E99" s="10" t="n"/>
      <c r="G99" s="11">
        <f>IFERROR((D99-C99)*1440,"")</f>
        <v/>
      </c>
    </row>
    <row r="100">
      <c r="E100" s="10" t="n"/>
      <c r="G100" s="11">
        <f>IFERROR((D100-C100)*1440,"")</f>
        <v/>
      </c>
    </row>
    <row r="101">
      <c r="E101" s="10" t="n"/>
      <c r="G101" s="11">
        <f>IFERROR((D101-C101)*1440,"")</f>
        <v/>
      </c>
    </row>
    <row r="102">
      <c r="E102" s="10" t="n"/>
      <c r="G102" s="11">
        <f>IFERROR((D102-C102)*1440,"")</f>
        <v/>
      </c>
    </row>
    <row r="103">
      <c r="E103" s="10" t="n"/>
      <c r="G103" s="11">
        <f>IFERROR((D103-C103)*1440,"")</f>
        <v/>
      </c>
    </row>
    <row r="104">
      <c r="E104" s="10" t="n"/>
      <c r="G104" s="11">
        <f>IFERROR((D104-C104)*1440,"")</f>
        <v/>
      </c>
    </row>
    <row r="105">
      <c r="E105" s="10" t="n"/>
      <c r="G105" s="11">
        <f>IFERROR((D105-C105)*1440,"")</f>
        <v/>
      </c>
    </row>
    <row r="106">
      <c r="E106" s="10" t="n"/>
      <c r="G106" s="11">
        <f>IFERROR((D106-C106)*1440,"")</f>
        <v/>
      </c>
    </row>
    <row r="107">
      <c r="E107" s="10" t="n"/>
      <c r="G107" s="11">
        <f>IFERROR((D107-C107)*1440,"")</f>
        <v/>
      </c>
    </row>
    <row r="108">
      <c r="E108" s="10" t="n"/>
      <c r="G108" s="11">
        <f>IFERROR((D108-C108)*1440,"")</f>
        <v/>
      </c>
    </row>
    <row r="109">
      <c r="E109" s="10" t="n"/>
      <c r="G109" s="11">
        <f>IFERROR((D109-C109)*1440,"")</f>
        <v/>
      </c>
    </row>
    <row r="110">
      <c r="E110" s="10" t="n"/>
      <c r="G110" s="11">
        <f>IFERROR((D110-C110)*1440,"")</f>
        <v/>
      </c>
    </row>
    <row r="111">
      <c r="E111" s="10" t="n"/>
      <c r="G111" s="11">
        <f>IFERROR((D111-C111)*1440,"")</f>
        <v/>
      </c>
    </row>
    <row r="112">
      <c r="E112" s="10" t="n"/>
      <c r="G112" s="11">
        <f>IFERROR((D112-C112)*1440,"")</f>
        <v/>
      </c>
    </row>
    <row r="113">
      <c r="E113" s="10" t="n"/>
      <c r="G113" s="11">
        <f>IFERROR((D113-C113)*1440,"")</f>
        <v/>
      </c>
    </row>
    <row r="114">
      <c r="E114" s="10" t="n"/>
      <c r="G114" s="11">
        <f>IFERROR((D114-C114)*1440,"")</f>
        <v/>
      </c>
    </row>
    <row r="115">
      <c r="E115" s="10" t="n"/>
      <c r="G115" s="11">
        <f>IFERROR((D115-C115)*1440,"")</f>
        <v/>
      </c>
    </row>
    <row r="116">
      <c r="E116" s="10" t="n"/>
      <c r="G116" s="11">
        <f>IFERROR((D116-C116)*1440,"")</f>
        <v/>
      </c>
    </row>
    <row r="117">
      <c r="E117" s="10" t="n"/>
      <c r="G117" s="11">
        <f>IFERROR((D117-C117)*1440,"")</f>
        <v/>
      </c>
    </row>
    <row r="118">
      <c r="E118" s="10" t="n"/>
      <c r="G118" s="11">
        <f>IFERROR((D118-C118)*1440,"")</f>
        <v/>
      </c>
    </row>
    <row r="119">
      <c r="E119" s="10" t="n"/>
      <c r="G119" s="11">
        <f>IFERROR((D119-C119)*1440,"")</f>
        <v/>
      </c>
    </row>
    <row r="120">
      <c r="E120" s="10" t="n"/>
      <c r="G120" s="11">
        <f>IFERROR((D120-C120)*1440,"")</f>
        <v/>
      </c>
    </row>
    <row r="121">
      <c r="E121" s="10" t="n"/>
      <c r="G121" s="11">
        <f>IFERROR((D121-C121)*1440,"")</f>
        <v/>
      </c>
    </row>
    <row r="122">
      <c r="E122" s="10" t="n"/>
      <c r="G122" s="11">
        <f>IFERROR((D122-C122)*1440,"")</f>
        <v/>
      </c>
    </row>
    <row r="123">
      <c r="E123" s="10" t="n"/>
      <c r="G123" s="11">
        <f>IFERROR((D123-C123)*1440,"")</f>
        <v/>
      </c>
    </row>
    <row r="124">
      <c r="E124" s="10" t="n"/>
      <c r="G124" s="11">
        <f>IFERROR((D124-C124)*1440,"")</f>
        <v/>
      </c>
    </row>
    <row r="125">
      <c r="E125" s="10" t="n"/>
      <c r="G125" s="11">
        <f>IFERROR((D125-C125)*1440,"")</f>
        <v/>
      </c>
    </row>
    <row r="126">
      <c r="E126" s="10" t="n"/>
      <c r="G126" s="11">
        <f>IFERROR((D126-C126)*1440,"")</f>
        <v/>
      </c>
    </row>
    <row r="127">
      <c r="E127" s="10" t="n"/>
      <c r="G127" s="11">
        <f>IFERROR((D127-C127)*1440,"")</f>
        <v/>
      </c>
    </row>
    <row r="128">
      <c r="E128" s="10" t="n"/>
      <c r="G128" s="11">
        <f>IFERROR((D128-C128)*1440,"")</f>
        <v/>
      </c>
    </row>
    <row r="129">
      <c r="E129" s="10" t="n"/>
      <c r="G129" s="11">
        <f>IFERROR((D129-C129)*1440,"")</f>
        <v/>
      </c>
    </row>
    <row r="130">
      <c r="E130" s="10" t="n"/>
      <c r="G130" s="11">
        <f>IFERROR((D130-C130)*1440,"")</f>
        <v/>
      </c>
    </row>
    <row r="131">
      <c r="E131" s="10" t="n"/>
      <c r="G131" s="11">
        <f>IFERROR((D131-C131)*1440,"")</f>
        <v/>
      </c>
    </row>
    <row r="132">
      <c r="E132" s="10" t="n"/>
      <c r="G132" s="11">
        <f>IFERROR((D132-C132)*1440,"")</f>
        <v/>
      </c>
    </row>
    <row r="133">
      <c r="E133" s="10" t="n"/>
      <c r="G133" s="11">
        <f>IFERROR((D133-C133)*1440,"")</f>
        <v/>
      </c>
    </row>
    <row r="134">
      <c r="E134" s="10" t="n"/>
      <c r="G134" s="11">
        <f>IFERROR((D134-C134)*1440,"")</f>
        <v/>
      </c>
    </row>
    <row r="135">
      <c r="E135" s="10" t="n"/>
      <c r="G135" s="11">
        <f>IFERROR((D135-C135)*1440,"")</f>
        <v/>
      </c>
    </row>
    <row r="136">
      <c r="E136" s="10" t="n"/>
      <c r="G136" s="11">
        <f>IFERROR((D136-C136)*1440,"")</f>
        <v/>
      </c>
    </row>
    <row r="137">
      <c r="E137" s="10" t="n"/>
      <c r="G137" s="11">
        <f>IFERROR((D137-C137)*1440,"")</f>
        <v/>
      </c>
    </row>
    <row r="138">
      <c r="E138" s="10" t="n"/>
      <c r="G138" s="11">
        <f>IFERROR((D138-C138)*1440,"")</f>
        <v/>
      </c>
    </row>
    <row r="139">
      <c r="E139" s="10" t="n"/>
      <c r="G139" s="11">
        <f>IFERROR((D139-C139)*1440,"")</f>
        <v/>
      </c>
    </row>
    <row r="140">
      <c r="E140" s="10" t="n"/>
      <c r="G140" s="11">
        <f>IFERROR((D140-C140)*1440,"")</f>
        <v/>
      </c>
    </row>
    <row r="141">
      <c r="E141" s="10" t="n"/>
      <c r="G141" s="11">
        <f>IFERROR((D141-C141)*1440,"")</f>
        <v/>
      </c>
    </row>
    <row r="142">
      <c r="E142" s="10" t="n"/>
      <c r="G142" s="11">
        <f>IFERROR((D142-C142)*1440,"")</f>
        <v/>
      </c>
    </row>
    <row r="143">
      <c r="E143" s="10" t="n"/>
      <c r="G143" s="11">
        <f>IFERROR((D143-C143)*1440,"")</f>
        <v/>
      </c>
    </row>
    <row r="144">
      <c r="E144" s="10" t="n"/>
      <c r="G144" s="11">
        <f>IFERROR((D144-C144)*1440,"")</f>
        <v/>
      </c>
    </row>
    <row r="145">
      <c r="E145" s="10" t="n"/>
      <c r="G145" s="11">
        <f>IFERROR((D145-C145)*1440,"")</f>
        <v/>
      </c>
    </row>
    <row r="146">
      <c r="E146" s="10" t="n"/>
      <c r="G146" s="11">
        <f>IFERROR((D146-C146)*1440,"")</f>
        <v/>
      </c>
    </row>
    <row r="147">
      <c r="E147" s="10" t="n"/>
      <c r="G147" s="11">
        <f>IFERROR((D147-C147)*1440,"")</f>
        <v/>
      </c>
    </row>
    <row r="148">
      <c r="E148" s="10" t="n"/>
      <c r="G148" s="11">
        <f>IFERROR((D148-C148)*1440,"")</f>
        <v/>
      </c>
    </row>
    <row r="149">
      <c r="E149" s="10" t="n"/>
      <c r="G149" s="11">
        <f>IFERROR((D149-C149)*1440,"")</f>
        <v/>
      </c>
    </row>
    <row r="150">
      <c r="E150" s="10" t="n"/>
      <c r="G150" s="11">
        <f>IFERROR((D150-C150)*1440,"")</f>
        <v/>
      </c>
    </row>
    <row r="151">
      <c r="E151" s="10" t="n"/>
      <c r="G151" s="11">
        <f>IFERROR((D151-C151)*1440,"")</f>
        <v/>
      </c>
    </row>
    <row r="152">
      <c r="E152" s="10" t="n"/>
      <c r="G152" s="11">
        <f>IFERROR((D152-C152)*1440,"")</f>
        <v/>
      </c>
    </row>
    <row r="153">
      <c r="E153" s="10" t="n"/>
      <c r="G153" s="11">
        <f>IFERROR((D153-C153)*1440,"")</f>
        <v/>
      </c>
    </row>
    <row r="154">
      <c r="E154" s="10" t="n"/>
      <c r="G154" s="11">
        <f>IFERROR((D154-C154)*1440,"")</f>
        <v/>
      </c>
    </row>
    <row r="155">
      <c r="E155" s="10" t="n"/>
      <c r="G155" s="11">
        <f>IFERROR((D155-C155)*1440,"")</f>
        <v/>
      </c>
    </row>
    <row r="156">
      <c r="E156" s="10" t="n"/>
      <c r="G156" s="11">
        <f>IFERROR((D156-C156)*1440,"")</f>
        <v/>
      </c>
    </row>
    <row r="157">
      <c r="E157" s="10" t="n"/>
      <c r="G157" s="11">
        <f>IFERROR((D157-C157)*1440,"")</f>
        <v/>
      </c>
    </row>
    <row r="158">
      <c r="E158" s="10" t="n"/>
      <c r="G158" s="11">
        <f>IFERROR((D158-C158)*1440,"")</f>
        <v/>
      </c>
    </row>
    <row r="159">
      <c r="E159" s="10" t="n"/>
      <c r="G159" s="11">
        <f>IFERROR((D159-C159)*1440,"")</f>
        <v/>
      </c>
    </row>
    <row r="160">
      <c r="E160" s="10" t="n"/>
      <c r="G160" s="11">
        <f>IFERROR((D160-C160)*1440,"")</f>
        <v/>
      </c>
    </row>
    <row r="161">
      <c r="E161" s="10" t="n"/>
      <c r="G161" s="11">
        <f>IFERROR((D161-C161)*1440,"")</f>
        <v/>
      </c>
    </row>
    <row r="162">
      <c r="E162" s="10" t="n"/>
      <c r="G162" s="11">
        <f>IFERROR((D162-C162)*1440,"")</f>
        <v/>
      </c>
    </row>
    <row r="163">
      <c r="E163" s="10" t="n"/>
      <c r="G163" s="11">
        <f>IFERROR((D163-C163)*1440,"")</f>
        <v/>
      </c>
    </row>
    <row r="164">
      <c r="E164" s="10" t="n"/>
      <c r="G164" s="11">
        <f>IFERROR((D164-C164)*1440,"")</f>
        <v/>
      </c>
    </row>
    <row r="165">
      <c r="E165" s="10" t="n"/>
      <c r="G165" s="11">
        <f>IFERROR((D165-C165)*1440,"")</f>
        <v/>
      </c>
    </row>
    <row r="166">
      <c r="E166" s="10" t="n"/>
      <c r="G166" s="11">
        <f>IFERROR((D166-C166)*1440,"")</f>
        <v/>
      </c>
    </row>
    <row r="167">
      <c r="E167" s="10" t="n"/>
      <c r="G167" s="11">
        <f>IFERROR((D167-C167)*1440,"")</f>
        <v/>
      </c>
    </row>
    <row r="168">
      <c r="E168" s="10" t="n"/>
      <c r="G168" s="11">
        <f>IFERROR((D168-C168)*1440,"")</f>
        <v/>
      </c>
    </row>
    <row r="169">
      <c r="E169" s="10" t="n"/>
      <c r="G169" s="11">
        <f>IFERROR((D169-C169)*1440,"")</f>
        <v/>
      </c>
    </row>
    <row r="170">
      <c r="E170" s="10" t="n"/>
      <c r="G170" s="11">
        <f>IFERROR((D170-C170)*1440,"")</f>
        <v/>
      </c>
    </row>
    <row r="171">
      <c r="E171" s="10" t="n"/>
      <c r="G171" s="11">
        <f>IFERROR((D171-C171)*1440,"")</f>
        <v/>
      </c>
    </row>
    <row r="172">
      <c r="E172" s="10" t="n"/>
      <c r="G172" s="11">
        <f>IFERROR((D172-C172)*1440,"")</f>
        <v/>
      </c>
    </row>
    <row r="173">
      <c r="E173" s="10" t="n"/>
      <c r="G173" s="11">
        <f>IFERROR((D173-C173)*1440,"")</f>
        <v/>
      </c>
    </row>
    <row r="174">
      <c r="E174" s="10" t="n"/>
      <c r="G174" s="11">
        <f>IFERROR((D174-C174)*1440,"")</f>
        <v/>
      </c>
    </row>
    <row r="175">
      <c r="E175" s="10" t="n"/>
      <c r="G175" s="11">
        <f>IFERROR((D175-C175)*1440,"")</f>
        <v/>
      </c>
    </row>
    <row r="176">
      <c r="E176" s="10" t="n"/>
      <c r="G176" s="11">
        <f>IFERROR((D176-C176)*1440,"")</f>
        <v/>
      </c>
    </row>
    <row r="177">
      <c r="E177" s="10" t="n"/>
      <c r="G177" s="11">
        <f>IFERROR((D177-C177)*1440,"")</f>
        <v/>
      </c>
    </row>
    <row r="178">
      <c r="E178" s="10" t="n"/>
      <c r="G178" s="11">
        <f>IFERROR((D178-C178)*1440,"")</f>
        <v/>
      </c>
    </row>
    <row r="179">
      <c r="E179" s="10" t="n"/>
      <c r="G179" s="11">
        <f>IFERROR((D179-C179)*1440,"")</f>
        <v/>
      </c>
    </row>
    <row r="180">
      <c r="E180" s="10" t="n"/>
      <c r="G180" s="11">
        <f>IFERROR((D180-C180)*1440,"")</f>
        <v/>
      </c>
    </row>
    <row r="181">
      <c r="E181" s="10" t="n"/>
      <c r="G181" s="11">
        <f>IFERROR((D181-C181)*1440,"")</f>
        <v/>
      </c>
    </row>
    <row r="182">
      <c r="E182" s="10" t="n"/>
      <c r="G182" s="11">
        <f>IFERROR((D182-C182)*1440,"")</f>
        <v/>
      </c>
    </row>
    <row r="183">
      <c r="E183" s="10" t="n"/>
      <c r="G183" s="11">
        <f>IFERROR((D183-C183)*1440,"")</f>
        <v/>
      </c>
    </row>
    <row r="184">
      <c r="E184" s="10" t="n"/>
      <c r="G184" s="11">
        <f>IFERROR((D184-C184)*1440,"")</f>
        <v/>
      </c>
    </row>
    <row r="185">
      <c r="E185" s="10" t="n"/>
      <c r="G185" s="11">
        <f>IFERROR((D185-C185)*1440,"")</f>
        <v/>
      </c>
    </row>
    <row r="186">
      <c r="E186" s="10" t="n"/>
      <c r="G186" s="11">
        <f>IFERROR((D186-C186)*1440,"")</f>
        <v/>
      </c>
    </row>
    <row r="187">
      <c r="E187" s="10" t="n"/>
      <c r="G187" s="11">
        <f>IFERROR((D187-C187)*1440,"")</f>
        <v/>
      </c>
    </row>
    <row r="188">
      <c r="E188" s="10" t="n"/>
      <c r="G188" s="11">
        <f>IFERROR((D188-C188)*1440,"")</f>
        <v/>
      </c>
    </row>
    <row r="189">
      <c r="E189" s="10" t="n"/>
      <c r="G189" s="11">
        <f>IFERROR((D189-C189)*1440,"")</f>
        <v/>
      </c>
    </row>
    <row r="190">
      <c r="E190" s="10" t="n"/>
      <c r="G190" s="11">
        <f>IFERROR((D190-C190)*1440,"")</f>
        <v/>
      </c>
    </row>
    <row r="191">
      <c r="E191" s="10" t="n"/>
      <c r="G191" s="11">
        <f>IFERROR((D191-C191)*1440,"")</f>
        <v/>
      </c>
    </row>
    <row r="192">
      <c r="E192" s="10" t="n"/>
      <c r="G192" s="11">
        <f>IFERROR((D192-C192)*1440,"")</f>
        <v/>
      </c>
    </row>
    <row r="193">
      <c r="E193" s="10" t="n"/>
      <c r="G193" s="11">
        <f>IFERROR((D193-C193)*1440,"")</f>
        <v/>
      </c>
    </row>
    <row r="194">
      <c r="E194" s="10" t="n"/>
      <c r="G194" s="11">
        <f>IFERROR((D194-C194)*1440,"")</f>
        <v/>
      </c>
    </row>
    <row r="195">
      <c r="E195" s="10" t="n"/>
      <c r="G195" s="11">
        <f>IFERROR((D195-C195)*1440,"")</f>
        <v/>
      </c>
    </row>
    <row r="196">
      <c r="E196" s="10" t="n"/>
      <c r="G196" s="11">
        <f>IFERROR((D196-C196)*1440,"")</f>
        <v/>
      </c>
    </row>
    <row r="197">
      <c r="E197" s="10" t="n"/>
      <c r="G197" s="11">
        <f>IFERROR((D197-C197)*1440,"")</f>
        <v/>
      </c>
    </row>
    <row r="198">
      <c r="E198" s="10" t="n"/>
      <c r="G198" s="11">
        <f>IFERROR((D198-C198)*1440,"")</f>
        <v/>
      </c>
    </row>
    <row r="199">
      <c r="E199" s="10" t="n"/>
      <c r="G199" s="11">
        <f>IFERROR((D199-C199)*1440,"")</f>
        <v/>
      </c>
    </row>
    <row r="200">
      <c r="E200" s="10" t="n"/>
      <c r="G200" s="11">
        <f>IFERROR((D200-C200)*1440,"")</f>
        <v/>
      </c>
    </row>
    <row r="201">
      <c r="E201" s="10" t="n"/>
      <c r="G201" s="11">
        <f>IFERROR((D201-C201)*1440,"")</f>
        <v/>
      </c>
    </row>
    <row r="202">
      <c r="E202" s="10" t="n"/>
      <c r="G202" s="11">
        <f>IFERROR((D202-C202)*1440,"")</f>
        <v/>
      </c>
    </row>
    <row r="203">
      <c r="E203" s="10" t="n"/>
      <c r="G203" s="11">
        <f>IFERROR((D203-C203)*1440,"")</f>
        <v/>
      </c>
    </row>
    <row r="204">
      <c r="E204" s="10" t="n"/>
      <c r="G204" s="11">
        <f>IFERROR((D204-C204)*1440,"")</f>
        <v/>
      </c>
    </row>
    <row r="205">
      <c r="E205" s="10" t="n"/>
      <c r="G205" s="11">
        <f>IFERROR((D205-C205)*1440,"")</f>
        <v/>
      </c>
    </row>
    <row r="206">
      <c r="E206" s="10" t="n"/>
      <c r="G206" s="11">
        <f>IFERROR((D206-C206)*1440,"")</f>
        <v/>
      </c>
    </row>
    <row r="207">
      <c r="E207" s="10" t="n"/>
      <c r="G207" s="11">
        <f>IFERROR((D207-C207)*1440,"")</f>
        <v/>
      </c>
    </row>
    <row r="208">
      <c r="E208" s="10" t="n"/>
      <c r="G208" s="11">
        <f>IFERROR((D208-C208)*1440,"")</f>
        <v/>
      </c>
    </row>
    <row r="209">
      <c r="E209" s="10" t="n"/>
      <c r="G209" s="11">
        <f>IFERROR((D209-C209)*1440,"")</f>
        <v/>
      </c>
    </row>
    <row r="210">
      <c r="E210" s="10" t="n"/>
      <c r="G210" s="11">
        <f>IFERROR((D210-C210)*1440,"")</f>
        <v/>
      </c>
    </row>
    <row r="211">
      <c r="E211" s="10" t="n"/>
      <c r="G211" s="11">
        <f>IFERROR((D211-C211)*1440,"")</f>
        <v/>
      </c>
    </row>
    <row r="212">
      <c r="E212" s="10" t="n"/>
      <c r="G212" s="11">
        <f>IFERROR((D212-C212)*1440,"")</f>
        <v/>
      </c>
    </row>
    <row r="213">
      <c r="E213" s="10" t="n"/>
      <c r="G213" s="11">
        <f>IFERROR((D213-C213)*1440,"")</f>
        <v/>
      </c>
    </row>
    <row r="214">
      <c r="E214" s="10" t="n"/>
      <c r="G214" s="11">
        <f>IFERROR((D214-C214)*1440,"")</f>
        <v/>
      </c>
    </row>
    <row r="215">
      <c r="E215" s="10" t="n"/>
      <c r="G215" s="11">
        <f>IFERROR((D215-C215)*1440,"")</f>
        <v/>
      </c>
    </row>
    <row r="216">
      <c r="E216" s="10" t="n"/>
      <c r="G216" s="11">
        <f>IFERROR((D216-C216)*1440,"")</f>
        <v/>
      </c>
    </row>
    <row r="217">
      <c r="E217" s="10" t="n"/>
      <c r="G217" s="11">
        <f>IFERROR((D217-C217)*1440,"")</f>
        <v/>
      </c>
    </row>
    <row r="218">
      <c r="E218" s="10" t="n"/>
      <c r="G218" s="11">
        <f>IFERROR((D218-C218)*1440,"")</f>
        <v/>
      </c>
    </row>
    <row r="219">
      <c r="E219" s="10" t="n"/>
      <c r="G219" s="11">
        <f>IFERROR((D219-C219)*1440,"")</f>
        <v/>
      </c>
    </row>
    <row r="220">
      <c r="E220" s="10" t="n"/>
      <c r="G220" s="11">
        <f>IFERROR((D220-C220)*1440,"")</f>
        <v/>
      </c>
    </row>
    <row r="221">
      <c r="E221" s="10" t="n"/>
      <c r="G221" s="11">
        <f>IFERROR((D221-C221)*1440,"")</f>
        <v/>
      </c>
    </row>
    <row r="222">
      <c r="E222" s="10" t="n"/>
      <c r="G222" s="11">
        <f>IFERROR((D222-C222)*1440,"")</f>
        <v/>
      </c>
    </row>
    <row r="223">
      <c r="E223" s="10" t="n"/>
      <c r="G223" s="11">
        <f>IFERROR((D223-C223)*1440,"")</f>
        <v/>
      </c>
    </row>
    <row r="224">
      <c r="E224" s="10" t="n"/>
      <c r="G224" s="11">
        <f>IFERROR((D224-C224)*1440,"")</f>
        <v/>
      </c>
    </row>
    <row r="225">
      <c r="E225" s="10" t="n"/>
      <c r="G225" s="11">
        <f>IFERROR((D225-C225)*1440,"")</f>
        <v/>
      </c>
    </row>
    <row r="226">
      <c r="E226" s="10" t="n"/>
      <c r="G226" s="11">
        <f>IFERROR((D226-C226)*1440,"")</f>
        <v/>
      </c>
    </row>
    <row r="227">
      <c r="E227" s="10" t="n"/>
      <c r="G227" s="11">
        <f>IFERROR((D227-C227)*1440,"")</f>
        <v/>
      </c>
    </row>
    <row r="228">
      <c r="E228" s="10" t="n"/>
      <c r="G228" s="11">
        <f>IFERROR((D228-C228)*1440,"")</f>
        <v/>
      </c>
    </row>
    <row r="229">
      <c r="E229" s="10" t="n"/>
      <c r="G229" s="11">
        <f>IFERROR((D229-C229)*1440,"")</f>
        <v/>
      </c>
    </row>
    <row r="230">
      <c r="E230" s="10" t="n"/>
      <c r="G230" s="11">
        <f>IFERROR((D230-C230)*1440,"")</f>
        <v/>
      </c>
    </row>
    <row r="231">
      <c r="E231" s="10" t="n"/>
      <c r="G231" s="11">
        <f>IFERROR((D231-C231)*1440,"")</f>
        <v/>
      </c>
    </row>
    <row r="232">
      <c r="E232" s="10" t="n"/>
      <c r="G232" s="11">
        <f>IFERROR((D232-C232)*1440,"")</f>
        <v/>
      </c>
    </row>
    <row r="233">
      <c r="E233" s="10" t="n"/>
      <c r="G233" s="11">
        <f>IFERROR((D233-C233)*1440,"")</f>
        <v/>
      </c>
    </row>
    <row r="234">
      <c r="E234" s="10" t="n"/>
      <c r="G234" s="11">
        <f>IFERROR((D234-C234)*1440,"")</f>
        <v/>
      </c>
    </row>
    <row r="235">
      <c r="E235" s="10" t="n"/>
      <c r="G235" s="11">
        <f>IFERROR((D235-C235)*1440,"")</f>
        <v/>
      </c>
    </row>
    <row r="236">
      <c r="E236" s="10" t="n"/>
      <c r="G236" s="11">
        <f>IFERROR((D236-C236)*1440,"")</f>
        <v/>
      </c>
    </row>
    <row r="237">
      <c r="E237" s="10" t="n"/>
      <c r="G237" s="11">
        <f>IFERROR((D237-C237)*1440,"")</f>
        <v/>
      </c>
    </row>
    <row r="238">
      <c r="E238" s="10" t="n"/>
      <c r="G238" s="11">
        <f>IFERROR((D238-C238)*1440,"")</f>
        <v/>
      </c>
    </row>
    <row r="239">
      <c r="E239" s="10" t="n"/>
      <c r="G239" s="11">
        <f>IFERROR((D239-C239)*1440,"")</f>
        <v/>
      </c>
    </row>
    <row r="240">
      <c r="E240" s="10" t="n"/>
      <c r="G240" s="11">
        <f>IFERROR((D240-C240)*1440,"")</f>
        <v/>
      </c>
    </row>
    <row r="241">
      <c r="E241" s="10" t="n"/>
      <c r="G241" s="11">
        <f>IFERROR((D241-C241)*1440,"")</f>
        <v/>
      </c>
    </row>
    <row r="242">
      <c r="E242" s="10" t="n"/>
      <c r="G242" s="11">
        <f>IFERROR((D242-C242)*1440,"")</f>
        <v/>
      </c>
    </row>
    <row r="243">
      <c r="E243" s="10" t="n"/>
      <c r="G243" s="11">
        <f>IFERROR((D243-C243)*1440,"")</f>
        <v/>
      </c>
    </row>
    <row r="244">
      <c r="E244" s="10" t="n"/>
      <c r="G244" s="11">
        <f>IFERROR((D244-C244)*1440,"")</f>
        <v/>
      </c>
    </row>
    <row r="245">
      <c r="E245" s="10" t="n"/>
      <c r="G245" s="11">
        <f>IFERROR((D245-C245)*1440,"")</f>
        <v/>
      </c>
    </row>
    <row r="246">
      <c r="E246" s="10" t="n"/>
      <c r="G246" s="11">
        <f>IFERROR((D246-C246)*1440,"")</f>
        <v/>
      </c>
    </row>
    <row r="247">
      <c r="E247" s="10" t="n"/>
      <c r="G247" s="11">
        <f>IFERROR((D247-C247)*1440,"")</f>
        <v/>
      </c>
    </row>
    <row r="248">
      <c r="E248" s="10" t="n"/>
      <c r="G248" s="11">
        <f>IFERROR((D248-C248)*1440,"")</f>
        <v/>
      </c>
    </row>
    <row r="249">
      <c r="E249" s="10" t="n"/>
      <c r="G249" s="11">
        <f>IFERROR((D249-C249)*1440,"")</f>
        <v/>
      </c>
    </row>
    <row r="250">
      <c r="E250" s="10" t="n"/>
      <c r="G250" s="11">
        <f>IFERROR((D250-C250)*1440,"")</f>
        <v/>
      </c>
    </row>
    <row r="251">
      <c r="E251" s="10" t="n"/>
      <c r="G251" s="11">
        <f>IFERROR((D251-C251)*1440,"")</f>
        <v/>
      </c>
    </row>
    <row r="252">
      <c r="E252" s="10" t="n"/>
      <c r="G252" s="11">
        <f>IFERROR((D252-C252)*1440,"")</f>
        <v/>
      </c>
    </row>
    <row r="253">
      <c r="E253" s="10" t="n"/>
      <c r="G253" s="11">
        <f>IFERROR((D253-C253)*1440,"")</f>
        <v/>
      </c>
    </row>
    <row r="254">
      <c r="E254" s="10" t="n"/>
      <c r="G254" s="11">
        <f>IFERROR((D254-C254)*1440,"")</f>
        <v/>
      </c>
    </row>
    <row r="255">
      <c r="E255" s="10" t="n"/>
      <c r="G255" s="11">
        <f>IFERROR((D255-C255)*1440,"")</f>
        <v/>
      </c>
    </row>
    <row r="256">
      <c r="E256" s="10" t="n"/>
      <c r="G256" s="11">
        <f>IFERROR((D256-C256)*1440,"")</f>
        <v/>
      </c>
    </row>
    <row r="257">
      <c r="E257" s="10" t="n"/>
      <c r="G257" s="11">
        <f>IFERROR((D257-C257)*1440,"")</f>
        <v/>
      </c>
    </row>
    <row r="258">
      <c r="E258" s="10" t="n"/>
      <c r="G258" s="11">
        <f>IFERROR((D258-C258)*1440,"")</f>
        <v/>
      </c>
    </row>
    <row r="259">
      <c r="E259" s="10" t="n"/>
      <c r="G259" s="11">
        <f>IFERROR((D259-C259)*1440,"")</f>
        <v/>
      </c>
    </row>
    <row r="260">
      <c r="E260" s="10" t="n"/>
      <c r="G260" s="11">
        <f>IFERROR((D260-C260)*1440,"")</f>
        <v/>
      </c>
    </row>
    <row r="261">
      <c r="E261" s="10" t="n"/>
      <c r="G261" s="11">
        <f>IFERROR((D261-C261)*1440,"")</f>
        <v/>
      </c>
    </row>
    <row r="262">
      <c r="E262" s="10" t="n"/>
      <c r="G262" s="11">
        <f>IFERROR((D262-C262)*1440,"")</f>
        <v/>
      </c>
    </row>
    <row r="263">
      <c r="E263" s="10" t="n"/>
      <c r="G263" s="11">
        <f>IFERROR((D263-C263)*1440,"")</f>
        <v/>
      </c>
    </row>
    <row r="264">
      <c r="E264" s="10" t="n"/>
      <c r="G264" s="11">
        <f>IFERROR((D264-C264)*1440,"")</f>
        <v/>
      </c>
    </row>
    <row r="265">
      <c r="E265" s="10" t="n"/>
      <c r="G265" s="11">
        <f>IFERROR((D265-C265)*1440,"")</f>
        <v/>
      </c>
    </row>
    <row r="266">
      <c r="E266" s="10" t="n"/>
      <c r="G266" s="11">
        <f>IFERROR((D266-C266)*1440,"")</f>
        <v/>
      </c>
    </row>
    <row r="267">
      <c r="E267" s="10" t="n"/>
      <c r="G267" s="11">
        <f>IFERROR((D267-C267)*1440,"")</f>
        <v/>
      </c>
    </row>
    <row r="268">
      <c r="E268" s="10" t="n"/>
      <c r="G268" s="11">
        <f>IFERROR((D268-C268)*1440,"")</f>
        <v/>
      </c>
    </row>
    <row r="269">
      <c r="E269" s="10" t="n"/>
      <c r="G269" s="11">
        <f>IFERROR((D269-C269)*1440,"")</f>
        <v/>
      </c>
    </row>
    <row r="270">
      <c r="E270" s="10" t="n"/>
      <c r="G270" s="11">
        <f>IFERROR((D270-C270)*1440,"")</f>
        <v/>
      </c>
    </row>
    <row r="271">
      <c r="E271" s="10" t="n"/>
      <c r="G271" s="11">
        <f>IFERROR((D271-C271)*1440,"")</f>
        <v/>
      </c>
    </row>
    <row r="272">
      <c r="E272" s="10" t="n"/>
      <c r="G272" s="11">
        <f>IFERROR((D272-C272)*1440,"")</f>
        <v/>
      </c>
    </row>
    <row r="273">
      <c r="E273" s="10" t="n"/>
      <c r="G273" s="11">
        <f>IFERROR((D273-C273)*1440,"")</f>
        <v/>
      </c>
    </row>
    <row r="274">
      <c r="E274" s="10" t="n"/>
      <c r="G274" s="11">
        <f>IFERROR((D274-C274)*1440,"")</f>
        <v/>
      </c>
    </row>
    <row r="275">
      <c r="E275" s="10" t="n"/>
      <c r="G275" s="11">
        <f>IFERROR((D275-C275)*1440,"")</f>
        <v/>
      </c>
    </row>
    <row r="276">
      <c r="E276" s="10" t="n"/>
      <c r="G276" s="11">
        <f>IFERROR((D276-C276)*1440,"")</f>
        <v/>
      </c>
    </row>
    <row r="277">
      <c r="E277" s="10" t="n"/>
      <c r="G277" s="11">
        <f>IFERROR((D277-C277)*1440,"")</f>
        <v/>
      </c>
    </row>
    <row r="278">
      <c r="E278" s="10" t="n"/>
      <c r="G278" s="11">
        <f>IFERROR((D278-C278)*1440,"")</f>
        <v/>
      </c>
    </row>
    <row r="279">
      <c r="E279" s="10" t="n"/>
      <c r="G279" s="11">
        <f>IFERROR((D279-C279)*1440,"")</f>
        <v/>
      </c>
    </row>
    <row r="280">
      <c r="E280" s="10" t="n"/>
      <c r="G280" s="11">
        <f>IFERROR((D280-C280)*1440,"")</f>
        <v/>
      </c>
    </row>
    <row r="281">
      <c r="E281" s="10" t="n"/>
      <c r="G281" s="11">
        <f>IFERROR((D281-C281)*1440,"")</f>
        <v/>
      </c>
    </row>
    <row r="282">
      <c r="E282" s="10" t="n"/>
      <c r="G282" s="11">
        <f>IFERROR((D282-C282)*1440,"")</f>
        <v/>
      </c>
    </row>
    <row r="283">
      <c r="E283" s="10" t="n"/>
      <c r="G283" s="11">
        <f>IFERROR((D283-C283)*1440,"")</f>
        <v/>
      </c>
    </row>
    <row r="284">
      <c r="E284" s="10" t="n"/>
      <c r="G284" s="11">
        <f>IFERROR((D284-C284)*1440,"")</f>
        <v/>
      </c>
    </row>
    <row r="285">
      <c r="E285" s="10" t="n"/>
      <c r="G285" s="11">
        <f>IFERROR((D285-C285)*1440,"")</f>
        <v/>
      </c>
    </row>
    <row r="286">
      <c r="E286" s="10" t="n"/>
      <c r="G286" s="11">
        <f>IFERROR((D286-C286)*1440,"")</f>
        <v/>
      </c>
    </row>
    <row r="287">
      <c r="E287" s="10" t="n"/>
      <c r="G287" s="11">
        <f>IFERROR((D287-C287)*1440,"")</f>
        <v/>
      </c>
    </row>
    <row r="288">
      <c r="E288" s="10" t="n"/>
      <c r="G288" s="11">
        <f>IFERROR((D288-C288)*1440,"")</f>
        <v/>
      </c>
    </row>
    <row r="289">
      <c r="E289" s="10" t="n"/>
      <c r="G289" s="11">
        <f>IFERROR((D289-C289)*1440,"")</f>
        <v/>
      </c>
    </row>
    <row r="290">
      <c r="E290" s="10" t="n"/>
      <c r="G290" s="11">
        <f>IFERROR((D290-C290)*1440,"")</f>
        <v/>
      </c>
    </row>
    <row r="291">
      <c r="E291" s="10" t="n"/>
      <c r="G291" s="11">
        <f>IFERROR((D291-C291)*1440,"")</f>
        <v/>
      </c>
    </row>
    <row r="292">
      <c r="E292" s="10" t="n"/>
      <c r="G292" s="11">
        <f>IFERROR((D292-C292)*1440,"")</f>
        <v/>
      </c>
    </row>
    <row r="293">
      <c r="E293" s="10" t="n"/>
      <c r="G293" s="11">
        <f>IFERROR((D293-C293)*1440,"")</f>
        <v/>
      </c>
    </row>
    <row r="294">
      <c r="E294" s="10" t="n"/>
      <c r="G294" s="11">
        <f>IFERROR((D294-C294)*1440,"")</f>
        <v/>
      </c>
    </row>
    <row r="295">
      <c r="E295" s="10" t="n"/>
      <c r="G295" s="11">
        <f>IFERROR((D295-C295)*1440,"")</f>
        <v/>
      </c>
    </row>
    <row r="296">
      <c r="E296" s="10" t="n"/>
      <c r="G296" s="11">
        <f>IFERROR((D296-C296)*1440,"")</f>
        <v/>
      </c>
    </row>
    <row r="297">
      <c r="E297" s="10" t="n"/>
      <c r="G297" s="11">
        <f>IFERROR((D297-C297)*1440,"")</f>
        <v/>
      </c>
    </row>
    <row r="298">
      <c r="E298" s="10" t="n"/>
      <c r="G298" s="11">
        <f>IFERROR((D298-C298)*1440,"")</f>
        <v/>
      </c>
    </row>
    <row r="299">
      <c r="E299" s="10" t="n"/>
      <c r="G299" s="11">
        <f>IFERROR((D299-C299)*1440,"")</f>
        <v/>
      </c>
    </row>
    <row r="300">
      <c r="E300" s="10" t="n"/>
      <c r="G300" s="11">
        <f>IFERROR((D300-C300)*1440,"")</f>
        <v/>
      </c>
    </row>
    <row r="301">
      <c r="E301" s="10" t="n"/>
      <c r="G301" s="11">
        <f>IFERROR((D301-C301)*1440,"")</f>
        <v/>
      </c>
    </row>
    <row r="302">
      <c r="E302" s="10" t="n"/>
      <c r="G302" s="11">
        <f>IFERROR((D302-C302)*1440,"")</f>
        <v/>
      </c>
    </row>
    <row r="303">
      <c r="E303" s="10" t="n"/>
      <c r="G303" s="11">
        <f>IFERROR((D303-C303)*1440,"")</f>
        <v/>
      </c>
    </row>
    <row r="304">
      <c r="E304" s="10" t="n"/>
      <c r="G304" s="11">
        <f>IFERROR((D304-C304)*1440,"")</f>
        <v/>
      </c>
    </row>
    <row r="305">
      <c r="E305" s="10" t="n"/>
      <c r="G305" s="11">
        <f>IFERROR((D305-C305)*1440,"")</f>
        <v/>
      </c>
    </row>
    <row r="306">
      <c r="E306" s="10" t="n"/>
      <c r="G306" s="11">
        <f>IFERROR((D306-C306)*1440,"")</f>
        <v/>
      </c>
    </row>
    <row r="307">
      <c r="E307" s="10" t="n"/>
      <c r="G307" s="11">
        <f>IFERROR((D307-C307)*1440,"")</f>
        <v/>
      </c>
    </row>
    <row r="308">
      <c r="E308" s="10" t="n"/>
      <c r="G308" s="11">
        <f>IFERROR((D308-C308)*1440,"")</f>
        <v/>
      </c>
    </row>
    <row r="309">
      <c r="E309" s="10" t="n"/>
      <c r="G309" s="11">
        <f>IFERROR((D309-C309)*1440,"")</f>
        <v/>
      </c>
    </row>
    <row r="310">
      <c r="E310" s="10" t="n"/>
      <c r="G310" s="11">
        <f>IFERROR((D310-C310)*1440,"")</f>
        <v/>
      </c>
    </row>
    <row r="311">
      <c r="E311" s="10" t="n"/>
      <c r="G311" s="11">
        <f>IFERROR((D311-C311)*1440,"")</f>
        <v/>
      </c>
    </row>
    <row r="312">
      <c r="E312" s="10" t="n"/>
      <c r="G312" s="11">
        <f>IFERROR((D312-C312)*1440,"")</f>
        <v/>
      </c>
    </row>
    <row r="313">
      <c r="E313" s="10" t="n"/>
      <c r="G313" s="11">
        <f>IFERROR((D313-C313)*1440,"")</f>
        <v/>
      </c>
    </row>
    <row r="314">
      <c r="E314" s="10" t="n"/>
      <c r="G314" s="11">
        <f>IFERROR((D314-C314)*1440,"")</f>
        <v/>
      </c>
    </row>
    <row r="315">
      <c r="E315" s="10" t="n"/>
      <c r="G315" s="11">
        <f>IFERROR((D315-C315)*1440,"")</f>
        <v/>
      </c>
    </row>
    <row r="316">
      <c r="E316" s="10" t="n"/>
      <c r="G316" s="11">
        <f>IFERROR((D316-C316)*1440,"")</f>
        <v/>
      </c>
    </row>
    <row r="317">
      <c r="E317" s="10" t="n"/>
      <c r="G317" s="11">
        <f>IFERROR((D317-C317)*1440,"")</f>
        <v/>
      </c>
    </row>
    <row r="318">
      <c r="E318" s="10" t="n"/>
      <c r="G318" s="11">
        <f>IFERROR((D318-C318)*1440,"")</f>
        <v/>
      </c>
    </row>
    <row r="319">
      <c r="E319" s="10" t="n"/>
      <c r="G319" s="11">
        <f>IFERROR((D319-C319)*1440,"")</f>
        <v/>
      </c>
    </row>
    <row r="320">
      <c r="E320" s="10" t="n"/>
      <c r="G320" s="11">
        <f>IFERROR((D320-C320)*1440,"")</f>
        <v/>
      </c>
    </row>
    <row r="321">
      <c r="E321" s="10" t="n"/>
      <c r="G321" s="11">
        <f>IFERROR((D321-C321)*1440,"")</f>
        <v/>
      </c>
    </row>
    <row r="322">
      <c r="E322" s="10" t="n"/>
      <c r="G322" s="11">
        <f>IFERROR((D322-C322)*1440,"")</f>
        <v/>
      </c>
    </row>
    <row r="323">
      <c r="E323" s="10" t="n"/>
      <c r="G323" s="11">
        <f>IFERROR((D323-C323)*1440,"")</f>
        <v/>
      </c>
    </row>
    <row r="324">
      <c r="E324" s="10" t="n"/>
      <c r="G324" s="11">
        <f>IFERROR((D324-C324)*1440,"")</f>
        <v/>
      </c>
    </row>
    <row r="325">
      <c r="E325" s="10" t="n"/>
      <c r="G325" s="11">
        <f>IFERROR((D325-C325)*1440,"")</f>
        <v/>
      </c>
    </row>
    <row r="326">
      <c r="E326" s="10" t="n"/>
      <c r="G326" s="11">
        <f>IFERROR((D326-C326)*1440,"")</f>
        <v/>
      </c>
    </row>
    <row r="327">
      <c r="E327" s="10" t="n"/>
      <c r="G327" s="11">
        <f>IFERROR((D327-C327)*1440,"")</f>
        <v/>
      </c>
    </row>
    <row r="328">
      <c r="E328" s="10" t="n"/>
      <c r="G328" s="11">
        <f>IFERROR((D328-C328)*1440,"")</f>
        <v/>
      </c>
    </row>
    <row r="329">
      <c r="E329" s="10" t="n"/>
      <c r="G329" s="11">
        <f>IFERROR((D329-C329)*1440,"")</f>
        <v/>
      </c>
    </row>
    <row r="330">
      <c r="E330" s="10" t="n"/>
      <c r="G330" s="11">
        <f>IFERROR((D330-C330)*1440,"")</f>
        <v/>
      </c>
    </row>
    <row r="331">
      <c r="E331" s="10" t="n"/>
      <c r="G331" s="11">
        <f>IFERROR((D331-C331)*1440,"")</f>
        <v/>
      </c>
    </row>
    <row r="332">
      <c r="E332" s="10" t="n"/>
      <c r="G332" s="11">
        <f>IFERROR((D332-C332)*1440,"")</f>
        <v/>
      </c>
    </row>
    <row r="333">
      <c r="E333" s="10" t="n"/>
      <c r="G333" s="11">
        <f>IFERROR((D333-C333)*1440,"")</f>
        <v/>
      </c>
    </row>
    <row r="334">
      <c r="E334" s="10" t="n"/>
      <c r="G334" s="11">
        <f>IFERROR((D334-C334)*1440,"")</f>
        <v/>
      </c>
    </row>
    <row r="335">
      <c r="E335" s="10" t="n"/>
      <c r="G335" s="11">
        <f>IFERROR((D335-C335)*1440,"")</f>
        <v/>
      </c>
    </row>
    <row r="336">
      <c r="E336" s="10" t="n"/>
      <c r="G336" s="11">
        <f>IFERROR((D336-C336)*1440,"")</f>
        <v/>
      </c>
    </row>
    <row r="337">
      <c r="E337" s="10" t="n"/>
      <c r="G337" s="11">
        <f>IFERROR((D337-C337)*1440,"")</f>
        <v/>
      </c>
    </row>
    <row r="338">
      <c r="E338" s="10" t="n"/>
      <c r="G338" s="11">
        <f>IFERROR((D338-C338)*1440,"")</f>
        <v/>
      </c>
    </row>
    <row r="339">
      <c r="E339" s="10" t="n"/>
      <c r="G339" s="11">
        <f>IFERROR((D339-C339)*1440,"")</f>
        <v/>
      </c>
    </row>
    <row r="340">
      <c r="E340" s="10" t="n"/>
      <c r="G340" s="11">
        <f>IFERROR((D340-C340)*1440,"")</f>
        <v/>
      </c>
    </row>
    <row r="341">
      <c r="E341" s="10" t="n"/>
      <c r="G341" s="11">
        <f>IFERROR((D341-C341)*1440,"")</f>
        <v/>
      </c>
    </row>
    <row r="342">
      <c r="E342" s="10" t="n"/>
      <c r="G342" s="11">
        <f>IFERROR((D342-C342)*1440,"")</f>
        <v/>
      </c>
    </row>
    <row r="343">
      <c r="E343" s="10" t="n"/>
      <c r="G343" s="11">
        <f>IFERROR((D343-C343)*1440,"")</f>
        <v/>
      </c>
    </row>
    <row r="344">
      <c r="E344" s="10" t="n"/>
      <c r="G344" s="11">
        <f>IFERROR((D344-C344)*1440,"")</f>
        <v/>
      </c>
    </row>
    <row r="345">
      <c r="E345" s="10" t="n"/>
      <c r="G345" s="11">
        <f>IFERROR((D345-C345)*1440,"")</f>
        <v/>
      </c>
    </row>
    <row r="346">
      <c r="E346" s="10" t="n"/>
      <c r="G346" s="11">
        <f>IFERROR((D346-C346)*1440,"")</f>
        <v/>
      </c>
    </row>
    <row r="347">
      <c r="E347" s="10" t="n"/>
      <c r="G347" s="11">
        <f>IFERROR((D347-C347)*1440,"")</f>
        <v/>
      </c>
    </row>
    <row r="348">
      <c r="E348" s="10" t="n"/>
      <c r="G348" s="11">
        <f>IFERROR((D348-C348)*1440,"")</f>
        <v/>
      </c>
    </row>
    <row r="349">
      <c r="E349" s="10" t="n"/>
      <c r="G349" s="11">
        <f>IFERROR((D349-C349)*1440,"")</f>
        <v/>
      </c>
    </row>
    <row r="350">
      <c r="E350" s="10" t="n"/>
      <c r="G350" s="11">
        <f>IFERROR((D350-C350)*1440,"")</f>
        <v/>
      </c>
    </row>
    <row r="351">
      <c r="E351" s="10" t="n"/>
      <c r="G351" s="11">
        <f>IFERROR((D351-C351)*1440,"")</f>
        <v/>
      </c>
    </row>
    <row r="352">
      <c r="E352" s="10" t="n"/>
      <c r="G352" s="11">
        <f>IFERROR((D352-C352)*1440,"")</f>
        <v/>
      </c>
    </row>
    <row r="353">
      <c r="E353" s="10" t="n"/>
      <c r="G353" s="11">
        <f>IFERROR((D353-C353)*1440,"")</f>
        <v/>
      </c>
    </row>
    <row r="354">
      <c r="E354" s="10" t="n"/>
      <c r="G354" s="11">
        <f>IFERROR((D354-C354)*1440,"")</f>
        <v/>
      </c>
    </row>
    <row r="355">
      <c r="E355" s="10" t="n"/>
      <c r="G355" s="11">
        <f>IFERROR((D355-C355)*1440,"")</f>
        <v/>
      </c>
    </row>
    <row r="356">
      <c r="E356" s="10" t="n"/>
      <c r="G356" s="11">
        <f>IFERROR((D356-C356)*1440,"")</f>
        <v/>
      </c>
    </row>
    <row r="357">
      <c r="E357" s="10" t="n"/>
      <c r="G357" s="11">
        <f>IFERROR((D357-C357)*1440,"")</f>
        <v/>
      </c>
    </row>
    <row r="358">
      <c r="E358" s="10" t="n"/>
      <c r="G358" s="11">
        <f>IFERROR((D358-C358)*1440,"")</f>
        <v/>
      </c>
    </row>
    <row r="359">
      <c r="E359" s="10" t="n"/>
      <c r="G359" s="11">
        <f>IFERROR((D359-C359)*1440,"")</f>
        <v/>
      </c>
    </row>
    <row r="360">
      <c r="E360" s="10" t="n"/>
      <c r="G360" s="11">
        <f>IFERROR((D360-C360)*1440,"")</f>
        <v/>
      </c>
    </row>
    <row r="361">
      <c r="E361" s="10" t="n"/>
      <c r="G361" s="11">
        <f>IFERROR((D361-C361)*1440,"")</f>
        <v/>
      </c>
    </row>
    <row r="362">
      <c r="E362" s="10" t="n"/>
      <c r="G362" s="11">
        <f>IFERROR((D362-C362)*1440,"")</f>
        <v/>
      </c>
    </row>
    <row r="363">
      <c r="E363" s="10" t="n"/>
      <c r="G363" s="11">
        <f>IFERROR((D363-C363)*1440,"")</f>
        <v/>
      </c>
    </row>
    <row r="364">
      <c r="E364" s="10" t="n"/>
      <c r="G364" s="11">
        <f>IFERROR((D364-C364)*1440,"")</f>
        <v/>
      </c>
    </row>
    <row r="365">
      <c r="E365" s="10" t="n"/>
      <c r="G365" s="11">
        <f>IFERROR((D365-C365)*1440,"")</f>
        <v/>
      </c>
    </row>
    <row r="366">
      <c r="E366" s="10" t="n"/>
      <c r="G366" s="11">
        <f>IFERROR((D366-C366)*1440,"")</f>
        <v/>
      </c>
    </row>
    <row r="367">
      <c r="E367" s="10" t="n"/>
      <c r="G367" s="11">
        <f>IFERROR((D367-C367)*1440,"")</f>
        <v/>
      </c>
    </row>
    <row r="368">
      <c r="E368" s="10" t="n"/>
      <c r="G368" s="11">
        <f>IFERROR((D368-C368)*1440,"")</f>
        <v/>
      </c>
    </row>
    <row r="369">
      <c r="E369" s="10" t="n"/>
      <c r="G369" s="11">
        <f>IFERROR((D369-C369)*1440,"")</f>
        <v/>
      </c>
    </row>
    <row r="370">
      <c r="E370" s="10" t="n"/>
      <c r="G370" s="11">
        <f>IFERROR((D370-C370)*1440,"")</f>
        <v/>
      </c>
    </row>
    <row r="371">
      <c r="E371" s="10" t="n"/>
      <c r="G371" s="11">
        <f>IFERROR((D371-C371)*1440,"")</f>
        <v/>
      </c>
    </row>
    <row r="372">
      <c r="E372" s="10" t="n"/>
      <c r="G372" s="11">
        <f>IFERROR((D372-C372)*1440,"")</f>
        <v/>
      </c>
    </row>
    <row r="373">
      <c r="E373" s="10" t="n"/>
      <c r="G373" s="11">
        <f>IFERROR((D373-C373)*1440,"")</f>
        <v/>
      </c>
    </row>
    <row r="374">
      <c r="E374" s="10" t="n"/>
      <c r="G374" s="11">
        <f>IFERROR((D374-C374)*1440,"")</f>
        <v/>
      </c>
    </row>
    <row r="375">
      <c r="E375" s="10" t="n"/>
      <c r="G375" s="11">
        <f>IFERROR((D375-C375)*1440,"")</f>
        <v/>
      </c>
    </row>
    <row r="376">
      <c r="E376" s="10" t="n"/>
      <c r="G376" s="11">
        <f>IFERROR((D376-C376)*1440,"")</f>
        <v/>
      </c>
    </row>
    <row r="377">
      <c r="E377" s="10" t="n"/>
      <c r="G377" s="11">
        <f>IFERROR((D377-C377)*1440,"")</f>
        <v/>
      </c>
    </row>
    <row r="378">
      <c r="E378" s="10" t="n"/>
      <c r="G378" s="11">
        <f>IFERROR((D378-C378)*1440,"")</f>
        <v/>
      </c>
    </row>
    <row r="379">
      <c r="E379" s="10" t="n"/>
      <c r="G379" s="11">
        <f>IFERROR((D379-C379)*1440,"")</f>
        <v/>
      </c>
    </row>
    <row r="380">
      <c r="E380" s="10" t="n"/>
      <c r="G380" s="11">
        <f>IFERROR((D380-C380)*1440,"")</f>
        <v/>
      </c>
    </row>
    <row r="381">
      <c r="E381" s="10" t="n"/>
      <c r="G381" s="11">
        <f>IFERROR((D381-C381)*1440,"")</f>
        <v/>
      </c>
    </row>
    <row r="382">
      <c r="E382" s="10" t="n"/>
      <c r="G382" s="11">
        <f>IFERROR((D382-C382)*1440,"")</f>
        <v/>
      </c>
    </row>
    <row r="383">
      <c r="E383" s="10" t="n"/>
      <c r="G383" s="11">
        <f>IFERROR((D383-C383)*1440,"")</f>
        <v/>
      </c>
    </row>
    <row r="384">
      <c r="E384" s="10" t="n"/>
      <c r="G384" s="11">
        <f>IFERROR((D384-C384)*1440,"")</f>
        <v/>
      </c>
    </row>
    <row r="385">
      <c r="E385" s="10" t="n"/>
      <c r="G385" s="11">
        <f>IFERROR((D385-C385)*1440,"")</f>
        <v/>
      </c>
    </row>
    <row r="386">
      <c r="E386" s="10" t="n"/>
      <c r="G386" s="11">
        <f>IFERROR((D386-C386)*1440,"")</f>
        <v/>
      </c>
    </row>
    <row r="387">
      <c r="E387" s="10" t="n"/>
      <c r="G387" s="11">
        <f>IFERROR((D387-C387)*1440,"")</f>
        <v/>
      </c>
    </row>
    <row r="388">
      <c r="E388" s="10" t="n"/>
      <c r="G388" s="11">
        <f>IFERROR((D388-C388)*1440,"")</f>
        <v/>
      </c>
    </row>
    <row r="389">
      <c r="E389" s="10" t="n"/>
      <c r="G389" s="11">
        <f>IFERROR((D389-C389)*1440,"")</f>
        <v/>
      </c>
    </row>
    <row r="390">
      <c r="E390" s="10" t="n"/>
      <c r="G390" s="11">
        <f>IFERROR((D390-C390)*1440,"")</f>
        <v/>
      </c>
    </row>
    <row r="391">
      <c r="E391" s="10" t="n"/>
      <c r="G391" s="11">
        <f>IFERROR((D391-C391)*1440,"")</f>
        <v/>
      </c>
    </row>
    <row r="392">
      <c r="E392" s="10" t="n"/>
      <c r="G392" s="11">
        <f>IFERROR((D392-C392)*1440,"")</f>
        <v/>
      </c>
    </row>
    <row r="393">
      <c r="E393" s="10" t="n"/>
      <c r="G393" s="11">
        <f>IFERROR((D393-C393)*1440,"")</f>
        <v/>
      </c>
    </row>
    <row r="394">
      <c r="E394" s="10" t="n"/>
      <c r="G394" s="11">
        <f>IFERROR((D394-C394)*1440,"")</f>
        <v/>
      </c>
    </row>
    <row r="395">
      <c r="E395" s="10" t="n"/>
      <c r="G395" s="11">
        <f>IFERROR((D395-C395)*1440,"")</f>
        <v/>
      </c>
    </row>
    <row r="396">
      <c r="E396" s="10" t="n"/>
      <c r="G396" s="11">
        <f>IFERROR((D396-C396)*1440,"")</f>
        <v/>
      </c>
    </row>
    <row r="397">
      <c r="E397" s="10" t="n"/>
      <c r="G397" s="11">
        <f>IFERROR((D397-C397)*1440,"")</f>
        <v/>
      </c>
    </row>
    <row r="398">
      <c r="E398" s="10" t="n"/>
      <c r="G398" s="11">
        <f>IFERROR((D398-C398)*1440,"")</f>
        <v/>
      </c>
    </row>
    <row r="399">
      <c r="E399" s="10" t="n"/>
      <c r="G399" s="11">
        <f>IFERROR((D399-C399)*1440,"")</f>
        <v/>
      </c>
    </row>
    <row r="400">
      <c r="E400" s="10" t="n"/>
      <c r="G400" s="11">
        <f>IFERROR((D400-C400)*1440,"")</f>
        <v/>
      </c>
    </row>
    <row r="401">
      <c r="E401" s="10" t="n"/>
      <c r="G401" s="11">
        <f>IFERROR((D401-C401)*1440,"")</f>
        <v/>
      </c>
    </row>
    <row r="402">
      <c r="E402" s="10" t="n"/>
      <c r="G402" s="11">
        <f>IFERROR((D402-C402)*1440,"")</f>
        <v/>
      </c>
    </row>
    <row r="403">
      <c r="E403" s="10" t="n"/>
      <c r="G403" s="11">
        <f>IFERROR((D403-C403)*1440,"")</f>
        <v/>
      </c>
    </row>
    <row r="404">
      <c r="E404" s="10" t="n"/>
      <c r="G404" s="11">
        <f>IFERROR((D404-C404)*1440,"")</f>
        <v/>
      </c>
    </row>
    <row r="405">
      <c r="E405" s="10" t="n"/>
      <c r="G405" s="11">
        <f>IFERROR((D405-C405)*1440,"")</f>
        <v/>
      </c>
    </row>
    <row r="406">
      <c r="E406" s="10" t="n"/>
      <c r="G406" s="11">
        <f>IFERROR((D406-C406)*1440,"")</f>
        <v/>
      </c>
    </row>
    <row r="407">
      <c r="E407" s="10" t="n"/>
      <c r="G407" s="11">
        <f>IFERROR((D407-C407)*1440,"")</f>
        <v/>
      </c>
    </row>
    <row r="408">
      <c r="E408" s="10" t="n"/>
      <c r="G408" s="11">
        <f>IFERROR((D408-C408)*1440,"")</f>
        <v/>
      </c>
    </row>
    <row r="409">
      <c r="E409" s="10" t="n"/>
      <c r="G409" s="11">
        <f>IFERROR((D409-C409)*1440,"")</f>
        <v/>
      </c>
    </row>
    <row r="410">
      <c r="E410" s="10" t="n"/>
      <c r="G410" s="11">
        <f>IFERROR((D410-C410)*1440,"")</f>
        <v/>
      </c>
    </row>
    <row r="411">
      <c r="E411" s="10" t="n"/>
      <c r="G411" s="11">
        <f>IFERROR((D411-C411)*1440,"")</f>
        <v/>
      </c>
    </row>
    <row r="412">
      <c r="E412" s="10" t="n"/>
      <c r="G412" s="11">
        <f>IFERROR((D412-C412)*1440,"")</f>
        <v/>
      </c>
    </row>
    <row r="413">
      <c r="E413" s="10" t="n"/>
      <c r="G413" s="11">
        <f>IFERROR((D413-C413)*1440,"")</f>
        <v/>
      </c>
    </row>
    <row r="414">
      <c r="E414" s="10" t="n"/>
      <c r="G414" s="11">
        <f>IFERROR((D414-C414)*1440,"")</f>
        <v/>
      </c>
    </row>
    <row r="415">
      <c r="E415" s="10" t="n"/>
      <c r="G415" s="11">
        <f>IFERROR((D415-C415)*1440,"")</f>
        <v/>
      </c>
    </row>
    <row r="416">
      <c r="E416" s="10" t="n"/>
      <c r="G416" s="11">
        <f>IFERROR((D416-C416)*1440,"")</f>
        <v/>
      </c>
    </row>
    <row r="417">
      <c r="E417" s="10" t="n"/>
      <c r="G417" s="11">
        <f>IFERROR((D417-C417)*1440,"")</f>
        <v/>
      </c>
    </row>
    <row r="418">
      <c r="E418" s="10" t="n"/>
      <c r="G418" s="11">
        <f>IFERROR((D418-C418)*1440,"")</f>
        <v/>
      </c>
    </row>
    <row r="419">
      <c r="E419" s="10" t="n"/>
      <c r="G419" s="11">
        <f>IFERROR((D419-C419)*1440,"")</f>
        <v/>
      </c>
    </row>
    <row r="420">
      <c r="E420" s="10" t="n"/>
      <c r="G420" s="11">
        <f>IFERROR((D420-C420)*1440,"")</f>
        <v/>
      </c>
    </row>
    <row r="421">
      <c r="E421" s="10" t="n"/>
      <c r="G421" s="11">
        <f>IFERROR((D421-C421)*1440,"")</f>
        <v/>
      </c>
    </row>
    <row r="422">
      <c r="E422" s="10" t="n"/>
      <c r="G422" s="11">
        <f>IFERROR((D422-C422)*1440,"")</f>
        <v/>
      </c>
    </row>
    <row r="423">
      <c r="E423" s="10" t="n"/>
      <c r="G423" s="11">
        <f>IFERROR((D423-C423)*1440,"")</f>
        <v/>
      </c>
    </row>
    <row r="424">
      <c r="E424" s="10" t="n"/>
      <c r="G424" s="11">
        <f>IFERROR((D424-C424)*1440,"")</f>
        <v/>
      </c>
    </row>
    <row r="425">
      <c r="E425" s="10" t="n"/>
      <c r="G425" s="11">
        <f>IFERROR((D425-C425)*1440,"")</f>
        <v/>
      </c>
    </row>
    <row r="426">
      <c r="E426" s="10" t="n"/>
      <c r="G426" s="11">
        <f>IFERROR((D426-C426)*1440,"")</f>
        <v/>
      </c>
    </row>
    <row r="427">
      <c r="E427" s="10" t="n"/>
      <c r="G427" s="11">
        <f>IFERROR((D427-C427)*1440,"")</f>
        <v/>
      </c>
    </row>
    <row r="428">
      <c r="E428" s="10" t="n"/>
      <c r="G428" s="11">
        <f>IFERROR((D428-C428)*1440,"")</f>
        <v/>
      </c>
    </row>
    <row r="429">
      <c r="E429" s="10" t="n"/>
      <c r="G429" s="11">
        <f>IFERROR((D429-C429)*1440,"")</f>
        <v/>
      </c>
    </row>
    <row r="430">
      <c r="E430" s="10" t="n"/>
      <c r="G430" s="11">
        <f>IFERROR((D430-C430)*1440,"")</f>
        <v/>
      </c>
    </row>
    <row r="431">
      <c r="E431" s="10" t="n"/>
      <c r="G431" s="11">
        <f>IFERROR((D431-C431)*1440,"")</f>
        <v/>
      </c>
    </row>
    <row r="432">
      <c r="E432" s="10" t="n"/>
      <c r="G432" s="11">
        <f>IFERROR((D432-C432)*1440,"")</f>
        <v/>
      </c>
    </row>
    <row r="433">
      <c r="E433" s="10" t="n"/>
      <c r="G433" s="11">
        <f>IFERROR((D433-C433)*1440,"")</f>
        <v/>
      </c>
    </row>
    <row r="434">
      <c r="E434" s="10" t="n"/>
      <c r="G434" s="11">
        <f>IFERROR((D434-C434)*1440,"")</f>
        <v/>
      </c>
    </row>
    <row r="435">
      <c r="E435" s="10" t="n"/>
      <c r="G435" s="11">
        <f>IFERROR((D435-C435)*1440,"")</f>
        <v/>
      </c>
    </row>
    <row r="436">
      <c r="E436" s="10" t="n"/>
      <c r="G436" s="11">
        <f>IFERROR((D436-C436)*1440,"")</f>
        <v/>
      </c>
    </row>
    <row r="437">
      <c r="E437" s="10" t="n"/>
      <c r="G437" s="11">
        <f>IFERROR((D437-C437)*1440,"")</f>
        <v/>
      </c>
    </row>
    <row r="438">
      <c r="E438" s="10" t="n"/>
      <c r="G438" s="11">
        <f>IFERROR((D438-C438)*1440,"")</f>
        <v/>
      </c>
    </row>
    <row r="439">
      <c r="E439" s="10" t="n"/>
      <c r="G439" s="11">
        <f>IFERROR((D439-C439)*1440,"")</f>
        <v/>
      </c>
    </row>
    <row r="440">
      <c r="E440" s="10" t="n"/>
      <c r="G440" s="11">
        <f>IFERROR((D440-C440)*1440,"")</f>
        <v/>
      </c>
    </row>
    <row r="441">
      <c r="E441" s="10" t="n"/>
      <c r="G441" s="11">
        <f>IFERROR((D441-C441)*1440,"")</f>
        <v/>
      </c>
    </row>
    <row r="442">
      <c r="E442" s="10" t="n"/>
      <c r="G442" s="11">
        <f>IFERROR((D442-C442)*1440,"")</f>
        <v/>
      </c>
    </row>
    <row r="443">
      <c r="E443" s="10" t="n"/>
      <c r="G443" s="11">
        <f>IFERROR((D443-C443)*1440,"")</f>
        <v/>
      </c>
    </row>
    <row r="444">
      <c r="E444" s="10" t="n"/>
      <c r="G444" s="11">
        <f>IFERROR((D444-C444)*1440,"")</f>
        <v/>
      </c>
    </row>
    <row r="445">
      <c r="E445" s="10" t="n"/>
      <c r="G445" s="11">
        <f>IFERROR((D445-C445)*1440,"")</f>
        <v/>
      </c>
    </row>
    <row r="446">
      <c r="E446" s="10" t="n"/>
      <c r="G446" s="11">
        <f>IFERROR((D446-C446)*1440,"")</f>
        <v/>
      </c>
    </row>
    <row r="447">
      <c r="E447" s="10" t="n"/>
      <c r="G447" s="11">
        <f>IFERROR((D447-C447)*1440,"")</f>
        <v/>
      </c>
    </row>
    <row r="448">
      <c r="E448" s="10" t="n"/>
      <c r="G448" s="11">
        <f>IFERROR((D448-C448)*1440,"")</f>
        <v/>
      </c>
    </row>
    <row r="449">
      <c r="E449" s="10" t="n"/>
      <c r="G449" s="11">
        <f>IFERROR((D449-C449)*1440,"")</f>
        <v/>
      </c>
    </row>
    <row r="450">
      <c r="E450" s="10" t="n"/>
      <c r="G450" s="11">
        <f>IFERROR((D450-C450)*1440,"")</f>
        <v/>
      </c>
    </row>
    <row r="451">
      <c r="E451" s="10" t="n"/>
      <c r="G451" s="11">
        <f>IFERROR((D451-C451)*1440,"")</f>
        <v/>
      </c>
    </row>
    <row r="452">
      <c r="E452" s="10" t="n"/>
      <c r="G452" s="11">
        <f>IFERROR((D452-C452)*1440,"")</f>
        <v/>
      </c>
    </row>
    <row r="453">
      <c r="E453" s="10" t="n"/>
      <c r="G453" s="11">
        <f>IFERROR((D453-C453)*1440,"")</f>
        <v/>
      </c>
    </row>
    <row r="454">
      <c r="E454" s="10" t="n"/>
      <c r="G454" s="11">
        <f>IFERROR((D454-C454)*1440,"")</f>
        <v/>
      </c>
    </row>
    <row r="455">
      <c r="E455" s="10" t="n"/>
      <c r="G455" s="11">
        <f>IFERROR((D455-C455)*1440,"")</f>
        <v/>
      </c>
    </row>
    <row r="456">
      <c r="E456" s="10" t="n"/>
      <c r="G456" s="11">
        <f>IFERROR((D456-C456)*1440,"")</f>
        <v/>
      </c>
    </row>
    <row r="457">
      <c r="E457" s="10" t="n"/>
      <c r="G457" s="11">
        <f>IFERROR((D457-C457)*1440,"")</f>
        <v/>
      </c>
    </row>
    <row r="458">
      <c r="E458" s="10" t="n"/>
      <c r="G458" s="11">
        <f>IFERROR((D458-C458)*1440,"")</f>
        <v/>
      </c>
    </row>
    <row r="459">
      <c r="E459" s="10" t="n"/>
      <c r="G459" s="11">
        <f>IFERROR((D459-C459)*1440,"")</f>
        <v/>
      </c>
    </row>
    <row r="460">
      <c r="E460" s="10" t="n"/>
      <c r="G460" s="11">
        <f>IFERROR((D460-C460)*1440,"")</f>
        <v/>
      </c>
    </row>
    <row r="461">
      <c r="E461" s="10" t="n"/>
      <c r="G461" s="11">
        <f>IFERROR((D461-C461)*1440,"")</f>
        <v/>
      </c>
    </row>
    <row r="462">
      <c r="E462" s="10" t="n"/>
      <c r="G462" s="11">
        <f>IFERROR((D462-C462)*1440,"")</f>
        <v/>
      </c>
    </row>
    <row r="463">
      <c r="E463" s="10" t="n"/>
      <c r="G463" s="11">
        <f>IFERROR((D463-C463)*1440,"")</f>
        <v/>
      </c>
    </row>
    <row r="464">
      <c r="E464" s="10" t="n"/>
      <c r="G464" s="11">
        <f>IFERROR((D464-C464)*1440,"")</f>
        <v/>
      </c>
    </row>
    <row r="465">
      <c r="E465" s="10" t="n"/>
      <c r="G465" s="11">
        <f>IFERROR((D465-C465)*1440,"")</f>
        <v/>
      </c>
    </row>
    <row r="466">
      <c r="E466" s="10" t="n"/>
      <c r="G466" s="11">
        <f>IFERROR((D466-C466)*1440,"")</f>
        <v/>
      </c>
    </row>
    <row r="467">
      <c r="E467" s="10" t="n"/>
      <c r="G467" s="11">
        <f>IFERROR((D467-C467)*1440,"")</f>
        <v/>
      </c>
    </row>
    <row r="468">
      <c r="E468" s="10" t="n"/>
      <c r="G468" s="11">
        <f>IFERROR((D468-C468)*1440,"")</f>
        <v/>
      </c>
    </row>
    <row r="469">
      <c r="E469" s="10" t="n"/>
      <c r="G469" s="11">
        <f>IFERROR((D469-C469)*1440,"")</f>
        <v/>
      </c>
    </row>
    <row r="470">
      <c r="E470" s="10" t="n"/>
      <c r="G470" s="11">
        <f>IFERROR((D470-C470)*1440,"")</f>
        <v/>
      </c>
    </row>
    <row r="471">
      <c r="E471" s="10" t="n"/>
      <c r="G471" s="11">
        <f>IFERROR((D471-C471)*1440,"")</f>
        <v/>
      </c>
    </row>
    <row r="472">
      <c r="E472" s="10" t="n"/>
      <c r="G472" s="11">
        <f>IFERROR((D472-C472)*1440,"")</f>
        <v/>
      </c>
    </row>
    <row r="473">
      <c r="E473" s="10" t="n"/>
      <c r="G473" s="11">
        <f>IFERROR((D473-C473)*1440,"")</f>
        <v/>
      </c>
    </row>
    <row r="474">
      <c r="E474" s="10" t="n"/>
      <c r="G474" s="11">
        <f>IFERROR((D474-C474)*1440,"")</f>
        <v/>
      </c>
    </row>
    <row r="475">
      <c r="E475" s="10" t="n"/>
      <c r="G475" s="11">
        <f>IFERROR((D475-C475)*1440,"")</f>
        <v/>
      </c>
    </row>
    <row r="476">
      <c r="E476" s="10" t="n"/>
      <c r="G476" s="11">
        <f>IFERROR((D476-C476)*1440,"")</f>
        <v/>
      </c>
    </row>
    <row r="477">
      <c r="E477" s="10" t="n"/>
      <c r="G477" s="11">
        <f>IFERROR((D477-C477)*1440,"")</f>
        <v/>
      </c>
    </row>
    <row r="478">
      <c r="E478" s="10" t="n"/>
      <c r="G478" s="11">
        <f>IFERROR((D478-C478)*1440,"")</f>
        <v/>
      </c>
    </row>
    <row r="479">
      <c r="E479" s="10" t="n"/>
      <c r="G479" s="11">
        <f>IFERROR((D479-C479)*1440,"")</f>
        <v/>
      </c>
    </row>
    <row r="480">
      <c r="E480" s="10" t="n"/>
      <c r="G480" s="11">
        <f>IFERROR((D480-C480)*1440,"")</f>
        <v/>
      </c>
    </row>
    <row r="481">
      <c r="E481" s="10" t="n"/>
      <c r="G481" s="11">
        <f>IFERROR((D481-C481)*1440,"")</f>
        <v/>
      </c>
    </row>
    <row r="482">
      <c r="E482" s="10" t="n"/>
      <c r="G482" s="11">
        <f>IFERROR((D482-C482)*1440,"")</f>
        <v/>
      </c>
    </row>
    <row r="483">
      <c r="E483" s="10" t="n"/>
      <c r="G483" s="11">
        <f>IFERROR((D483-C483)*1440,"")</f>
        <v/>
      </c>
    </row>
    <row r="484">
      <c r="E484" s="10" t="n"/>
      <c r="G484" s="11">
        <f>IFERROR((D484-C484)*1440,"")</f>
        <v/>
      </c>
    </row>
    <row r="485">
      <c r="E485" s="10" t="n"/>
      <c r="G485" s="11">
        <f>IFERROR((D485-C485)*1440,"")</f>
        <v/>
      </c>
    </row>
    <row r="486">
      <c r="E486" s="10" t="n"/>
      <c r="G486" s="11">
        <f>IFERROR((D486-C486)*1440,"")</f>
        <v/>
      </c>
    </row>
    <row r="487">
      <c r="E487" s="10" t="n"/>
      <c r="G487" s="11">
        <f>IFERROR((D487-C487)*1440,"")</f>
        <v/>
      </c>
    </row>
    <row r="488">
      <c r="E488" s="10" t="n"/>
      <c r="G488" s="11">
        <f>IFERROR((D488-C488)*1440,"")</f>
        <v/>
      </c>
    </row>
    <row r="489">
      <c r="E489" s="10" t="n"/>
      <c r="G489" s="11">
        <f>IFERROR((D489-C489)*1440,"")</f>
        <v/>
      </c>
    </row>
    <row r="490">
      <c r="E490" s="10" t="n"/>
      <c r="G490" s="11">
        <f>IFERROR((D490-C490)*1440,"")</f>
        <v/>
      </c>
    </row>
    <row r="491">
      <c r="E491" s="10" t="n"/>
      <c r="G491" s="11">
        <f>IFERROR((D491-C491)*1440,"")</f>
        <v/>
      </c>
    </row>
    <row r="492">
      <c r="E492" s="10" t="n"/>
      <c r="G492" s="11">
        <f>IFERROR((D492-C492)*1440,"")</f>
        <v/>
      </c>
    </row>
    <row r="493">
      <c r="E493" s="10" t="n"/>
      <c r="G493" s="11">
        <f>IFERROR((D493-C493)*1440,"")</f>
        <v/>
      </c>
    </row>
    <row r="494">
      <c r="E494" s="10" t="n"/>
      <c r="G494" s="11">
        <f>IFERROR((D494-C494)*1440,"")</f>
        <v/>
      </c>
    </row>
    <row r="495">
      <c r="E495" s="10" t="n"/>
      <c r="G495" s="11">
        <f>IFERROR((D495-C495)*1440,"")</f>
        <v/>
      </c>
    </row>
    <row r="496">
      <c r="E496" s="10" t="n"/>
      <c r="G496" s="11">
        <f>IFERROR((D496-C496)*1440,"")</f>
        <v/>
      </c>
    </row>
    <row r="497">
      <c r="E497" s="10" t="n"/>
      <c r="G497" s="11">
        <f>IFERROR((D497-C497)*1440,"")</f>
        <v/>
      </c>
    </row>
    <row r="498">
      <c r="E498" s="10" t="n"/>
      <c r="G498" s="11">
        <f>IFERROR((D498-C498)*1440,"")</f>
        <v/>
      </c>
    </row>
    <row r="499">
      <c r="E499" s="10" t="n"/>
      <c r="G499" s="11">
        <f>IFERROR((D499-C499)*1440,"")</f>
        <v/>
      </c>
    </row>
    <row r="500">
      <c r="E500" s="10" t="n"/>
      <c r="G500" s="11">
        <f>IFERROR((D500-C500)*1440,"")</f>
        <v/>
      </c>
    </row>
  </sheetData>
  <dataValidations count="2">
    <dataValidation sqref="E2:E500" showDropDown="0" showInputMessage="0" showErrorMessage="0" allowBlank="1" type="list">
      <formula1>"breakdown,changeover,no_material,power,planned_maintenance,other"</formula1>
    </dataValidation>
    <dataValidation sqref="A2:A500" showDropDown="0" showInputMessage="0" showErrorMessage="0" allowBlank="1" type="list">
      <formula1>=Machines!$A$2:$A$500</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7" t="inlineStr">
        <is>
          <t>OrderNo</t>
        </is>
      </c>
      <c r="B1" s="7" t="inlineStr">
        <is>
          <t>ProductSKU</t>
        </is>
      </c>
      <c r="C1" s="7" t="inlineStr">
        <is>
          <t>MachineCode</t>
        </is>
      </c>
      <c r="D1" s="7" t="inlineStr">
        <is>
          <t>PlannedQty</t>
        </is>
      </c>
      <c r="E1" s="7" t="inlineStr">
        <is>
          <t>ProducedQty</t>
        </is>
      </c>
      <c r="F1" s="7" t="inlineStr">
        <is>
          <t>RejectedQty</t>
        </is>
      </c>
      <c r="G1" s="7" t="inlineStr">
        <is>
          <t>PlannedStart</t>
        </is>
      </c>
      <c r="H1" s="7" t="inlineStr">
        <is>
          <t>PlannedEnd</t>
        </is>
      </c>
      <c r="I1" s="7" t="inlineStr">
        <is>
          <t>ActualStart</t>
        </is>
      </c>
      <c r="J1" s="7" t="inlineStr">
        <is>
          <t>ActualEnd</t>
        </is>
      </c>
      <c r="K1" s="7" t="inlineStr">
        <is>
          <t>Status</t>
        </is>
      </c>
      <c r="L1" s="7" t="inlineStr">
        <is>
          <t>GoodQty</t>
        </is>
      </c>
      <c r="M1" s="7" t="inlineStr">
        <is>
          <t>PlannedMinutes</t>
        </is>
      </c>
      <c r="N1" s="7" t="inlineStr">
        <is>
          <t>OnTime</t>
        </is>
      </c>
    </row>
    <row r="2">
      <c r="A2" s="8" t="inlineStr">
        <is>
          <t>WO-2026-0001</t>
        </is>
      </c>
      <c r="B2" s="8" t="inlineStr">
        <is>
          <t>FG-BRACKET-A</t>
        </is>
      </c>
      <c r="C2" s="8" t="inlineStr">
        <is>
          <t>PRESS-01</t>
        </is>
      </c>
      <c r="D2" s="8" t="n">
        <v>500</v>
      </c>
      <c r="E2" s="8" t="n">
        <v>470</v>
      </c>
      <c r="F2" s="8" t="n">
        <v>12</v>
      </c>
      <c r="G2" s="13" t="n">
        <v>46266.33333333334</v>
      </c>
      <c r="H2" s="13" t="n">
        <v>46266.5</v>
      </c>
      <c r="I2" s="13" t="n">
        <v>46266.33333333334</v>
      </c>
      <c r="J2" s="13" t="n">
        <v>46266.5</v>
      </c>
      <c r="K2" s="9" t="inlineStr">
        <is>
          <t>completed</t>
        </is>
      </c>
      <c r="L2" s="11">
        <f>IFERROR(E2-F2,"")</f>
        <v/>
      </c>
      <c r="M2" s="11">
        <f>IFERROR((J2-I2)*1440,"")</f>
        <v/>
      </c>
      <c r="N2" s="11">
        <f>IF(K2="completed",IF(AND(J2&lt;&gt;"",H2&lt;&gt;""),IF(J2&lt;=H2,1,0),""),"")</f>
        <v/>
      </c>
    </row>
    <row r="3">
      <c r="K3" s="10" t="n"/>
      <c r="L3" s="11">
        <f>IFERROR(E3-F3,"")</f>
        <v/>
      </c>
      <c r="M3" s="11">
        <f>IFERROR((J3-I3)*1440,"")</f>
        <v/>
      </c>
      <c r="N3" s="11">
        <f>IF(K3="completed",IF(AND(J3&lt;&gt;"",H3&lt;&gt;""),IF(J3&lt;=H3,1,0),""),"")</f>
        <v/>
      </c>
    </row>
    <row r="4">
      <c r="K4" s="10" t="n"/>
      <c r="L4" s="11">
        <f>IFERROR(E4-F4,"")</f>
        <v/>
      </c>
      <c r="M4" s="11">
        <f>IFERROR((J4-I4)*1440,"")</f>
        <v/>
      </c>
      <c r="N4" s="11">
        <f>IF(K4="completed",IF(AND(J4&lt;&gt;"",H4&lt;&gt;""),IF(J4&lt;=H4,1,0),""),"")</f>
        <v/>
      </c>
    </row>
    <row r="5">
      <c r="K5" s="10" t="n"/>
      <c r="L5" s="11">
        <f>IFERROR(E5-F5,"")</f>
        <v/>
      </c>
      <c r="M5" s="11">
        <f>IFERROR((J5-I5)*1440,"")</f>
        <v/>
      </c>
      <c r="N5" s="11">
        <f>IF(K5="completed",IF(AND(J5&lt;&gt;"",H5&lt;&gt;""),IF(J5&lt;=H5,1,0),""),"")</f>
        <v/>
      </c>
    </row>
    <row r="6">
      <c r="K6" s="10" t="n"/>
      <c r="L6" s="11">
        <f>IFERROR(E6-F6,"")</f>
        <v/>
      </c>
      <c r="M6" s="11">
        <f>IFERROR((J6-I6)*1440,"")</f>
        <v/>
      </c>
      <c r="N6" s="11">
        <f>IF(K6="completed",IF(AND(J6&lt;&gt;"",H6&lt;&gt;""),IF(J6&lt;=H6,1,0),""),"")</f>
        <v/>
      </c>
    </row>
    <row r="7">
      <c r="K7" s="10" t="n"/>
      <c r="L7" s="11">
        <f>IFERROR(E7-F7,"")</f>
        <v/>
      </c>
      <c r="M7" s="11">
        <f>IFERROR((J7-I7)*1440,"")</f>
        <v/>
      </c>
      <c r="N7" s="11">
        <f>IF(K7="completed",IF(AND(J7&lt;&gt;"",H7&lt;&gt;""),IF(J7&lt;=H7,1,0),""),"")</f>
        <v/>
      </c>
    </row>
    <row r="8">
      <c r="K8" s="10" t="n"/>
      <c r="L8" s="11">
        <f>IFERROR(E8-F8,"")</f>
        <v/>
      </c>
      <c r="M8" s="11">
        <f>IFERROR((J8-I8)*1440,"")</f>
        <v/>
      </c>
      <c r="N8" s="11">
        <f>IF(K8="completed",IF(AND(J8&lt;&gt;"",H8&lt;&gt;""),IF(J8&lt;=H8,1,0),""),"")</f>
        <v/>
      </c>
    </row>
    <row r="9">
      <c r="K9" s="10" t="n"/>
      <c r="L9" s="11">
        <f>IFERROR(E9-F9,"")</f>
        <v/>
      </c>
      <c r="M9" s="11">
        <f>IFERROR((J9-I9)*1440,"")</f>
        <v/>
      </c>
      <c r="N9" s="11">
        <f>IF(K9="completed",IF(AND(J9&lt;&gt;"",H9&lt;&gt;""),IF(J9&lt;=H9,1,0),""),"")</f>
        <v/>
      </c>
    </row>
    <row r="10">
      <c r="K10" s="10" t="n"/>
      <c r="L10" s="11">
        <f>IFERROR(E10-F10,"")</f>
        <v/>
      </c>
      <c r="M10" s="11">
        <f>IFERROR((J10-I10)*1440,"")</f>
        <v/>
      </c>
      <c r="N10" s="11">
        <f>IF(K10="completed",IF(AND(J10&lt;&gt;"",H10&lt;&gt;""),IF(J10&lt;=H10,1,0),""),"")</f>
        <v/>
      </c>
    </row>
    <row r="11">
      <c r="K11" s="10" t="n"/>
      <c r="L11" s="11">
        <f>IFERROR(E11-F11,"")</f>
        <v/>
      </c>
      <c r="M11" s="11">
        <f>IFERROR((J11-I11)*1440,"")</f>
        <v/>
      </c>
      <c r="N11" s="11">
        <f>IF(K11="completed",IF(AND(J11&lt;&gt;"",H11&lt;&gt;""),IF(J11&lt;=H11,1,0),""),"")</f>
        <v/>
      </c>
    </row>
    <row r="12">
      <c r="K12" s="10" t="n"/>
      <c r="L12" s="11">
        <f>IFERROR(E12-F12,"")</f>
        <v/>
      </c>
      <c r="M12" s="11">
        <f>IFERROR((J12-I12)*1440,"")</f>
        <v/>
      </c>
      <c r="N12" s="11">
        <f>IF(K12="completed",IF(AND(J12&lt;&gt;"",H12&lt;&gt;""),IF(J12&lt;=H12,1,0),""),"")</f>
        <v/>
      </c>
    </row>
    <row r="13">
      <c r="K13" s="10" t="n"/>
      <c r="L13" s="11">
        <f>IFERROR(E13-F13,"")</f>
        <v/>
      </c>
      <c r="M13" s="11">
        <f>IFERROR((J13-I13)*1440,"")</f>
        <v/>
      </c>
      <c r="N13" s="11">
        <f>IF(K13="completed",IF(AND(J13&lt;&gt;"",H13&lt;&gt;""),IF(J13&lt;=H13,1,0),""),"")</f>
        <v/>
      </c>
    </row>
    <row r="14">
      <c r="K14" s="10" t="n"/>
      <c r="L14" s="11">
        <f>IFERROR(E14-F14,"")</f>
        <v/>
      </c>
      <c r="M14" s="11">
        <f>IFERROR((J14-I14)*1440,"")</f>
        <v/>
      </c>
      <c r="N14" s="11">
        <f>IF(K14="completed",IF(AND(J14&lt;&gt;"",H14&lt;&gt;""),IF(J14&lt;=H14,1,0),""),"")</f>
        <v/>
      </c>
    </row>
    <row r="15">
      <c r="K15" s="10" t="n"/>
      <c r="L15" s="11">
        <f>IFERROR(E15-F15,"")</f>
        <v/>
      </c>
      <c r="M15" s="11">
        <f>IFERROR((J15-I15)*1440,"")</f>
        <v/>
      </c>
      <c r="N15" s="11">
        <f>IF(K15="completed",IF(AND(J15&lt;&gt;"",H15&lt;&gt;""),IF(J15&lt;=H15,1,0),""),"")</f>
        <v/>
      </c>
    </row>
    <row r="16">
      <c r="K16" s="10" t="n"/>
      <c r="L16" s="11">
        <f>IFERROR(E16-F16,"")</f>
        <v/>
      </c>
      <c r="M16" s="11">
        <f>IFERROR((J16-I16)*1440,"")</f>
        <v/>
      </c>
      <c r="N16" s="11">
        <f>IF(K16="completed",IF(AND(J16&lt;&gt;"",H16&lt;&gt;""),IF(J16&lt;=H16,1,0),""),"")</f>
        <v/>
      </c>
    </row>
    <row r="17">
      <c r="K17" s="10" t="n"/>
      <c r="L17" s="11">
        <f>IFERROR(E17-F17,"")</f>
        <v/>
      </c>
      <c r="M17" s="11">
        <f>IFERROR((J17-I17)*1440,"")</f>
        <v/>
      </c>
      <c r="N17" s="11">
        <f>IF(K17="completed",IF(AND(J17&lt;&gt;"",H17&lt;&gt;""),IF(J17&lt;=H17,1,0),""),"")</f>
        <v/>
      </c>
    </row>
    <row r="18">
      <c r="K18" s="10" t="n"/>
      <c r="L18" s="11">
        <f>IFERROR(E18-F18,"")</f>
        <v/>
      </c>
      <c r="M18" s="11">
        <f>IFERROR((J18-I18)*1440,"")</f>
        <v/>
      </c>
      <c r="N18" s="11">
        <f>IF(K18="completed",IF(AND(J18&lt;&gt;"",H18&lt;&gt;""),IF(J18&lt;=H18,1,0),""),"")</f>
        <v/>
      </c>
    </row>
    <row r="19">
      <c r="K19" s="10" t="n"/>
      <c r="L19" s="11">
        <f>IFERROR(E19-F19,"")</f>
        <v/>
      </c>
      <c r="M19" s="11">
        <f>IFERROR((J19-I19)*1440,"")</f>
        <v/>
      </c>
      <c r="N19" s="11">
        <f>IF(K19="completed",IF(AND(J19&lt;&gt;"",H19&lt;&gt;""),IF(J19&lt;=H19,1,0),""),"")</f>
        <v/>
      </c>
    </row>
    <row r="20">
      <c r="K20" s="10" t="n"/>
      <c r="L20" s="11">
        <f>IFERROR(E20-F20,"")</f>
        <v/>
      </c>
      <c r="M20" s="11">
        <f>IFERROR((J20-I20)*1440,"")</f>
        <v/>
      </c>
      <c r="N20" s="11">
        <f>IF(K20="completed",IF(AND(J20&lt;&gt;"",H20&lt;&gt;""),IF(J20&lt;=H20,1,0),""),"")</f>
        <v/>
      </c>
    </row>
    <row r="21">
      <c r="K21" s="10" t="n"/>
      <c r="L21" s="11">
        <f>IFERROR(E21-F21,"")</f>
        <v/>
      </c>
      <c r="M21" s="11">
        <f>IFERROR((J21-I21)*1440,"")</f>
        <v/>
      </c>
      <c r="N21" s="11">
        <f>IF(K21="completed",IF(AND(J21&lt;&gt;"",H21&lt;&gt;""),IF(J21&lt;=H21,1,0),""),"")</f>
        <v/>
      </c>
    </row>
    <row r="22">
      <c r="K22" s="10" t="n"/>
      <c r="L22" s="11">
        <f>IFERROR(E22-F22,"")</f>
        <v/>
      </c>
      <c r="M22" s="11">
        <f>IFERROR((J22-I22)*1440,"")</f>
        <v/>
      </c>
      <c r="N22" s="11">
        <f>IF(K22="completed",IF(AND(J22&lt;&gt;"",H22&lt;&gt;""),IF(J22&lt;=H22,1,0),""),"")</f>
        <v/>
      </c>
    </row>
    <row r="23">
      <c r="K23" s="10" t="n"/>
      <c r="L23" s="11">
        <f>IFERROR(E23-F23,"")</f>
        <v/>
      </c>
      <c r="M23" s="11">
        <f>IFERROR((J23-I23)*1440,"")</f>
        <v/>
      </c>
      <c r="N23" s="11">
        <f>IF(K23="completed",IF(AND(J23&lt;&gt;"",H23&lt;&gt;""),IF(J23&lt;=H23,1,0),""),"")</f>
        <v/>
      </c>
    </row>
    <row r="24">
      <c r="K24" s="10" t="n"/>
      <c r="L24" s="11">
        <f>IFERROR(E24-F24,"")</f>
        <v/>
      </c>
      <c r="M24" s="11">
        <f>IFERROR((J24-I24)*1440,"")</f>
        <v/>
      </c>
      <c r="N24" s="11">
        <f>IF(K24="completed",IF(AND(J24&lt;&gt;"",H24&lt;&gt;""),IF(J24&lt;=H24,1,0),""),"")</f>
        <v/>
      </c>
    </row>
    <row r="25">
      <c r="K25" s="10" t="n"/>
      <c r="L25" s="11">
        <f>IFERROR(E25-F25,"")</f>
        <v/>
      </c>
      <c r="M25" s="11">
        <f>IFERROR((J25-I25)*1440,"")</f>
        <v/>
      </c>
      <c r="N25" s="11">
        <f>IF(K25="completed",IF(AND(J25&lt;&gt;"",H25&lt;&gt;""),IF(J25&lt;=H25,1,0),""),"")</f>
        <v/>
      </c>
    </row>
    <row r="26">
      <c r="K26" s="10" t="n"/>
      <c r="L26" s="11">
        <f>IFERROR(E26-F26,"")</f>
        <v/>
      </c>
      <c r="M26" s="11">
        <f>IFERROR((J26-I26)*1440,"")</f>
        <v/>
      </c>
      <c r="N26" s="11">
        <f>IF(K26="completed",IF(AND(J26&lt;&gt;"",H26&lt;&gt;""),IF(J26&lt;=H26,1,0),""),"")</f>
        <v/>
      </c>
    </row>
    <row r="27">
      <c r="K27" s="10" t="n"/>
      <c r="L27" s="11">
        <f>IFERROR(E27-F27,"")</f>
        <v/>
      </c>
      <c r="M27" s="11">
        <f>IFERROR((J27-I27)*1440,"")</f>
        <v/>
      </c>
      <c r="N27" s="11">
        <f>IF(K27="completed",IF(AND(J27&lt;&gt;"",H27&lt;&gt;""),IF(J27&lt;=H27,1,0),""),"")</f>
        <v/>
      </c>
    </row>
    <row r="28">
      <c r="K28" s="10" t="n"/>
      <c r="L28" s="11">
        <f>IFERROR(E28-F28,"")</f>
        <v/>
      </c>
      <c r="M28" s="11">
        <f>IFERROR((J28-I28)*1440,"")</f>
        <v/>
      </c>
      <c r="N28" s="11">
        <f>IF(K28="completed",IF(AND(J28&lt;&gt;"",H28&lt;&gt;""),IF(J28&lt;=H28,1,0),""),"")</f>
        <v/>
      </c>
    </row>
    <row r="29">
      <c r="K29" s="10" t="n"/>
      <c r="L29" s="11">
        <f>IFERROR(E29-F29,"")</f>
        <v/>
      </c>
      <c r="M29" s="11">
        <f>IFERROR((J29-I29)*1440,"")</f>
        <v/>
      </c>
      <c r="N29" s="11">
        <f>IF(K29="completed",IF(AND(J29&lt;&gt;"",H29&lt;&gt;""),IF(J29&lt;=H29,1,0),""),"")</f>
        <v/>
      </c>
    </row>
    <row r="30">
      <c r="K30" s="10" t="n"/>
      <c r="L30" s="11">
        <f>IFERROR(E30-F30,"")</f>
        <v/>
      </c>
      <c r="M30" s="11">
        <f>IFERROR((J30-I30)*1440,"")</f>
        <v/>
      </c>
      <c r="N30" s="11">
        <f>IF(K30="completed",IF(AND(J30&lt;&gt;"",H30&lt;&gt;""),IF(J30&lt;=H30,1,0),""),"")</f>
        <v/>
      </c>
    </row>
    <row r="31">
      <c r="K31" s="10" t="n"/>
      <c r="L31" s="11">
        <f>IFERROR(E31-F31,"")</f>
        <v/>
      </c>
      <c r="M31" s="11">
        <f>IFERROR((J31-I31)*1440,"")</f>
        <v/>
      </c>
      <c r="N31" s="11">
        <f>IF(K31="completed",IF(AND(J31&lt;&gt;"",H31&lt;&gt;""),IF(J31&lt;=H31,1,0),""),"")</f>
        <v/>
      </c>
    </row>
    <row r="32">
      <c r="K32" s="10" t="n"/>
      <c r="L32" s="11">
        <f>IFERROR(E32-F32,"")</f>
        <v/>
      </c>
      <c r="M32" s="11">
        <f>IFERROR((J32-I32)*1440,"")</f>
        <v/>
      </c>
      <c r="N32" s="11">
        <f>IF(K32="completed",IF(AND(J32&lt;&gt;"",H32&lt;&gt;""),IF(J32&lt;=H32,1,0),""),"")</f>
        <v/>
      </c>
    </row>
    <row r="33">
      <c r="K33" s="10" t="n"/>
      <c r="L33" s="11">
        <f>IFERROR(E33-F33,"")</f>
        <v/>
      </c>
      <c r="M33" s="11">
        <f>IFERROR((J33-I33)*1440,"")</f>
        <v/>
      </c>
      <c r="N33" s="11">
        <f>IF(K33="completed",IF(AND(J33&lt;&gt;"",H33&lt;&gt;""),IF(J33&lt;=H33,1,0),""),"")</f>
        <v/>
      </c>
    </row>
    <row r="34">
      <c r="K34" s="10" t="n"/>
      <c r="L34" s="11">
        <f>IFERROR(E34-F34,"")</f>
        <v/>
      </c>
      <c r="M34" s="11">
        <f>IFERROR((J34-I34)*1440,"")</f>
        <v/>
      </c>
      <c r="N34" s="11">
        <f>IF(K34="completed",IF(AND(J34&lt;&gt;"",H34&lt;&gt;""),IF(J34&lt;=H34,1,0),""),"")</f>
        <v/>
      </c>
    </row>
    <row r="35">
      <c r="K35" s="10" t="n"/>
      <c r="L35" s="11">
        <f>IFERROR(E35-F35,"")</f>
        <v/>
      </c>
      <c r="M35" s="11">
        <f>IFERROR((J35-I35)*1440,"")</f>
        <v/>
      </c>
      <c r="N35" s="11">
        <f>IF(K35="completed",IF(AND(J35&lt;&gt;"",H35&lt;&gt;""),IF(J35&lt;=H35,1,0),""),"")</f>
        <v/>
      </c>
    </row>
    <row r="36">
      <c r="K36" s="10" t="n"/>
      <c r="L36" s="11">
        <f>IFERROR(E36-F36,"")</f>
        <v/>
      </c>
      <c r="M36" s="11">
        <f>IFERROR((J36-I36)*1440,"")</f>
        <v/>
      </c>
      <c r="N36" s="11">
        <f>IF(K36="completed",IF(AND(J36&lt;&gt;"",H36&lt;&gt;""),IF(J36&lt;=H36,1,0),""),"")</f>
        <v/>
      </c>
    </row>
    <row r="37">
      <c r="K37" s="10" t="n"/>
      <c r="L37" s="11">
        <f>IFERROR(E37-F37,"")</f>
        <v/>
      </c>
      <c r="M37" s="11">
        <f>IFERROR((J37-I37)*1440,"")</f>
        <v/>
      </c>
      <c r="N37" s="11">
        <f>IF(K37="completed",IF(AND(J37&lt;&gt;"",H37&lt;&gt;""),IF(J37&lt;=H37,1,0),""),"")</f>
        <v/>
      </c>
    </row>
    <row r="38">
      <c r="K38" s="10" t="n"/>
      <c r="L38" s="11">
        <f>IFERROR(E38-F38,"")</f>
        <v/>
      </c>
      <c r="M38" s="11">
        <f>IFERROR((J38-I38)*1440,"")</f>
        <v/>
      </c>
      <c r="N38" s="11">
        <f>IF(K38="completed",IF(AND(J38&lt;&gt;"",H38&lt;&gt;""),IF(J38&lt;=H38,1,0),""),"")</f>
        <v/>
      </c>
    </row>
    <row r="39">
      <c r="K39" s="10" t="n"/>
      <c r="L39" s="11">
        <f>IFERROR(E39-F39,"")</f>
        <v/>
      </c>
      <c r="M39" s="11">
        <f>IFERROR((J39-I39)*1440,"")</f>
        <v/>
      </c>
      <c r="N39" s="11">
        <f>IF(K39="completed",IF(AND(J39&lt;&gt;"",H39&lt;&gt;""),IF(J39&lt;=H39,1,0),""),"")</f>
        <v/>
      </c>
    </row>
    <row r="40">
      <c r="K40" s="10" t="n"/>
      <c r="L40" s="11">
        <f>IFERROR(E40-F40,"")</f>
        <v/>
      </c>
      <c r="M40" s="11">
        <f>IFERROR((J40-I40)*1440,"")</f>
        <v/>
      </c>
      <c r="N40" s="11">
        <f>IF(K40="completed",IF(AND(J40&lt;&gt;"",H40&lt;&gt;""),IF(J40&lt;=H40,1,0),""),"")</f>
        <v/>
      </c>
    </row>
    <row r="41">
      <c r="K41" s="10" t="n"/>
      <c r="L41" s="11">
        <f>IFERROR(E41-F41,"")</f>
        <v/>
      </c>
      <c r="M41" s="11">
        <f>IFERROR((J41-I41)*1440,"")</f>
        <v/>
      </c>
      <c r="N41" s="11">
        <f>IF(K41="completed",IF(AND(J41&lt;&gt;"",H41&lt;&gt;""),IF(J41&lt;=H41,1,0),""),"")</f>
        <v/>
      </c>
    </row>
    <row r="42">
      <c r="K42" s="10" t="n"/>
      <c r="L42" s="11">
        <f>IFERROR(E42-F42,"")</f>
        <v/>
      </c>
      <c r="M42" s="11">
        <f>IFERROR((J42-I42)*1440,"")</f>
        <v/>
      </c>
      <c r="N42" s="11">
        <f>IF(K42="completed",IF(AND(J42&lt;&gt;"",H42&lt;&gt;""),IF(J42&lt;=H42,1,0),""),"")</f>
        <v/>
      </c>
    </row>
    <row r="43">
      <c r="K43" s="10" t="n"/>
      <c r="L43" s="11">
        <f>IFERROR(E43-F43,"")</f>
        <v/>
      </c>
      <c r="M43" s="11">
        <f>IFERROR((J43-I43)*1440,"")</f>
        <v/>
      </c>
      <c r="N43" s="11">
        <f>IF(K43="completed",IF(AND(J43&lt;&gt;"",H43&lt;&gt;""),IF(J43&lt;=H43,1,0),""),"")</f>
        <v/>
      </c>
    </row>
    <row r="44">
      <c r="K44" s="10" t="n"/>
      <c r="L44" s="11">
        <f>IFERROR(E44-F44,"")</f>
        <v/>
      </c>
      <c r="M44" s="11">
        <f>IFERROR((J44-I44)*1440,"")</f>
        <v/>
      </c>
      <c r="N44" s="11">
        <f>IF(K44="completed",IF(AND(J44&lt;&gt;"",H44&lt;&gt;""),IF(J44&lt;=H44,1,0),""),"")</f>
        <v/>
      </c>
    </row>
    <row r="45">
      <c r="K45" s="10" t="n"/>
      <c r="L45" s="11">
        <f>IFERROR(E45-F45,"")</f>
        <v/>
      </c>
      <c r="M45" s="11">
        <f>IFERROR((J45-I45)*1440,"")</f>
        <v/>
      </c>
      <c r="N45" s="11">
        <f>IF(K45="completed",IF(AND(J45&lt;&gt;"",H45&lt;&gt;""),IF(J45&lt;=H45,1,0),""),"")</f>
        <v/>
      </c>
    </row>
    <row r="46">
      <c r="K46" s="10" t="n"/>
      <c r="L46" s="11">
        <f>IFERROR(E46-F46,"")</f>
        <v/>
      </c>
      <c r="M46" s="11">
        <f>IFERROR((J46-I46)*1440,"")</f>
        <v/>
      </c>
      <c r="N46" s="11">
        <f>IF(K46="completed",IF(AND(J46&lt;&gt;"",H46&lt;&gt;""),IF(J46&lt;=H46,1,0),""),"")</f>
        <v/>
      </c>
    </row>
    <row r="47">
      <c r="K47" s="10" t="n"/>
      <c r="L47" s="11">
        <f>IFERROR(E47-F47,"")</f>
        <v/>
      </c>
      <c r="M47" s="11">
        <f>IFERROR((J47-I47)*1440,"")</f>
        <v/>
      </c>
      <c r="N47" s="11">
        <f>IF(K47="completed",IF(AND(J47&lt;&gt;"",H47&lt;&gt;""),IF(J47&lt;=H47,1,0),""),"")</f>
        <v/>
      </c>
    </row>
    <row r="48">
      <c r="K48" s="10" t="n"/>
      <c r="L48" s="11">
        <f>IFERROR(E48-F48,"")</f>
        <v/>
      </c>
      <c r="M48" s="11">
        <f>IFERROR((J48-I48)*1440,"")</f>
        <v/>
      </c>
      <c r="N48" s="11">
        <f>IF(K48="completed",IF(AND(J48&lt;&gt;"",H48&lt;&gt;""),IF(J48&lt;=H48,1,0),""),"")</f>
        <v/>
      </c>
    </row>
    <row r="49">
      <c r="K49" s="10" t="n"/>
      <c r="L49" s="11">
        <f>IFERROR(E49-F49,"")</f>
        <v/>
      </c>
      <c r="M49" s="11">
        <f>IFERROR((J49-I49)*1440,"")</f>
        <v/>
      </c>
      <c r="N49" s="11">
        <f>IF(K49="completed",IF(AND(J49&lt;&gt;"",H49&lt;&gt;""),IF(J49&lt;=H49,1,0),""),"")</f>
        <v/>
      </c>
    </row>
    <row r="50">
      <c r="K50" s="10" t="n"/>
      <c r="L50" s="11">
        <f>IFERROR(E50-F50,"")</f>
        <v/>
      </c>
      <c r="M50" s="11">
        <f>IFERROR((J50-I50)*1440,"")</f>
        <v/>
      </c>
      <c r="N50" s="11">
        <f>IF(K50="completed",IF(AND(J50&lt;&gt;"",H50&lt;&gt;""),IF(J50&lt;=H50,1,0),""),"")</f>
        <v/>
      </c>
    </row>
    <row r="51">
      <c r="K51" s="10" t="n"/>
      <c r="L51" s="11">
        <f>IFERROR(E51-F51,"")</f>
        <v/>
      </c>
      <c r="M51" s="11">
        <f>IFERROR((J51-I51)*1440,"")</f>
        <v/>
      </c>
      <c r="N51" s="11">
        <f>IF(K51="completed",IF(AND(J51&lt;&gt;"",H51&lt;&gt;""),IF(J51&lt;=H51,1,0),""),"")</f>
        <v/>
      </c>
    </row>
    <row r="52">
      <c r="K52" s="10" t="n"/>
      <c r="L52" s="11">
        <f>IFERROR(E52-F52,"")</f>
        <v/>
      </c>
      <c r="M52" s="11">
        <f>IFERROR((J52-I52)*1440,"")</f>
        <v/>
      </c>
      <c r="N52" s="11">
        <f>IF(K52="completed",IF(AND(J52&lt;&gt;"",H52&lt;&gt;""),IF(J52&lt;=H52,1,0),""),"")</f>
        <v/>
      </c>
    </row>
    <row r="53">
      <c r="K53" s="10" t="n"/>
      <c r="L53" s="11">
        <f>IFERROR(E53-F53,"")</f>
        <v/>
      </c>
      <c r="M53" s="11">
        <f>IFERROR((J53-I53)*1440,"")</f>
        <v/>
      </c>
      <c r="N53" s="11">
        <f>IF(K53="completed",IF(AND(J53&lt;&gt;"",H53&lt;&gt;""),IF(J53&lt;=H53,1,0),""),"")</f>
        <v/>
      </c>
    </row>
    <row r="54">
      <c r="K54" s="10" t="n"/>
      <c r="L54" s="11">
        <f>IFERROR(E54-F54,"")</f>
        <v/>
      </c>
      <c r="M54" s="11">
        <f>IFERROR((J54-I54)*1440,"")</f>
        <v/>
      </c>
      <c r="N54" s="11">
        <f>IF(K54="completed",IF(AND(J54&lt;&gt;"",H54&lt;&gt;""),IF(J54&lt;=H54,1,0),""),"")</f>
        <v/>
      </c>
    </row>
    <row r="55">
      <c r="K55" s="10" t="n"/>
      <c r="L55" s="11">
        <f>IFERROR(E55-F55,"")</f>
        <v/>
      </c>
      <c r="M55" s="11">
        <f>IFERROR((J55-I55)*1440,"")</f>
        <v/>
      </c>
      <c r="N55" s="11">
        <f>IF(K55="completed",IF(AND(J55&lt;&gt;"",H55&lt;&gt;""),IF(J55&lt;=H55,1,0),""),"")</f>
        <v/>
      </c>
    </row>
    <row r="56">
      <c r="K56" s="10" t="n"/>
      <c r="L56" s="11">
        <f>IFERROR(E56-F56,"")</f>
        <v/>
      </c>
      <c r="M56" s="11">
        <f>IFERROR((J56-I56)*1440,"")</f>
        <v/>
      </c>
      <c r="N56" s="11">
        <f>IF(K56="completed",IF(AND(J56&lt;&gt;"",H56&lt;&gt;""),IF(J56&lt;=H56,1,0),""),"")</f>
        <v/>
      </c>
    </row>
    <row r="57">
      <c r="K57" s="10" t="n"/>
      <c r="L57" s="11">
        <f>IFERROR(E57-F57,"")</f>
        <v/>
      </c>
      <c r="M57" s="11">
        <f>IFERROR((J57-I57)*1440,"")</f>
        <v/>
      </c>
      <c r="N57" s="11">
        <f>IF(K57="completed",IF(AND(J57&lt;&gt;"",H57&lt;&gt;""),IF(J57&lt;=H57,1,0),""),"")</f>
        <v/>
      </c>
    </row>
    <row r="58">
      <c r="K58" s="10" t="n"/>
      <c r="L58" s="11">
        <f>IFERROR(E58-F58,"")</f>
        <v/>
      </c>
      <c r="M58" s="11">
        <f>IFERROR((J58-I58)*1440,"")</f>
        <v/>
      </c>
      <c r="N58" s="11">
        <f>IF(K58="completed",IF(AND(J58&lt;&gt;"",H58&lt;&gt;""),IF(J58&lt;=H58,1,0),""),"")</f>
        <v/>
      </c>
    </row>
    <row r="59">
      <c r="K59" s="10" t="n"/>
      <c r="L59" s="11">
        <f>IFERROR(E59-F59,"")</f>
        <v/>
      </c>
      <c r="M59" s="11">
        <f>IFERROR((J59-I59)*1440,"")</f>
        <v/>
      </c>
      <c r="N59" s="11">
        <f>IF(K59="completed",IF(AND(J59&lt;&gt;"",H59&lt;&gt;""),IF(J59&lt;=H59,1,0),""),"")</f>
        <v/>
      </c>
    </row>
    <row r="60">
      <c r="K60" s="10" t="n"/>
      <c r="L60" s="11">
        <f>IFERROR(E60-F60,"")</f>
        <v/>
      </c>
      <c r="M60" s="11">
        <f>IFERROR((J60-I60)*1440,"")</f>
        <v/>
      </c>
      <c r="N60" s="11">
        <f>IF(K60="completed",IF(AND(J60&lt;&gt;"",H60&lt;&gt;""),IF(J60&lt;=H60,1,0),""),"")</f>
        <v/>
      </c>
    </row>
    <row r="61">
      <c r="K61" s="10" t="n"/>
      <c r="L61" s="11">
        <f>IFERROR(E61-F61,"")</f>
        <v/>
      </c>
      <c r="M61" s="11">
        <f>IFERROR((J61-I61)*1440,"")</f>
        <v/>
      </c>
      <c r="N61" s="11">
        <f>IF(K61="completed",IF(AND(J61&lt;&gt;"",H61&lt;&gt;""),IF(J61&lt;=H61,1,0),""),"")</f>
        <v/>
      </c>
    </row>
    <row r="62">
      <c r="K62" s="10" t="n"/>
      <c r="L62" s="11">
        <f>IFERROR(E62-F62,"")</f>
        <v/>
      </c>
      <c r="M62" s="11">
        <f>IFERROR((J62-I62)*1440,"")</f>
        <v/>
      </c>
      <c r="N62" s="11">
        <f>IF(K62="completed",IF(AND(J62&lt;&gt;"",H62&lt;&gt;""),IF(J62&lt;=H62,1,0),""),"")</f>
        <v/>
      </c>
    </row>
    <row r="63">
      <c r="K63" s="10" t="n"/>
      <c r="L63" s="11">
        <f>IFERROR(E63-F63,"")</f>
        <v/>
      </c>
      <c r="M63" s="11">
        <f>IFERROR((J63-I63)*1440,"")</f>
        <v/>
      </c>
      <c r="N63" s="11">
        <f>IF(K63="completed",IF(AND(J63&lt;&gt;"",H63&lt;&gt;""),IF(J63&lt;=H63,1,0),""),"")</f>
        <v/>
      </c>
    </row>
    <row r="64">
      <c r="K64" s="10" t="n"/>
      <c r="L64" s="11">
        <f>IFERROR(E64-F64,"")</f>
        <v/>
      </c>
      <c r="M64" s="11">
        <f>IFERROR((J64-I64)*1440,"")</f>
        <v/>
      </c>
      <c r="N64" s="11">
        <f>IF(K64="completed",IF(AND(J64&lt;&gt;"",H64&lt;&gt;""),IF(J64&lt;=H64,1,0),""),"")</f>
        <v/>
      </c>
    </row>
    <row r="65">
      <c r="K65" s="10" t="n"/>
      <c r="L65" s="11">
        <f>IFERROR(E65-F65,"")</f>
        <v/>
      </c>
      <c r="M65" s="11">
        <f>IFERROR((J65-I65)*1440,"")</f>
        <v/>
      </c>
      <c r="N65" s="11">
        <f>IF(K65="completed",IF(AND(J65&lt;&gt;"",H65&lt;&gt;""),IF(J65&lt;=H65,1,0),""),"")</f>
        <v/>
      </c>
    </row>
    <row r="66">
      <c r="K66" s="10" t="n"/>
      <c r="L66" s="11">
        <f>IFERROR(E66-F66,"")</f>
        <v/>
      </c>
      <c r="M66" s="11">
        <f>IFERROR((J66-I66)*1440,"")</f>
        <v/>
      </c>
      <c r="N66" s="11">
        <f>IF(K66="completed",IF(AND(J66&lt;&gt;"",H66&lt;&gt;""),IF(J66&lt;=H66,1,0),""),"")</f>
        <v/>
      </c>
    </row>
    <row r="67">
      <c r="K67" s="10" t="n"/>
      <c r="L67" s="11">
        <f>IFERROR(E67-F67,"")</f>
        <v/>
      </c>
      <c r="M67" s="11">
        <f>IFERROR((J67-I67)*1440,"")</f>
        <v/>
      </c>
      <c r="N67" s="11">
        <f>IF(K67="completed",IF(AND(J67&lt;&gt;"",H67&lt;&gt;""),IF(J67&lt;=H67,1,0),""),"")</f>
        <v/>
      </c>
    </row>
    <row r="68">
      <c r="K68" s="10" t="n"/>
      <c r="L68" s="11">
        <f>IFERROR(E68-F68,"")</f>
        <v/>
      </c>
      <c r="M68" s="11">
        <f>IFERROR((J68-I68)*1440,"")</f>
        <v/>
      </c>
      <c r="N68" s="11">
        <f>IF(K68="completed",IF(AND(J68&lt;&gt;"",H68&lt;&gt;""),IF(J68&lt;=H68,1,0),""),"")</f>
        <v/>
      </c>
    </row>
    <row r="69">
      <c r="K69" s="10" t="n"/>
      <c r="L69" s="11">
        <f>IFERROR(E69-F69,"")</f>
        <v/>
      </c>
      <c r="M69" s="11">
        <f>IFERROR((J69-I69)*1440,"")</f>
        <v/>
      </c>
      <c r="N69" s="11">
        <f>IF(K69="completed",IF(AND(J69&lt;&gt;"",H69&lt;&gt;""),IF(J69&lt;=H69,1,0),""),"")</f>
        <v/>
      </c>
    </row>
    <row r="70">
      <c r="K70" s="10" t="n"/>
      <c r="L70" s="11">
        <f>IFERROR(E70-F70,"")</f>
        <v/>
      </c>
      <c r="M70" s="11">
        <f>IFERROR((J70-I70)*1440,"")</f>
        <v/>
      </c>
      <c r="N70" s="11">
        <f>IF(K70="completed",IF(AND(J70&lt;&gt;"",H70&lt;&gt;""),IF(J70&lt;=H70,1,0),""),"")</f>
        <v/>
      </c>
    </row>
    <row r="71">
      <c r="K71" s="10" t="n"/>
      <c r="L71" s="11">
        <f>IFERROR(E71-F71,"")</f>
        <v/>
      </c>
      <c r="M71" s="11">
        <f>IFERROR((J71-I71)*1440,"")</f>
        <v/>
      </c>
      <c r="N71" s="11">
        <f>IF(K71="completed",IF(AND(J71&lt;&gt;"",H71&lt;&gt;""),IF(J71&lt;=H71,1,0),""),"")</f>
        <v/>
      </c>
    </row>
    <row r="72">
      <c r="K72" s="10" t="n"/>
      <c r="L72" s="11">
        <f>IFERROR(E72-F72,"")</f>
        <v/>
      </c>
      <c r="M72" s="11">
        <f>IFERROR((J72-I72)*1440,"")</f>
        <v/>
      </c>
      <c r="N72" s="11">
        <f>IF(K72="completed",IF(AND(J72&lt;&gt;"",H72&lt;&gt;""),IF(J72&lt;=H72,1,0),""),"")</f>
        <v/>
      </c>
    </row>
    <row r="73">
      <c r="K73" s="10" t="n"/>
      <c r="L73" s="11">
        <f>IFERROR(E73-F73,"")</f>
        <v/>
      </c>
      <c r="M73" s="11">
        <f>IFERROR((J73-I73)*1440,"")</f>
        <v/>
      </c>
      <c r="N73" s="11">
        <f>IF(K73="completed",IF(AND(J73&lt;&gt;"",H73&lt;&gt;""),IF(J73&lt;=H73,1,0),""),"")</f>
        <v/>
      </c>
    </row>
    <row r="74">
      <c r="K74" s="10" t="n"/>
      <c r="L74" s="11">
        <f>IFERROR(E74-F74,"")</f>
        <v/>
      </c>
      <c r="M74" s="11">
        <f>IFERROR((J74-I74)*1440,"")</f>
        <v/>
      </c>
      <c r="N74" s="11">
        <f>IF(K74="completed",IF(AND(J74&lt;&gt;"",H74&lt;&gt;""),IF(J74&lt;=H74,1,0),""),"")</f>
        <v/>
      </c>
    </row>
    <row r="75">
      <c r="K75" s="10" t="n"/>
      <c r="L75" s="11">
        <f>IFERROR(E75-F75,"")</f>
        <v/>
      </c>
      <c r="M75" s="11">
        <f>IFERROR((J75-I75)*1440,"")</f>
        <v/>
      </c>
      <c r="N75" s="11">
        <f>IF(K75="completed",IF(AND(J75&lt;&gt;"",H75&lt;&gt;""),IF(J75&lt;=H75,1,0),""),"")</f>
        <v/>
      </c>
    </row>
    <row r="76">
      <c r="K76" s="10" t="n"/>
      <c r="L76" s="11">
        <f>IFERROR(E76-F76,"")</f>
        <v/>
      </c>
      <c r="M76" s="11">
        <f>IFERROR((J76-I76)*1440,"")</f>
        <v/>
      </c>
      <c r="N76" s="11">
        <f>IF(K76="completed",IF(AND(J76&lt;&gt;"",H76&lt;&gt;""),IF(J76&lt;=H76,1,0),""),"")</f>
        <v/>
      </c>
    </row>
    <row r="77">
      <c r="K77" s="10" t="n"/>
      <c r="L77" s="11">
        <f>IFERROR(E77-F77,"")</f>
        <v/>
      </c>
      <c r="M77" s="11">
        <f>IFERROR((J77-I77)*1440,"")</f>
        <v/>
      </c>
      <c r="N77" s="11">
        <f>IF(K77="completed",IF(AND(J77&lt;&gt;"",H77&lt;&gt;""),IF(J77&lt;=H77,1,0),""),"")</f>
        <v/>
      </c>
    </row>
    <row r="78">
      <c r="K78" s="10" t="n"/>
      <c r="L78" s="11">
        <f>IFERROR(E78-F78,"")</f>
        <v/>
      </c>
      <c r="M78" s="11">
        <f>IFERROR((J78-I78)*1440,"")</f>
        <v/>
      </c>
      <c r="N78" s="11">
        <f>IF(K78="completed",IF(AND(J78&lt;&gt;"",H78&lt;&gt;""),IF(J78&lt;=H78,1,0),""),"")</f>
        <v/>
      </c>
    </row>
    <row r="79">
      <c r="K79" s="10" t="n"/>
      <c r="L79" s="11">
        <f>IFERROR(E79-F79,"")</f>
        <v/>
      </c>
      <c r="M79" s="11">
        <f>IFERROR((J79-I79)*1440,"")</f>
        <v/>
      </c>
      <c r="N79" s="11">
        <f>IF(K79="completed",IF(AND(J79&lt;&gt;"",H79&lt;&gt;""),IF(J79&lt;=H79,1,0),""),"")</f>
        <v/>
      </c>
    </row>
    <row r="80">
      <c r="K80" s="10" t="n"/>
      <c r="L80" s="11">
        <f>IFERROR(E80-F80,"")</f>
        <v/>
      </c>
      <c r="M80" s="11">
        <f>IFERROR((J80-I80)*1440,"")</f>
        <v/>
      </c>
      <c r="N80" s="11">
        <f>IF(K80="completed",IF(AND(J80&lt;&gt;"",H80&lt;&gt;""),IF(J80&lt;=H80,1,0),""),"")</f>
        <v/>
      </c>
    </row>
    <row r="81">
      <c r="K81" s="10" t="n"/>
      <c r="L81" s="11">
        <f>IFERROR(E81-F81,"")</f>
        <v/>
      </c>
      <c r="M81" s="11">
        <f>IFERROR((J81-I81)*1440,"")</f>
        <v/>
      </c>
      <c r="N81" s="11">
        <f>IF(K81="completed",IF(AND(J81&lt;&gt;"",H81&lt;&gt;""),IF(J81&lt;=H81,1,0),""),"")</f>
        <v/>
      </c>
    </row>
    <row r="82">
      <c r="K82" s="10" t="n"/>
      <c r="L82" s="11">
        <f>IFERROR(E82-F82,"")</f>
        <v/>
      </c>
      <c r="M82" s="11">
        <f>IFERROR((J82-I82)*1440,"")</f>
        <v/>
      </c>
      <c r="N82" s="11">
        <f>IF(K82="completed",IF(AND(J82&lt;&gt;"",H82&lt;&gt;""),IF(J82&lt;=H82,1,0),""),"")</f>
        <v/>
      </c>
    </row>
    <row r="83">
      <c r="K83" s="10" t="n"/>
      <c r="L83" s="11">
        <f>IFERROR(E83-F83,"")</f>
        <v/>
      </c>
      <c r="M83" s="11">
        <f>IFERROR((J83-I83)*1440,"")</f>
        <v/>
      </c>
      <c r="N83" s="11">
        <f>IF(K83="completed",IF(AND(J83&lt;&gt;"",H83&lt;&gt;""),IF(J83&lt;=H83,1,0),""),"")</f>
        <v/>
      </c>
    </row>
    <row r="84">
      <c r="K84" s="10" t="n"/>
      <c r="L84" s="11">
        <f>IFERROR(E84-F84,"")</f>
        <v/>
      </c>
      <c r="M84" s="11">
        <f>IFERROR((J84-I84)*1440,"")</f>
        <v/>
      </c>
      <c r="N84" s="11">
        <f>IF(K84="completed",IF(AND(J84&lt;&gt;"",H84&lt;&gt;""),IF(J84&lt;=H84,1,0),""),"")</f>
        <v/>
      </c>
    </row>
    <row r="85">
      <c r="K85" s="10" t="n"/>
      <c r="L85" s="11">
        <f>IFERROR(E85-F85,"")</f>
        <v/>
      </c>
      <c r="M85" s="11">
        <f>IFERROR((J85-I85)*1440,"")</f>
        <v/>
      </c>
      <c r="N85" s="11">
        <f>IF(K85="completed",IF(AND(J85&lt;&gt;"",H85&lt;&gt;""),IF(J85&lt;=H85,1,0),""),"")</f>
        <v/>
      </c>
    </row>
    <row r="86">
      <c r="K86" s="10" t="n"/>
      <c r="L86" s="11">
        <f>IFERROR(E86-F86,"")</f>
        <v/>
      </c>
      <c r="M86" s="11">
        <f>IFERROR((J86-I86)*1440,"")</f>
        <v/>
      </c>
      <c r="N86" s="11">
        <f>IF(K86="completed",IF(AND(J86&lt;&gt;"",H86&lt;&gt;""),IF(J86&lt;=H86,1,0),""),"")</f>
        <v/>
      </c>
    </row>
    <row r="87">
      <c r="K87" s="10" t="n"/>
      <c r="L87" s="11">
        <f>IFERROR(E87-F87,"")</f>
        <v/>
      </c>
      <c r="M87" s="11">
        <f>IFERROR((J87-I87)*1440,"")</f>
        <v/>
      </c>
      <c r="N87" s="11">
        <f>IF(K87="completed",IF(AND(J87&lt;&gt;"",H87&lt;&gt;""),IF(J87&lt;=H87,1,0),""),"")</f>
        <v/>
      </c>
    </row>
    <row r="88">
      <c r="K88" s="10" t="n"/>
      <c r="L88" s="11">
        <f>IFERROR(E88-F88,"")</f>
        <v/>
      </c>
      <c r="M88" s="11">
        <f>IFERROR((J88-I88)*1440,"")</f>
        <v/>
      </c>
      <c r="N88" s="11">
        <f>IF(K88="completed",IF(AND(J88&lt;&gt;"",H88&lt;&gt;""),IF(J88&lt;=H88,1,0),""),"")</f>
        <v/>
      </c>
    </row>
    <row r="89">
      <c r="K89" s="10" t="n"/>
      <c r="L89" s="11">
        <f>IFERROR(E89-F89,"")</f>
        <v/>
      </c>
      <c r="M89" s="11">
        <f>IFERROR((J89-I89)*1440,"")</f>
        <v/>
      </c>
      <c r="N89" s="11">
        <f>IF(K89="completed",IF(AND(J89&lt;&gt;"",H89&lt;&gt;""),IF(J89&lt;=H89,1,0),""),"")</f>
        <v/>
      </c>
    </row>
    <row r="90">
      <c r="K90" s="10" t="n"/>
      <c r="L90" s="11">
        <f>IFERROR(E90-F90,"")</f>
        <v/>
      </c>
      <c r="M90" s="11">
        <f>IFERROR((J90-I90)*1440,"")</f>
        <v/>
      </c>
      <c r="N90" s="11">
        <f>IF(K90="completed",IF(AND(J90&lt;&gt;"",H90&lt;&gt;""),IF(J90&lt;=H90,1,0),""),"")</f>
        <v/>
      </c>
    </row>
    <row r="91">
      <c r="K91" s="10" t="n"/>
      <c r="L91" s="11">
        <f>IFERROR(E91-F91,"")</f>
        <v/>
      </c>
      <c r="M91" s="11">
        <f>IFERROR((J91-I91)*1440,"")</f>
        <v/>
      </c>
      <c r="N91" s="11">
        <f>IF(K91="completed",IF(AND(J91&lt;&gt;"",H91&lt;&gt;""),IF(J91&lt;=H91,1,0),""),"")</f>
        <v/>
      </c>
    </row>
    <row r="92">
      <c r="K92" s="10" t="n"/>
      <c r="L92" s="11">
        <f>IFERROR(E92-F92,"")</f>
        <v/>
      </c>
      <c r="M92" s="11">
        <f>IFERROR((J92-I92)*1440,"")</f>
        <v/>
      </c>
      <c r="N92" s="11">
        <f>IF(K92="completed",IF(AND(J92&lt;&gt;"",H92&lt;&gt;""),IF(J92&lt;=H92,1,0),""),"")</f>
        <v/>
      </c>
    </row>
    <row r="93">
      <c r="K93" s="10" t="n"/>
      <c r="L93" s="11">
        <f>IFERROR(E93-F93,"")</f>
        <v/>
      </c>
      <c r="M93" s="11">
        <f>IFERROR((J93-I93)*1440,"")</f>
        <v/>
      </c>
      <c r="N93" s="11">
        <f>IF(K93="completed",IF(AND(J93&lt;&gt;"",H93&lt;&gt;""),IF(J93&lt;=H93,1,0),""),"")</f>
        <v/>
      </c>
    </row>
    <row r="94">
      <c r="K94" s="10" t="n"/>
      <c r="L94" s="11">
        <f>IFERROR(E94-F94,"")</f>
        <v/>
      </c>
      <c r="M94" s="11">
        <f>IFERROR((J94-I94)*1440,"")</f>
        <v/>
      </c>
      <c r="N94" s="11">
        <f>IF(K94="completed",IF(AND(J94&lt;&gt;"",H94&lt;&gt;""),IF(J94&lt;=H94,1,0),""),"")</f>
        <v/>
      </c>
    </row>
    <row r="95">
      <c r="K95" s="10" t="n"/>
      <c r="L95" s="11">
        <f>IFERROR(E95-F95,"")</f>
        <v/>
      </c>
      <c r="M95" s="11">
        <f>IFERROR((J95-I95)*1440,"")</f>
        <v/>
      </c>
      <c r="N95" s="11">
        <f>IF(K95="completed",IF(AND(J95&lt;&gt;"",H95&lt;&gt;""),IF(J95&lt;=H95,1,0),""),"")</f>
        <v/>
      </c>
    </row>
    <row r="96">
      <c r="K96" s="10" t="n"/>
      <c r="L96" s="11">
        <f>IFERROR(E96-F96,"")</f>
        <v/>
      </c>
      <c r="M96" s="11">
        <f>IFERROR((J96-I96)*1440,"")</f>
        <v/>
      </c>
      <c r="N96" s="11">
        <f>IF(K96="completed",IF(AND(J96&lt;&gt;"",H96&lt;&gt;""),IF(J96&lt;=H96,1,0),""),"")</f>
        <v/>
      </c>
    </row>
    <row r="97">
      <c r="K97" s="10" t="n"/>
      <c r="L97" s="11">
        <f>IFERROR(E97-F97,"")</f>
        <v/>
      </c>
      <c r="M97" s="11">
        <f>IFERROR((J97-I97)*1440,"")</f>
        <v/>
      </c>
      <c r="N97" s="11">
        <f>IF(K97="completed",IF(AND(J97&lt;&gt;"",H97&lt;&gt;""),IF(J97&lt;=H97,1,0),""),"")</f>
        <v/>
      </c>
    </row>
    <row r="98">
      <c r="K98" s="10" t="n"/>
      <c r="L98" s="11">
        <f>IFERROR(E98-F98,"")</f>
        <v/>
      </c>
      <c r="M98" s="11">
        <f>IFERROR((J98-I98)*1440,"")</f>
        <v/>
      </c>
      <c r="N98" s="11">
        <f>IF(K98="completed",IF(AND(J98&lt;&gt;"",H98&lt;&gt;""),IF(J98&lt;=H98,1,0),""),"")</f>
        <v/>
      </c>
    </row>
    <row r="99">
      <c r="K99" s="10" t="n"/>
      <c r="L99" s="11">
        <f>IFERROR(E99-F99,"")</f>
        <v/>
      </c>
      <c r="M99" s="11">
        <f>IFERROR((J99-I99)*1440,"")</f>
        <v/>
      </c>
      <c r="N99" s="11">
        <f>IF(K99="completed",IF(AND(J99&lt;&gt;"",H99&lt;&gt;""),IF(J99&lt;=H99,1,0),""),"")</f>
        <v/>
      </c>
    </row>
    <row r="100">
      <c r="K100" s="10" t="n"/>
      <c r="L100" s="11">
        <f>IFERROR(E100-F100,"")</f>
        <v/>
      </c>
      <c r="M100" s="11">
        <f>IFERROR((J100-I100)*1440,"")</f>
        <v/>
      </c>
      <c r="N100" s="11">
        <f>IF(K100="completed",IF(AND(J100&lt;&gt;"",H100&lt;&gt;""),IF(J100&lt;=H100,1,0),""),"")</f>
        <v/>
      </c>
    </row>
    <row r="101">
      <c r="K101" s="10" t="n"/>
      <c r="L101" s="11">
        <f>IFERROR(E101-F101,"")</f>
        <v/>
      </c>
      <c r="M101" s="11">
        <f>IFERROR((J101-I101)*1440,"")</f>
        <v/>
      </c>
      <c r="N101" s="11">
        <f>IF(K101="completed",IF(AND(J101&lt;&gt;"",H101&lt;&gt;""),IF(J101&lt;=H101,1,0),""),"")</f>
        <v/>
      </c>
    </row>
    <row r="102">
      <c r="K102" s="10" t="n"/>
      <c r="L102" s="11">
        <f>IFERROR(E102-F102,"")</f>
        <v/>
      </c>
      <c r="M102" s="11">
        <f>IFERROR((J102-I102)*1440,"")</f>
        <v/>
      </c>
      <c r="N102" s="11">
        <f>IF(K102="completed",IF(AND(J102&lt;&gt;"",H102&lt;&gt;""),IF(J102&lt;=H102,1,0),""),"")</f>
        <v/>
      </c>
    </row>
    <row r="103">
      <c r="K103" s="10" t="n"/>
      <c r="L103" s="11">
        <f>IFERROR(E103-F103,"")</f>
        <v/>
      </c>
      <c r="M103" s="11">
        <f>IFERROR((J103-I103)*1440,"")</f>
        <v/>
      </c>
      <c r="N103" s="11">
        <f>IF(K103="completed",IF(AND(J103&lt;&gt;"",H103&lt;&gt;""),IF(J103&lt;=H103,1,0),""),"")</f>
        <v/>
      </c>
    </row>
    <row r="104">
      <c r="K104" s="10" t="n"/>
      <c r="L104" s="11">
        <f>IFERROR(E104-F104,"")</f>
        <v/>
      </c>
      <c r="M104" s="11">
        <f>IFERROR((J104-I104)*1440,"")</f>
        <v/>
      </c>
      <c r="N104" s="11">
        <f>IF(K104="completed",IF(AND(J104&lt;&gt;"",H104&lt;&gt;""),IF(J104&lt;=H104,1,0),""),"")</f>
        <v/>
      </c>
    </row>
    <row r="105">
      <c r="K105" s="10" t="n"/>
      <c r="L105" s="11">
        <f>IFERROR(E105-F105,"")</f>
        <v/>
      </c>
      <c r="M105" s="11">
        <f>IFERROR((J105-I105)*1440,"")</f>
        <v/>
      </c>
      <c r="N105" s="11">
        <f>IF(K105="completed",IF(AND(J105&lt;&gt;"",H105&lt;&gt;""),IF(J105&lt;=H105,1,0),""),"")</f>
        <v/>
      </c>
    </row>
    <row r="106">
      <c r="K106" s="10" t="n"/>
      <c r="L106" s="11">
        <f>IFERROR(E106-F106,"")</f>
        <v/>
      </c>
      <c r="M106" s="11">
        <f>IFERROR((J106-I106)*1440,"")</f>
        <v/>
      </c>
      <c r="N106" s="11">
        <f>IF(K106="completed",IF(AND(J106&lt;&gt;"",H106&lt;&gt;""),IF(J106&lt;=H106,1,0),""),"")</f>
        <v/>
      </c>
    </row>
    <row r="107">
      <c r="K107" s="10" t="n"/>
      <c r="L107" s="11">
        <f>IFERROR(E107-F107,"")</f>
        <v/>
      </c>
      <c r="M107" s="11">
        <f>IFERROR((J107-I107)*1440,"")</f>
        <v/>
      </c>
      <c r="N107" s="11">
        <f>IF(K107="completed",IF(AND(J107&lt;&gt;"",H107&lt;&gt;""),IF(J107&lt;=H107,1,0),""),"")</f>
        <v/>
      </c>
    </row>
    <row r="108">
      <c r="K108" s="10" t="n"/>
      <c r="L108" s="11">
        <f>IFERROR(E108-F108,"")</f>
        <v/>
      </c>
      <c r="M108" s="11">
        <f>IFERROR((J108-I108)*1440,"")</f>
        <v/>
      </c>
      <c r="N108" s="11">
        <f>IF(K108="completed",IF(AND(J108&lt;&gt;"",H108&lt;&gt;""),IF(J108&lt;=H108,1,0),""),"")</f>
        <v/>
      </c>
    </row>
    <row r="109">
      <c r="K109" s="10" t="n"/>
      <c r="L109" s="11">
        <f>IFERROR(E109-F109,"")</f>
        <v/>
      </c>
      <c r="M109" s="11">
        <f>IFERROR((J109-I109)*1440,"")</f>
        <v/>
      </c>
      <c r="N109" s="11">
        <f>IF(K109="completed",IF(AND(J109&lt;&gt;"",H109&lt;&gt;""),IF(J109&lt;=H109,1,0),""),"")</f>
        <v/>
      </c>
    </row>
    <row r="110">
      <c r="K110" s="10" t="n"/>
      <c r="L110" s="11">
        <f>IFERROR(E110-F110,"")</f>
        <v/>
      </c>
      <c r="M110" s="11">
        <f>IFERROR((J110-I110)*1440,"")</f>
        <v/>
      </c>
      <c r="N110" s="11">
        <f>IF(K110="completed",IF(AND(J110&lt;&gt;"",H110&lt;&gt;""),IF(J110&lt;=H110,1,0),""),"")</f>
        <v/>
      </c>
    </row>
    <row r="111">
      <c r="K111" s="10" t="n"/>
      <c r="L111" s="11">
        <f>IFERROR(E111-F111,"")</f>
        <v/>
      </c>
      <c r="M111" s="11">
        <f>IFERROR((J111-I111)*1440,"")</f>
        <v/>
      </c>
      <c r="N111" s="11">
        <f>IF(K111="completed",IF(AND(J111&lt;&gt;"",H111&lt;&gt;""),IF(J111&lt;=H111,1,0),""),"")</f>
        <v/>
      </c>
    </row>
    <row r="112">
      <c r="K112" s="10" t="n"/>
      <c r="L112" s="11">
        <f>IFERROR(E112-F112,"")</f>
        <v/>
      </c>
      <c r="M112" s="11">
        <f>IFERROR((J112-I112)*1440,"")</f>
        <v/>
      </c>
      <c r="N112" s="11">
        <f>IF(K112="completed",IF(AND(J112&lt;&gt;"",H112&lt;&gt;""),IF(J112&lt;=H112,1,0),""),"")</f>
        <v/>
      </c>
    </row>
    <row r="113">
      <c r="K113" s="10" t="n"/>
      <c r="L113" s="11">
        <f>IFERROR(E113-F113,"")</f>
        <v/>
      </c>
      <c r="M113" s="11">
        <f>IFERROR((J113-I113)*1440,"")</f>
        <v/>
      </c>
      <c r="N113" s="11">
        <f>IF(K113="completed",IF(AND(J113&lt;&gt;"",H113&lt;&gt;""),IF(J113&lt;=H113,1,0),""),"")</f>
        <v/>
      </c>
    </row>
    <row r="114">
      <c r="K114" s="10" t="n"/>
      <c r="L114" s="11">
        <f>IFERROR(E114-F114,"")</f>
        <v/>
      </c>
      <c r="M114" s="11">
        <f>IFERROR((J114-I114)*1440,"")</f>
        <v/>
      </c>
      <c r="N114" s="11">
        <f>IF(K114="completed",IF(AND(J114&lt;&gt;"",H114&lt;&gt;""),IF(J114&lt;=H114,1,0),""),"")</f>
        <v/>
      </c>
    </row>
    <row r="115">
      <c r="K115" s="10" t="n"/>
      <c r="L115" s="11">
        <f>IFERROR(E115-F115,"")</f>
        <v/>
      </c>
      <c r="M115" s="11">
        <f>IFERROR((J115-I115)*1440,"")</f>
        <v/>
      </c>
      <c r="N115" s="11">
        <f>IF(K115="completed",IF(AND(J115&lt;&gt;"",H115&lt;&gt;""),IF(J115&lt;=H115,1,0),""),"")</f>
        <v/>
      </c>
    </row>
    <row r="116">
      <c r="K116" s="10" t="n"/>
      <c r="L116" s="11">
        <f>IFERROR(E116-F116,"")</f>
        <v/>
      </c>
      <c r="M116" s="11">
        <f>IFERROR((J116-I116)*1440,"")</f>
        <v/>
      </c>
      <c r="N116" s="11">
        <f>IF(K116="completed",IF(AND(J116&lt;&gt;"",H116&lt;&gt;""),IF(J116&lt;=H116,1,0),""),"")</f>
        <v/>
      </c>
    </row>
    <row r="117">
      <c r="K117" s="10" t="n"/>
      <c r="L117" s="11">
        <f>IFERROR(E117-F117,"")</f>
        <v/>
      </c>
      <c r="M117" s="11">
        <f>IFERROR((J117-I117)*1440,"")</f>
        <v/>
      </c>
      <c r="N117" s="11">
        <f>IF(K117="completed",IF(AND(J117&lt;&gt;"",H117&lt;&gt;""),IF(J117&lt;=H117,1,0),""),"")</f>
        <v/>
      </c>
    </row>
    <row r="118">
      <c r="K118" s="10" t="n"/>
      <c r="L118" s="11">
        <f>IFERROR(E118-F118,"")</f>
        <v/>
      </c>
      <c r="M118" s="11">
        <f>IFERROR((J118-I118)*1440,"")</f>
        <v/>
      </c>
      <c r="N118" s="11">
        <f>IF(K118="completed",IF(AND(J118&lt;&gt;"",H118&lt;&gt;""),IF(J118&lt;=H118,1,0),""),"")</f>
        <v/>
      </c>
    </row>
    <row r="119">
      <c r="K119" s="10" t="n"/>
      <c r="L119" s="11">
        <f>IFERROR(E119-F119,"")</f>
        <v/>
      </c>
      <c r="M119" s="11">
        <f>IFERROR((J119-I119)*1440,"")</f>
        <v/>
      </c>
      <c r="N119" s="11">
        <f>IF(K119="completed",IF(AND(J119&lt;&gt;"",H119&lt;&gt;""),IF(J119&lt;=H119,1,0),""),"")</f>
        <v/>
      </c>
    </row>
    <row r="120">
      <c r="K120" s="10" t="n"/>
      <c r="L120" s="11">
        <f>IFERROR(E120-F120,"")</f>
        <v/>
      </c>
      <c r="M120" s="11">
        <f>IFERROR((J120-I120)*1440,"")</f>
        <v/>
      </c>
      <c r="N120" s="11">
        <f>IF(K120="completed",IF(AND(J120&lt;&gt;"",H120&lt;&gt;""),IF(J120&lt;=H120,1,0),""),"")</f>
        <v/>
      </c>
    </row>
    <row r="121">
      <c r="K121" s="10" t="n"/>
      <c r="L121" s="11">
        <f>IFERROR(E121-F121,"")</f>
        <v/>
      </c>
      <c r="M121" s="11">
        <f>IFERROR((J121-I121)*1440,"")</f>
        <v/>
      </c>
      <c r="N121" s="11">
        <f>IF(K121="completed",IF(AND(J121&lt;&gt;"",H121&lt;&gt;""),IF(J121&lt;=H121,1,0),""),"")</f>
        <v/>
      </c>
    </row>
    <row r="122">
      <c r="K122" s="10" t="n"/>
      <c r="L122" s="11">
        <f>IFERROR(E122-F122,"")</f>
        <v/>
      </c>
      <c r="M122" s="11">
        <f>IFERROR((J122-I122)*1440,"")</f>
        <v/>
      </c>
      <c r="N122" s="11">
        <f>IF(K122="completed",IF(AND(J122&lt;&gt;"",H122&lt;&gt;""),IF(J122&lt;=H122,1,0),""),"")</f>
        <v/>
      </c>
    </row>
    <row r="123">
      <c r="K123" s="10" t="n"/>
      <c r="L123" s="11">
        <f>IFERROR(E123-F123,"")</f>
        <v/>
      </c>
      <c r="M123" s="11">
        <f>IFERROR((J123-I123)*1440,"")</f>
        <v/>
      </c>
      <c r="N123" s="11">
        <f>IF(K123="completed",IF(AND(J123&lt;&gt;"",H123&lt;&gt;""),IF(J123&lt;=H123,1,0),""),"")</f>
        <v/>
      </c>
    </row>
    <row r="124">
      <c r="K124" s="10" t="n"/>
      <c r="L124" s="11">
        <f>IFERROR(E124-F124,"")</f>
        <v/>
      </c>
      <c r="M124" s="11">
        <f>IFERROR((J124-I124)*1440,"")</f>
        <v/>
      </c>
      <c r="N124" s="11">
        <f>IF(K124="completed",IF(AND(J124&lt;&gt;"",H124&lt;&gt;""),IF(J124&lt;=H124,1,0),""),"")</f>
        <v/>
      </c>
    </row>
    <row r="125">
      <c r="K125" s="10" t="n"/>
      <c r="L125" s="11">
        <f>IFERROR(E125-F125,"")</f>
        <v/>
      </c>
      <c r="M125" s="11">
        <f>IFERROR((J125-I125)*1440,"")</f>
        <v/>
      </c>
      <c r="N125" s="11">
        <f>IF(K125="completed",IF(AND(J125&lt;&gt;"",H125&lt;&gt;""),IF(J125&lt;=H125,1,0),""),"")</f>
        <v/>
      </c>
    </row>
    <row r="126">
      <c r="K126" s="10" t="n"/>
      <c r="L126" s="11">
        <f>IFERROR(E126-F126,"")</f>
        <v/>
      </c>
      <c r="M126" s="11">
        <f>IFERROR((J126-I126)*1440,"")</f>
        <v/>
      </c>
      <c r="N126" s="11">
        <f>IF(K126="completed",IF(AND(J126&lt;&gt;"",H126&lt;&gt;""),IF(J126&lt;=H126,1,0),""),"")</f>
        <v/>
      </c>
    </row>
    <row r="127">
      <c r="K127" s="10" t="n"/>
      <c r="L127" s="11">
        <f>IFERROR(E127-F127,"")</f>
        <v/>
      </c>
      <c r="M127" s="11">
        <f>IFERROR((J127-I127)*1440,"")</f>
        <v/>
      </c>
      <c r="N127" s="11">
        <f>IF(K127="completed",IF(AND(J127&lt;&gt;"",H127&lt;&gt;""),IF(J127&lt;=H127,1,0),""),"")</f>
        <v/>
      </c>
    </row>
    <row r="128">
      <c r="K128" s="10" t="n"/>
      <c r="L128" s="11">
        <f>IFERROR(E128-F128,"")</f>
        <v/>
      </c>
      <c r="M128" s="11">
        <f>IFERROR((J128-I128)*1440,"")</f>
        <v/>
      </c>
      <c r="N128" s="11">
        <f>IF(K128="completed",IF(AND(J128&lt;&gt;"",H128&lt;&gt;""),IF(J128&lt;=H128,1,0),""),"")</f>
        <v/>
      </c>
    </row>
    <row r="129">
      <c r="K129" s="10" t="n"/>
      <c r="L129" s="11">
        <f>IFERROR(E129-F129,"")</f>
        <v/>
      </c>
      <c r="M129" s="11">
        <f>IFERROR((J129-I129)*1440,"")</f>
        <v/>
      </c>
      <c r="N129" s="11">
        <f>IF(K129="completed",IF(AND(J129&lt;&gt;"",H129&lt;&gt;""),IF(J129&lt;=H129,1,0),""),"")</f>
        <v/>
      </c>
    </row>
    <row r="130">
      <c r="K130" s="10" t="n"/>
      <c r="L130" s="11">
        <f>IFERROR(E130-F130,"")</f>
        <v/>
      </c>
      <c r="M130" s="11">
        <f>IFERROR((J130-I130)*1440,"")</f>
        <v/>
      </c>
      <c r="N130" s="11">
        <f>IF(K130="completed",IF(AND(J130&lt;&gt;"",H130&lt;&gt;""),IF(J130&lt;=H130,1,0),""),"")</f>
        <v/>
      </c>
    </row>
    <row r="131">
      <c r="K131" s="10" t="n"/>
      <c r="L131" s="11">
        <f>IFERROR(E131-F131,"")</f>
        <v/>
      </c>
      <c r="M131" s="11">
        <f>IFERROR((J131-I131)*1440,"")</f>
        <v/>
      </c>
      <c r="N131" s="11">
        <f>IF(K131="completed",IF(AND(J131&lt;&gt;"",H131&lt;&gt;""),IF(J131&lt;=H131,1,0),""),"")</f>
        <v/>
      </c>
    </row>
    <row r="132">
      <c r="K132" s="10" t="n"/>
      <c r="L132" s="11">
        <f>IFERROR(E132-F132,"")</f>
        <v/>
      </c>
      <c r="M132" s="11">
        <f>IFERROR((J132-I132)*1440,"")</f>
        <v/>
      </c>
      <c r="N132" s="11">
        <f>IF(K132="completed",IF(AND(J132&lt;&gt;"",H132&lt;&gt;""),IF(J132&lt;=H132,1,0),""),"")</f>
        <v/>
      </c>
    </row>
    <row r="133">
      <c r="K133" s="10" t="n"/>
      <c r="L133" s="11">
        <f>IFERROR(E133-F133,"")</f>
        <v/>
      </c>
      <c r="M133" s="11">
        <f>IFERROR((J133-I133)*1440,"")</f>
        <v/>
      </c>
      <c r="N133" s="11">
        <f>IF(K133="completed",IF(AND(J133&lt;&gt;"",H133&lt;&gt;""),IF(J133&lt;=H133,1,0),""),"")</f>
        <v/>
      </c>
    </row>
    <row r="134">
      <c r="K134" s="10" t="n"/>
      <c r="L134" s="11">
        <f>IFERROR(E134-F134,"")</f>
        <v/>
      </c>
      <c r="M134" s="11">
        <f>IFERROR((J134-I134)*1440,"")</f>
        <v/>
      </c>
      <c r="N134" s="11">
        <f>IF(K134="completed",IF(AND(J134&lt;&gt;"",H134&lt;&gt;""),IF(J134&lt;=H134,1,0),""),"")</f>
        <v/>
      </c>
    </row>
    <row r="135">
      <c r="K135" s="10" t="n"/>
      <c r="L135" s="11">
        <f>IFERROR(E135-F135,"")</f>
        <v/>
      </c>
      <c r="M135" s="11">
        <f>IFERROR((J135-I135)*1440,"")</f>
        <v/>
      </c>
      <c r="N135" s="11">
        <f>IF(K135="completed",IF(AND(J135&lt;&gt;"",H135&lt;&gt;""),IF(J135&lt;=H135,1,0),""),"")</f>
        <v/>
      </c>
    </row>
    <row r="136">
      <c r="K136" s="10" t="n"/>
      <c r="L136" s="11">
        <f>IFERROR(E136-F136,"")</f>
        <v/>
      </c>
      <c r="M136" s="11">
        <f>IFERROR((J136-I136)*1440,"")</f>
        <v/>
      </c>
      <c r="N136" s="11">
        <f>IF(K136="completed",IF(AND(J136&lt;&gt;"",H136&lt;&gt;""),IF(J136&lt;=H136,1,0),""),"")</f>
        <v/>
      </c>
    </row>
    <row r="137">
      <c r="K137" s="10" t="n"/>
      <c r="L137" s="11">
        <f>IFERROR(E137-F137,"")</f>
        <v/>
      </c>
      <c r="M137" s="11">
        <f>IFERROR((J137-I137)*1440,"")</f>
        <v/>
      </c>
      <c r="N137" s="11">
        <f>IF(K137="completed",IF(AND(J137&lt;&gt;"",H137&lt;&gt;""),IF(J137&lt;=H137,1,0),""),"")</f>
        <v/>
      </c>
    </row>
    <row r="138">
      <c r="K138" s="10" t="n"/>
      <c r="L138" s="11">
        <f>IFERROR(E138-F138,"")</f>
        <v/>
      </c>
      <c r="M138" s="11">
        <f>IFERROR((J138-I138)*1440,"")</f>
        <v/>
      </c>
      <c r="N138" s="11">
        <f>IF(K138="completed",IF(AND(J138&lt;&gt;"",H138&lt;&gt;""),IF(J138&lt;=H138,1,0),""),"")</f>
        <v/>
      </c>
    </row>
    <row r="139">
      <c r="K139" s="10" t="n"/>
      <c r="L139" s="11">
        <f>IFERROR(E139-F139,"")</f>
        <v/>
      </c>
      <c r="M139" s="11">
        <f>IFERROR((J139-I139)*1440,"")</f>
        <v/>
      </c>
      <c r="N139" s="11">
        <f>IF(K139="completed",IF(AND(J139&lt;&gt;"",H139&lt;&gt;""),IF(J139&lt;=H139,1,0),""),"")</f>
        <v/>
      </c>
    </row>
    <row r="140">
      <c r="K140" s="10" t="n"/>
      <c r="L140" s="11">
        <f>IFERROR(E140-F140,"")</f>
        <v/>
      </c>
      <c r="M140" s="11">
        <f>IFERROR((J140-I140)*1440,"")</f>
        <v/>
      </c>
      <c r="N140" s="11">
        <f>IF(K140="completed",IF(AND(J140&lt;&gt;"",H140&lt;&gt;""),IF(J140&lt;=H140,1,0),""),"")</f>
        <v/>
      </c>
    </row>
    <row r="141">
      <c r="K141" s="10" t="n"/>
      <c r="L141" s="11">
        <f>IFERROR(E141-F141,"")</f>
        <v/>
      </c>
      <c r="M141" s="11">
        <f>IFERROR((J141-I141)*1440,"")</f>
        <v/>
      </c>
      <c r="N141" s="11">
        <f>IF(K141="completed",IF(AND(J141&lt;&gt;"",H141&lt;&gt;""),IF(J141&lt;=H141,1,0),""),"")</f>
        <v/>
      </c>
    </row>
    <row r="142">
      <c r="K142" s="10" t="n"/>
      <c r="L142" s="11">
        <f>IFERROR(E142-F142,"")</f>
        <v/>
      </c>
      <c r="M142" s="11">
        <f>IFERROR((J142-I142)*1440,"")</f>
        <v/>
      </c>
      <c r="N142" s="11">
        <f>IF(K142="completed",IF(AND(J142&lt;&gt;"",H142&lt;&gt;""),IF(J142&lt;=H142,1,0),""),"")</f>
        <v/>
      </c>
    </row>
    <row r="143">
      <c r="K143" s="10" t="n"/>
      <c r="L143" s="11">
        <f>IFERROR(E143-F143,"")</f>
        <v/>
      </c>
      <c r="M143" s="11">
        <f>IFERROR((J143-I143)*1440,"")</f>
        <v/>
      </c>
      <c r="N143" s="11">
        <f>IF(K143="completed",IF(AND(J143&lt;&gt;"",H143&lt;&gt;""),IF(J143&lt;=H143,1,0),""),"")</f>
        <v/>
      </c>
    </row>
    <row r="144">
      <c r="K144" s="10" t="n"/>
      <c r="L144" s="11">
        <f>IFERROR(E144-F144,"")</f>
        <v/>
      </c>
      <c r="M144" s="11">
        <f>IFERROR((J144-I144)*1440,"")</f>
        <v/>
      </c>
      <c r="N144" s="11">
        <f>IF(K144="completed",IF(AND(J144&lt;&gt;"",H144&lt;&gt;""),IF(J144&lt;=H144,1,0),""),"")</f>
        <v/>
      </c>
    </row>
    <row r="145">
      <c r="K145" s="10" t="n"/>
      <c r="L145" s="11">
        <f>IFERROR(E145-F145,"")</f>
        <v/>
      </c>
      <c r="M145" s="11">
        <f>IFERROR((J145-I145)*1440,"")</f>
        <v/>
      </c>
      <c r="N145" s="11">
        <f>IF(K145="completed",IF(AND(J145&lt;&gt;"",H145&lt;&gt;""),IF(J145&lt;=H145,1,0),""),"")</f>
        <v/>
      </c>
    </row>
    <row r="146">
      <c r="K146" s="10" t="n"/>
      <c r="L146" s="11">
        <f>IFERROR(E146-F146,"")</f>
        <v/>
      </c>
      <c r="M146" s="11">
        <f>IFERROR((J146-I146)*1440,"")</f>
        <v/>
      </c>
      <c r="N146" s="11">
        <f>IF(K146="completed",IF(AND(J146&lt;&gt;"",H146&lt;&gt;""),IF(J146&lt;=H146,1,0),""),"")</f>
        <v/>
      </c>
    </row>
    <row r="147">
      <c r="K147" s="10" t="n"/>
      <c r="L147" s="11">
        <f>IFERROR(E147-F147,"")</f>
        <v/>
      </c>
      <c r="M147" s="11">
        <f>IFERROR((J147-I147)*1440,"")</f>
        <v/>
      </c>
      <c r="N147" s="11">
        <f>IF(K147="completed",IF(AND(J147&lt;&gt;"",H147&lt;&gt;""),IF(J147&lt;=H147,1,0),""),"")</f>
        <v/>
      </c>
    </row>
    <row r="148">
      <c r="K148" s="10" t="n"/>
      <c r="L148" s="11">
        <f>IFERROR(E148-F148,"")</f>
        <v/>
      </c>
      <c r="M148" s="11">
        <f>IFERROR((J148-I148)*1440,"")</f>
        <v/>
      </c>
      <c r="N148" s="11">
        <f>IF(K148="completed",IF(AND(J148&lt;&gt;"",H148&lt;&gt;""),IF(J148&lt;=H148,1,0),""),"")</f>
        <v/>
      </c>
    </row>
    <row r="149">
      <c r="K149" s="10" t="n"/>
      <c r="L149" s="11">
        <f>IFERROR(E149-F149,"")</f>
        <v/>
      </c>
      <c r="M149" s="11">
        <f>IFERROR((J149-I149)*1440,"")</f>
        <v/>
      </c>
      <c r="N149" s="11">
        <f>IF(K149="completed",IF(AND(J149&lt;&gt;"",H149&lt;&gt;""),IF(J149&lt;=H149,1,0),""),"")</f>
        <v/>
      </c>
    </row>
    <row r="150">
      <c r="K150" s="10" t="n"/>
      <c r="L150" s="11">
        <f>IFERROR(E150-F150,"")</f>
        <v/>
      </c>
      <c r="M150" s="11">
        <f>IFERROR((J150-I150)*1440,"")</f>
        <v/>
      </c>
      <c r="N150" s="11">
        <f>IF(K150="completed",IF(AND(J150&lt;&gt;"",H150&lt;&gt;""),IF(J150&lt;=H150,1,0),""),"")</f>
        <v/>
      </c>
    </row>
    <row r="151">
      <c r="K151" s="10" t="n"/>
      <c r="L151" s="11">
        <f>IFERROR(E151-F151,"")</f>
        <v/>
      </c>
      <c r="M151" s="11">
        <f>IFERROR((J151-I151)*1440,"")</f>
        <v/>
      </c>
      <c r="N151" s="11">
        <f>IF(K151="completed",IF(AND(J151&lt;&gt;"",H151&lt;&gt;""),IF(J151&lt;=H151,1,0),""),"")</f>
        <v/>
      </c>
    </row>
    <row r="152">
      <c r="K152" s="10" t="n"/>
      <c r="L152" s="11">
        <f>IFERROR(E152-F152,"")</f>
        <v/>
      </c>
      <c r="M152" s="11">
        <f>IFERROR((J152-I152)*1440,"")</f>
        <v/>
      </c>
      <c r="N152" s="11">
        <f>IF(K152="completed",IF(AND(J152&lt;&gt;"",H152&lt;&gt;""),IF(J152&lt;=H152,1,0),""),"")</f>
        <v/>
      </c>
    </row>
    <row r="153">
      <c r="K153" s="10" t="n"/>
      <c r="L153" s="11">
        <f>IFERROR(E153-F153,"")</f>
        <v/>
      </c>
      <c r="M153" s="11">
        <f>IFERROR((J153-I153)*1440,"")</f>
        <v/>
      </c>
      <c r="N153" s="11">
        <f>IF(K153="completed",IF(AND(J153&lt;&gt;"",H153&lt;&gt;""),IF(J153&lt;=H153,1,0),""),"")</f>
        <v/>
      </c>
    </row>
    <row r="154">
      <c r="K154" s="10" t="n"/>
      <c r="L154" s="11">
        <f>IFERROR(E154-F154,"")</f>
        <v/>
      </c>
      <c r="M154" s="11">
        <f>IFERROR((J154-I154)*1440,"")</f>
        <v/>
      </c>
      <c r="N154" s="11">
        <f>IF(K154="completed",IF(AND(J154&lt;&gt;"",H154&lt;&gt;""),IF(J154&lt;=H154,1,0),""),"")</f>
        <v/>
      </c>
    </row>
    <row r="155">
      <c r="K155" s="10" t="n"/>
      <c r="L155" s="11">
        <f>IFERROR(E155-F155,"")</f>
        <v/>
      </c>
      <c r="M155" s="11">
        <f>IFERROR((J155-I155)*1440,"")</f>
        <v/>
      </c>
      <c r="N155" s="11">
        <f>IF(K155="completed",IF(AND(J155&lt;&gt;"",H155&lt;&gt;""),IF(J155&lt;=H155,1,0),""),"")</f>
        <v/>
      </c>
    </row>
    <row r="156">
      <c r="K156" s="10" t="n"/>
      <c r="L156" s="11">
        <f>IFERROR(E156-F156,"")</f>
        <v/>
      </c>
      <c r="M156" s="11">
        <f>IFERROR((J156-I156)*1440,"")</f>
        <v/>
      </c>
      <c r="N156" s="11">
        <f>IF(K156="completed",IF(AND(J156&lt;&gt;"",H156&lt;&gt;""),IF(J156&lt;=H156,1,0),""),"")</f>
        <v/>
      </c>
    </row>
    <row r="157">
      <c r="K157" s="10" t="n"/>
      <c r="L157" s="11">
        <f>IFERROR(E157-F157,"")</f>
        <v/>
      </c>
      <c r="M157" s="11">
        <f>IFERROR((J157-I157)*1440,"")</f>
        <v/>
      </c>
      <c r="N157" s="11">
        <f>IF(K157="completed",IF(AND(J157&lt;&gt;"",H157&lt;&gt;""),IF(J157&lt;=H157,1,0),""),"")</f>
        <v/>
      </c>
    </row>
    <row r="158">
      <c r="K158" s="10" t="n"/>
      <c r="L158" s="11">
        <f>IFERROR(E158-F158,"")</f>
        <v/>
      </c>
      <c r="M158" s="11">
        <f>IFERROR((J158-I158)*1440,"")</f>
        <v/>
      </c>
      <c r="N158" s="11">
        <f>IF(K158="completed",IF(AND(J158&lt;&gt;"",H158&lt;&gt;""),IF(J158&lt;=H158,1,0),""),"")</f>
        <v/>
      </c>
    </row>
    <row r="159">
      <c r="K159" s="10" t="n"/>
      <c r="L159" s="11">
        <f>IFERROR(E159-F159,"")</f>
        <v/>
      </c>
      <c r="M159" s="11">
        <f>IFERROR((J159-I159)*1440,"")</f>
        <v/>
      </c>
      <c r="N159" s="11">
        <f>IF(K159="completed",IF(AND(J159&lt;&gt;"",H159&lt;&gt;""),IF(J159&lt;=H159,1,0),""),"")</f>
        <v/>
      </c>
    </row>
    <row r="160">
      <c r="K160" s="10" t="n"/>
      <c r="L160" s="11">
        <f>IFERROR(E160-F160,"")</f>
        <v/>
      </c>
      <c r="M160" s="11">
        <f>IFERROR((J160-I160)*1440,"")</f>
        <v/>
      </c>
      <c r="N160" s="11">
        <f>IF(K160="completed",IF(AND(J160&lt;&gt;"",H160&lt;&gt;""),IF(J160&lt;=H160,1,0),""),"")</f>
        <v/>
      </c>
    </row>
    <row r="161">
      <c r="K161" s="10" t="n"/>
      <c r="L161" s="11">
        <f>IFERROR(E161-F161,"")</f>
        <v/>
      </c>
      <c r="M161" s="11">
        <f>IFERROR((J161-I161)*1440,"")</f>
        <v/>
      </c>
      <c r="N161" s="11">
        <f>IF(K161="completed",IF(AND(J161&lt;&gt;"",H161&lt;&gt;""),IF(J161&lt;=H161,1,0),""),"")</f>
        <v/>
      </c>
    </row>
    <row r="162">
      <c r="K162" s="10" t="n"/>
      <c r="L162" s="11">
        <f>IFERROR(E162-F162,"")</f>
        <v/>
      </c>
      <c r="M162" s="11">
        <f>IFERROR((J162-I162)*1440,"")</f>
        <v/>
      </c>
      <c r="N162" s="11">
        <f>IF(K162="completed",IF(AND(J162&lt;&gt;"",H162&lt;&gt;""),IF(J162&lt;=H162,1,0),""),"")</f>
        <v/>
      </c>
    </row>
    <row r="163">
      <c r="K163" s="10" t="n"/>
      <c r="L163" s="11">
        <f>IFERROR(E163-F163,"")</f>
        <v/>
      </c>
      <c r="M163" s="11">
        <f>IFERROR((J163-I163)*1440,"")</f>
        <v/>
      </c>
      <c r="N163" s="11">
        <f>IF(K163="completed",IF(AND(J163&lt;&gt;"",H163&lt;&gt;""),IF(J163&lt;=H163,1,0),""),"")</f>
        <v/>
      </c>
    </row>
    <row r="164">
      <c r="K164" s="10" t="n"/>
      <c r="L164" s="11">
        <f>IFERROR(E164-F164,"")</f>
        <v/>
      </c>
      <c r="M164" s="11">
        <f>IFERROR((J164-I164)*1440,"")</f>
        <v/>
      </c>
      <c r="N164" s="11">
        <f>IF(K164="completed",IF(AND(J164&lt;&gt;"",H164&lt;&gt;""),IF(J164&lt;=H164,1,0),""),"")</f>
        <v/>
      </c>
    </row>
    <row r="165">
      <c r="K165" s="10" t="n"/>
      <c r="L165" s="11">
        <f>IFERROR(E165-F165,"")</f>
        <v/>
      </c>
      <c r="M165" s="11">
        <f>IFERROR((J165-I165)*1440,"")</f>
        <v/>
      </c>
      <c r="N165" s="11">
        <f>IF(K165="completed",IF(AND(J165&lt;&gt;"",H165&lt;&gt;""),IF(J165&lt;=H165,1,0),""),"")</f>
        <v/>
      </c>
    </row>
    <row r="166">
      <c r="K166" s="10" t="n"/>
      <c r="L166" s="11">
        <f>IFERROR(E166-F166,"")</f>
        <v/>
      </c>
      <c r="M166" s="11">
        <f>IFERROR((J166-I166)*1440,"")</f>
        <v/>
      </c>
      <c r="N166" s="11">
        <f>IF(K166="completed",IF(AND(J166&lt;&gt;"",H166&lt;&gt;""),IF(J166&lt;=H166,1,0),""),"")</f>
        <v/>
      </c>
    </row>
    <row r="167">
      <c r="K167" s="10" t="n"/>
      <c r="L167" s="11">
        <f>IFERROR(E167-F167,"")</f>
        <v/>
      </c>
      <c r="M167" s="11">
        <f>IFERROR((J167-I167)*1440,"")</f>
        <v/>
      </c>
      <c r="N167" s="11">
        <f>IF(K167="completed",IF(AND(J167&lt;&gt;"",H167&lt;&gt;""),IF(J167&lt;=H167,1,0),""),"")</f>
        <v/>
      </c>
    </row>
    <row r="168">
      <c r="K168" s="10" t="n"/>
      <c r="L168" s="11">
        <f>IFERROR(E168-F168,"")</f>
        <v/>
      </c>
      <c r="M168" s="11">
        <f>IFERROR((J168-I168)*1440,"")</f>
        <v/>
      </c>
      <c r="N168" s="11">
        <f>IF(K168="completed",IF(AND(J168&lt;&gt;"",H168&lt;&gt;""),IF(J168&lt;=H168,1,0),""),"")</f>
        <v/>
      </c>
    </row>
    <row r="169">
      <c r="K169" s="10" t="n"/>
      <c r="L169" s="11">
        <f>IFERROR(E169-F169,"")</f>
        <v/>
      </c>
      <c r="M169" s="11">
        <f>IFERROR((J169-I169)*1440,"")</f>
        <v/>
      </c>
      <c r="N169" s="11">
        <f>IF(K169="completed",IF(AND(J169&lt;&gt;"",H169&lt;&gt;""),IF(J169&lt;=H169,1,0),""),"")</f>
        <v/>
      </c>
    </row>
    <row r="170">
      <c r="K170" s="10" t="n"/>
      <c r="L170" s="11">
        <f>IFERROR(E170-F170,"")</f>
        <v/>
      </c>
      <c r="M170" s="11">
        <f>IFERROR((J170-I170)*1440,"")</f>
        <v/>
      </c>
      <c r="N170" s="11">
        <f>IF(K170="completed",IF(AND(J170&lt;&gt;"",H170&lt;&gt;""),IF(J170&lt;=H170,1,0),""),"")</f>
        <v/>
      </c>
    </row>
    <row r="171">
      <c r="K171" s="10" t="n"/>
      <c r="L171" s="11">
        <f>IFERROR(E171-F171,"")</f>
        <v/>
      </c>
      <c r="M171" s="11">
        <f>IFERROR((J171-I171)*1440,"")</f>
        <v/>
      </c>
      <c r="N171" s="11">
        <f>IF(K171="completed",IF(AND(J171&lt;&gt;"",H171&lt;&gt;""),IF(J171&lt;=H171,1,0),""),"")</f>
        <v/>
      </c>
    </row>
    <row r="172">
      <c r="K172" s="10" t="n"/>
      <c r="L172" s="11">
        <f>IFERROR(E172-F172,"")</f>
        <v/>
      </c>
      <c r="M172" s="11">
        <f>IFERROR((J172-I172)*1440,"")</f>
        <v/>
      </c>
      <c r="N172" s="11">
        <f>IF(K172="completed",IF(AND(J172&lt;&gt;"",H172&lt;&gt;""),IF(J172&lt;=H172,1,0),""),"")</f>
        <v/>
      </c>
    </row>
    <row r="173">
      <c r="K173" s="10" t="n"/>
      <c r="L173" s="11">
        <f>IFERROR(E173-F173,"")</f>
        <v/>
      </c>
      <c r="M173" s="11">
        <f>IFERROR((J173-I173)*1440,"")</f>
        <v/>
      </c>
      <c r="N173" s="11">
        <f>IF(K173="completed",IF(AND(J173&lt;&gt;"",H173&lt;&gt;""),IF(J173&lt;=H173,1,0),""),"")</f>
        <v/>
      </c>
    </row>
    <row r="174">
      <c r="K174" s="10" t="n"/>
      <c r="L174" s="11">
        <f>IFERROR(E174-F174,"")</f>
        <v/>
      </c>
      <c r="M174" s="11">
        <f>IFERROR((J174-I174)*1440,"")</f>
        <v/>
      </c>
      <c r="N174" s="11">
        <f>IF(K174="completed",IF(AND(J174&lt;&gt;"",H174&lt;&gt;""),IF(J174&lt;=H174,1,0),""),"")</f>
        <v/>
      </c>
    </row>
    <row r="175">
      <c r="K175" s="10" t="n"/>
      <c r="L175" s="11">
        <f>IFERROR(E175-F175,"")</f>
        <v/>
      </c>
      <c r="M175" s="11">
        <f>IFERROR((J175-I175)*1440,"")</f>
        <v/>
      </c>
      <c r="N175" s="11">
        <f>IF(K175="completed",IF(AND(J175&lt;&gt;"",H175&lt;&gt;""),IF(J175&lt;=H175,1,0),""),"")</f>
        <v/>
      </c>
    </row>
    <row r="176">
      <c r="K176" s="10" t="n"/>
      <c r="L176" s="11">
        <f>IFERROR(E176-F176,"")</f>
        <v/>
      </c>
      <c r="M176" s="11">
        <f>IFERROR((J176-I176)*1440,"")</f>
        <v/>
      </c>
      <c r="N176" s="11">
        <f>IF(K176="completed",IF(AND(J176&lt;&gt;"",H176&lt;&gt;""),IF(J176&lt;=H176,1,0),""),"")</f>
        <v/>
      </c>
    </row>
    <row r="177">
      <c r="K177" s="10" t="n"/>
      <c r="L177" s="11">
        <f>IFERROR(E177-F177,"")</f>
        <v/>
      </c>
      <c r="M177" s="11">
        <f>IFERROR((J177-I177)*1440,"")</f>
        <v/>
      </c>
      <c r="N177" s="11">
        <f>IF(K177="completed",IF(AND(J177&lt;&gt;"",H177&lt;&gt;""),IF(J177&lt;=H177,1,0),""),"")</f>
        <v/>
      </c>
    </row>
    <row r="178">
      <c r="K178" s="10" t="n"/>
      <c r="L178" s="11">
        <f>IFERROR(E178-F178,"")</f>
        <v/>
      </c>
      <c r="M178" s="11">
        <f>IFERROR((J178-I178)*1440,"")</f>
        <v/>
      </c>
      <c r="N178" s="11">
        <f>IF(K178="completed",IF(AND(J178&lt;&gt;"",H178&lt;&gt;""),IF(J178&lt;=H178,1,0),""),"")</f>
        <v/>
      </c>
    </row>
    <row r="179">
      <c r="K179" s="10" t="n"/>
      <c r="L179" s="11">
        <f>IFERROR(E179-F179,"")</f>
        <v/>
      </c>
      <c r="M179" s="11">
        <f>IFERROR((J179-I179)*1440,"")</f>
        <v/>
      </c>
      <c r="N179" s="11">
        <f>IF(K179="completed",IF(AND(J179&lt;&gt;"",H179&lt;&gt;""),IF(J179&lt;=H179,1,0),""),"")</f>
        <v/>
      </c>
    </row>
    <row r="180">
      <c r="K180" s="10" t="n"/>
      <c r="L180" s="11">
        <f>IFERROR(E180-F180,"")</f>
        <v/>
      </c>
      <c r="M180" s="11">
        <f>IFERROR((J180-I180)*1440,"")</f>
        <v/>
      </c>
      <c r="N180" s="11">
        <f>IF(K180="completed",IF(AND(J180&lt;&gt;"",H180&lt;&gt;""),IF(J180&lt;=H180,1,0),""),"")</f>
        <v/>
      </c>
    </row>
    <row r="181">
      <c r="K181" s="10" t="n"/>
      <c r="L181" s="11">
        <f>IFERROR(E181-F181,"")</f>
        <v/>
      </c>
      <c r="M181" s="11">
        <f>IFERROR((J181-I181)*1440,"")</f>
        <v/>
      </c>
      <c r="N181" s="11">
        <f>IF(K181="completed",IF(AND(J181&lt;&gt;"",H181&lt;&gt;""),IF(J181&lt;=H181,1,0),""),"")</f>
        <v/>
      </c>
    </row>
    <row r="182">
      <c r="K182" s="10" t="n"/>
      <c r="L182" s="11">
        <f>IFERROR(E182-F182,"")</f>
        <v/>
      </c>
      <c r="M182" s="11">
        <f>IFERROR((J182-I182)*1440,"")</f>
        <v/>
      </c>
      <c r="N182" s="11">
        <f>IF(K182="completed",IF(AND(J182&lt;&gt;"",H182&lt;&gt;""),IF(J182&lt;=H182,1,0),""),"")</f>
        <v/>
      </c>
    </row>
    <row r="183">
      <c r="K183" s="10" t="n"/>
      <c r="L183" s="11">
        <f>IFERROR(E183-F183,"")</f>
        <v/>
      </c>
      <c r="M183" s="11">
        <f>IFERROR((J183-I183)*1440,"")</f>
        <v/>
      </c>
      <c r="N183" s="11">
        <f>IF(K183="completed",IF(AND(J183&lt;&gt;"",H183&lt;&gt;""),IF(J183&lt;=H183,1,0),""),"")</f>
        <v/>
      </c>
    </row>
    <row r="184">
      <c r="K184" s="10" t="n"/>
      <c r="L184" s="11">
        <f>IFERROR(E184-F184,"")</f>
        <v/>
      </c>
      <c r="M184" s="11">
        <f>IFERROR((J184-I184)*1440,"")</f>
        <v/>
      </c>
      <c r="N184" s="11">
        <f>IF(K184="completed",IF(AND(J184&lt;&gt;"",H184&lt;&gt;""),IF(J184&lt;=H184,1,0),""),"")</f>
        <v/>
      </c>
    </row>
    <row r="185">
      <c r="K185" s="10" t="n"/>
      <c r="L185" s="11">
        <f>IFERROR(E185-F185,"")</f>
        <v/>
      </c>
      <c r="M185" s="11">
        <f>IFERROR((J185-I185)*1440,"")</f>
        <v/>
      </c>
      <c r="N185" s="11">
        <f>IF(K185="completed",IF(AND(J185&lt;&gt;"",H185&lt;&gt;""),IF(J185&lt;=H185,1,0),""),"")</f>
        <v/>
      </c>
    </row>
    <row r="186">
      <c r="K186" s="10" t="n"/>
      <c r="L186" s="11">
        <f>IFERROR(E186-F186,"")</f>
        <v/>
      </c>
      <c r="M186" s="11">
        <f>IFERROR((J186-I186)*1440,"")</f>
        <v/>
      </c>
      <c r="N186" s="11">
        <f>IF(K186="completed",IF(AND(J186&lt;&gt;"",H186&lt;&gt;""),IF(J186&lt;=H186,1,0),""),"")</f>
        <v/>
      </c>
    </row>
    <row r="187">
      <c r="K187" s="10" t="n"/>
      <c r="L187" s="11">
        <f>IFERROR(E187-F187,"")</f>
        <v/>
      </c>
      <c r="M187" s="11">
        <f>IFERROR((J187-I187)*1440,"")</f>
        <v/>
      </c>
      <c r="N187" s="11">
        <f>IF(K187="completed",IF(AND(J187&lt;&gt;"",H187&lt;&gt;""),IF(J187&lt;=H187,1,0),""),"")</f>
        <v/>
      </c>
    </row>
    <row r="188">
      <c r="K188" s="10" t="n"/>
      <c r="L188" s="11">
        <f>IFERROR(E188-F188,"")</f>
        <v/>
      </c>
      <c r="M188" s="11">
        <f>IFERROR((J188-I188)*1440,"")</f>
        <v/>
      </c>
      <c r="N188" s="11">
        <f>IF(K188="completed",IF(AND(J188&lt;&gt;"",H188&lt;&gt;""),IF(J188&lt;=H188,1,0),""),"")</f>
        <v/>
      </c>
    </row>
    <row r="189">
      <c r="K189" s="10" t="n"/>
      <c r="L189" s="11">
        <f>IFERROR(E189-F189,"")</f>
        <v/>
      </c>
      <c r="M189" s="11">
        <f>IFERROR((J189-I189)*1440,"")</f>
        <v/>
      </c>
      <c r="N189" s="11">
        <f>IF(K189="completed",IF(AND(J189&lt;&gt;"",H189&lt;&gt;""),IF(J189&lt;=H189,1,0),""),"")</f>
        <v/>
      </c>
    </row>
    <row r="190">
      <c r="K190" s="10" t="n"/>
      <c r="L190" s="11">
        <f>IFERROR(E190-F190,"")</f>
        <v/>
      </c>
      <c r="M190" s="11">
        <f>IFERROR((J190-I190)*1440,"")</f>
        <v/>
      </c>
      <c r="N190" s="11">
        <f>IF(K190="completed",IF(AND(J190&lt;&gt;"",H190&lt;&gt;""),IF(J190&lt;=H190,1,0),""),"")</f>
        <v/>
      </c>
    </row>
    <row r="191">
      <c r="K191" s="10" t="n"/>
      <c r="L191" s="11">
        <f>IFERROR(E191-F191,"")</f>
        <v/>
      </c>
      <c r="M191" s="11">
        <f>IFERROR((J191-I191)*1440,"")</f>
        <v/>
      </c>
      <c r="N191" s="11">
        <f>IF(K191="completed",IF(AND(J191&lt;&gt;"",H191&lt;&gt;""),IF(J191&lt;=H191,1,0),""),"")</f>
        <v/>
      </c>
    </row>
    <row r="192">
      <c r="K192" s="10" t="n"/>
      <c r="L192" s="11">
        <f>IFERROR(E192-F192,"")</f>
        <v/>
      </c>
      <c r="M192" s="11">
        <f>IFERROR((J192-I192)*1440,"")</f>
        <v/>
      </c>
      <c r="N192" s="11">
        <f>IF(K192="completed",IF(AND(J192&lt;&gt;"",H192&lt;&gt;""),IF(J192&lt;=H192,1,0),""),"")</f>
        <v/>
      </c>
    </row>
    <row r="193">
      <c r="K193" s="10" t="n"/>
      <c r="L193" s="11">
        <f>IFERROR(E193-F193,"")</f>
        <v/>
      </c>
      <c r="M193" s="11">
        <f>IFERROR((J193-I193)*1440,"")</f>
        <v/>
      </c>
      <c r="N193" s="11">
        <f>IF(K193="completed",IF(AND(J193&lt;&gt;"",H193&lt;&gt;""),IF(J193&lt;=H193,1,0),""),"")</f>
        <v/>
      </c>
    </row>
    <row r="194">
      <c r="K194" s="10" t="n"/>
      <c r="L194" s="11">
        <f>IFERROR(E194-F194,"")</f>
        <v/>
      </c>
      <c r="M194" s="11">
        <f>IFERROR((J194-I194)*1440,"")</f>
        <v/>
      </c>
      <c r="N194" s="11">
        <f>IF(K194="completed",IF(AND(J194&lt;&gt;"",H194&lt;&gt;""),IF(J194&lt;=H194,1,0),""),"")</f>
        <v/>
      </c>
    </row>
    <row r="195">
      <c r="K195" s="10" t="n"/>
      <c r="L195" s="11">
        <f>IFERROR(E195-F195,"")</f>
        <v/>
      </c>
      <c r="M195" s="11">
        <f>IFERROR((J195-I195)*1440,"")</f>
        <v/>
      </c>
      <c r="N195" s="11">
        <f>IF(K195="completed",IF(AND(J195&lt;&gt;"",H195&lt;&gt;""),IF(J195&lt;=H195,1,0),""),"")</f>
        <v/>
      </c>
    </row>
    <row r="196">
      <c r="K196" s="10" t="n"/>
      <c r="L196" s="11">
        <f>IFERROR(E196-F196,"")</f>
        <v/>
      </c>
      <c r="M196" s="11">
        <f>IFERROR((J196-I196)*1440,"")</f>
        <v/>
      </c>
      <c r="N196" s="11">
        <f>IF(K196="completed",IF(AND(J196&lt;&gt;"",H196&lt;&gt;""),IF(J196&lt;=H196,1,0),""),"")</f>
        <v/>
      </c>
    </row>
    <row r="197">
      <c r="K197" s="10" t="n"/>
      <c r="L197" s="11">
        <f>IFERROR(E197-F197,"")</f>
        <v/>
      </c>
      <c r="M197" s="11">
        <f>IFERROR((J197-I197)*1440,"")</f>
        <v/>
      </c>
      <c r="N197" s="11">
        <f>IF(K197="completed",IF(AND(J197&lt;&gt;"",H197&lt;&gt;""),IF(J197&lt;=H197,1,0),""),"")</f>
        <v/>
      </c>
    </row>
    <row r="198">
      <c r="K198" s="10" t="n"/>
      <c r="L198" s="11">
        <f>IFERROR(E198-F198,"")</f>
        <v/>
      </c>
      <c r="M198" s="11">
        <f>IFERROR((J198-I198)*1440,"")</f>
        <v/>
      </c>
      <c r="N198" s="11">
        <f>IF(K198="completed",IF(AND(J198&lt;&gt;"",H198&lt;&gt;""),IF(J198&lt;=H198,1,0),""),"")</f>
        <v/>
      </c>
    </row>
    <row r="199">
      <c r="K199" s="10" t="n"/>
      <c r="L199" s="11">
        <f>IFERROR(E199-F199,"")</f>
        <v/>
      </c>
      <c r="M199" s="11">
        <f>IFERROR((J199-I199)*1440,"")</f>
        <v/>
      </c>
      <c r="N199" s="11">
        <f>IF(K199="completed",IF(AND(J199&lt;&gt;"",H199&lt;&gt;""),IF(J199&lt;=H199,1,0),""),"")</f>
        <v/>
      </c>
    </row>
    <row r="200">
      <c r="K200" s="10" t="n"/>
      <c r="L200" s="11">
        <f>IFERROR(E200-F200,"")</f>
        <v/>
      </c>
      <c r="M200" s="11">
        <f>IFERROR((J200-I200)*1440,"")</f>
        <v/>
      </c>
      <c r="N200" s="11">
        <f>IF(K200="completed",IF(AND(J200&lt;&gt;"",H200&lt;&gt;""),IF(J200&lt;=H200,1,0),""),"")</f>
        <v/>
      </c>
    </row>
    <row r="201">
      <c r="K201" s="10" t="n"/>
      <c r="L201" s="11">
        <f>IFERROR(E201-F201,"")</f>
        <v/>
      </c>
      <c r="M201" s="11">
        <f>IFERROR((J201-I201)*1440,"")</f>
        <v/>
      </c>
      <c r="N201" s="11">
        <f>IF(K201="completed",IF(AND(J201&lt;&gt;"",H201&lt;&gt;""),IF(J201&lt;=H201,1,0),""),"")</f>
        <v/>
      </c>
    </row>
    <row r="202">
      <c r="K202" s="10" t="n"/>
      <c r="L202" s="11">
        <f>IFERROR(E202-F202,"")</f>
        <v/>
      </c>
      <c r="M202" s="11">
        <f>IFERROR((J202-I202)*1440,"")</f>
        <v/>
      </c>
      <c r="N202" s="11">
        <f>IF(K202="completed",IF(AND(J202&lt;&gt;"",H202&lt;&gt;""),IF(J202&lt;=H202,1,0),""),"")</f>
        <v/>
      </c>
    </row>
    <row r="203">
      <c r="K203" s="10" t="n"/>
      <c r="L203" s="11">
        <f>IFERROR(E203-F203,"")</f>
        <v/>
      </c>
      <c r="M203" s="11">
        <f>IFERROR((J203-I203)*1440,"")</f>
        <v/>
      </c>
      <c r="N203" s="11">
        <f>IF(K203="completed",IF(AND(J203&lt;&gt;"",H203&lt;&gt;""),IF(J203&lt;=H203,1,0),""),"")</f>
        <v/>
      </c>
    </row>
    <row r="204">
      <c r="K204" s="10" t="n"/>
      <c r="L204" s="11">
        <f>IFERROR(E204-F204,"")</f>
        <v/>
      </c>
      <c r="M204" s="11">
        <f>IFERROR((J204-I204)*1440,"")</f>
        <v/>
      </c>
      <c r="N204" s="11">
        <f>IF(K204="completed",IF(AND(J204&lt;&gt;"",H204&lt;&gt;""),IF(J204&lt;=H204,1,0),""),"")</f>
        <v/>
      </c>
    </row>
    <row r="205">
      <c r="K205" s="10" t="n"/>
      <c r="L205" s="11">
        <f>IFERROR(E205-F205,"")</f>
        <v/>
      </c>
      <c r="M205" s="11">
        <f>IFERROR((J205-I205)*1440,"")</f>
        <v/>
      </c>
      <c r="N205" s="11">
        <f>IF(K205="completed",IF(AND(J205&lt;&gt;"",H205&lt;&gt;""),IF(J205&lt;=H205,1,0),""),"")</f>
        <v/>
      </c>
    </row>
    <row r="206">
      <c r="K206" s="10" t="n"/>
      <c r="L206" s="11">
        <f>IFERROR(E206-F206,"")</f>
        <v/>
      </c>
      <c r="M206" s="11">
        <f>IFERROR((J206-I206)*1440,"")</f>
        <v/>
      </c>
      <c r="N206" s="11">
        <f>IF(K206="completed",IF(AND(J206&lt;&gt;"",H206&lt;&gt;""),IF(J206&lt;=H206,1,0),""),"")</f>
        <v/>
      </c>
    </row>
    <row r="207">
      <c r="K207" s="10" t="n"/>
      <c r="L207" s="11">
        <f>IFERROR(E207-F207,"")</f>
        <v/>
      </c>
      <c r="M207" s="11">
        <f>IFERROR((J207-I207)*1440,"")</f>
        <v/>
      </c>
      <c r="N207" s="11">
        <f>IF(K207="completed",IF(AND(J207&lt;&gt;"",H207&lt;&gt;""),IF(J207&lt;=H207,1,0),""),"")</f>
        <v/>
      </c>
    </row>
    <row r="208">
      <c r="K208" s="10" t="n"/>
      <c r="L208" s="11">
        <f>IFERROR(E208-F208,"")</f>
        <v/>
      </c>
      <c r="M208" s="11">
        <f>IFERROR((J208-I208)*1440,"")</f>
        <v/>
      </c>
      <c r="N208" s="11">
        <f>IF(K208="completed",IF(AND(J208&lt;&gt;"",H208&lt;&gt;""),IF(J208&lt;=H208,1,0),""),"")</f>
        <v/>
      </c>
    </row>
    <row r="209">
      <c r="K209" s="10" t="n"/>
      <c r="L209" s="11">
        <f>IFERROR(E209-F209,"")</f>
        <v/>
      </c>
      <c r="M209" s="11">
        <f>IFERROR((J209-I209)*1440,"")</f>
        <v/>
      </c>
      <c r="N209" s="11">
        <f>IF(K209="completed",IF(AND(J209&lt;&gt;"",H209&lt;&gt;""),IF(J209&lt;=H209,1,0),""),"")</f>
        <v/>
      </c>
    </row>
    <row r="210">
      <c r="K210" s="10" t="n"/>
      <c r="L210" s="11">
        <f>IFERROR(E210-F210,"")</f>
        <v/>
      </c>
      <c r="M210" s="11">
        <f>IFERROR((J210-I210)*1440,"")</f>
        <v/>
      </c>
      <c r="N210" s="11">
        <f>IF(K210="completed",IF(AND(J210&lt;&gt;"",H210&lt;&gt;""),IF(J210&lt;=H210,1,0),""),"")</f>
        <v/>
      </c>
    </row>
    <row r="211">
      <c r="K211" s="10" t="n"/>
      <c r="L211" s="11">
        <f>IFERROR(E211-F211,"")</f>
        <v/>
      </c>
      <c r="M211" s="11">
        <f>IFERROR((J211-I211)*1440,"")</f>
        <v/>
      </c>
      <c r="N211" s="11">
        <f>IF(K211="completed",IF(AND(J211&lt;&gt;"",H211&lt;&gt;""),IF(J211&lt;=H211,1,0),""),"")</f>
        <v/>
      </c>
    </row>
    <row r="212">
      <c r="K212" s="10" t="n"/>
      <c r="L212" s="11">
        <f>IFERROR(E212-F212,"")</f>
        <v/>
      </c>
      <c r="M212" s="11">
        <f>IFERROR((J212-I212)*1440,"")</f>
        <v/>
      </c>
      <c r="N212" s="11">
        <f>IF(K212="completed",IF(AND(J212&lt;&gt;"",H212&lt;&gt;""),IF(J212&lt;=H212,1,0),""),"")</f>
        <v/>
      </c>
    </row>
    <row r="213">
      <c r="K213" s="10" t="n"/>
      <c r="L213" s="11">
        <f>IFERROR(E213-F213,"")</f>
        <v/>
      </c>
      <c r="M213" s="11">
        <f>IFERROR((J213-I213)*1440,"")</f>
        <v/>
      </c>
      <c r="N213" s="11">
        <f>IF(K213="completed",IF(AND(J213&lt;&gt;"",H213&lt;&gt;""),IF(J213&lt;=H213,1,0),""),"")</f>
        <v/>
      </c>
    </row>
    <row r="214">
      <c r="K214" s="10" t="n"/>
      <c r="L214" s="11">
        <f>IFERROR(E214-F214,"")</f>
        <v/>
      </c>
      <c r="M214" s="11">
        <f>IFERROR((J214-I214)*1440,"")</f>
        <v/>
      </c>
      <c r="N214" s="11">
        <f>IF(K214="completed",IF(AND(J214&lt;&gt;"",H214&lt;&gt;""),IF(J214&lt;=H214,1,0),""),"")</f>
        <v/>
      </c>
    </row>
    <row r="215">
      <c r="K215" s="10" t="n"/>
      <c r="L215" s="11">
        <f>IFERROR(E215-F215,"")</f>
        <v/>
      </c>
      <c r="M215" s="11">
        <f>IFERROR((J215-I215)*1440,"")</f>
        <v/>
      </c>
      <c r="N215" s="11">
        <f>IF(K215="completed",IF(AND(J215&lt;&gt;"",H215&lt;&gt;""),IF(J215&lt;=H215,1,0),""),"")</f>
        <v/>
      </c>
    </row>
    <row r="216">
      <c r="K216" s="10" t="n"/>
      <c r="L216" s="11">
        <f>IFERROR(E216-F216,"")</f>
        <v/>
      </c>
      <c r="M216" s="11">
        <f>IFERROR((J216-I216)*1440,"")</f>
        <v/>
      </c>
      <c r="N216" s="11">
        <f>IF(K216="completed",IF(AND(J216&lt;&gt;"",H216&lt;&gt;""),IF(J216&lt;=H216,1,0),""),"")</f>
        <v/>
      </c>
    </row>
    <row r="217">
      <c r="K217" s="10" t="n"/>
      <c r="L217" s="11">
        <f>IFERROR(E217-F217,"")</f>
        <v/>
      </c>
      <c r="M217" s="11">
        <f>IFERROR((J217-I217)*1440,"")</f>
        <v/>
      </c>
      <c r="N217" s="11">
        <f>IF(K217="completed",IF(AND(J217&lt;&gt;"",H217&lt;&gt;""),IF(J217&lt;=H217,1,0),""),"")</f>
        <v/>
      </c>
    </row>
    <row r="218">
      <c r="K218" s="10" t="n"/>
      <c r="L218" s="11">
        <f>IFERROR(E218-F218,"")</f>
        <v/>
      </c>
      <c r="M218" s="11">
        <f>IFERROR((J218-I218)*1440,"")</f>
        <v/>
      </c>
      <c r="N218" s="11">
        <f>IF(K218="completed",IF(AND(J218&lt;&gt;"",H218&lt;&gt;""),IF(J218&lt;=H218,1,0),""),"")</f>
        <v/>
      </c>
    </row>
    <row r="219">
      <c r="K219" s="10" t="n"/>
      <c r="L219" s="11">
        <f>IFERROR(E219-F219,"")</f>
        <v/>
      </c>
      <c r="M219" s="11">
        <f>IFERROR((J219-I219)*1440,"")</f>
        <v/>
      </c>
      <c r="N219" s="11">
        <f>IF(K219="completed",IF(AND(J219&lt;&gt;"",H219&lt;&gt;""),IF(J219&lt;=H219,1,0),""),"")</f>
        <v/>
      </c>
    </row>
    <row r="220">
      <c r="K220" s="10" t="n"/>
      <c r="L220" s="11">
        <f>IFERROR(E220-F220,"")</f>
        <v/>
      </c>
      <c r="M220" s="11">
        <f>IFERROR((J220-I220)*1440,"")</f>
        <v/>
      </c>
      <c r="N220" s="11">
        <f>IF(K220="completed",IF(AND(J220&lt;&gt;"",H220&lt;&gt;""),IF(J220&lt;=H220,1,0),""),"")</f>
        <v/>
      </c>
    </row>
    <row r="221">
      <c r="K221" s="10" t="n"/>
      <c r="L221" s="11">
        <f>IFERROR(E221-F221,"")</f>
        <v/>
      </c>
      <c r="M221" s="11">
        <f>IFERROR((J221-I221)*1440,"")</f>
        <v/>
      </c>
      <c r="N221" s="11">
        <f>IF(K221="completed",IF(AND(J221&lt;&gt;"",H221&lt;&gt;""),IF(J221&lt;=H221,1,0),""),"")</f>
        <v/>
      </c>
    </row>
    <row r="222">
      <c r="K222" s="10" t="n"/>
      <c r="L222" s="11">
        <f>IFERROR(E222-F222,"")</f>
        <v/>
      </c>
      <c r="M222" s="11">
        <f>IFERROR((J222-I222)*1440,"")</f>
        <v/>
      </c>
      <c r="N222" s="11">
        <f>IF(K222="completed",IF(AND(J222&lt;&gt;"",H222&lt;&gt;""),IF(J222&lt;=H222,1,0),""),"")</f>
        <v/>
      </c>
    </row>
    <row r="223">
      <c r="K223" s="10" t="n"/>
      <c r="L223" s="11">
        <f>IFERROR(E223-F223,"")</f>
        <v/>
      </c>
      <c r="M223" s="11">
        <f>IFERROR((J223-I223)*1440,"")</f>
        <v/>
      </c>
      <c r="N223" s="11">
        <f>IF(K223="completed",IF(AND(J223&lt;&gt;"",H223&lt;&gt;""),IF(J223&lt;=H223,1,0),""),"")</f>
        <v/>
      </c>
    </row>
    <row r="224">
      <c r="K224" s="10" t="n"/>
      <c r="L224" s="11">
        <f>IFERROR(E224-F224,"")</f>
        <v/>
      </c>
      <c r="M224" s="11">
        <f>IFERROR((J224-I224)*1440,"")</f>
        <v/>
      </c>
      <c r="N224" s="11">
        <f>IF(K224="completed",IF(AND(J224&lt;&gt;"",H224&lt;&gt;""),IF(J224&lt;=H224,1,0),""),"")</f>
        <v/>
      </c>
    </row>
    <row r="225">
      <c r="K225" s="10" t="n"/>
      <c r="L225" s="11">
        <f>IFERROR(E225-F225,"")</f>
        <v/>
      </c>
      <c r="M225" s="11">
        <f>IFERROR((J225-I225)*1440,"")</f>
        <v/>
      </c>
      <c r="N225" s="11">
        <f>IF(K225="completed",IF(AND(J225&lt;&gt;"",H225&lt;&gt;""),IF(J225&lt;=H225,1,0),""),"")</f>
        <v/>
      </c>
    </row>
    <row r="226">
      <c r="K226" s="10" t="n"/>
      <c r="L226" s="11">
        <f>IFERROR(E226-F226,"")</f>
        <v/>
      </c>
      <c r="M226" s="11">
        <f>IFERROR((J226-I226)*1440,"")</f>
        <v/>
      </c>
      <c r="N226" s="11">
        <f>IF(K226="completed",IF(AND(J226&lt;&gt;"",H226&lt;&gt;""),IF(J226&lt;=H226,1,0),""),"")</f>
        <v/>
      </c>
    </row>
    <row r="227">
      <c r="K227" s="10" t="n"/>
      <c r="L227" s="11">
        <f>IFERROR(E227-F227,"")</f>
        <v/>
      </c>
      <c r="M227" s="11">
        <f>IFERROR((J227-I227)*1440,"")</f>
        <v/>
      </c>
      <c r="N227" s="11">
        <f>IF(K227="completed",IF(AND(J227&lt;&gt;"",H227&lt;&gt;""),IF(J227&lt;=H227,1,0),""),"")</f>
        <v/>
      </c>
    </row>
    <row r="228">
      <c r="K228" s="10" t="n"/>
      <c r="L228" s="11">
        <f>IFERROR(E228-F228,"")</f>
        <v/>
      </c>
      <c r="M228" s="11">
        <f>IFERROR((J228-I228)*1440,"")</f>
        <v/>
      </c>
      <c r="N228" s="11">
        <f>IF(K228="completed",IF(AND(J228&lt;&gt;"",H228&lt;&gt;""),IF(J228&lt;=H228,1,0),""),"")</f>
        <v/>
      </c>
    </row>
    <row r="229">
      <c r="K229" s="10" t="n"/>
      <c r="L229" s="11">
        <f>IFERROR(E229-F229,"")</f>
        <v/>
      </c>
      <c r="M229" s="11">
        <f>IFERROR((J229-I229)*1440,"")</f>
        <v/>
      </c>
      <c r="N229" s="11">
        <f>IF(K229="completed",IF(AND(J229&lt;&gt;"",H229&lt;&gt;""),IF(J229&lt;=H229,1,0),""),"")</f>
        <v/>
      </c>
    </row>
    <row r="230">
      <c r="K230" s="10" t="n"/>
      <c r="L230" s="11">
        <f>IFERROR(E230-F230,"")</f>
        <v/>
      </c>
      <c r="M230" s="11">
        <f>IFERROR((J230-I230)*1440,"")</f>
        <v/>
      </c>
      <c r="N230" s="11">
        <f>IF(K230="completed",IF(AND(J230&lt;&gt;"",H230&lt;&gt;""),IF(J230&lt;=H230,1,0),""),"")</f>
        <v/>
      </c>
    </row>
    <row r="231">
      <c r="K231" s="10" t="n"/>
      <c r="L231" s="11">
        <f>IFERROR(E231-F231,"")</f>
        <v/>
      </c>
      <c r="M231" s="11">
        <f>IFERROR((J231-I231)*1440,"")</f>
        <v/>
      </c>
      <c r="N231" s="11">
        <f>IF(K231="completed",IF(AND(J231&lt;&gt;"",H231&lt;&gt;""),IF(J231&lt;=H231,1,0),""),"")</f>
        <v/>
      </c>
    </row>
    <row r="232">
      <c r="K232" s="10" t="n"/>
      <c r="L232" s="11">
        <f>IFERROR(E232-F232,"")</f>
        <v/>
      </c>
      <c r="M232" s="11">
        <f>IFERROR((J232-I232)*1440,"")</f>
        <v/>
      </c>
      <c r="N232" s="11">
        <f>IF(K232="completed",IF(AND(J232&lt;&gt;"",H232&lt;&gt;""),IF(J232&lt;=H232,1,0),""),"")</f>
        <v/>
      </c>
    </row>
    <row r="233">
      <c r="K233" s="10" t="n"/>
      <c r="L233" s="11">
        <f>IFERROR(E233-F233,"")</f>
        <v/>
      </c>
      <c r="M233" s="11">
        <f>IFERROR((J233-I233)*1440,"")</f>
        <v/>
      </c>
      <c r="N233" s="11">
        <f>IF(K233="completed",IF(AND(J233&lt;&gt;"",H233&lt;&gt;""),IF(J233&lt;=H233,1,0),""),"")</f>
        <v/>
      </c>
    </row>
    <row r="234">
      <c r="K234" s="10" t="n"/>
      <c r="L234" s="11">
        <f>IFERROR(E234-F234,"")</f>
        <v/>
      </c>
      <c r="M234" s="11">
        <f>IFERROR((J234-I234)*1440,"")</f>
        <v/>
      </c>
      <c r="N234" s="11">
        <f>IF(K234="completed",IF(AND(J234&lt;&gt;"",H234&lt;&gt;""),IF(J234&lt;=H234,1,0),""),"")</f>
        <v/>
      </c>
    </row>
    <row r="235">
      <c r="K235" s="10" t="n"/>
      <c r="L235" s="11">
        <f>IFERROR(E235-F235,"")</f>
        <v/>
      </c>
      <c r="M235" s="11">
        <f>IFERROR((J235-I235)*1440,"")</f>
        <v/>
      </c>
      <c r="N235" s="11">
        <f>IF(K235="completed",IF(AND(J235&lt;&gt;"",H235&lt;&gt;""),IF(J235&lt;=H235,1,0),""),"")</f>
        <v/>
      </c>
    </row>
    <row r="236">
      <c r="K236" s="10" t="n"/>
      <c r="L236" s="11">
        <f>IFERROR(E236-F236,"")</f>
        <v/>
      </c>
      <c r="M236" s="11">
        <f>IFERROR((J236-I236)*1440,"")</f>
        <v/>
      </c>
      <c r="N236" s="11">
        <f>IF(K236="completed",IF(AND(J236&lt;&gt;"",H236&lt;&gt;""),IF(J236&lt;=H236,1,0),""),"")</f>
        <v/>
      </c>
    </row>
    <row r="237">
      <c r="K237" s="10" t="n"/>
      <c r="L237" s="11">
        <f>IFERROR(E237-F237,"")</f>
        <v/>
      </c>
      <c r="M237" s="11">
        <f>IFERROR((J237-I237)*1440,"")</f>
        <v/>
      </c>
      <c r="N237" s="11">
        <f>IF(K237="completed",IF(AND(J237&lt;&gt;"",H237&lt;&gt;""),IF(J237&lt;=H237,1,0),""),"")</f>
        <v/>
      </c>
    </row>
    <row r="238">
      <c r="K238" s="10" t="n"/>
      <c r="L238" s="11">
        <f>IFERROR(E238-F238,"")</f>
        <v/>
      </c>
      <c r="M238" s="11">
        <f>IFERROR((J238-I238)*1440,"")</f>
        <v/>
      </c>
      <c r="N238" s="11">
        <f>IF(K238="completed",IF(AND(J238&lt;&gt;"",H238&lt;&gt;""),IF(J238&lt;=H238,1,0),""),"")</f>
        <v/>
      </c>
    </row>
    <row r="239">
      <c r="K239" s="10" t="n"/>
      <c r="L239" s="11">
        <f>IFERROR(E239-F239,"")</f>
        <v/>
      </c>
      <c r="M239" s="11">
        <f>IFERROR((J239-I239)*1440,"")</f>
        <v/>
      </c>
      <c r="N239" s="11">
        <f>IF(K239="completed",IF(AND(J239&lt;&gt;"",H239&lt;&gt;""),IF(J239&lt;=H239,1,0),""),"")</f>
        <v/>
      </c>
    </row>
    <row r="240">
      <c r="K240" s="10" t="n"/>
      <c r="L240" s="11">
        <f>IFERROR(E240-F240,"")</f>
        <v/>
      </c>
      <c r="M240" s="11">
        <f>IFERROR((J240-I240)*1440,"")</f>
        <v/>
      </c>
      <c r="N240" s="11">
        <f>IF(K240="completed",IF(AND(J240&lt;&gt;"",H240&lt;&gt;""),IF(J240&lt;=H240,1,0),""),"")</f>
        <v/>
      </c>
    </row>
    <row r="241">
      <c r="K241" s="10" t="n"/>
      <c r="L241" s="11">
        <f>IFERROR(E241-F241,"")</f>
        <v/>
      </c>
      <c r="M241" s="11">
        <f>IFERROR((J241-I241)*1440,"")</f>
        <v/>
      </c>
      <c r="N241" s="11">
        <f>IF(K241="completed",IF(AND(J241&lt;&gt;"",H241&lt;&gt;""),IF(J241&lt;=H241,1,0),""),"")</f>
        <v/>
      </c>
    </row>
    <row r="242">
      <c r="K242" s="10" t="n"/>
      <c r="L242" s="11">
        <f>IFERROR(E242-F242,"")</f>
        <v/>
      </c>
      <c r="M242" s="11">
        <f>IFERROR((J242-I242)*1440,"")</f>
        <v/>
      </c>
      <c r="N242" s="11">
        <f>IF(K242="completed",IF(AND(J242&lt;&gt;"",H242&lt;&gt;""),IF(J242&lt;=H242,1,0),""),"")</f>
        <v/>
      </c>
    </row>
    <row r="243">
      <c r="K243" s="10" t="n"/>
      <c r="L243" s="11">
        <f>IFERROR(E243-F243,"")</f>
        <v/>
      </c>
      <c r="M243" s="11">
        <f>IFERROR((J243-I243)*1440,"")</f>
        <v/>
      </c>
      <c r="N243" s="11">
        <f>IF(K243="completed",IF(AND(J243&lt;&gt;"",H243&lt;&gt;""),IF(J243&lt;=H243,1,0),""),"")</f>
        <v/>
      </c>
    </row>
    <row r="244">
      <c r="K244" s="10" t="n"/>
      <c r="L244" s="11">
        <f>IFERROR(E244-F244,"")</f>
        <v/>
      </c>
      <c r="M244" s="11">
        <f>IFERROR((J244-I244)*1440,"")</f>
        <v/>
      </c>
      <c r="N244" s="11">
        <f>IF(K244="completed",IF(AND(J244&lt;&gt;"",H244&lt;&gt;""),IF(J244&lt;=H244,1,0),""),"")</f>
        <v/>
      </c>
    </row>
    <row r="245">
      <c r="K245" s="10" t="n"/>
      <c r="L245" s="11">
        <f>IFERROR(E245-F245,"")</f>
        <v/>
      </c>
      <c r="M245" s="11">
        <f>IFERROR((J245-I245)*1440,"")</f>
        <v/>
      </c>
      <c r="N245" s="11">
        <f>IF(K245="completed",IF(AND(J245&lt;&gt;"",H245&lt;&gt;""),IF(J245&lt;=H245,1,0),""),"")</f>
        <v/>
      </c>
    </row>
    <row r="246">
      <c r="K246" s="10" t="n"/>
      <c r="L246" s="11">
        <f>IFERROR(E246-F246,"")</f>
        <v/>
      </c>
      <c r="M246" s="11">
        <f>IFERROR((J246-I246)*1440,"")</f>
        <v/>
      </c>
      <c r="N246" s="11">
        <f>IF(K246="completed",IF(AND(J246&lt;&gt;"",H246&lt;&gt;""),IF(J246&lt;=H246,1,0),""),"")</f>
        <v/>
      </c>
    </row>
    <row r="247">
      <c r="K247" s="10" t="n"/>
      <c r="L247" s="11">
        <f>IFERROR(E247-F247,"")</f>
        <v/>
      </c>
      <c r="M247" s="11">
        <f>IFERROR((J247-I247)*1440,"")</f>
        <v/>
      </c>
      <c r="N247" s="11">
        <f>IF(K247="completed",IF(AND(J247&lt;&gt;"",H247&lt;&gt;""),IF(J247&lt;=H247,1,0),""),"")</f>
        <v/>
      </c>
    </row>
    <row r="248">
      <c r="K248" s="10" t="n"/>
      <c r="L248" s="11">
        <f>IFERROR(E248-F248,"")</f>
        <v/>
      </c>
      <c r="M248" s="11">
        <f>IFERROR((J248-I248)*1440,"")</f>
        <v/>
      </c>
      <c r="N248" s="11">
        <f>IF(K248="completed",IF(AND(J248&lt;&gt;"",H248&lt;&gt;""),IF(J248&lt;=H248,1,0),""),"")</f>
        <v/>
      </c>
    </row>
    <row r="249">
      <c r="K249" s="10" t="n"/>
      <c r="L249" s="11">
        <f>IFERROR(E249-F249,"")</f>
        <v/>
      </c>
      <c r="M249" s="11">
        <f>IFERROR((J249-I249)*1440,"")</f>
        <v/>
      </c>
      <c r="N249" s="11">
        <f>IF(K249="completed",IF(AND(J249&lt;&gt;"",H249&lt;&gt;""),IF(J249&lt;=H249,1,0),""),"")</f>
        <v/>
      </c>
    </row>
    <row r="250">
      <c r="K250" s="10" t="n"/>
      <c r="L250" s="11">
        <f>IFERROR(E250-F250,"")</f>
        <v/>
      </c>
      <c r="M250" s="11">
        <f>IFERROR((J250-I250)*1440,"")</f>
        <v/>
      </c>
      <c r="N250" s="11">
        <f>IF(K250="completed",IF(AND(J250&lt;&gt;"",H250&lt;&gt;""),IF(J250&lt;=H250,1,0),""),"")</f>
        <v/>
      </c>
    </row>
    <row r="251">
      <c r="K251" s="10" t="n"/>
      <c r="L251" s="11">
        <f>IFERROR(E251-F251,"")</f>
        <v/>
      </c>
      <c r="M251" s="11">
        <f>IFERROR((J251-I251)*1440,"")</f>
        <v/>
      </c>
      <c r="N251" s="11">
        <f>IF(K251="completed",IF(AND(J251&lt;&gt;"",H251&lt;&gt;""),IF(J251&lt;=H251,1,0),""),"")</f>
        <v/>
      </c>
    </row>
    <row r="252">
      <c r="K252" s="10" t="n"/>
      <c r="L252" s="11">
        <f>IFERROR(E252-F252,"")</f>
        <v/>
      </c>
      <c r="M252" s="11">
        <f>IFERROR((J252-I252)*1440,"")</f>
        <v/>
      </c>
      <c r="N252" s="11">
        <f>IF(K252="completed",IF(AND(J252&lt;&gt;"",H252&lt;&gt;""),IF(J252&lt;=H252,1,0),""),"")</f>
        <v/>
      </c>
    </row>
    <row r="253">
      <c r="K253" s="10" t="n"/>
      <c r="L253" s="11">
        <f>IFERROR(E253-F253,"")</f>
        <v/>
      </c>
      <c r="M253" s="11">
        <f>IFERROR((J253-I253)*1440,"")</f>
        <v/>
      </c>
      <c r="N253" s="11">
        <f>IF(K253="completed",IF(AND(J253&lt;&gt;"",H253&lt;&gt;""),IF(J253&lt;=H253,1,0),""),"")</f>
        <v/>
      </c>
    </row>
    <row r="254">
      <c r="K254" s="10" t="n"/>
      <c r="L254" s="11">
        <f>IFERROR(E254-F254,"")</f>
        <v/>
      </c>
      <c r="M254" s="11">
        <f>IFERROR((J254-I254)*1440,"")</f>
        <v/>
      </c>
      <c r="N254" s="11">
        <f>IF(K254="completed",IF(AND(J254&lt;&gt;"",H254&lt;&gt;""),IF(J254&lt;=H254,1,0),""),"")</f>
        <v/>
      </c>
    </row>
    <row r="255">
      <c r="K255" s="10" t="n"/>
      <c r="L255" s="11">
        <f>IFERROR(E255-F255,"")</f>
        <v/>
      </c>
      <c r="M255" s="11">
        <f>IFERROR((J255-I255)*1440,"")</f>
        <v/>
      </c>
      <c r="N255" s="11">
        <f>IF(K255="completed",IF(AND(J255&lt;&gt;"",H255&lt;&gt;""),IF(J255&lt;=H255,1,0),""),"")</f>
        <v/>
      </c>
    </row>
    <row r="256">
      <c r="K256" s="10" t="n"/>
      <c r="L256" s="11">
        <f>IFERROR(E256-F256,"")</f>
        <v/>
      </c>
      <c r="M256" s="11">
        <f>IFERROR((J256-I256)*1440,"")</f>
        <v/>
      </c>
      <c r="N256" s="11">
        <f>IF(K256="completed",IF(AND(J256&lt;&gt;"",H256&lt;&gt;""),IF(J256&lt;=H256,1,0),""),"")</f>
        <v/>
      </c>
    </row>
    <row r="257">
      <c r="K257" s="10" t="n"/>
      <c r="L257" s="11">
        <f>IFERROR(E257-F257,"")</f>
        <v/>
      </c>
      <c r="M257" s="11">
        <f>IFERROR((J257-I257)*1440,"")</f>
        <v/>
      </c>
      <c r="N257" s="11">
        <f>IF(K257="completed",IF(AND(J257&lt;&gt;"",H257&lt;&gt;""),IF(J257&lt;=H257,1,0),""),"")</f>
        <v/>
      </c>
    </row>
    <row r="258">
      <c r="K258" s="10" t="n"/>
      <c r="L258" s="11">
        <f>IFERROR(E258-F258,"")</f>
        <v/>
      </c>
      <c r="M258" s="11">
        <f>IFERROR((J258-I258)*1440,"")</f>
        <v/>
      </c>
      <c r="N258" s="11">
        <f>IF(K258="completed",IF(AND(J258&lt;&gt;"",H258&lt;&gt;""),IF(J258&lt;=H258,1,0),""),"")</f>
        <v/>
      </c>
    </row>
    <row r="259">
      <c r="K259" s="10" t="n"/>
      <c r="L259" s="11">
        <f>IFERROR(E259-F259,"")</f>
        <v/>
      </c>
      <c r="M259" s="11">
        <f>IFERROR((J259-I259)*1440,"")</f>
        <v/>
      </c>
      <c r="N259" s="11">
        <f>IF(K259="completed",IF(AND(J259&lt;&gt;"",H259&lt;&gt;""),IF(J259&lt;=H259,1,0),""),"")</f>
        <v/>
      </c>
    </row>
    <row r="260">
      <c r="K260" s="10" t="n"/>
      <c r="L260" s="11">
        <f>IFERROR(E260-F260,"")</f>
        <v/>
      </c>
      <c r="M260" s="11">
        <f>IFERROR((J260-I260)*1440,"")</f>
        <v/>
      </c>
      <c r="N260" s="11">
        <f>IF(K260="completed",IF(AND(J260&lt;&gt;"",H260&lt;&gt;""),IF(J260&lt;=H260,1,0),""),"")</f>
        <v/>
      </c>
    </row>
    <row r="261">
      <c r="K261" s="10" t="n"/>
      <c r="L261" s="11">
        <f>IFERROR(E261-F261,"")</f>
        <v/>
      </c>
      <c r="M261" s="11">
        <f>IFERROR((J261-I261)*1440,"")</f>
        <v/>
      </c>
      <c r="N261" s="11">
        <f>IF(K261="completed",IF(AND(J261&lt;&gt;"",H261&lt;&gt;""),IF(J261&lt;=H261,1,0),""),"")</f>
        <v/>
      </c>
    </row>
    <row r="262">
      <c r="K262" s="10" t="n"/>
      <c r="L262" s="11">
        <f>IFERROR(E262-F262,"")</f>
        <v/>
      </c>
      <c r="M262" s="11">
        <f>IFERROR((J262-I262)*1440,"")</f>
        <v/>
      </c>
      <c r="N262" s="11">
        <f>IF(K262="completed",IF(AND(J262&lt;&gt;"",H262&lt;&gt;""),IF(J262&lt;=H262,1,0),""),"")</f>
        <v/>
      </c>
    </row>
    <row r="263">
      <c r="K263" s="10" t="n"/>
      <c r="L263" s="11">
        <f>IFERROR(E263-F263,"")</f>
        <v/>
      </c>
      <c r="M263" s="11">
        <f>IFERROR((J263-I263)*1440,"")</f>
        <v/>
      </c>
      <c r="N263" s="11">
        <f>IF(K263="completed",IF(AND(J263&lt;&gt;"",H263&lt;&gt;""),IF(J263&lt;=H263,1,0),""),"")</f>
        <v/>
      </c>
    </row>
    <row r="264">
      <c r="K264" s="10" t="n"/>
      <c r="L264" s="11">
        <f>IFERROR(E264-F264,"")</f>
        <v/>
      </c>
      <c r="M264" s="11">
        <f>IFERROR((J264-I264)*1440,"")</f>
        <v/>
      </c>
      <c r="N264" s="11">
        <f>IF(K264="completed",IF(AND(J264&lt;&gt;"",H264&lt;&gt;""),IF(J264&lt;=H264,1,0),""),"")</f>
        <v/>
      </c>
    </row>
    <row r="265">
      <c r="K265" s="10" t="n"/>
      <c r="L265" s="11">
        <f>IFERROR(E265-F265,"")</f>
        <v/>
      </c>
      <c r="M265" s="11">
        <f>IFERROR((J265-I265)*1440,"")</f>
        <v/>
      </c>
      <c r="N265" s="11">
        <f>IF(K265="completed",IF(AND(J265&lt;&gt;"",H265&lt;&gt;""),IF(J265&lt;=H265,1,0),""),"")</f>
        <v/>
      </c>
    </row>
    <row r="266">
      <c r="K266" s="10" t="n"/>
      <c r="L266" s="11">
        <f>IFERROR(E266-F266,"")</f>
        <v/>
      </c>
      <c r="M266" s="11">
        <f>IFERROR((J266-I266)*1440,"")</f>
        <v/>
      </c>
      <c r="N266" s="11">
        <f>IF(K266="completed",IF(AND(J266&lt;&gt;"",H266&lt;&gt;""),IF(J266&lt;=H266,1,0),""),"")</f>
        <v/>
      </c>
    </row>
    <row r="267">
      <c r="K267" s="10" t="n"/>
      <c r="L267" s="11">
        <f>IFERROR(E267-F267,"")</f>
        <v/>
      </c>
      <c r="M267" s="11">
        <f>IFERROR((J267-I267)*1440,"")</f>
        <v/>
      </c>
      <c r="N267" s="11">
        <f>IF(K267="completed",IF(AND(J267&lt;&gt;"",H267&lt;&gt;""),IF(J267&lt;=H267,1,0),""),"")</f>
        <v/>
      </c>
    </row>
    <row r="268">
      <c r="K268" s="10" t="n"/>
      <c r="L268" s="11">
        <f>IFERROR(E268-F268,"")</f>
        <v/>
      </c>
      <c r="M268" s="11">
        <f>IFERROR((J268-I268)*1440,"")</f>
        <v/>
      </c>
      <c r="N268" s="11">
        <f>IF(K268="completed",IF(AND(J268&lt;&gt;"",H268&lt;&gt;""),IF(J268&lt;=H268,1,0),""),"")</f>
        <v/>
      </c>
    </row>
    <row r="269">
      <c r="K269" s="10" t="n"/>
      <c r="L269" s="11">
        <f>IFERROR(E269-F269,"")</f>
        <v/>
      </c>
      <c r="M269" s="11">
        <f>IFERROR((J269-I269)*1440,"")</f>
        <v/>
      </c>
      <c r="N269" s="11">
        <f>IF(K269="completed",IF(AND(J269&lt;&gt;"",H269&lt;&gt;""),IF(J269&lt;=H269,1,0),""),"")</f>
        <v/>
      </c>
    </row>
    <row r="270">
      <c r="K270" s="10" t="n"/>
      <c r="L270" s="11">
        <f>IFERROR(E270-F270,"")</f>
        <v/>
      </c>
      <c r="M270" s="11">
        <f>IFERROR((J270-I270)*1440,"")</f>
        <v/>
      </c>
      <c r="N270" s="11">
        <f>IF(K270="completed",IF(AND(J270&lt;&gt;"",H270&lt;&gt;""),IF(J270&lt;=H270,1,0),""),"")</f>
        <v/>
      </c>
    </row>
    <row r="271">
      <c r="K271" s="10" t="n"/>
      <c r="L271" s="11">
        <f>IFERROR(E271-F271,"")</f>
        <v/>
      </c>
      <c r="M271" s="11">
        <f>IFERROR((J271-I271)*1440,"")</f>
        <v/>
      </c>
      <c r="N271" s="11">
        <f>IF(K271="completed",IF(AND(J271&lt;&gt;"",H271&lt;&gt;""),IF(J271&lt;=H271,1,0),""),"")</f>
        <v/>
      </c>
    </row>
    <row r="272">
      <c r="K272" s="10" t="n"/>
      <c r="L272" s="11">
        <f>IFERROR(E272-F272,"")</f>
        <v/>
      </c>
      <c r="M272" s="11">
        <f>IFERROR((J272-I272)*1440,"")</f>
        <v/>
      </c>
      <c r="N272" s="11">
        <f>IF(K272="completed",IF(AND(J272&lt;&gt;"",H272&lt;&gt;""),IF(J272&lt;=H272,1,0),""),"")</f>
        <v/>
      </c>
    </row>
    <row r="273">
      <c r="K273" s="10" t="n"/>
      <c r="L273" s="11">
        <f>IFERROR(E273-F273,"")</f>
        <v/>
      </c>
      <c r="M273" s="11">
        <f>IFERROR((J273-I273)*1440,"")</f>
        <v/>
      </c>
      <c r="N273" s="11">
        <f>IF(K273="completed",IF(AND(J273&lt;&gt;"",H273&lt;&gt;""),IF(J273&lt;=H273,1,0),""),"")</f>
        <v/>
      </c>
    </row>
    <row r="274">
      <c r="K274" s="10" t="n"/>
      <c r="L274" s="11">
        <f>IFERROR(E274-F274,"")</f>
        <v/>
      </c>
      <c r="M274" s="11">
        <f>IFERROR((J274-I274)*1440,"")</f>
        <v/>
      </c>
      <c r="N274" s="11">
        <f>IF(K274="completed",IF(AND(J274&lt;&gt;"",H274&lt;&gt;""),IF(J274&lt;=H274,1,0),""),"")</f>
        <v/>
      </c>
    </row>
    <row r="275">
      <c r="K275" s="10" t="n"/>
      <c r="L275" s="11">
        <f>IFERROR(E275-F275,"")</f>
        <v/>
      </c>
      <c r="M275" s="11">
        <f>IFERROR((J275-I275)*1440,"")</f>
        <v/>
      </c>
      <c r="N275" s="11">
        <f>IF(K275="completed",IF(AND(J275&lt;&gt;"",H275&lt;&gt;""),IF(J275&lt;=H275,1,0),""),"")</f>
        <v/>
      </c>
    </row>
    <row r="276">
      <c r="K276" s="10" t="n"/>
      <c r="L276" s="11">
        <f>IFERROR(E276-F276,"")</f>
        <v/>
      </c>
      <c r="M276" s="11">
        <f>IFERROR((J276-I276)*1440,"")</f>
        <v/>
      </c>
      <c r="N276" s="11">
        <f>IF(K276="completed",IF(AND(J276&lt;&gt;"",H276&lt;&gt;""),IF(J276&lt;=H276,1,0),""),"")</f>
        <v/>
      </c>
    </row>
    <row r="277">
      <c r="K277" s="10" t="n"/>
      <c r="L277" s="11">
        <f>IFERROR(E277-F277,"")</f>
        <v/>
      </c>
      <c r="M277" s="11">
        <f>IFERROR((J277-I277)*1440,"")</f>
        <v/>
      </c>
      <c r="N277" s="11">
        <f>IF(K277="completed",IF(AND(J277&lt;&gt;"",H277&lt;&gt;""),IF(J277&lt;=H277,1,0),""),"")</f>
        <v/>
      </c>
    </row>
    <row r="278">
      <c r="K278" s="10" t="n"/>
      <c r="L278" s="11">
        <f>IFERROR(E278-F278,"")</f>
        <v/>
      </c>
      <c r="M278" s="11">
        <f>IFERROR((J278-I278)*1440,"")</f>
        <v/>
      </c>
      <c r="N278" s="11">
        <f>IF(K278="completed",IF(AND(J278&lt;&gt;"",H278&lt;&gt;""),IF(J278&lt;=H278,1,0),""),"")</f>
        <v/>
      </c>
    </row>
    <row r="279">
      <c r="K279" s="10" t="n"/>
      <c r="L279" s="11">
        <f>IFERROR(E279-F279,"")</f>
        <v/>
      </c>
      <c r="M279" s="11">
        <f>IFERROR((J279-I279)*1440,"")</f>
        <v/>
      </c>
      <c r="N279" s="11">
        <f>IF(K279="completed",IF(AND(J279&lt;&gt;"",H279&lt;&gt;""),IF(J279&lt;=H279,1,0),""),"")</f>
        <v/>
      </c>
    </row>
    <row r="280">
      <c r="K280" s="10" t="n"/>
      <c r="L280" s="11">
        <f>IFERROR(E280-F280,"")</f>
        <v/>
      </c>
      <c r="M280" s="11">
        <f>IFERROR((J280-I280)*1440,"")</f>
        <v/>
      </c>
      <c r="N280" s="11">
        <f>IF(K280="completed",IF(AND(J280&lt;&gt;"",H280&lt;&gt;""),IF(J280&lt;=H280,1,0),""),"")</f>
        <v/>
      </c>
    </row>
    <row r="281">
      <c r="K281" s="10" t="n"/>
      <c r="L281" s="11">
        <f>IFERROR(E281-F281,"")</f>
        <v/>
      </c>
      <c r="M281" s="11">
        <f>IFERROR((J281-I281)*1440,"")</f>
        <v/>
      </c>
      <c r="N281" s="11">
        <f>IF(K281="completed",IF(AND(J281&lt;&gt;"",H281&lt;&gt;""),IF(J281&lt;=H281,1,0),""),"")</f>
        <v/>
      </c>
    </row>
    <row r="282">
      <c r="K282" s="10" t="n"/>
      <c r="L282" s="11">
        <f>IFERROR(E282-F282,"")</f>
        <v/>
      </c>
      <c r="M282" s="11">
        <f>IFERROR((J282-I282)*1440,"")</f>
        <v/>
      </c>
      <c r="N282" s="11">
        <f>IF(K282="completed",IF(AND(J282&lt;&gt;"",H282&lt;&gt;""),IF(J282&lt;=H282,1,0),""),"")</f>
        <v/>
      </c>
    </row>
    <row r="283">
      <c r="K283" s="10" t="n"/>
      <c r="L283" s="11">
        <f>IFERROR(E283-F283,"")</f>
        <v/>
      </c>
      <c r="M283" s="11">
        <f>IFERROR((J283-I283)*1440,"")</f>
        <v/>
      </c>
      <c r="N283" s="11">
        <f>IF(K283="completed",IF(AND(J283&lt;&gt;"",H283&lt;&gt;""),IF(J283&lt;=H283,1,0),""),"")</f>
        <v/>
      </c>
    </row>
    <row r="284">
      <c r="K284" s="10" t="n"/>
      <c r="L284" s="11">
        <f>IFERROR(E284-F284,"")</f>
        <v/>
      </c>
      <c r="M284" s="11">
        <f>IFERROR((J284-I284)*1440,"")</f>
        <v/>
      </c>
      <c r="N284" s="11">
        <f>IF(K284="completed",IF(AND(J284&lt;&gt;"",H284&lt;&gt;""),IF(J284&lt;=H284,1,0),""),"")</f>
        <v/>
      </c>
    </row>
    <row r="285">
      <c r="K285" s="10" t="n"/>
      <c r="L285" s="11">
        <f>IFERROR(E285-F285,"")</f>
        <v/>
      </c>
      <c r="M285" s="11">
        <f>IFERROR((J285-I285)*1440,"")</f>
        <v/>
      </c>
      <c r="N285" s="11">
        <f>IF(K285="completed",IF(AND(J285&lt;&gt;"",H285&lt;&gt;""),IF(J285&lt;=H285,1,0),""),"")</f>
        <v/>
      </c>
    </row>
    <row r="286">
      <c r="K286" s="10" t="n"/>
      <c r="L286" s="11">
        <f>IFERROR(E286-F286,"")</f>
        <v/>
      </c>
      <c r="M286" s="11">
        <f>IFERROR((J286-I286)*1440,"")</f>
        <v/>
      </c>
      <c r="N286" s="11">
        <f>IF(K286="completed",IF(AND(J286&lt;&gt;"",H286&lt;&gt;""),IF(J286&lt;=H286,1,0),""),"")</f>
        <v/>
      </c>
    </row>
    <row r="287">
      <c r="K287" s="10" t="n"/>
      <c r="L287" s="11">
        <f>IFERROR(E287-F287,"")</f>
        <v/>
      </c>
      <c r="M287" s="11">
        <f>IFERROR((J287-I287)*1440,"")</f>
        <v/>
      </c>
      <c r="N287" s="11">
        <f>IF(K287="completed",IF(AND(J287&lt;&gt;"",H287&lt;&gt;""),IF(J287&lt;=H287,1,0),""),"")</f>
        <v/>
      </c>
    </row>
    <row r="288">
      <c r="K288" s="10" t="n"/>
      <c r="L288" s="11">
        <f>IFERROR(E288-F288,"")</f>
        <v/>
      </c>
      <c r="M288" s="11">
        <f>IFERROR((J288-I288)*1440,"")</f>
        <v/>
      </c>
      <c r="N288" s="11">
        <f>IF(K288="completed",IF(AND(J288&lt;&gt;"",H288&lt;&gt;""),IF(J288&lt;=H288,1,0),""),"")</f>
        <v/>
      </c>
    </row>
    <row r="289">
      <c r="K289" s="10" t="n"/>
      <c r="L289" s="11">
        <f>IFERROR(E289-F289,"")</f>
        <v/>
      </c>
      <c r="M289" s="11">
        <f>IFERROR((J289-I289)*1440,"")</f>
        <v/>
      </c>
      <c r="N289" s="11">
        <f>IF(K289="completed",IF(AND(J289&lt;&gt;"",H289&lt;&gt;""),IF(J289&lt;=H289,1,0),""),"")</f>
        <v/>
      </c>
    </row>
    <row r="290">
      <c r="K290" s="10" t="n"/>
      <c r="L290" s="11">
        <f>IFERROR(E290-F290,"")</f>
        <v/>
      </c>
      <c r="M290" s="11">
        <f>IFERROR((J290-I290)*1440,"")</f>
        <v/>
      </c>
      <c r="N290" s="11">
        <f>IF(K290="completed",IF(AND(J290&lt;&gt;"",H290&lt;&gt;""),IF(J290&lt;=H290,1,0),""),"")</f>
        <v/>
      </c>
    </row>
    <row r="291">
      <c r="K291" s="10" t="n"/>
      <c r="L291" s="11">
        <f>IFERROR(E291-F291,"")</f>
        <v/>
      </c>
      <c r="M291" s="11">
        <f>IFERROR((J291-I291)*1440,"")</f>
        <v/>
      </c>
      <c r="N291" s="11">
        <f>IF(K291="completed",IF(AND(J291&lt;&gt;"",H291&lt;&gt;""),IF(J291&lt;=H291,1,0),""),"")</f>
        <v/>
      </c>
    </row>
    <row r="292">
      <c r="K292" s="10" t="n"/>
      <c r="L292" s="11">
        <f>IFERROR(E292-F292,"")</f>
        <v/>
      </c>
      <c r="M292" s="11">
        <f>IFERROR((J292-I292)*1440,"")</f>
        <v/>
      </c>
      <c r="N292" s="11">
        <f>IF(K292="completed",IF(AND(J292&lt;&gt;"",H292&lt;&gt;""),IF(J292&lt;=H292,1,0),""),"")</f>
        <v/>
      </c>
    </row>
    <row r="293">
      <c r="K293" s="10" t="n"/>
      <c r="L293" s="11">
        <f>IFERROR(E293-F293,"")</f>
        <v/>
      </c>
      <c r="M293" s="11">
        <f>IFERROR((J293-I293)*1440,"")</f>
        <v/>
      </c>
      <c r="N293" s="11">
        <f>IF(K293="completed",IF(AND(J293&lt;&gt;"",H293&lt;&gt;""),IF(J293&lt;=H293,1,0),""),"")</f>
        <v/>
      </c>
    </row>
    <row r="294">
      <c r="K294" s="10" t="n"/>
      <c r="L294" s="11">
        <f>IFERROR(E294-F294,"")</f>
        <v/>
      </c>
      <c r="M294" s="11">
        <f>IFERROR((J294-I294)*1440,"")</f>
        <v/>
      </c>
      <c r="N294" s="11">
        <f>IF(K294="completed",IF(AND(J294&lt;&gt;"",H294&lt;&gt;""),IF(J294&lt;=H294,1,0),""),"")</f>
        <v/>
      </c>
    </row>
    <row r="295">
      <c r="K295" s="10" t="n"/>
      <c r="L295" s="11">
        <f>IFERROR(E295-F295,"")</f>
        <v/>
      </c>
      <c r="M295" s="11">
        <f>IFERROR((J295-I295)*1440,"")</f>
        <v/>
      </c>
      <c r="N295" s="11">
        <f>IF(K295="completed",IF(AND(J295&lt;&gt;"",H295&lt;&gt;""),IF(J295&lt;=H295,1,0),""),"")</f>
        <v/>
      </c>
    </row>
    <row r="296">
      <c r="K296" s="10" t="n"/>
      <c r="L296" s="11">
        <f>IFERROR(E296-F296,"")</f>
        <v/>
      </c>
      <c r="M296" s="11">
        <f>IFERROR((J296-I296)*1440,"")</f>
        <v/>
      </c>
      <c r="N296" s="11">
        <f>IF(K296="completed",IF(AND(J296&lt;&gt;"",H296&lt;&gt;""),IF(J296&lt;=H296,1,0),""),"")</f>
        <v/>
      </c>
    </row>
    <row r="297">
      <c r="K297" s="10" t="n"/>
      <c r="L297" s="11">
        <f>IFERROR(E297-F297,"")</f>
        <v/>
      </c>
      <c r="M297" s="11">
        <f>IFERROR((J297-I297)*1440,"")</f>
        <v/>
      </c>
      <c r="N297" s="11">
        <f>IF(K297="completed",IF(AND(J297&lt;&gt;"",H297&lt;&gt;""),IF(J297&lt;=H297,1,0),""),"")</f>
        <v/>
      </c>
    </row>
    <row r="298">
      <c r="K298" s="10" t="n"/>
      <c r="L298" s="11">
        <f>IFERROR(E298-F298,"")</f>
        <v/>
      </c>
      <c r="M298" s="11">
        <f>IFERROR((J298-I298)*1440,"")</f>
        <v/>
      </c>
      <c r="N298" s="11">
        <f>IF(K298="completed",IF(AND(J298&lt;&gt;"",H298&lt;&gt;""),IF(J298&lt;=H298,1,0),""),"")</f>
        <v/>
      </c>
    </row>
    <row r="299">
      <c r="K299" s="10" t="n"/>
      <c r="L299" s="11">
        <f>IFERROR(E299-F299,"")</f>
        <v/>
      </c>
      <c r="M299" s="11">
        <f>IFERROR((J299-I299)*1440,"")</f>
        <v/>
      </c>
      <c r="N299" s="11">
        <f>IF(K299="completed",IF(AND(J299&lt;&gt;"",H299&lt;&gt;""),IF(J299&lt;=H299,1,0),""),"")</f>
        <v/>
      </c>
    </row>
    <row r="300">
      <c r="K300" s="10" t="n"/>
      <c r="L300" s="11">
        <f>IFERROR(E300-F300,"")</f>
        <v/>
      </c>
      <c r="M300" s="11">
        <f>IFERROR((J300-I300)*1440,"")</f>
        <v/>
      </c>
      <c r="N300" s="11">
        <f>IF(K300="completed",IF(AND(J300&lt;&gt;"",H300&lt;&gt;""),IF(J300&lt;=H300,1,0),""),"")</f>
        <v/>
      </c>
    </row>
    <row r="301">
      <c r="K301" s="10" t="n"/>
      <c r="L301" s="11">
        <f>IFERROR(E301-F301,"")</f>
        <v/>
      </c>
      <c r="M301" s="11">
        <f>IFERROR((J301-I301)*1440,"")</f>
        <v/>
      </c>
      <c r="N301" s="11">
        <f>IF(K301="completed",IF(AND(J301&lt;&gt;"",H301&lt;&gt;""),IF(J301&lt;=H301,1,0),""),"")</f>
        <v/>
      </c>
    </row>
    <row r="302">
      <c r="K302" s="10" t="n"/>
      <c r="L302" s="11">
        <f>IFERROR(E302-F302,"")</f>
        <v/>
      </c>
      <c r="M302" s="11">
        <f>IFERROR((J302-I302)*1440,"")</f>
        <v/>
      </c>
      <c r="N302" s="11">
        <f>IF(K302="completed",IF(AND(J302&lt;&gt;"",H302&lt;&gt;""),IF(J302&lt;=H302,1,0),""),"")</f>
        <v/>
      </c>
    </row>
    <row r="303">
      <c r="K303" s="10" t="n"/>
      <c r="L303" s="11">
        <f>IFERROR(E303-F303,"")</f>
        <v/>
      </c>
      <c r="M303" s="11">
        <f>IFERROR((J303-I303)*1440,"")</f>
        <v/>
      </c>
      <c r="N303" s="11">
        <f>IF(K303="completed",IF(AND(J303&lt;&gt;"",H303&lt;&gt;""),IF(J303&lt;=H303,1,0),""),"")</f>
        <v/>
      </c>
    </row>
    <row r="304">
      <c r="K304" s="10" t="n"/>
      <c r="L304" s="11">
        <f>IFERROR(E304-F304,"")</f>
        <v/>
      </c>
      <c r="M304" s="11">
        <f>IFERROR((J304-I304)*1440,"")</f>
        <v/>
      </c>
      <c r="N304" s="11">
        <f>IF(K304="completed",IF(AND(J304&lt;&gt;"",H304&lt;&gt;""),IF(J304&lt;=H304,1,0),""),"")</f>
        <v/>
      </c>
    </row>
    <row r="305">
      <c r="K305" s="10" t="n"/>
      <c r="L305" s="11">
        <f>IFERROR(E305-F305,"")</f>
        <v/>
      </c>
      <c r="M305" s="11">
        <f>IFERROR((J305-I305)*1440,"")</f>
        <v/>
      </c>
      <c r="N305" s="11">
        <f>IF(K305="completed",IF(AND(J305&lt;&gt;"",H305&lt;&gt;""),IF(J305&lt;=H305,1,0),""),"")</f>
        <v/>
      </c>
    </row>
    <row r="306">
      <c r="K306" s="10" t="n"/>
      <c r="L306" s="11">
        <f>IFERROR(E306-F306,"")</f>
        <v/>
      </c>
      <c r="M306" s="11">
        <f>IFERROR((J306-I306)*1440,"")</f>
        <v/>
      </c>
      <c r="N306" s="11">
        <f>IF(K306="completed",IF(AND(J306&lt;&gt;"",H306&lt;&gt;""),IF(J306&lt;=H306,1,0),""),"")</f>
        <v/>
      </c>
    </row>
    <row r="307">
      <c r="K307" s="10" t="n"/>
      <c r="L307" s="11">
        <f>IFERROR(E307-F307,"")</f>
        <v/>
      </c>
      <c r="M307" s="11">
        <f>IFERROR((J307-I307)*1440,"")</f>
        <v/>
      </c>
      <c r="N307" s="11">
        <f>IF(K307="completed",IF(AND(J307&lt;&gt;"",H307&lt;&gt;""),IF(J307&lt;=H307,1,0),""),"")</f>
        <v/>
      </c>
    </row>
    <row r="308">
      <c r="K308" s="10" t="n"/>
      <c r="L308" s="11">
        <f>IFERROR(E308-F308,"")</f>
        <v/>
      </c>
      <c r="M308" s="11">
        <f>IFERROR((J308-I308)*1440,"")</f>
        <v/>
      </c>
      <c r="N308" s="11">
        <f>IF(K308="completed",IF(AND(J308&lt;&gt;"",H308&lt;&gt;""),IF(J308&lt;=H308,1,0),""),"")</f>
        <v/>
      </c>
    </row>
    <row r="309">
      <c r="K309" s="10" t="n"/>
      <c r="L309" s="11">
        <f>IFERROR(E309-F309,"")</f>
        <v/>
      </c>
      <c r="M309" s="11">
        <f>IFERROR((J309-I309)*1440,"")</f>
        <v/>
      </c>
      <c r="N309" s="11">
        <f>IF(K309="completed",IF(AND(J309&lt;&gt;"",H309&lt;&gt;""),IF(J309&lt;=H309,1,0),""),"")</f>
        <v/>
      </c>
    </row>
    <row r="310">
      <c r="K310" s="10" t="n"/>
      <c r="L310" s="11">
        <f>IFERROR(E310-F310,"")</f>
        <v/>
      </c>
      <c r="M310" s="11">
        <f>IFERROR((J310-I310)*1440,"")</f>
        <v/>
      </c>
      <c r="N310" s="11">
        <f>IF(K310="completed",IF(AND(J310&lt;&gt;"",H310&lt;&gt;""),IF(J310&lt;=H310,1,0),""),"")</f>
        <v/>
      </c>
    </row>
    <row r="311">
      <c r="K311" s="10" t="n"/>
      <c r="L311" s="11">
        <f>IFERROR(E311-F311,"")</f>
        <v/>
      </c>
      <c r="M311" s="11">
        <f>IFERROR((J311-I311)*1440,"")</f>
        <v/>
      </c>
      <c r="N311" s="11">
        <f>IF(K311="completed",IF(AND(J311&lt;&gt;"",H311&lt;&gt;""),IF(J311&lt;=H311,1,0),""),"")</f>
        <v/>
      </c>
    </row>
    <row r="312">
      <c r="K312" s="10" t="n"/>
      <c r="L312" s="11">
        <f>IFERROR(E312-F312,"")</f>
        <v/>
      </c>
      <c r="M312" s="11">
        <f>IFERROR((J312-I312)*1440,"")</f>
        <v/>
      </c>
      <c r="N312" s="11">
        <f>IF(K312="completed",IF(AND(J312&lt;&gt;"",H312&lt;&gt;""),IF(J312&lt;=H312,1,0),""),"")</f>
        <v/>
      </c>
    </row>
    <row r="313">
      <c r="K313" s="10" t="n"/>
      <c r="L313" s="11">
        <f>IFERROR(E313-F313,"")</f>
        <v/>
      </c>
      <c r="M313" s="11">
        <f>IFERROR((J313-I313)*1440,"")</f>
        <v/>
      </c>
      <c r="N313" s="11">
        <f>IF(K313="completed",IF(AND(J313&lt;&gt;"",H313&lt;&gt;""),IF(J313&lt;=H313,1,0),""),"")</f>
        <v/>
      </c>
    </row>
    <row r="314">
      <c r="K314" s="10" t="n"/>
      <c r="L314" s="11">
        <f>IFERROR(E314-F314,"")</f>
        <v/>
      </c>
      <c r="M314" s="11">
        <f>IFERROR((J314-I314)*1440,"")</f>
        <v/>
      </c>
      <c r="N314" s="11">
        <f>IF(K314="completed",IF(AND(J314&lt;&gt;"",H314&lt;&gt;""),IF(J314&lt;=H314,1,0),""),"")</f>
        <v/>
      </c>
    </row>
    <row r="315">
      <c r="K315" s="10" t="n"/>
      <c r="L315" s="11">
        <f>IFERROR(E315-F315,"")</f>
        <v/>
      </c>
      <c r="M315" s="11">
        <f>IFERROR((J315-I315)*1440,"")</f>
        <v/>
      </c>
      <c r="N315" s="11">
        <f>IF(K315="completed",IF(AND(J315&lt;&gt;"",H315&lt;&gt;""),IF(J315&lt;=H315,1,0),""),"")</f>
        <v/>
      </c>
    </row>
    <row r="316">
      <c r="K316" s="10" t="n"/>
      <c r="L316" s="11">
        <f>IFERROR(E316-F316,"")</f>
        <v/>
      </c>
      <c r="M316" s="11">
        <f>IFERROR((J316-I316)*1440,"")</f>
        <v/>
      </c>
      <c r="N316" s="11">
        <f>IF(K316="completed",IF(AND(J316&lt;&gt;"",H316&lt;&gt;""),IF(J316&lt;=H316,1,0),""),"")</f>
        <v/>
      </c>
    </row>
    <row r="317">
      <c r="K317" s="10" t="n"/>
      <c r="L317" s="11">
        <f>IFERROR(E317-F317,"")</f>
        <v/>
      </c>
      <c r="M317" s="11">
        <f>IFERROR((J317-I317)*1440,"")</f>
        <v/>
      </c>
      <c r="N317" s="11">
        <f>IF(K317="completed",IF(AND(J317&lt;&gt;"",H317&lt;&gt;""),IF(J317&lt;=H317,1,0),""),"")</f>
        <v/>
      </c>
    </row>
    <row r="318">
      <c r="K318" s="10" t="n"/>
      <c r="L318" s="11">
        <f>IFERROR(E318-F318,"")</f>
        <v/>
      </c>
      <c r="M318" s="11">
        <f>IFERROR((J318-I318)*1440,"")</f>
        <v/>
      </c>
      <c r="N318" s="11">
        <f>IF(K318="completed",IF(AND(J318&lt;&gt;"",H318&lt;&gt;""),IF(J318&lt;=H318,1,0),""),"")</f>
        <v/>
      </c>
    </row>
    <row r="319">
      <c r="K319" s="10" t="n"/>
      <c r="L319" s="11">
        <f>IFERROR(E319-F319,"")</f>
        <v/>
      </c>
      <c r="M319" s="11">
        <f>IFERROR((J319-I319)*1440,"")</f>
        <v/>
      </c>
      <c r="N319" s="11">
        <f>IF(K319="completed",IF(AND(J319&lt;&gt;"",H319&lt;&gt;""),IF(J319&lt;=H319,1,0),""),"")</f>
        <v/>
      </c>
    </row>
    <row r="320">
      <c r="K320" s="10" t="n"/>
      <c r="L320" s="11">
        <f>IFERROR(E320-F320,"")</f>
        <v/>
      </c>
      <c r="M320" s="11">
        <f>IFERROR((J320-I320)*1440,"")</f>
        <v/>
      </c>
      <c r="N320" s="11">
        <f>IF(K320="completed",IF(AND(J320&lt;&gt;"",H320&lt;&gt;""),IF(J320&lt;=H320,1,0),""),"")</f>
        <v/>
      </c>
    </row>
    <row r="321">
      <c r="K321" s="10" t="n"/>
      <c r="L321" s="11">
        <f>IFERROR(E321-F321,"")</f>
        <v/>
      </c>
      <c r="M321" s="11">
        <f>IFERROR((J321-I321)*1440,"")</f>
        <v/>
      </c>
      <c r="N321" s="11">
        <f>IF(K321="completed",IF(AND(J321&lt;&gt;"",H321&lt;&gt;""),IF(J321&lt;=H321,1,0),""),"")</f>
        <v/>
      </c>
    </row>
    <row r="322">
      <c r="K322" s="10" t="n"/>
      <c r="L322" s="11">
        <f>IFERROR(E322-F322,"")</f>
        <v/>
      </c>
      <c r="M322" s="11">
        <f>IFERROR((J322-I322)*1440,"")</f>
        <v/>
      </c>
      <c r="N322" s="11">
        <f>IF(K322="completed",IF(AND(J322&lt;&gt;"",H322&lt;&gt;""),IF(J322&lt;=H322,1,0),""),"")</f>
        <v/>
      </c>
    </row>
    <row r="323">
      <c r="K323" s="10" t="n"/>
      <c r="L323" s="11">
        <f>IFERROR(E323-F323,"")</f>
        <v/>
      </c>
      <c r="M323" s="11">
        <f>IFERROR((J323-I323)*1440,"")</f>
        <v/>
      </c>
      <c r="N323" s="11">
        <f>IF(K323="completed",IF(AND(J323&lt;&gt;"",H323&lt;&gt;""),IF(J323&lt;=H323,1,0),""),"")</f>
        <v/>
      </c>
    </row>
    <row r="324">
      <c r="K324" s="10" t="n"/>
      <c r="L324" s="11">
        <f>IFERROR(E324-F324,"")</f>
        <v/>
      </c>
      <c r="M324" s="11">
        <f>IFERROR((J324-I324)*1440,"")</f>
        <v/>
      </c>
      <c r="N324" s="11">
        <f>IF(K324="completed",IF(AND(J324&lt;&gt;"",H324&lt;&gt;""),IF(J324&lt;=H324,1,0),""),"")</f>
        <v/>
      </c>
    </row>
    <row r="325">
      <c r="K325" s="10" t="n"/>
      <c r="L325" s="11">
        <f>IFERROR(E325-F325,"")</f>
        <v/>
      </c>
      <c r="M325" s="11">
        <f>IFERROR((J325-I325)*1440,"")</f>
        <v/>
      </c>
      <c r="N325" s="11">
        <f>IF(K325="completed",IF(AND(J325&lt;&gt;"",H325&lt;&gt;""),IF(J325&lt;=H325,1,0),""),"")</f>
        <v/>
      </c>
    </row>
    <row r="326">
      <c r="K326" s="10" t="n"/>
      <c r="L326" s="11">
        <f>IFERROR(E326-F326,"")</f>
        <v/>
      </c>
      <c r="M326" s="11">
        <f>IFERROR((J326-I326)*1440,"")</f>
        <v/>
      </c>
      <c r="N326" s="11">
        <f>IF(K326="completed",IF(AND(J326&lt;&gt;"",H326&lt;&gt;""),IF(J326&lt;=H326,1,0),""),"")</f>
        <v/>
      </c>
    </row>
    <row r="327">
      <c r="K327" s="10" t="n"/>
      <c r="L327" s="11">
        <f>IFERROR(E327-F327,"")</f>
        <v/>
      </c>
      <c r="M327" s="11">
        <f>IFERROR((J327-I327)*1440,"")</f>
        <v/>
      </c>
      <c r="N327" s="11">
        <f>IF(K327="completed",IF(AND(J327&lt;&gt;"",H327&lt;&gt;""),IF(J327&lt;=H327,1,0),""),"")</f>
        <v/>
      </c>
    </row>
    <row r="328">
      <c r="K328" s="10" t="n"/>
      <c r="L328" s="11">
        <f>IFERROR(E328-F328,"")</f>
        <v/>
      </c>
      <c r="M328" s="11">
        <f>IFERROR((J328-I328)*1440,"")</f>
        <v/>
      </c>
      <c r="N328" s="11">
        <f>IF(K328="completed",IF(AND(J328&lt;&gt;"",H328&lt;&gt;""),IF(J328&lt;=H328,1,0),""),"")</f>
        <v/>
      </c>
    </row>
    <row r="329">
      <c r="K329" s="10" t="n"/>
      <c r="L329" s="11">
        <f>IFERROR(E329-F329,"")</f>
        <v/>
      </c>
      <c r="M329" s="11">
        <f>IFERROR((J329-I329)*1440,"")</f>
        <v/>
      </c>
      <c r="N329" s="11">
        <f>IF(K329="completed",IF(AND(J329&lt;&gt;"",H329&lt;&gt;""),IF(J329&lt;=H329,1,0),""),"")</f>
        <v/>
      </c>
    </row>
    <row r="330">
      <c r="K330" s="10" t="n"/>
      <c r="L330" s="11">
        <f>IFERROR(E330-F330,"")</f>
        <v/>
      </c>
      <c r="M330" s="11">
        <f>IFERROR((J330-I330)*1440,"")</f>
        <v/>
      </c>
      <c r="N330" s="11">
        <f>IF(K330="completed",IF(AND(J330&lt;&gt;"",H330&lt;&gt;""),IF(J330&lt;=H330,1,0),""),"")</f>
        <v/>
      </c>
    </row>
    <row r="331">
      <c r="K331" s="10" t="n"/>
      <c r="L331" s="11">
        <f>IFERROR(E331-F331,"")</f>
        <v/>
      </c>
      <c r="M331" s="11">
        <f>IFERROR((J331-I331)*1440,"")</f>
        <v/>
      </c>
      <c r="N331" s="11">
        <f>IF(K331="completed",IF(AND(J331&lt;&gt;"",H331&lt;&gt;""),IF(J331&lt;=H331,1,0),""),"")</f>
        <v/>
      </c>
    </row>
    <row r="332">
      <c r="K332" s="10" t="n"/>
      <c r="L332" s="11">
        <f>IFERROR(E332-F332,"")</f>
        <v/>
      </c>
      <c r="M332" s="11">
        <f>IFERROR((J332-I332)*1440,"")</f>
        <v/>
      </c>
      <c r="N332" s="11">
        <f>IF(K332="completed",IF(AND(J332&lt;&gt;"",H332&lt;&gt;""),IF(J332&lt;=H332,1,0),""),"")</f>
        <v/>
      </c>
    </row>
    <row r="333">
      <c r="K333" s="10" t="n"/>
      <c r="L333" s="11">
        <f>IFERROR(E333-F333,"")</f>
        <v/>
      </c>
      <c r="M333" s="11">
        <f>IFERROR((J333-I333)*1440,"")</f>
        <v/>
      </c>
      <c r="N333" s="11">
        <f>IF(K333="completed",IF(AND(J333&lt;&gt;"",H333&lt;&gt;""),IF(J333&lt;=H333,1,0),""),"")</f>
        <v/>
      </c>
    </row>
    <row r="334">
      <c r="K334" s="10" t="n"/>
      <c r="L334" s="11">
        <f>IFERROR(E334-F334,"")</f>
        <v/>
      </c>
      <c r="M334" s="11">
        <f>IFERROR((J334-I334)*1440,"")</f>
        <v/>
      </c>
      <c r="N334" s="11">
        <f>IF(K334="completed",IF(AND(J334&lt;&gt;"",H334&lt;&gt;""),IF(J334&lt;=H334,1,0),""),"")</f>
        <v/>
      </c>
    </row>
    <row r="335">
      <c r="K335" s="10" t="n"/>
      <c r="L335" s="11">
        <f>IFERROR(E335-F335,"")</f>
        <v/>
      </c>
      <c r="M335" s="11">
        <f>IFERROR((J335-I335)*1440,"")</f>
        <v/>
      </c>
      <c r="N335" s="11">
        <f>IF(K335="completed",IF(AND(J335&lt;&gt;"",H335&lt;&gt;""),IF(J335&lt;=H335,1,0),""),"")</f>
        <v/>
      </c>
    </row>
    <row r="336">
      <c r="K336" s="10" t="n"/>
      <c r="L336" s="11">
        <f>IFERROR(E336-F336,"")</f>
        <v/>
      </c>
      <c r="M336" s="11">
        <f>IFERROR((J336-I336)*1440,"")</f>
        <v/>
      </c>
      <c r="N336" s="11">
        <f>IF(K336="completed",IF(AND(J336&lt;&gt;"",H336&lt;&gt;""),IF(J336&lt;=H336,1,0),""),"")</f>
        <v/>
      </c>
    </row>
    <row r="337">
      <c r="K337" s="10" t="n"/>
      <c r="L337" s="11">
        <f>IFERROR(E337-F337,"")</f>
        <v/>
      </c>
      <c r="M337" s="11">
        <f>IFERROR((J337-I337)*1440,"")</f>
        <v/>
      </c>
      <c r="N337" s="11">
        <f>IF(K337="completed",IF(AND(J337&lt;&gt;"",H337&lt;&gt;""),IF(J337&lt;=H337,1,0),""),"")</f>
        <v/>
      </c>
    </row>
    <row r="338">
      <c r="K338" s="10" t="n"/>
      <c r="L338" s="11">
        <f>IFERROR(E338-F338,"")</f>
        <v/>
      </c>
      <c r="M338" s="11">
        <f>IFERROR((J338-I338)*1440,"")</f>
        <v/>
      </c>
      <c r="N338" s="11">
        <f>IF(K338="completed",IF(AND(J338&lt;&gt;"",H338&lt;&gt;""),IF(J338&lt;=H338,1,0),""),"")</f>
        <v/>
      </c>
    </row>
    <row r="339">
      <c r="K339" s="10" t="n"/>
      <c r="L339" s="11">
        <f>IFERROR(E339-F339,"")</f>
        <v/>
      </c>
      <c r="M339" s="11">
        <f>IFERROR((J339-I339)*1440,"")</f>
        <v/>
      </c>
      <c r="N339" s="11">
        <f>IF(K339="completed",IF(AND(J339&lt;&gt;"",H339&lt;&gt;""),IF(J339&lt;=H339,1,0),""),"")</f>
        <v/>
      </c>
    </row>
    <row r="340">
      <c r="K340" s="10" t="n"/>
      <c r="L340" s="11">
        <f>IFERROR(E340-F340,"")</f>
        <v/>
      </c>
      <c r="M340" s="11">
        <f>IFERROR((J340-I340)*1440,"")</f>
        <v/>
      </c>
      <c r="N340" s="11">
        <f>IF(K340="completed",IF(AND(J340&lt;&gt;"",H340&lt;&gt;""),IF(J340&lt;=H340,1,0),""),"")</f>
        <v/>
      </c>
    </row>
    <row r="341">
      <c r="K341" s="10" t="n"/>
      <c r="L341" s="11">
        <f>IFERROR(E341-F341,"")</f>
        <v/>
      </c>
      <c r="M341" s="11">
        <f>IFERROR((J341-I341)*1440,"")</f>
        <v/>
      </c>
      <c r="N341" s="11">
        <f>IF(K341="completed",IF(AND(J341&lt;&gt;"",H341&lt;&gt;""),IF(J341&lt;=H341,1,0),""),"")</f>
        <v/>
      </c>
    </row>
    <row r="342">
      <c r="K342" s="10" t="n"/>
      <c r="L342" s="11">
        <f>IFERROR(E342-F342,"")</f>
        <v/>
      </c>
      <c r="M342" s="11">
        <f>IFERROR((J342-I342)*1440,"")</f>
        <v/>
      </c>
      <c r="N342" s="11">
        <f>IF(K342="completed",IF(AND(J342&lt;&gt;"",H342&lt;&gt;""),IF(J342&lt;=H342,1,0),""),"")</f>
        <v/>
      </c>
    </row>
    <row r="343">
      <c r="K343" s="10" t="n"/>
      <c r="L343" s="11">
        <f>IFERROR(E343-F343,"")</f>
        <v/>
      </c>
      <c r="M343" s="11">
        <f>IFERROR((J343-I343)*1440,"")</f>
        <v/>
      </c>
      <c r="N343" s="11">
        <f>IF(K343="completed",IF(AND(J343&lt;&gt;"",H343&lt;&gt;""),IF(J343&lt;=H343,1,0),""),"")</f>
        <v/>
      </c>
    </row>
    <row r="344">
      <c r="K344" s="10" t="n"/>
      <c r="L344" s="11">
        <f>IFERROR(E344-F344,"")</f>
        <v/>
      </c>
      <c r="M344" s="11">
        <f>IFERROR((J344-I344)*1440,"")</f>
        <v/>
      </c>
      <c r="N344" s="11">
        <f>IF(K344="completed",IF(AND(J344&lt;&gt;"",H344&lt;&gt;""),IF(J344&lt;=H344,1,0),""),"")</f>
        <v/>
      </c>
    </row>
    <row r="345">
      <c r="K345" s="10" t="n"/>
      <c r="L345" s="11">
        <f>IFERROR(E345-F345,"")</f>
        <v/>
      </c>
      <c r="M345" s="11">
        <f>IFERROR((J345-I345)*1440,"")</f>
        <v/>
      </c>
      <c r="N345" s="11">
        <f>IF(K345="completed",IF(AND(J345&lt;&gt;"",H345&lt;&gt;""),IF(J345&lt;=H345,1,0),""),"")</f>
        <v/>
      </c>
    </row>
    <row r="346">
      <c r="K346" s="10" t="n"/>
      <c r="L346" s="11">
        <f>IFERROR(E346-F346,"")</f>
        <v/>
      </c>
      <c r="M346" s="11">
        <f>IFERROR((J346-I346)*1440,"")</f>
        <v/>
      </c>
      <c r="N346" s="11">
        <f>IF(K346="completed",IF(AND(J346&lt;&gt;"",H346&lt;&gt;""),IF(J346&lt;=H346,1,0),""),"")</f>
        <v/>
      </c>
    </row>
    <row r="347">
      <c r="K347" s="10" t="n"/>
      <c r="L347" s="11">
        <f>IFERROR(E347-F347,"")</f>
        <v/>
      </c>
      <c r="M347" s="11">
        <f>IFERROR((J347-I347)*1440,"")</f>
        <v/>
      </c>
      <c r="N347" s="11">
        <f>IF(K347="completed",IF(AND(J347&lt;&gt;"",H347&lt;&gt;""),IF(J347&lt;=H347,1,0),""),"")</f>
        <v/>
      </c>
    </row>
    <row r="348">
      <c r="K348" s="10" t="n"/>
      <c r="L348" s="11">
        <f>IFERROR(E348-F348,"")</f>
        <v/>
      </c>
      <c r="M348" s="11">
        <f>IFERROR((J348-I348)*1440,"")</f>
        <v/>
      </c>
      <c r="N348" s="11">
        <f>IF(K348="completed",IF(AND(J348&lt;&gt;"",H348&lt;&gt;""),IF(J348&lt;=H348,1,0),""),"")</f>
        <v/>
      </c>
    </row>
    <row r="349">
      <c r="K349" s="10" t="n"/>
      <c r="L349" s="11">
        <f>IFERROR(E349-F349,"")</f>
        <v/>
      </c>
      <c r="M349" s="11">
        <f>IFERROR((J349-I349)*1440,"")</f>
        <v/>
      </c>
      <c r="N349" s="11">
        <f>IF(K349="completed",IF(AND(J349&lt;&gt;"",H349&lt;&gt;""),IF(J349&lt;=H349,1,0),""),"")</f>
        <v/>
      </c>
    </row>
    <row r="350">
      <c r="K350" s="10" t="n"/>
      <c r="L350" s="11">
        <f>IFERROR(E350-F350,"")</f>
        <v/>
      </c>
      <c r="M350" s="11">
        <f>IFERROR((J350-I350)*1440,"")</f>
        <v/>
      </c>
      <c r="N350" s="11">
        <f>IF(K350="completed",IF(AND(J350&lt;&gt;"",H350&lt;&gt;""),IF(J350&lt;=H350,1,0),""),"")</f>
        <v/>
      </c>
    </row>
    <row r="351">
      <c r="K351" s="10" t="n"/>
      <c r="L351" s="11">
        <f>IFERROR(E351-F351,"")</f>
        <v/>
      </c>
      <c r="M351" s="11">
        <f>IFERROR((J351-I351)*1440,"")</f>
        <v/>
      </c>
      <c r="N351" s="11">
        <f>IF(K351="completed",IF(AND(J351&lt;&gt;"",H351&lt;&gt;""),IF(J351&lt;=H351,1,0),""),"")</f>
        <v/>
      </c>
    </row>
    <row r="352">
      <c r="K352" s="10" t="n"/>
      <c r="L352" s="11">
        <f>IFERROR(E352-F352,"")</f>
        <v/>
      </c>
      <c r="M352" s="11">
        <f>IFERROR((J352-I352)*1440,"")</f>
        <v/>
      </c>
      <c r="N352" s="11">
        <f>IF(K352="completed",IF(AND(J352&lt;&gt;"",H352&lt;&gt;""),IF(J352&lt;=H352,1,0),""),"")</f>
        <v/>
      </c>
    </row>
    <row r="353">
      <c r="K353" s="10" t="n"/>
      <c r="L353" s="11">
        <f>IFERROR(E353-F353,"")</f>
        <v/>
      </c>
      <c r="M353" s="11">
        <f>IFERROR((J353-I353)*1440,"")</f>
        <v/>
      </c>
      <c r="N353" s="11">
        <f>IF(K353="completed",IF(AND(J353&lt;&gt;"",H353&lt;&gt;""),IF(J353&lt;=H353,1,0),""),"")</f>
        <v/>
      </c>
    </row>
    <row r="354">
      <c r="K354" s="10" t="n"/>
      <c r="L354" s="11">
        <f>IFERROR(E354-F354,"")</f>
        <v/>
      </c>
      <c r="M354" s="11">
        <f>IFERROR((J354-I354)*1440,"")</f>
        <v/>
      </c>
      <c r="N354" s="11">
        <f>IF(K354="completed",IF(AND(J354&lt;&gt;"",H354&lt;&gt;""),IF(J354&lt;=H354,1,0),""),"")</f>
        <v/>
      </c>
    </row>
    <row r="355">
      <c r="K355" s="10" t="n"/>
      <c r="L355" s="11">
        <f>IFERROR(E355-F355,"")</f>
        <v/>
      </c>
      <c r="M355" s="11">
        <f>IFERROR((J355-I355)*1440,"")</f>
        <v/>
      </c>
      <c r="N355" s="11">
        <f>IF(K355="completed",IF(AND(J355&lt;&gt;"",H355&lt;&gt;""),IF(J355&lt;=H355,1,0),""),"")</f>
        <v/>
      </c>
    </row>
    <row r="356">
      <c r="K356" s="10" t="n"/>
      <c r="L356" s="11">
        <f>IFERROR(E356-F356,"")</f>
        <v/>
      </c>
      <c r="M356" s="11">
        <f>IFERROR((J356-I356)*1440,"")</f>
        <v/>
      </c>
      <c r="N356" s="11">
        <f>IF(K356="completed",IF(AND(J356&lt;&gt;"",H356&lt;&gt;""),IF(J356&lt;=H356,1,0),""),"")</f>
        <v/>
      </c>
    </row>
    <row r="357">
      <c r="K357" s="10" t="n"/>
      <c r="L357" s="11">
        <f>IFERROR(E357-F357,"")</f>
        <v/>
      </c>
      <c r="M357" s="11">
        <f>IFERROR((J357-I357)*1440,"")</f>
        <v/>
      </c>
      <c r="N357" s="11">
        <f>IF(K357="completed",IF(AND(J357&lt;&gt;"",H357&lt;&gt;""),IF(J357&lt;=H357,1,0),""),"")</f>
        <v/>
      </c>
    </row>
    <row r="358">
      <c r="K358" s="10" t="n"/>
      <c r="L358" s="11">
        <f>IFERROR(E358-F358,"")</f>
        <v/>
      </c>
      <c r="M358" s="11">
        <f>IFERROR((J358-I358)*1440,"")</f>
        <v/>
      </c>
      <c r="N358" s="11">
        <f>IF(K358="completed",IF(AND(J358&lt;&gt;"",H358&lt;&gt;""),IF(J358&lt;=H358,1,0),""),"")</f>
        <v/>
      </c>
    </row>
    <row r="359">
      <c r="K359" s="10" t="n"/>
      <c r="L359" s="11">
        <f>IFERROR(E359-F359,"")</f>
        <v/>
      </c>
      <c r="M359" s="11">
        <f>IFERROR((J359-I359)*1440,"")</f>
        <v/>
      </c>
      <c r="N359" s="11">
        <f>IF(K359="completed",IF(AND(J359&lt;&gt;"",H359&lt;&gt;""),IF(J359&lt;=H359,1,0),""),"")</f>
        <v/>
      </c>
    </row>
    <row r="360">
      <c r="K360" s="10" t="n"/>
      <c r="L360" s="11">
        <f>IFERROR(E360-F360,"")</f>
        <v/>
      </c>
      <c r="M360" s="11">
        <f>IFERROR((J360-I360)*1440,"")</f>
        <v/>
      </c>
      <c r="N360" s="11">
        <f>IF(K360="completed",IF(AND(J360&lt;&gt;"",H360&lt;&gt;""),IF(J360&lt;=H360,1,0),""),"")</f>
        <v/>
      </c>
    </row>
    <row r="361">
      <c r="K361" s="10" t="n"/>
      <c r="L361" s="11">
        <f>IFERROR(E361-F361,"")</f>
        <v/>
      </c>
      <c r="M361" s="11">
        <f>IFERROR((J361-I361)*1440,"")</f>
        <v/>
      </c>
      <c r="N361" s="11">
        <f>IF(K361="completed",IF(AND(J361&lt;&gt;"",H361&lt;&gt;""),IF(J361&lt;=H361,1,0),""),"")</f>
        <v/>
      </c>
    </row>
    <row r="362">
      <c r="K362" s="10" t="n"/>
      <c r="L362" s="11">
        <f>IFERROR(E362-F362,"")</f>
        <v/>
      </c>
      <c r="M362" s="11">
        <f>IFERROR((J362-I362)*1440,"")</f>
        <v/>
      </c>
      <c r="N362" s="11">
        <f>IF(K362="completed",IF(AND(J362&lt;&gt;"",H362&lt;&gt;""),IF(J362&lt;=H362,1,0),""),"")</f>
        <v/>
      </c>
    </row>
    <row r="363">
      <c r="K363" s="10" t="n"/>
      <c r="L363" s="11">
        <f>IFERROR(E363-F363,"")</f>
        <v/>
      </c>
      <c r="M363" s="11">
        <f>IFERROR((J363-I363)*1440,"")</f>
        <v/>
      </c>
      <c r="N363" s="11">
        <f>IF(K363="completed",IF(AND(J363&lt;&gt;"",H363&lt;&gt;""),IF(J363&lt;=H363,1,0),""),"")</f>
        <v/>
      </c>
    </row>
    <row r="364">
      <c r="K364" s="10" t="n"/>
      <c r="L364" s="11">
        <f>IFERROR(E364-F364,"")</f>
        <v/>
      </c>
      <c r="M364" s="11">
        <f>IFERROR((J364-I364)*1440,"")</f>
        <v/>
      </c>
      <c r="N364" s="11">
        <f>IF(K364="completed",IF(AND(J364&lt;&gt;"",H364&lt;&gt;""),IF(J364&lt;=H364,1,0),""),"")</f>
        <v/>
      </c>
    </row>
    <row r="365">
      <c r="K365" s="10" t="n"/>
      <c r="L365" s="11">
        <f>IFERROR(E365-F365,"")</f>
        <v/>
      </c>
      <c r="M365" s="11">
        <f>IFERROR((J365-I365)*1440,"")</f>
        <v/>
      </c>
      <c r="N365" s="11">
        <f>IF(K365="completed",IF(AND(J365&lt;&gt;"",H365&lt;&gt;""),IF(J365&lt;=H365,1,0),""),"")</f>
        <v/>
      </c>
    </row>
    <row r="366">
      <c r="K366" s="10" t="n"/>
      <c r="L366" s="11">
        <f>IFERROR(E366-F366,"")</f>
        <v/>
      </c>
      <c r="M366" s="11">
        <f>IFERROR((J366-I366)*1440,"")</f>
        <v/>
      </c>
      <c r="N366" s="11">
        <f>IF(K366="completed",IF(AND(J366&lt;&gt;"",H366&lt;&gt;""),IF(J366&lt;=H366,1,0),""),"")</f>
        <v/>
      </c>
    </row>
    <row r="367">
      <c r="K367" s="10" t="n"/>
      <c r="L367" s="11">
        <f>IFERROR(E367-F367,"")</f>
        <v/>
      </c>
      <c r="M367" s="11">
        <f>IFERROR((J367-I367)*1440,"")</f>
        <v/>
      </c>
      <c r="N367" s="11">
        <f>IF(K367="completed",IF(AND(J367&lt;&gt;"",H367&lt;&gt;""),IF(J367&lt;=H367,1,0),""),"")</f>
        <v/>
      </c>
    </row>
    <row r="368">
      <c r="K368" s="10" t="n"/>
      <c r="L368" s="11">
        <f>IFERROR(E368-F368,"")</f>
        <v/>
      </c>
      <c r="M368" s="11">
        <f>IFERROR((J368-I368)*1440,"")</f>
        <v/>
      </c>
      <c r="N368" s="11">
        <f>IF(K368="completed",IF(AND(J368&lt;&gt;"",H368&lt;&gt;""),IF(J368&lt;=H368,1,0),""),"")</f>
        <v/>
      </c>
    </row>
    <row r="369">
      <c r="K369" s="10" t="n"/>
      <c r="L369" s="11">
        <f>IFERROR(E369-F369,"")</f>
        <v/>
      </c>
      <c r="M369" s="11">
        <f>IFERROR((J369-I369)*1440,"")</f>
        <v/>
      </c>
      <c r="N369" s="11">
        <f>IF(K369="completed",IF(AND(J369&lt;&gt;"",H369&lt;&gt;""),IF(J369&lt;=H369,1,0),""),"")</f>
        <v/>
      </c>
    </row>
    <row r="370">
      <c r="K370" s="10" t="n"/>
      <c r="L370" s="11">
        <f>IFERROR(E370-F370,"")</f>
        <v/>
      </c>
      <c r="M370" s="11">
        <f>IFERROR((J370-I370)*1440,"")</f>
        <v/>
      </c>
      <c r="N370" s="11">
        <f>IF(K370="completed",IF(AND(J370&lt;&gt;"",H370&lt;&gt;""),IF(J370&lt;=H370,1,0),""),"")</f>
        <v/>
      </c>
    </row>
    <row r="371">
      <c r="K371" s="10" t="n"/>
      <c r="L371" s="11">
        <f>IFERROR(E371-F371,"")</f>
        <v/>
      </c>
      <c r="M371" s="11">
        <f>IFERROR((J371-I371)*1440,"")</f>
        <v/>
      </c>
      <c r="N371" s="11">
        <f>IF(K371="completed",IF(AND(J371&lt;&gt;"",H371&lt;&gt;""),IF(J371&lt;=H371,1,0),""),"")</f>
        <v/>
      </c>
    </row>
    <row r="372">
      <c r="K372" s="10" t="n"/>
      <c r="L372" s="11">
        <f>IFERROR(E372-F372,"")</f>
        <v/>
      </c>
      <c r="M372" s="11">
        <f>IFERROR((J372-I372)*1440,"")</f>
        <v/>
      </c>
      <c r="N372" s="11">
        <f>IF(K372="completed",IF(AND(J372&lt;&gt;"",H372&lt;&gt;""),IF(J372&lt;=H372,1,0),""),"")</f>
        <v/>
      </c>
    </row>
    <row r="373">
      <c r="K373" s="10" t="n"/>
      <c r="L373" s="11">
        <f>IFERROR(E373-F373,"")</f>
        <v/>
      </c>
      <c r="M373" s="11">
        <f>IFERROR((J373-I373)*1440,"")</f>
        <v/>
      </c>
      <c r="N373" s="11">
        <f>IF(K373="completed",IF(AND(J373&lt;&gt;"",H373&lt;&gt;""),IF(J373&lt;=H373,1,0),""),"")</f>
        <v/>
      </c>
    </row>
    <row r="374">
      <c r="K374" s="10" t="n"/>
      <c r="L374" s="11">
        <f>IFERROR(E374-F374,"")</f>
        <v/>
      </c>
      <c r="M374" s="11">
        <f>IFERROR((J374-I374)*1440,"")</f>
        <v/>
      </c>
      <c r="N374" s="11">
        <f>IF(K374="completed",IF(AND(J374&lt;&gt;"",H374&lt;&gt;""),IF(J374&lt;=H374,1,0),""),"")</f>
        <v/>
      </c>
    </row>
    <row r="375">
      <c r="K375" s="10" t="n"/>
      <c r="L375" s="11">
        <f>IFERROR(E375-F375,"")</f>
        <v/>
      </c>
      <c r="M375" s="11">
        <f>IFERROR((J375-I375)*1440,"")</f>
        <v/>
      </c>
      <c r="N375" s="11">
        <f>IF(K375="completed",IF(AND(J375&lt;&gt;"",H375&lt;&gt;""),IF(J375&lt;=H375,1,0),""),"")</f>
        <v/>
      </c>
    </row>
    <row r="376">
      <c r="K376" s="10" t="n"/>
      <c r="L376" s="11">
        <f>IFERROR(E376-F376,"")</f>
        <v/>
      </c>
      <c r="M376" s="11">
        <f>IFERROR((J376-I376)*1440,"")</f>
        <v/>
      </c>
      <c r="N376" s="11">
        <f>IF(K376="completed",IF(AND(J376&lt;&gt;"",H376&lt;&gt;""),IF(J376&lt;=H376,1,0),""),"")</f>
        <v/>
      </c>
    </row>
    <row r="377">
      <c r="K377" s="10" t="n"/>
      <c r="L377" s="11">
        <f>IFERROR(E377-F377,"")</f>
        <v/>
      </c>
      <c r="M377" s="11">
        <f>IFERROR((J377-I377)*1440,"")</f>
        <v/>
      </c>
      <c r="N377" s="11">
        <f>IF(K377="completed",IF(AND(J377&lt;&gt;"",H377&lt;&gt;""),IF(J377&lt;=H377,1,0),""),"")</f>
        <v/>
      </c>
    </row>
    <row r="378">
      <c r="K378" s="10" t="n"/>
      <c r="L378" s="11">
        <f>IFERROR(E378-F378,"")</f>
        <v/>
      </c>
      <c r="M378" s="11">
        <f>IFERROR((J378-I378)*1440,"")</f>
        <v/>
      </c>
      <c r="N378" s="11">
        <f>IF(K378="completed",IF(AND(J378&lt;&gt;"",H378&lt;&gt;""),IF(J378&lt;=H378,1,0),""),"")</f>
        <v/>
      </c>
    </row>
    <row r="379">
      <c r="K379" s="10" t="n"/>
      <c r="L379" s="11">
        <f>IFERROR(E379-F379,"")</f>
        <v/>
      </c>
      <c r="M379" s="11">
        <f>IFERROR((J379-I379)*1440,"")</f>
        <v/>
      </c>
      <c r="N379" s="11">
        <f>IF(K379="completed",IF(AND(J379&lt;&gt;"",H379&lt;&gt;""),IF(J379&lt;=H379,1,0),""),"")</f>
        <v/>
      </c>
    </row>
    <row r="380">
      <c r="K380" s="10" t="n"/>
      <c r="L380" s="11">
        <f>IFERROR(E380-F380,"")</f>
        <v/>
      </c>
      <c r="M380" s="11">
        <f>IFERROR((J380-I380)*1440,"")</f>
        <v/>
      </c>
      <c r="N380" s="11">
        <f>IF(K380="completed",IF(AND(J380&lt;&gt;"",H380&lt;&gt;""),IF(J380&lt;=H380,1,0),""),"")</f>
        <v/>
      </c>
    </row>
    <row r="381">
      <c r="K381" s="10" t="n"/>
      <c r="L381" s="11">
        <f>IFERROR(E381-F381,"")</f>
        <v/>
      </c>
      <c r="M381" s="11">
        <f>IFERROR((J381-I381)*1440,"")</f>
        <v/>
      </c>
      <c r="N381" s="11">
        <f>IF(K381="completed",IF(AND(J381&lt;&gt;"",H381&lt;&gt;""),IF(J381&lt;=H381,1,0),""),"")</f>
        <v/>
      </c>
    </row>
    <row r="382">
      <c r="K382" s="10" t="n"/>
      <c r="L382" s="11">
        <f>IFERROR(E382-F382,"")</f>
        <v/>
      </c>
      <c r="M382" s="11">
        <f>IFERROR((J382-I382)*1440,"")</f>
        <v/>
      </c>
      <c r="N382" s="11">
        <f>IF(K382="completed",IF(AND(J382&lt;&gt;"",H382&lt;&gt;""),IF(J382&lt;=H382,1,0),""),"")</f>
        <v/>
      </c>
    </row>
    <row r="383">
      <c r="K383" s="10" t="n"/>
      <c r="L383" s="11">
        <f>IFERROR(E383-F383,"")</f>
        <v/>
      </c>
      <c r="M383" s="11">
        <f>IFERROR((J383-I383)*1440,"")</f>
        <v/>
      </c>
      <c r="N383" s="11">
        <f>IF(K383="completed",IF(AND(J383&lt;&gt;"",H383&lt;&gt;""),IF(J383&lt;=H383,1,0),""),"")</f>
        <v/>
      </c>
    </row>
    <row r="384">
      <c r="K384" s="10" t="n"/>
      <c r="L384" s="11">
        <f>IFERROR(E384-F384,"")</f>
        <v/>
      </c>
      <c r="M384" s="11">
        <f>IFERROR((J384-I384)*1440,"")</f>
        <v/>
      </c>
      <c r="N384" s="11">
        <f>IF(K384="completed",IF(AND(J384&lt;&gt;"",H384&lt;&gt;""),IF(J384&lt;=H384,1,0),""),"")</f>
        <v/>
      </c>
    </row>
    <row r="385">
      <c r="K385" s="10" t="n"/>
      <c r="L385" s="11">
        <f>IFERROR(E385-F385,"")</f>
        <v/>
      </c>
      <c r="M385" s="11">
        <f>IFERROR((J385-I385)*1440,"")</f>
        <v/>
      </c>
      <c r="N385" s="11">
        <f>IF(K385="completed",IF(AND(J385&lt;&gt;"",H385&lt;&gt;""),IF(J385&lt;=H385,1,0),""),"")</f>
        <v/>
      </c>
    </row>
    <row r="386">
      <c r="K386" s="10" t="n"/>
      <c r="L386" s="11">
        <f>IFERROR(E386-F386,"")</f>
        <v/>
      </c>
      <c r="M386" s="11">
        <f>IFERROR((J386-I386)*1440,"")</f>
        <v/>
      </c>
      <c r="N386" s="11">
        <f>IF(K386="completed",IF(AND(J386&lt;&gt;"",H386&lt;&gt;""),IF(J386&lt;=H386,1,0),""),"")</f>
        <v/>
      </c>
    </row>
    <row r="387">
      <c r="K387" s="10" t="n"/>
      <c r="L387" s="11">
        <f>IFERROR(E387-F387,"")</f>
        <v/>
      </c>
      <c r="M387" s="11">
        <f>IFERROR((J387-I387)*1440,"")</f>
        <v/>
      </c>
      <c r="N387" s="11">
        <f>IF(K387="completed",IF(AND(J387&lt;&gt;"",H387&lt;&gt;""),IF(J387&lt;=H387,1,0),""),"")</f>
        <v/>
      </c>
    </row>
    <row r="388">
      <c r="K388" s="10" t="n"/>
      <c r="L388" s="11">
        <f>IFERROR(E388-F388,"")</f>
        <v/>
      </c>
      <c r="M388" s="11">
        <f>IFERROR((J388-I388)*1440,"")</f>
        <v/>
      </c>
      <c r="N388" s="11">
        <f>IF(K388="completed",IF(AND(J388&lt;&gt;"",H388&lt;&gt;""),IF(J388&lt;=H388,1,0),""),"")</f>
        <v/>
      </c>
    </row>
    <row r="389">
      <c r="K389" s="10" t="n"/>
      <c r="L389" s="11">
        <f>IFERROR(E389-F389,"")</f>
        <v/>
      </c>
      <c r="M389" s="11">
        <f>IFERROR((J389-I389)*1440,"")</f>
        <v/>
      </c>
      <c r="N389" s="11">
        <f>IF(K389="completed",IF(AND(J389&lt;&gt;"",H389&lt;&gt;""),IF(J389&lt;=H389,1,0),""),"")</f>
        <v/>
      </c>
    </row>
    <row r="390">
      <c r="K390" s="10" t="n"/>
      <c r="L390" s="11">
        <f>IFERROR(E390-F390,"")</f>
        <v/>
      </c>
      <c r="M390" s="11">
        <f>IFERROR((J390-I390)*1440,"")</f>
        <v/>
      </c>
      <c r="N390" s="11">
        <f>IF(K390="completed",IF(AND(J390&lt;&gt;"",H390&lt;&gt;""),IF(J390&lt;=H390,1,0),""),"")</f>
        <v/>
      </c>
    </row>
    <row r="391">
      <c r="K391" s="10" t="n"/>
      <c r="L391" s="11">
        <f>IFERROR(E391-F391,"")</f>
        <v/>
      </c>
      <c r="M391" s="11">
        <f>IFERROR((J391-I391)*1440,"")</f>
        <v/>
      </c>
      <c r="N391" s="11">
        <f>IF(K391="completed",IF(AND(J391&lt;&gt;"",H391&lt;&gt;""),IF(J391&lt;=H391,1,0),""),"")</f>
        <v/>
      </c>
    </row>
    <row r="392">
      <c r="K392" s="10" t="n"/>
      <c r="L392" s="11">
        <f>IFERROR(E392-F392,"")</f>
        <v/>
      </c>
      <c r="M392" s="11">
        <f>IFERROR((J392-I392)*1440,"")</f>
        <v/>
      </c>
      <c r="N392" s="11">
        <f>IF(K392="completed",IF(AND(J392&lt;&gt;"",H392&lt;&gt;""),IF(J392&lt;=H392,1,0),""),"")</f>
        <v/>
      </c>
    </row>
    <row r="393">
      <c r="K393" s="10" t="n"/>
      <c r="L393" s="11">
        <f>IFERROR(E393-F393,"")</f>
        <v/>
      </c>
      <c r="M393" s="11">
        <f>IFERROR((J393-I393)*1440,"")</f>
        <v/>
      </c>
      <c r="N393" s="11">
        <f>IF(K393="completed",IF(AND(J393&lt;&gt;"",H393&lt;&gt;""),IF(J393&lt;=H393,1,0),""),"")</f>
        <v/>
      </c>
    </row>
    <row r="394">
      <c r="K394" s="10" t="n"/>
      <c r="L394" s="11">
        <f>IFERROR(E394-F394,"")</f>
        <v/>
      </c>
      <c r="M394" s="11">
        <f>IFERROR((J394-I394)*1440,"")</f>
        <v/>
      </c>
      <c r="N394" s="11">
        <f>IF(K394="completed",IF(AND(J394&lt;&gt;"",H394&lt;&gt;""),IF(J394&lt;=H394,1,0),""),"")</f>
        <v/>
      </c>
    </row>
    <row r="395">
      <c r="K395" s="10" t="n"/>
      <c r="L395" s="11">
        <f>IFERROR(E395-F395,"")</f>
        <v/>
      </c>
      <c r="M395" s="11">
        <f>IFERROR((J395-I395)*1440,"")</f>
        <v/>
      </c>
      <c r="N395" s="11">
        <f>IF(K395="completed",IF(AND(J395&lt;&gt;"",H395&lt;&gt;""),IF(J395&lt;=H395,1,0),""),"")</f>
        <v/>
      </c>
    </row>
    <row r="396">
      <c r="K396" s="10" t="n"/>
      <c r="L396" s="11">
        <f>IFERROR(E396-F396,"")</f>
        <v/>
      </c>
      <c r="M396" s="11">
        <f>IFERROR((J396-I396)*1440,"")</f>
        <v/>
      </c>
      <c r="N396" s="11">
        <f>IF(K396="completed",IF(AND(J396&lt;&gt;"",H396&lt;&gt;""),IF(J396&lt;=H396,1,0),""),"")</f>
        <v/>
      </c>
    </row>
    <row r="397">
      <c r="K397" s="10" t="n"/>
      <c r="L397" s="11">
        <f>IFERROR(E397-F397,"")</f>
        <v/>
      </c>
      <c r="M397" s="11">
        <f>IFERROR((J397-I397)*1440,"")</f>
        <v/>
      </c>
      <c r="N397" s="11">
        <f>IF(K397="completed",IF(AND(J397&lt;&gt;"",H397&lt;&gt;""),IF(J397&lt;=H397,1,0),""),"")</f>
        <v/>
      </c>
    </row>
    <row r="398">
      <c r="K398" s="10" t="n"/>
      <c r="L398" s="11">
        <f>IFERROR(E398-F398,"")</f>
        <v/>
      </c>
      <c r="M398" s="11">
        <f>IFERROR((J398-I398)*1440,"")</f>
        <v/>
      </c>
      <c r="N398" s="11">
        <f>IF(K398="completed",IF(AND(J398&lt;&gt;"",H398&lt;&gt;""),IF(J398&lt;=H398,1,0),""),"")</f>
        <v/>
      </c>
    </row>
    <row r="399">
      <c r="K399" s="10" t="n"/>
      <c r="L399" s="11">
        <f>IFERROR(E399-F399,"")</f>
        <v/>
      </c>
      <c r="M399" s="11">
        <f>IFERROR((J399-I399)*1440,"")</f>
        <v/>
      </c>
      <c r="N399" s="11">
        <f>IF(K399="completed",IF(AND(J399&lt;&gt;"",H399&lt;&gt;""),IF(J399&lt;=H399,1,0),""),"")</f>
        <v/>
      </c>
    </row>
    <row r="400">
      <c r="K400" s="10" t="n"/>
      <c r="L400" s="11">
        <f>IFERROR(E400-F400,"")</f>
        <v/>
      </c>
      <c r="M400" s="11">
        <f>IFERROR((J400-I400)*1440,"")</f>
        <v/>
      </c>
      <c r="N400" s="11">
        <f>IF(K400="completed",IF(AND(J400&lt;&gt;"",H400&lt;&gt;""),IF(J400&lt;=H400,1,0),""),"")</f>
        <v/>
      </c>
    </row>
    <row r="401">
      <c r="K401" s="10" t="n"/>
      <c r="L401" s="11">
        <f>IFERROR(E401-F401,"")</f>
        <v/>
      </c>
      <c r="M401" s="11">
        <f>IFERROR((J401-I401)*1440,"")</f>
        <v/>
      </c>
      <c r="N401" s="11">
        <f>IF(K401="completed",IF(AND(J401&lt;&gt;"",H401&lt;&gt;""),IF(J401&lt;=H401,1,0),""),"")</f>
        <v/>
      </c>
    </row>
    <row r="402">
      <c r="K402" s="10" t="n"/>
      <c r="L402" s="11">
        <f>IFERROR(E402-F402,"")</f>
        <v/>
      </c>
      <c r="M402" s="11">
        <f>IFERROR((J402-I402)*1440,"")</f>
        <v/>
      </c>
      <c r="N402" s="11">
        <f>IF(K402="completed",IF(AND(J402&lt;&gt;"",H402&lt;&gt;""),IF(J402&lt;=H402,1,0),""),"")</f>
        <v/>
      </c>
    </row>
    <row r="403">
      <c r="K403" s="10" t="n"/>
      <c r="L403" s="11">
        <f>IFERROR(E403-F403,"")</f>
        <v/>
      </c>
      <c r="M403" s="11">
        <f>IFERROR((J403-I403)*1440,"")</f>
        <v/>
      </c>
      <c r="N403" s="11">
        <f>IF(K403="completed",IF(AND(J403&lt;&gt;"",H403&lt;&gt;""),IF(J403&lt;=H403,1,0),""),"")</f>
        <v/>
      </c>
    </row>
    <row r="404">
      <c r="K404" s="10" t="n"/>
      <c r="L404" s="11">
        <f>IFERROR(E404-F404,"")</f>
        <v/>
      </c>
      <c r="M404" s="11">
        <f>IFERROR((J404-I404)*1440,"")</f>
        <v/>
      </c>
      <c r="N404" s="11">
        <f>IF(K404="completed",IF(AND(J404&lt;&gt;"",H404&lt;&gt;""),IF(J404&lt;=H404,1,0),""),"")</f>
        <v/>
      </c>
    </row>
    <row r="405">
      <c r="K405" s="10" t="n"/>
      <c r="L405" s="11">
        <f>IFERROR(E405-F405,"")</f>
        <v/>
      </c>
      <c r="M405" s="11">
        <f>IFERROR((J405-I405)*1440,"")</f>
        <v/>
      </c>
      <c r="N405" s="11">
        <f>IF(K405="completed",IF(AND(J405&lt;&gt;"",H405&lt;&gt;""),IF(J405&lt;=H405,1,0),""),"")</f>
        <v/>
      </c>
    </row>
    <row r="406">
      <c r="K406" s="10" t="n"/>
      <c r="L406" s="11">
        <f>IFERROR(E406-F406,"")</f>
        <v/>
      </c>
      <c r="M406" s="11">
        <f>IFERROR((J406-I406)*1440,"")</f>
        <v/>
      </c>
      <c r="N406" s="11">
        <f>IF(K406="completed",IF(AND(J406&lt;&gt;"",H406&lt;&gt;""),IF(J406&lt;=H406,1,0),""),"")</f>
        <v/>
      </c>
    </row>
    <row r="407">
      <c r="K407" s="10" t="n"/>
      <c r="L407" s="11">
        <f>IFERROR(E407-F407,"")</f>
        <v/>
      </c>
      <c r="M407" s="11">
        <f>IFERROR((J407-I407)*1440,"")</f>
        <v/>
      </c>
      <c r="N407" s="11">
        <f>IF(K407="completed",IF(AND(J407&lt;&gt;"",H407&lt;&gt;""),IF(J407&lt;=H407,1,0),""),"")</f>
        <v/>
      </c>
    </row>
    <row r="408">
      <c r="K408" s="10" t="n"/>
      <c r="L408" s="11">
        <f>IFERROR(E408-F408,"")</f>
        <v/>
      </c>
      <c r="M408" s="11">
        <f>IFERROR((J408-I408)*1440,"")</f>
        <v/>
      </c>
      <c r="N408" s="11">
        <f>IF(K408="completed",IF(AND(J408&lt;&gt;"",H408&lt;&gt;""),IF(J408&lt;=H408,1,0),""),"")</f>
        <v/>
      </c>
    </row>
    <row r="409">
      <c r="K409" s="10" t="n"/>
      <c r="L409" s="11">
        <f>IFERROR(E409-F409,"")</f>
        <v/>
      </c>
      <c r="M409" s="11">
        <f>IFERROR((J409-I409)*1440,"")</f>
        <v/>
      </c>
      <c r="N409" s="11">
        <f>IF(K409="completed",IF(AND(J409&lt;&gt;"",H409&lt;&gt;""),IF(J409&lt;=H409,1,0),""),"")</f>
        <v/>
      </c>
    </row>
    <row r="410">
      <c r="K410" s="10" t="n"/>
      <c r="L410" s="11">
        <f>IFERROR(E410-F410,"")</f>
        <v/>
      </c>
      <c r="M410" s="11">
        <f>IFERROR((J410-I410)*1440,"")</f>
        <v/>
      </c>
      <c r="N410" s="11">
        <f>IF(K410="completed",IF(AND(J410&lt;&gt;"",H410&lt;&gt;""),IF(J410&lt;=H410,1,0),""),"")</f>
        <v/>
      </c>
    </row>
    <row r="411">
      <c r="K411" s="10" t="n"/>
      <c r="L411" s="11">
        <f>IFERROR(E411-F411,"")</f>
        <v/>
      </c>
      <c r="M411" s="11">
        <f>IFERROR((J411-I411)*1440,"")</f>
        <v/>
      </c>
      <c r="N411" s="11">
        <f>IF(K411="completed",IF(AND(J411&lt;&gt;"",H411&lt;&gt;""),IF(J411&lt;=H411,1,0),""),"")</f>
        <v/>
      </c>
    </row>
    <row r="412">
      <c r="K412" s="10" t="n"/>
      <c r="L412" s="11">
        <f>IFERROR(E412-F412,"")</f>
        <v/>
      </c>
      <c r="M412" s="11">
        <f>IFERROR((J412-I412)*1440,"")</f>
        <v/>
      </c>
      <c r="N412" s="11">
        <f>IF(K412="completed",IF(AND(J412&lt;&gt;"",H412&lt;&gt;""),IF(J412&lt;=H412,1,0),""),"")</f>
        <v/>
      </c>
    </row>
    <row r="413">
      <c r="K413" s="10" t="n"/>
      <c r="L413" s="11">
        <f>IFERROR(E413-F413,"")</f>
        <v/>
      </c>
      <c r="M413" s="11">
        <f>IFERROR((J413-I413)*1440,"")</f>
        <v/>
      </c>
      <c r="N413" s="11">
        <f>IF(K413="completed",IF(AND(J413&lt;&gt;"",H413&lt;&gt;""),IF(J413&lt;=H413,1,0),""),"")</f>
        <v/>
      </c>
    </row>
    <row r="414">
      <c r="K414" s="10" t="n"/>
      <c r="L414" s="11">
        <f>IFERROR(E414-F414,"")</f>
        <v/>
      </c>
      <c r="M414" s="11">
        <f>IFERROR((J414-I414)*1440,"")</f>
        <v/>
      </c>
      <c r="N414" s="11">
        <f>IF(K414="completed",IF(AND(J414&lt;&gt;"",H414&lt;&gt;""),IF(J414&lt;=H414,1,0),""),"")</f>
        <v/>
      </c>
    </row>
    <row r="415">
      <c r="K415" s="10" t="n"/>
      <c r="L415" s="11">
        <f>IFERROR(E415-F415,"")</f>
        <v/>
      </c>
      <c r="M415" s="11">
        <f>IFERROR((J415-I415)*1440,"")</f>
        <v/>
      </c>
      <c r="N415" s="11">
        <f>IF(K415="completed",IF(AND(J415&lt;&gt;"",H415&lt;&gt;""),IF(J415&lt;=H415,1,0),""),"")</f>
        <v/>
      </c>
    </row>
    <row r="416">
      <c r="K416" s="10" t="n"/>
      <c r="L416" s="11">
        <f>IFERROR(E416-F416,"")</f>
        <v/>
      </c>
      <c r="M416" s="11">
        <f>IFERROR((J416-I416)*1440,"")</f>
        <v/>
      </c>
      <c r="N416" s="11">
        <f>IF(K416="completed",IF(AND(J416&lt;&gt;"",H416&lt;&gt;""),IF(J416&lt;=H416,1,0),""),"")</f>
        <v/>
      </c>
    </row>
    <row r="417">
      <c r="K417" s="10" t="n"/>
      <c r="L417" s="11">
        <f>IFERROR(E417-F417,"")</f>
        <v/>
      </c>
      <c r="M417" s="11">
        <f>IFERROR((J417-I417)*1440,"")</f>
        <v/>
      </c>
      <c r="N417" s="11">
        <f>IF(K417="completed",IF(AND(J417&lt;&gt;"",H417&lt;&gt;""),IF(J417&lt;=H417,1,0),""),"")</f>
        <v/>
      </c>
    </row>
    <row r="418">
      <c r="K418" s="10" t="n"/>
      <c r="L418" s="11">
        <f>IFERROR(E418-F418,"")</f>
        <v/>
      </c>
      <c r="M418" s="11">
        <f>IFERROR((J418-I418)*1440,"")</f>
        <v/>
      </c>
      <c r="N418" s="11">
        <f>IF(K418="completed",IF(AND(J418&lt;&gt;"",H418&lt;&gt;""),IF(J418&lt;=H418,1,0),""),"")</f>
        <v/>
      </c>
    </row>
    <row r="419">
      <c r="K419" s="10" t="n"/>
      <c r="L419" s="11">
        <f>IFERROR(E419-F419,"")</f>
        <v/>
      </c>
      <c r="M419" s="11">
        <f>IFERROR((J419-I419)*1440,"")</f>
        <v/>
      </c>
      <c r="N419" s="11">
        <f>IF(K419="completed",IF(AND(J419&lt;&gt;"",H419&lt;&gt;""),IF(J419&lt;=H419,1,0),""),"")</f>
        <v/>
      </c>
    </row>
    <row r="420">
      <c r="K420" s="10" t="n"/>
      <c r="L420" s="11">
        <f>IFERROR(E420-F420,"")</f>
        <v/>
      </c>
      <c r="M420" s="11">
        <f>IFERROR((J420-I420)*1440,"")</f>
        <v/>
      </c>
      <c r="N420" s="11">
        <f>IF(K420="completed",IF(AND(J420&lt;&gt;"",H420&lt;&gt;""),IF(J420&lt;=H420,1,0),""),"")</f>
        <v/>
      </c>
    </row>
    <row r="421">
      <c r="K421" s="10" t="n"/>
      <c r="L421" s="11">
        <f>IFERROR(E421-F421,"")</f>
        <v/>
      </c>
      <c r="M421" s="11">
        <f>IFERROR((J421-I421)*1440,"")</f>
        <v/>
      </c>
      <c r="N421" s="11">
        <f>IF(K421="completed",IF(AND(J421&lt;&gt;"",H421&lt;&gt;""),IF(J421&lt;=H421,1,0),""),"")</f>
        <v/>
      </c>
    </row>
    <row r="422">
      <c r="K422" s="10" t="n"/>
      <c r="L422" s="11">
        <f>IFERROR(E422-F422,"")</f>
        <v/>
      </c>
      <c r="M422" s="11">
        <f>IFERROR((J422-I422)*1440,"")</f>
        <v/>
      </c>
      <c r="N422" s="11">
        <f>IF(K422="completed",IF(AND(J422&lt;&gt;"",H422&lt;&gt;""),IF(J422&lt;=H422,1,0),""),"")</f>
        <v/>
      </c>
    </row>
    <row r="423">
      <c r="K423" s="10" t="n"/>
      <c r="L423" s="11">
        <f>IFERROR(E423-F423,"")</f>
        <v/>
      </c>
      <c r="M423" s="11">
        <f>IFERROR((J423-I423)*1440,"")</f>
        <v/>
      </c>
      <c r="N423" s="11">
        <f>IF(K423="completed",IF(AND(J423&lt;&gt;"",H423&lt;&gt;""),IF(J423&lt;=H423,1,0),""),"")</f>
        <v/>
      </c>
    </row>
    <row r="424">
      <c r="K424" s="10" t="n"/>
      <c r="L424" s="11">
        <f>IFERROR(E424-F424,"")</f>
        <v/>
      </c>
      <c r="M424" s="11">
        <f>IFERROR((J424-I424)*1440,"")</f>
        <v/>
      </c>
      <c r="N424" s="11">
        <f>IF(K424="completed",IF(AND(J424&lt;&gt;"",H424&lt;&gt;""),IF(J424&lt;=H424,1,0),""),"")</f>
        <v/>
      </c>
    </row>
    <row r="425">
      <c r="K425" s="10" t="n"/>
      <c r="L425" s="11">
        <f>IFERROR(E425-F425,"")</f>
        <v/>
      </c>
      <c r="M425" s="11">
        <f>IFERROR((J425-I425)*1440,"")</f>
        <v/>
      </c>
      <c r="N425" s="11">
        <f>IF(K425="completed",IF(AND(J425&lt;&gt;"",H425&lt;&gt;""),IF(J425&lt;=H425,1,0),""),"")</f>
        <v/>
      </c>
    </row>
    <row r="426">
      <c r="K426" s="10" t="n"/>
      <c r="L426" s="11">
        <f>IFERROR(E426-F426,"")</f>
        <v/>
      </c>
      <c r="M426" s="11">
        <f>IFERROR((J426-I426)*1440,"")</f>
        <v/>
      </c>
      <c r="N426" s="11">
        <f>IF(K426="completed",IF(AND(J426&lt;&gt;"",H426&lt;&gt;""),IF(J426&lt;=H426,1,0),""),"")</f>
        <v/>
      </c>
    </row>
    <row r="427">
      <c r="K427" s="10" t="n"/>
      <c r="L427" s="11">
        <f>IFERROR(E427-F427,"")</f>
        <v/>
      </c>
      <c r="M427" s="11">
        <f>IFERROR((J427-I427)*1440,"")</f>
        <v/>
      </c>
      <c r="N427" s="11">
        <f>IF(K427="completed",IF(AND(J427&lt;&gt;"",H427&lt;&gt;""),IF(J427&lt;=H427,1,0),""),"")</f>
        <v/>
      </c>
    </row>
    <row r="428">
      <c r="K428" s="10" t="n"/>
      <c r="L428" s="11">
        <f>IFERROR(E428-F428,"")</f>
        <v/>
      </c>
      <c r="M428" s="11">
        <f>IFERROR((J428-I428)*1440,"")</f>
        <v/>
      </c>
      <c r="N428" s="11">
        <f>IF(K428="completed",IF(AND(J428&lt;&gt;"",H428&lt;&gt;""),IF(J428&lt;=H428,1,0),""),"")</f>
        <v/>
      </c>
    </row>
    <row r="429">
      <c r="K429" s="10" t="n"/>
      <c r="L429" s="11">
        <f>IFERROR(E429-F429,"")</f>
        <v/>
      </c>
      <c r="M429" s="11">
        <f>IFERROR((J429-I429)*1440,"")</f>
        <v/>
      </c>
      <c r="N429" s="11">
        <f>IF(K429="completed",IF(AND(J429&lt;&gt;"",H429&lt;&gt;""),IF(J429&lt;=H429,1,0),""),"")</f>
        <v/>
      </c>
    </row>
    <row r="430">
      <c r="K430" s="10" t="n"/>
      <c r="L430" s="11">
        <f>IFERROR(E430-F430,"")</f>
        <v/>
      </c>
      <c r="M430" s="11">
        <f>IFERROR((J430-I430)*1440,"")</f>
        <v/>
      </c>
      <c r="N430" s="11">
        <f>IF(K430="completed",IF(AND(J430&lt;&gt;"",H430&lt;&gt;""),IF(J430&lt;=H430,1,0),""),"")</f>
        <v/>
      </c>
    </row>
    <row r="431">
      <c r="K431" s="10" t="n"/>
      <c r="L431" s="11">
        <f>IFERROR(E431-F431,"")</f>
        <v/>
      </c>
      <c r="M431" s="11">
        <f>IFERROR((J431-I431)*1440,"")</f>
        <v/>
      </c>
      <c r="N431" s="11">
        <f>IF(K431="completed",IF(AND(J431&lt;&gt;"",H431&lt;&gt;""),IF(J431&lt;=H431,1,0),""),"")</f>
        <v/>
      </c>
    </row>
    <row r="432">
      <c r="K432" s="10" t="n"/>
      <c r="L432" s="11">
        <f>IFERROR(E432-F432,"")</f>
        <v/>
      </c>
      <c r="M432" s="11">
        <f>IFERROR((J432-I432)*1440,"")</f>
        <v/>
      </c>
      <c r="N432" s="11">
        <f>IF(K432="completed",IF(AND(J432&lt;&gt;"",H432&lt;&gt;""),IF(J432&lt;=H432,1,0),""),"")</f>
        <v/>
      </c>
    </row>
    <row r="433">
      <c r="K433" s="10" t="n"/>
      <c r="L433" s="11">
        <f>IFERROR(E433-F433,"")</f>
        <v/>
      </c>
      <c r="M433" s="11">
        <f>IFERROR((J433-I433)*1440,"")</f>
        <v/>
      </c>
      <c r="N433" s="11">
        <f>IF(K433="completed",IF(AND(J433&lt;&gt;"",H433&lt;&gt;""),IF(J433&lt;=H433,1,0),""),"")</f>
        <v/>
      </c>
    </row>
    <row r="434">
      <c r="K434" s="10" t="n"/>
      <c r="L434" s="11">
        <f>IFERROR(E434-F434,"")</f>
        <v/>
      </c>
      <c r="M434" s="11">
        <f>IFERROR((J434-I434)*1440,"")</f>
        <v/>
      </c>
      <c r="N434" s="11">
        <f>IF(K434="completed",IF(AND(J434&lt;&gt;"",H434&lt;&gt;""),IF(J434&lt;=H434,1,0),""),"")</f>
        <v/>
      </c>
    </row>
    <row r="435">
      <c r="K435" s="10" t="n"/>
      <c r="L435" s="11">
        <f>IFERROR(E435-F435,"")</f>
        <v/>
      </c>
      <c r="M435" s="11">
        <f>IFERROR((J435-I435)*1440,"")</f>
        <v/>
      </c>
      <c r="N435" s="11">
        <f>IF(K435="completed",IF(AND(J435&lt;&gt;"",H435&lt;&gt;""),IF(J435&lt;=H435,1,0),""),"")</f>
        <v/>
      </c>
    </row>
    <row r="436">
      <c r="K436" s="10" t="n"/>
      <c r="L436" s="11">
        <f>IFERROR(E436-F436,"")</f>
        <v/>
      </c>
      <c r="M436" s="11">
        <f>IFERROR((J436-I436)*1440,"")</f>
        <v/>
      </c>
      <c r="N436" s="11">
        <f>IF(K436="completed",IF(AND(J436&lt;&gt;"",H436&lt;&gt;""),IF(J436&lt;=H436,1,0),""),"")</f>
        <v/>
      </c>
    </row>
    <row r="437">
      <c r="K437" s="10" t="n"/>
      <c r="L437" s="11">
        <f>IFERROR(E437-F437,"")</f>
        <v/>
      </c>
      <c r="M437" s="11">
        <f>IFERROR((J437-I437)*1440,"")</f>
        <v/>
      </c>
      <c r="N437" s="11">
        <f>IF(K437="completed",IF(AND(J437&lt;&gt;"",H437&lt;&gt;""),IF(J437&lt;=H437,1,0),""),"")</f>
        <v/>
      </c>
    </row>
    <row r="438">
      <c r="K438" s="10" t="n"/>
      <c r="L438" s="11">
        <f>IFERROR(E438-F438,"")</f>
        <v/>
      </c>
      <c r="M438" s="11">
        <f>IFERROR((J438-I438)*1440,"")</f>
        <v/>
      </c>
      <c r="N438" s="11">
        <f>IF(K438="completed",IF(AND(J438&lt;&gt;"",H438&lt;&gt;""),IF(J438&lt;=H438,1,0),""),"")</f>
        <v/>
      </c>
    </row>
    <row r="439">
      <c r="K439" s="10" t="n"/>
      <c r="L439" s="11">
        <f>IFERROR(E439-F439,"")</f>
        <v/>
      </c>
      <c r="M439" s="11">
        <f>IFERROR((J439-I439)*1440,"")</f>
        <v/>
      </c>
      <c r="N439" s="11">
        <f>IF(K439="completed",IF(AND(J439&lt;&gt;"",H439&lt;&gt;""),IF(J439&lt;=H439,1,0),""),"")</f>
        <v/>
      </c>
    </row>
    <row r="440">
      <c r="K440" s="10" t="n"/>
      <c r="L440" s="11">
        <f>IFERROR(E440-F440,"")</f>
        <v/>
      </c>
      <c r="M440" s="11">
        <f>IFERROR((J440-I440)*1440,"")</f>
        <v/>
      </c>
      <c r="N440" s="11">
        <f>IF(K440="completed",IF(AND(J440&lt;&gt;"",H440&lt;&gt;""),IF(J440&lt;=H440,1,0),""),"")</f>
        <v/>
      </c>
    </row>
    <row r="441">
      <c r="K441" s="10" t="n"/>
      <c r="L441" s="11">
        <f>IFERROR(E441-F441,"")</f>
        <v/>
      </c>
      <c r="M441" s="11">
        <f>IFERROR((J441-I441)*1440,"")</f>
        <v/>
      </c>
      <c r="N441" s="11">
        <f>IF(K441="completed",IF(AND(J441&lt;&gt;"",H441&lt;&gt;""),IF(J441&lt;=H441,1,0),""),"")</f>
        <v/>
      </c>
    </row>
    <row r="442">
      <c r="K442" s="10" t="n"/>
      <c r="L442" s="11">
        <f>IFERROR(E442-F442,"")</f>
        <v/>
      </c>
      <c r="M442" s="11">
        <f>IFERROR((J442-I442)*1440,"")</f>
        <v/>
      </c>
      <c r="N442" s="11">
        <f>IF(K442="completed",IF(AND(J442&lt;&gt;"",H442&lt;&gt;""),IF(J442&lt;=H442,1,0),""),"")</f>
        <v/>
      </c>
    </row>
    <row r="443">
      <c r="K443" s="10" t="n"/>
      <c r="L443" s="11">
        <f>IFERROR(E443-F443,"")</f>
        <v/>
      </c>
      <c r="M443" s="11">
        <f>IFERROR((J443-I443)*1440,"")</f>
        <v/>
      </c>
      <c r="N443" s="11">
        <f>IF(K443="completed",IF(AND(J443&lt;&gt;"",H443&lt;&gt;""),IF(J443&lt;=H443,1,0),""),"")</f>
        <v/>
      </c>
    </row>
    <row r="444">
      <c r="K444" s="10" t="n"/>
      <c r="L444" s="11">
        <f>IFERROR(E444-F444,"")</f>
        <v/>
      </c>
      <c r="M444" s="11">
        <f>IFERROR((J444-I444)*1440,"")</f>
        <v/>
      </c>
      <c r="N444" s="11">
        <f>IF(K444="completed",IF(AND(J444&lt;&gt;"",H444&lt;&gt;""),IF(J444&lt;=H444,1,0),""),"")</f>
        <v/>
      </c>
    </row>
    <row r="445">
      <c r="K445" s="10" t="n"/>
      <c r="L445" s="11">
        <f>IFERROR(E445-F445,"")</f>
        <v/>
      </c>
      <c r="M445" s="11">
        <f>IFERROR((J445-I445)*1440,"")</f>
        <v/>
      </c>
      <c r="N445" s="11">
        <f>IF(K445="completed",IF(AND(J445&lt;&gt;"",H445&lt;&gt;""),IF(J445&lt;=H445,1,0),""),"")</f>
        <v/>
      </c>
    </row>
    <row r="446">
      <c r="K446" s="10" t="n"/>
      <c r="L446" s="11">
        <f>IFERROR(E446-F446,"")</f>
        <v/>
      </c>
      <c r="M446" s="11">
        <f>IFERROR((J446-I446)*1440,"")</f>
        <v/>
      </c>
      <c r="N446" s="11">
        <f>IF(K446="completed",IF(AND(J446&lt;&gt;"",H446&lt;&gt;""),IF(J446&lt;=H446,1,0),""),"")</f>
        <v/>
      </c>
    </row>
    <row r="447">
      <c r="K447" s="10" t="n"/>
      <c r="L447" s="11">
        <f>IFERROR(E447-F447,"")</f>
        <v/>
      </c>
      <c r="M447" s="11">
        <f>IFERROR((J447-I447)*1440,"")</f>
        <v/>
      </c>
      <c r="N447" s="11">
        <f>IF(K447="completed",IF(AND(J447&lt;&gt;"",H447&lt;&gt;""),IF(J447&lt;=H447,1,0),""),"")</f>
        <v/>
      </c>
    </row>
    <row r="448">
      <c r="K448" s="10" t="n"/>
      <c r="L448" s="11">
        <f>IFERROR(E448-F448,"")</f>
        <v/>
      </c>
      <c r="M448" s="11">
        <f>IFERROR((J448-I448)*1440,"")</f>
        <v/>
      </c>
      <c r="N448" s="11">
        <f>IF(K448="completed",IF(AND(J448&lt;&gt;"",H448&lt;&gt;""),IF(J448&lt;=H448,1,0),""),"")</f>
        <v/>
      </c>
    </row>
    <row r="449">
      <c r="K449" s="10" t="n"/>
      <c r="L449" s="11">
        <f>IFERROR(E449-F449,"")</f>
        <v/>
      </c>
      <c r="M449" s="11">
        <f>IFERROR((J449-I449)*1440,"")</f>
        <v/>
      </c>
      <c r="N449" s="11">
        <f>IF(K449="completed",IF(AND(J449&lt;&gt;"",H449&lt;&gt;""),IF(J449&lt;=H449,1,0),""),"")</f>
        <v/>
      </c>
    </row>
    <row r="450">
      <c r="K450" s="10" t="n"/>
      <c r="L450" s="11">
        <f>IFERROR(E450-F450,"")</f>
        <v/>
      </c>
      <c r="M450" s="11">
        <f>IFERROR((J450-I450)*1440,"")</f>
        <v/>
      </c>
      <c r="N450" s="11">
        <f>IF(K450="completed",IF(AND(J450&lt;&gt;"",H450&lt;&gt;""),IF(J450&lt;=H450,1,0),""),"")</f>
        <v/>
      </c>
    </row>
    <row r="451">
      <c r="K451" s="10" t="n"/>
      <c r="L451" s="11">
        <f>IFERROR(E451-F451,"")</f>
        <v/>
      </c>
      <c r="M451" s="11">
        <f>IFERROR((J451-I451)*1440,"")</f>
        <v/>
      </c>
      <c r="N451" s="11">
        <f>IF(K451="completed",IF(AND(J451&lt;&gt;"",H451&lt;&gt;""),IF(J451&lt;=H451,1,0),""),"")</f>
        <v/>
      </c>
    </row>
    <row r="452">
      <c r="K452" s="10" t="n"/>
      <c r="L452" s="11">
        <f>IFERROR(E452-F452,"")</f>
        <v/>
      </c>
      <c r="M452" s="11">
        <f>IFERROR((J452-I452)*1440,"")</f>
        <v/>
      </c>
      <c r="N452" s="11">
        <f>IF(K452="completed",IF(AND(J452&lt;&gt;"",H452&lt;&gt;""),IF(J452&lt;=H452,1,0),""),"")</f>
        <v/>
      </c>
    </row>
    <row r="453">
      <c r="K453" s="10" t="n"/>
      <c r="L453" s="11">
        <f>IFERROR(E453-F453,"")</f>
        <v/>
      </c>
      <c r="M453" s="11">
        <f>IFERROR((J453-I453)*1440,"")</f>
        <v/>
      </c>
      <c r="N453" s="11">
        <f>IF(K453="completed",IF(AND(J453&lt;&gt;"",H453&lt;&gt;""),IF(J453&lt;=H453,1,0),""),"")</f>
        <v/>
      </c>
    </row>
    <row r="454">
      <c r="K454" s="10" t="n"/>
      <c r="L454" s="11">
        <f>IFERROR(E454-F454,"")</f>
        <v/>
      </c>
      <c r="M454" s="11">
        <f>IFERROR((J454-I454)*1440,"")</f>
        <v/>
      </c>
      <c r="N454" s="11">
        <f>IF(K454="completed",IF(AND(J454&lt;&gt;"",H454&lt;&gt;""),IF(J454&lt;=H454,1,0),""),"")</f>
        <v/>
      </c>
    </row>
    <row r="455">
      <c r="K455" s="10" t="n"/>
      <c r="L455" s="11">
        <f>IFERROR(E455-F455,"")</f>
        <v/>
      </c>
      <c r="M455" s="11">
        <f>IFERROR((J455-I455)*1440,"")</f>
        <v/>
      </c>
      <c r="N455" s="11">
        <f>IF(K455="completed",IF(AND(J455&lt;&gt;"",H455&lt;&gt;""),IF(J455&lt;=H455,1,0),""),"")</f>
        <v/>
      </c>
    </row>
    <row r="456">
      <c r="K456" s="10" t="n"/>
      <c r="L456" s="11">
        <f>IFERROR(E456-F456,"")</f>
        <v/>
      </c>
      <c r="M456" s="11">
        <f>IFERROR((J456-I456)*1440,"")</f>
        <v/>
      </c>
      <c r="N456" s="11">
        <f>IF(K456="completed",IF(AND(J456&lt;&gt;"",H456&lt;&gt;""),IF(J456&lt;=H456,1,0),""),"")</f>
        <v/>
      </c>
    </row>
    <row r="457">
      <c r="K457" s="10" t="n"/>
      <c r="L457" s="11">
        <f>IFERROR(E457-F457,"")</f>
        <v/>
      </c>
      <c r="M457" s="11">
        <f>IFERROR((J457-I457)*1440,"")</f>
        <v/>
      </c>
      <c r="N457" s="11">
        <f>IF(K457="completed",IF(AND(J457&lt;&gt;"",H457&lt;&gt;""),IF(J457&lt;=H457,1,0),""),"")</f>
        <v/>
      </c>
    </row>
    <row r="458">
      <c r="K458" s="10" t="n"/>
      <c r="L458" s="11">
        <f>IFERROR(E458-F458,"")</f>
        <v/>
      </c>
      <c r="M458" s="11">
        <f>IFERROR((J458-I458)*1440,"")</f>
        <v/>
      </c>
      <c r="N458" s="11">
        <f>IF(K458="completed",IF(AND(J458&lt;&gt;"",H458&lt;&gt;""),IF(J458&lt;=H458,1,0),""),"")</f>
        <v/>
      </c>
    </row>
    <row r="459">
      <c r="K459" s="10" t="n"/>
      <c r="L459" s="11">
        <f>IFERROR(E459-F459,"")</f>
        <v/>
      </c>
      <c r="M459" s="11">
        <f>IFERROR((J459-I459)*1440,"")</f>
        <v/>
      </c>
      <c r="N459" s="11">
        <f>IF(K459="completed",IF(AND(J459&lt;&gt;"",H459&lt;&gt;""),IF(J459&lt;=H459,1,0),""),"")</f>
        <v/>
      </c>
    </row>
    <row r="460">
      <c r="K460" s="10" t="n"/>
      <c r="L460" s="11">
        <f>IFERROR(E460-F460,"")</f>
        <v/>
      </c>
      <c r="M460" s="11">
        <f>IFERROR((J460-I460)*1440,"")</f>
        <v/>
      </c>
      <c r="N460" s="11">
        <f>IF(K460="completed",IF(AND(J460&lt;&gt;"",H460&lt;&gt;""),IF(J460&lt;=H460,1,0),""),"")</f>
        <v/>
      </c>
    </row>
    <row r="461">
      <c r="K461" s="10" t="n"/>
      <c r="L461" s="11">
        <f>IFERROR(E461-F461,"")</f>
        <v/>
      </c>
      <c r="M461" s="11">
        <f>IFERROR((J461-I461)*1440,"")</f>
        <v/>
      </c>
      <c r="N461" s="11">
        <f>IF(K461="completed",IF(AND(J461&lt;&gt;"",H461&lt;&gt;""),IF(J461&lt;=H461,1,0),""),"")</f>
        <v/>
      </c>
    </row>
    <row r="462">
      <c r="K462" s="10" t="n"/>
      <c r="L462" s="11">
        <f>IFERROR(E462-F462,"")</f>
        <v/>
      </c>
      <c r="M462" s="11">
        <f>IFERROR((J462-I462)*1440,"")</f>
        <v/>
      </c>
      <c r="N462" s="11">
        <f>IF(K462="completed",IF(AND(J462&lt;&gt;"",H462&lt;&gt;""),IF(J462&lt;=H462,1,0),""),"")</f>
        <v/>
      </c>
    </row>
    <row r="463">
      <c r="K463" s="10" t="n"/>
      <c r="L463" s="11">
        <f>IFERROR(E463-F463,"")</f>
        <v/>
      </c>
      <c r="M463" s="11">
        <f>IFERROR((J463-I463)*1440,"")</f>
        <v/>
      </c>
      <c r="N463" s="11">
        <f>IF(K463="completed",IF(AND(J463&lt;&gt;"",H463&lt;&gt;""),IF(J463&lt;=H463,1,0),""),"")</f>
        <v/>
      </c>
    </row>
    <row r="464">
      <c r="K464" s="10" t="n"/>
      <c r="L464" s="11">
        <f>IFERROR(E464-F464,"")</f>
        <v/>
      </c>
      <c r="M464" s="11">
        <f>IFERROR((J464-I464)*1440,"")</f>
        <v/>
      </c>
      <c r="N464" s="11">
        <f>IF(K464="completed",IF(AND(J464&lt;&gt;"",H464&lt;&gt;""),IF(J464&lt;=H464,1,0),""),"")</f>
        <v/>
      </c>
    </row>
    <row r="465">
      <c r="K465" s="10" t="n"/>
      <c r="L465" s="11">
        <f>IFERROR(E465-F465,"")</f>
        <v/>
      </c>
      <c r="M465" s="11">
        <f>IFERROR((J465-I465)*1440,"")</f>
        <v/>
      </c>
      <c r="N465" s="11">
        <f>IF(K465="completed",IF(AND(J465&lt;&gt;"",H465&lt;&gt;""),IF(J465&lt;=H465,1,0),""),"")</f>
        <v/>
      </c>
    </row>
    <row r="466">
      <c r="K466" s="10" t="n"/>
      <c r="L466" s="11">
        <f>IFERROR(E466-F466,"")</f>
        <v/>
      </c>
      <c r="M466" s="11">
        <f>IFERROR((J466-I466)*1440,"")</f>
        <v/>
      </c>
      <c r="N466" s="11">
        <f>IF(K466="completed",IF(AND(J466&lt;&gt;"",H466&lt;&gt;""),IF(J466&lt;=H466,1,0),""),"")</f>
        <v/>
      </c>
    </row>
    <row r="467">
      <c r="K467" s="10" t="n"/>
      <c r="L467" s="11">
        <f>IFERROR(E467-F467,"")</f>
        <v/>
      </c>
      <c r="M467" s="11">
        <f>IFERROR((J467-I467)*1440,"")</f>
        <v/>
      </c>
      <c r="N467" s="11">
        <f>IF(K467="completed",IF(AND(J467&lt;&gt;"",H467&lt;&gt;""),IF(J467&lt;=H467,1,0),""),"")</f>
        <v/>
      </c>
    </row>
    <row r="468">
      <c r="K468" s="10" t="n"/>
      <c r="L468" s="11">
        <f>IFERROR(E468-F468,"")</f>
        <v/>
      </c>
      <c r="M468" s="11">
        <f>IFERROR((J468-I468)*1440,"")</f>
        <v/>
      </c>
      <c r="N468" s="11">
        <f>IF(K468="completed",IF(AND(J468&lt;&gt;"",H468&lt;&gt;""),IF(J468&lt;=H468,1,0),""),"")</f>
        <v/>
      </c>
    </row>
    <row r="469">
      <c r="K469" s="10" t="n"/>
      <c r="L469" s="11">
        <f>IFERROR(E469-F469,"")</f>
        <v/>
      </c>
      <c r="M469" s="11">
        <f>IFERROR((J469-I469)*1440,"")</f>
        <v/>
      </c>
      <c r="N469" s="11">
        <f>IF(K469="completed",IF(AND(J469&lt;&gt;"",H469&lt;&gt;""),IF(J469&lt;=H469,1,0),""),"")</f>
        <v/>
      </c>
    </row>
    <row r="470">
      <c r="K470" s="10" t="n"/>
      <c r="L470" s="11">
        <f>IFERROR(E470-F470,"")</f>
        <v/>
      </c>
      <c r="M470" s="11">
        <f>IFERROR((J470-I470)*1440,"")</f>
        <v/>
      </c>
      <c r="N470" s="11">
        <f>IF(K470="completed",IF(AND(J470&lt;&gt;"",H470&lt;&gt;""),IF(J470&lt;=H470,1,0),""),"")</f>
        <v/>
      </c>
    </row>
    <row r="471">
      <c r="K471" s="10" t="n"/>
      <c r="L471" s="11">
        <f>IFERROR(E471-F471,"")</f>
        <v/>
      </c>
      <c r="M471" s="11">
        <f>IFERROR((J471-I471)*1440,"")</f>
        <v/>
      </c>
      <c r="N471" s="11">
        <f>IF(K471="completed",IF(AND(J471&lt;&gt;"",H471&lt;&gt;""),IF(J471&lt;=H471,1,0),""),"")</f>
        <v/>
      </c>
    </row>
    <row r="472">
      <c r="K472" s="10" t="n"/>
      <c r="L472" s="11">
        <f>IFERROR(E472-F472,"")</f>
        <v/>
      </c>
      <c r="M472" s="11">
        <f>IFERROR((J472-I472)*1440,"")</f>
        <v/>
      </c>
      <c r="N472" s="11">
        <f>IF(K472="completed",IF(AND(J472&lt;&gt;"",H472&lt;&gt;""),IF(J472&lt;=H472,1,0),""),"")</f>
        <v/>
      </c>
    </row>
    <row r="473">
      <c r="K473" s="10" t="n"/>
      <c r="L473" s="11">
        <f>IFERROR(E473-F473,"")</f>
        <v/>
      </c>
      <c r="M473" s="11">
        <f>IFERROR((J473-I473)*1440,"")</f>
        <v/>
      </c>
      <c r="N473" s="11">
        <f>IF(K473="completed",IF(AND(J473&lt;&gt;"",H473&lt;&gt;""),IF(J473&lt;=H473,1,0),""),"")</f>
        <v/>
      </c>
    </row>
    <row r="474">
      <c r="K474" s="10" t="n"/>
      <c r="L474" s="11">
        <f>IFERROR(E474-F474,"")</f>
        <v/>
      </c>
      <c r="M474" s="11">
        <f>IFERROR((J474-I474)*1440,"")</f>
        <v/>
      </c>
      <c r="N474" s="11">
        <f>IF(K474="completed",IF(AND(J474&lt;&gt;"",H474&lt;&gt;""),IF(J474&lt;=H474,1,0),""),"")</f>
        <v/>
      </c>
    </row>
    <row r="475">
      <c r="K475" s="10" t="n"/>
      <c r="L475" s="11">
        <f>IFERROR(E475-F475,"")</f>
        <v/>
      </c>
      <c r="M475" s="11">
        <f>IFERROR((J475-I475)*1440,"")</f>
        <v/>
      </c>
      <c r="N475" s="11">
        <f>IF(K475="completed",IF(AND(J475&lt;&gt;"",H475&lt;&gt;""),IF(J475&lt;=H475,1,0),""),"")</f>
        <v/>
      </c>
    </row>
    <row r="476">
      <c r="K476" s="10" t="n"/>
      <c r="L476" s="11">
        <f>IFERROR(E476-F476,"")</f>
        <v/>
      </c>
      <c r="M476" s="11">
        <f>IFERROR((J476-I476)*1440,"")</f>
        <v/>
      </c>
      <c r="N476" s="11">
        <f>IF(K476="completed",IF(AND(J476&lt;&gt;"",H476&lt;&gt;""),IF(J476&lt;=H476,1,0),""),"")</f>
        <v/>
      </c>
    </row>
    <row r="477">
      <c r="K477" s="10" t="n"/>
      <c r="L477" s="11">
        <f>IFERROR(E477-F477,"")</f>
        <v/>
      </c>
      <c r="M477" s="11">
        <f>IFERROR((J477-I477)*1440,"")</f>
        <v/>
      </c>
      <c r="N477" s="11">
        <f>IF(K477="completed",IF(AND(J477&lt;&gt;"",H477&lt;&gt;""),IF(J477&lt;=H477,1,0),""),"")</f>
        <v/>
      </c>
    </row>
    <row r="478">
      <c r="K478" s="10" t="n"/>
      <c r="L478" s="11">
        <f>IFERROR(E478-F478,"")</f>
        <v/>
      </c>
      <c r="M478" s="11">
        <f>IFERROR((J478-I478)*1440,"")</f>
        <v/>
      </c>
      <c r="N478" s="11">
        <f>IF(K478="completed",IF(AND(J478&lt;&gt;"",H478&lt;&gt;""),IF(J478&lt;=H478,1,0),""),"")</f>
        <v/>
      </c>
    </row>
    <row r="479">
      <c r="K479" s="10" t="n"/>
      <c r="L479" s="11">
        <f>IFERROR(E479-F479,"")</f>
        <v/>
      </c>
      <c r="M479" s="11">
        <f>IFERROR((J479-I479)*1440,"")</f>
        <v/>
      </c>
      <c r="N479" s="11">
        <f>IF(K479="completed",IF(AND(J479&lt;&gt;"",H479&lt;&gt;""),IF(J479&lt;=H479,1,0),""),"")</f>
        <v/>
      </c>
    </row>
    <row r="480">
      <c r="K480" s="10" t="n"/>
      <c r="L480" s="11">
        <f>IFERROR(E480-F480,"")</f>
        <v/>
      </c>
      <c r="M480" s="11">
        <f>IFERROR((J480-I480)*1440,"")</f>
        <v/>
      </c>
      <c r="N480" s="11">
        <f>IF(K480="completed",IF(AND(J480&lt;&gt;"",H480&lt;&gt;""),IF(J480&lt;=H480,1,0),""),"")</f>
        <v/>
      </c>
    </row>
    <row r="481">
      <c r="K481" s="10" t="n"/>
      <c r="L481" s="11">
        <f>IFERROR(E481-F481,"")</f>
        <v/>
      </c>
      <c r="M481" s="11">
        <f>IFERROR((J481-I481)*1440,"")</f>
        <v/>
      </c>
      <c r="N481" s="11">
        <f>IF(K481="completed",IF(AND(J481&lt;&gt;"",H481&lt;&gt;""),IF(J481&lt;=H481,1,0),""),"")</f>
        <v/>
      </c>
    </row>
    <row r="482">
      <c r="K482" s="10" t="n"/>
      <c r="L482" s="11">
        <f>IFERROR(E482-F482,"")</f>
        <v/>
      </c>
      <c r="M482" s="11">
        <f>IFERROR((J482-I482)*1440,"")</f>
        <v/>
      </c>
      <c r="N482" s="11">
        <f>IF(K482="completed",IF(AND(J482&lt;&gt;"",H482&lt;&gt;""),IF(J482&lt;=H482,1,0),""),"")</f>
        <v/>
      </c>
    </row>
    <row r="483">
      <c r="K483" s="10" t="n"/>
      <c r="L483" s="11">
        <f>IFERROR(E483-F483,"")</f>
        <v/>
      </c>
      <c r="M483" s="11">
        <f>IFERROR((J483-I483)*1440,"")</f>
        <v/>
      </c>
      <c r="N483" s="11">
        <f>IF(K483="completed",IF(AND(J483&lt;&gt;"",H483&lt;&gt;""),IF(J483&lt;=H483,1,0),""),"")</f>
        <v/>
      </c>
    </row>
    <row r="484">
      <c r="K484" s="10" t="n"/>
      <c r="L484" s="11">
        <f>IFERROR(E484-F484,"")</f>
        <v/>
      </c>
      <c r="M484" s="11">
        <f>IFERROR((J484-I484)*1440,"")</f>
        <v/>
      </c>
      <c r="N484" s="11">
        <f>IF(K484="completed",IF(AND(J484&lt;&gt;"",H484&lt;&gt;""),IF(J484&lt;=H484,1,0),""),"")</f>
        <v/>
      </c>
    </row>
    <row r="485">
      <c r="K485" s="10" t="n"/>
      <c r="L485" s="11">
        <f>IFERROR(E485-F485,"")</f>
        <v/>
      </c>
      <c r="M485" s="11">
        <f>IFERROR((J485-I485)*1440,"")</f>
        <v/>
      </c>
      <c r="N485" s="11">
        <f>IF(K485="completed",IF(AND(J485&lt;&gt;"",H485&lt;&gt;""),IF(J485&lt;=H485,1,0),""),"")</f>
        <v/>
      </c>
    </row>
    <row r="486">
      <c r="K486" s="10" t="n"/>
      <c r="L486" s="11">
        <f>IFERROR(E486-F486,"")</f>
        <v/>
      </c>
      <c r="M486" s="11">
        <f>IFERROR((J486-I486)*1440,"")</f>
        <v/>
      </c>
      <c r="N486" s="11">
        <f>IF(K486="completed",IF(AND(J486&lt;&gt;"",H486&lt;&gt;""),IF(J486&lt;=H486,1,0),""),"")</f>
        <v/>
      </c>
    </row>
    <row r="487">
      <c r="K487" s="10" t="n"/>
      <c r="L487" s="11">
        <f>IFERROR(E487-F487,"")</f>
        <v/>
      </c>
      <c r="M487" s="11">
        <f>IFERROR((J487-I487)*1440,"")</f>
        <v/>
      </c>
      <c r="N487" s="11">
        <f>IF(K487="completed",IF(AND(J487&lt;&gt;"",H487&lt;&gt;""),IF(J487&lt;=H487,1,0),""),"")</f>
        <v/>
      </c>
    </row>
    <row r="488">
      <c r="K488" s="10" t="n"/>
      <c r="L488" s="11">
        <f>IFERROR(E488-F488,"")</f>
        <v/>
      </c>
      <c r="M488" s="11">
        <f>IFERROR((J488-I488)*1440,"")</f>
        <v/>
      </c>
      <c r="N488" s="11">
        <f>IF(K488="completed",IF(AND(J488&lt;&gt;"",H488&lt;&gt;""),IF(J488&lt;=H488,1,0),""),"")</f>
        <v/>
      </c>
    </row>
    <row r="489">
      <c r="K489" s="10" t="n"/>
      <c r="L489" s="11">
        <f>IFERROR(E489-F489,"")</f>
        <v/>
      </c>
      <c r="M489" s="11">
        <f>IFERROR((J489-I489)*1440,"")</f>
        <v/>
      </c>
      <c r="N489" s="11">
        <f>IF(K489="completed",IF(AND(J489&lt;&gt;"",H489&lt;&gt;""),IF(J489&lt;=H489,1,0),""),"")</f>
        <v/>
      </c>
    </row>
    <row r="490">
      <c r="K490" s="10" t="n"/>
      <c r="L490" s="11">
        <f>IFERROR(E490-F490,"")</f>
        <v/>
      </c>
      <c r="M490" s="11">
        <f>IFERROR((J490-I490)*1440,"")</f>
        <v/>
      </c>
      <c r="N490" s="11">
        <f>IF(K490="completed",IF(AND(J490&lt;&gt;"",H490&lt;&gt;""),IF(J490&lt;=H490,1,0),""),"")</f>
        <v/>
      </c>
    </row>
    <row r="491">
      <c r="K491" s="10" t="n"/>
      <c r="L491" s="11">
        <f>IFERROR(E491-F491,"")</f>
        <v/>
      </c>
      <c r="M491" s="11">
        <f>IFERROR((J491-I491)*1440,"")</f>
        <v/>
      </c>
      <c r="N491" s="11">
        <f>IF(K491="completed",IF(AND(J491&lt;&gt;"",H491&lt;&gt;""),IF(J491&lt;=H491,1,0),""),"")</f>
        <v/>
      </c>
    </row>
    <row r="492">
      <c r="K492" s="10" t="n"/>
      <c r="L492" s="11">
        <f>IFERROR(E492-F492,"")</f>
        <v/>
      </c>
      <c r="M492" s="11">
        <f>IFERROR((J492-I492)*1440,"")</f>
        <v/>
      </c>
      <c r="N492" s="11">
        <f>IF(K492="completed",IF(AND(J492&lt;&gt;"",H492&lt;&gt;""),IF(J492&lt;=H492,1,0),""),"")</f>
        <v/>
      </c>
    </row>
    <row r="493">
      <c r="K493" s="10" t="n"/>
      <c r="L493" s="11">
        <f>IFERROR(E493-F493,"")</f>
        <v/>
      </c>
      <c r="M493" s="11">
        <f>IFERROR((J493-I493)*1440,"")</f>
        <v/>
      </c>
      <c r="N493" s="11">
        <f>IF(K493="completed",IF(AND(J493&lt;&gt;"",H493&lt;&gt;""),IF(J493&lt;=H493,1,0),""),"")</f>
        <v/>
      </c>
    </row>
    <row r="494">
      <c r="K494" s="10" t="n"/>
      <c r="L494" s="11">
        <f>IFERROR(E494-F494,"")</f>
        <v/>
      </c>
      <c r="M494" s="11">
        <f>IFERROR((J494-I494)*1440,"")</f>
        <v/>
      </c>
      <c r="N494" s="11">
        <f>IF(K494="completed",IF(AND(J494&lt;&gt;"",H494&lt;&gt;""),IF(J494&lt;=H494,1,0),""),"")</f>
        <v/>
      </c>
    </row>
    <row r="495">
      <c r="K495" s="10" t="n"/>
      <c r="L495" s="11">
        <f>IFERROR(E495-F495,"")</f>
        <v/>
      </c>
      <c r="M495" s="11">
        <f>IFERROR((J495-I495)*1440,"")</f>
        <v/>
      </c>
      <c r="N495" s="11">
        <f>IF(K495="completed",IF(AND(J495&lt;&gt;"",H495&lt;&gt;""),IF(J495&lt;=H495,1,0),""),"")</f>
        <v/>
      </c>
    </row>
    <row r="496">
      <c r="K496" s="10" t="n"/>
      <c r="L496" s="11">
        <f>IFERROR(E496-F496,"")</f>
        <v/>
      </c>
      <c r="M496" s="11">
        <f>IFERROR((J496-I496)*1440,"")</f>
        <v/>
      </c>
      <c r="N496" s="11">
        <f>IF(K496="completed",IF(AND(J496&lt;&gt;"",H496&lt;&gt;""),IF(J496&lt;=H496,1,0),""),"")</f>
        <v/>
      </c>
    </row>
    <row r="497">
      <c r="K497" s="10" t="n"/>
      <c r="L497" s="11">
        <f>IFERROR(E497-F497,"")</f>
        <v/>
      </c>
      <c r="M497" s="11">
        <f>IFERROR((J497-I497)*1440,"")</f>
        <v/>
      </c>
      <c r="N497" s="11">
        <f>IF(K497="completed",IF(AND(J497&lt;&gt;"",H497&lt;&gt;""),IF(J497&lt;=H497,1,0),""),"")</f>
        <v/>
      </c>
    </row>
    <row r="498">
      <c r="K498" s="10" t="n"/>
      <c r="L498" s="11">
        <f>IFERROR(E498-F498,"")</f>
        <v/>
      </c>
      <c r="M498" s="11">
        <f>IFERROR((J498-I498)*1440,"")</f>
        <v/>
      </c>
      <c r="N498" s="11">
        <f>IF(K498="completed",IF(AND(J498&lt;&gt;"",H498&lt;&gt;""),IF(J498&lt;=H498,1,0),""),"")</f>
        <v/>
      </c>
    </row>
    <row r="499">
      <c r="K499" s="10" t="n"/>
      <c r="L499" s="11">
        <f>IFERROR(E499-F499,"")</f>
        <v/>
      </c>
      <c r="M499" s="11">
        <f>IFERROR((J499-I499)*1440,"")</f>
        <v/>
      </c>
      <c r="N499" s="11">
        <f>IF(K499="completed",IF(AND(J499&lt;&gt;"",H499&lt;&gt;""),IF(J499&lt;=H499,1,0),""),"")</f>
        <v/>
      </c>
    </row>
    <row r="500">
      <c r="K500" s="10" t="n"/>
      <c r="L500" s="11">
        <f>IFERROR(E500-F500,"")</f>
        <v/>
      </c>
      <c r="M500" s="11">
        <f>IFERROR((J500-I500)*1440,"")</f>
        <v/>
      </c>
      <c r="N500" s="11">
        <f>IF(K500="completed",IF(AND(J500&lt;&gt;"",H500&lt;&gt;""),IF(J500&lt;=H500,1,0),""),"")</f>
        <v/>
      </c>
    </row>
  </sheetData>
  <dataValidations count="1">
    <dataValidation sqref="K2:K500" showDropDown="0" showInputMessage="0" showErrorMessage="0" allowBlank="1" type="list">
      <formula1>"planned,in_progress,completed,cancelled"</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6" customWidth="1" min="1" max="1"/>
    <col width="22" customWidth="1" min="2" max="2"/>
    <col width="10" customWidth="1" min="3" max="3"/>
    <col width="34" customWidth="1" min="4" max="4"/>
  </cols>
  <sheetData>
    <row r="1">
      <c r="A1" s="7" t="inlineStr">
        <is>
          <t>WorkOrderNo</t>
        </is>
      </c>
      <c r="B1" s="7" t="inlineStr">
        <is>
          <t>DefectType</t>
        </is>
      </c>
      <c r="C1" s="7" t="inlineStr">
        <is>
          <t>Quantity</t>
        </is>
      </c>
      <c r="D1" s="7" t="inlineStr">
        <is>
          <t>Remarks</t>
        </is>
      </c>
    </row>
    <row r="2">
      <c r="A2" s="8" t="inlineStr">
        <is>
          <t>WO-2026-0001</t>
        </is>
      </c>
      <c r="B2" s="8" t="inlineStr">
        <is>
          <t>Burr / sharp edge</t>
        </is>
      </c>
      <c r="C2" s="8" t="n">
        <v>12</v>
      </c>
      <c r="D2" s="8" t="inlineStr">
        <is>
          <t>Die wear — flagged for PRESS-01 maintenance</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500"/>
  <sheetViews>
    <sheetView workbookViewId="0">
      <selection activeCell="A1" sqref="A1"/>
    </sheetView>
  </sheetViews>
  <sheetFormatPr baseColWidth="8" defaultRowHeight="15"/>
  <cols>
    <col width="14"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7" t="inlineStr">
        <is>
          <t>SKU</t>
        </is>
      </c>
      <c r="B1" s="7" t="inlineStr">
        <is>
          <t>Name</t>
        </is>
      </c>
      <c r="C1" s="7" t="inlineStr">
        <is>
          <t>Category</t>
        </is>
      </c>
      <c r="D1" s="7" t="inlineStr">
        <is>
          <t>OnHand</t>
        </is>
      </c>
      <c r="E1" s="7" t="inlineStr">
        <is>
          <t>StandardCost</t>
        </is>
      </c>
      <c r="F1" s="7" t="inlineStr">
        <is>
          <t>ValuationValue</t>
        </is>
      </c>
      <c r="G1" s="7" t="inlineStr">
        <is>
          <t>ReorderLevel</t>
        </is>
      </c>
      <c r="H1" s="7" t="inlineStr">
        <is>
          <t>ReorderStatus</t>
        </is>
      </c>
      <c r="I1" s="7" t="inlineStr">
        <is>
          <t>LastMovementDate</t>
        </is>
      </c>
      <c r="J1" s="7" t="inlineStr">
        <is>
          <t>DaysSinceMovement</t>
        </is>
      </c>
      <c r="K1" s="7" t="inlineStr">
        <is>
          <t>AgeingBucket</t>
        </is>
      </c>
    </row>
    <row r="2">
      <c r="A2" s="11">
        <f>Products!A2</f>
        <v/>
      </c>
      <c r="B2" s="11">
        <f>Products!B2</f>
        <v/>
      </c>
      <c r="C2" s="11">
        <f>Products!C2</f>
        <v/>
      </c>
      <c r="D2" s="11">
        <f>IF(A2="","",SUMIFS(StockMovements!$E$2:$E$500,StockMovements!$B$2:$B$500,A2,StockMovements!$D$2:$D$500,"receipt")+SUMIFS(StockMovements!$E$2:$E$500,StockMovements!$B$2:$B$500,A2,StockMovements!$D$2:$D$500,"production_in")+SUMIFS(StockMovements!$E$2:$E$500,StockMovements!$B$2:$B$500,A2,StockMovements!$D$2:$D$500,"adjustment")-SUMIFS(StockMovements!$E$2:$E$500,StockMovements!$B$2:$B$500,A2,StockMovements!$D$2:$D$500,"issue")-SUMIFS(StockMovements!$E$2:$E$500,StockMovements!$B$2:$B$500,A2,StockMovements!$D$2:$D$500,"production_out")-SUMIFS(StockMovements!$E$2:$E$500,StockMovements!$B$2:$B$500,A2,StockMovements!$D$2:$D$500,"transfer")-SUMIFS(StockMovements!$E$2:$E$500,StockMovements!$B$2:$B$500,A2,StockMovements!$D$2:$D$500,"scrap"))</f>
        <v/>
      </c>
      <c r="E2" s="11">
        <f>IF(A2="","",Products!E2)</f>
        <v/>
      </c>
      <c r="F2" s="11">
        <f>IF(A2="","",D2*E2)</f>
        <v/>
      </c>
      <c r="G2" s="11">
        <f>IF(A2="","",Products!F2)</f>
        <v/>
      </c>
      <c r="H2" s="11">
        <f>IF(A2="","",IF(D2&lt;G2,"REORDER","OK"))</f>
        <v/>
      </c>
      <c r="I2" s="14">
        <f>IF(A2="","",IFERROR(_xlfn.MAXIFS(StockMovements!$A$2:$A$500,StockMovements!$B$2:$B$500,A2),0))</f>
        <v/>
      </c>
      <c r="J2" s="11">
        <f>IF(OR(A2="",I2=0),"",TODAY()-I2)</f>
        <v/>
      </c>
      <c r="K2" s="11">
        <f>IF(A2="","",IF(I2=0,"never moved",IF(J2&lt;=30,"0-30",IF(J2&lt;=60,"31-60",IF(J2&lt;=90,"61-90","90+")))))</f>
        <v/>
      </c>
    </row>
    <row r="3">
      <c r="A3" s="11">
        <f>Products!A3</f>
        <v/>
      </c>
      <c r="B3" s="11">
        <f>Products!B3</f>
        <v/>
      </c>
      <c r="C3" s="11">
        <f>Products!C3</f>
        <v/>
      </c>
      <c r="D3" s="11">
        <f>IF(A3="","",SUMIFS(StockMovements!$E$2:$E$500,StockMovements!$B$2:$B$500,A3,StockMovements!$D$2:$D$500,"receipt")+SUMIFS(StockMovements!$E$2:$E$500,StockMovements!$B$2:$B$500,A3,StockMovements!$D$2:$D$500,"production_in")+SUMIFS(StockMovements!$E$2:$E$500,StockMovements!$B$2:$B$500,A3,StockMovements!$D$2:$D$500,"adjustment")-SUMIFS(StockMovements!$E$2:$E$500,StockMovements!$B$2:$B$500,A3,StockMovements!$D$2:$D$500,"issue")-SUMIFS(StockMovements!$E$2:$E$500,StockMovements!$B$2:$B$500,A3,StockMovements!$D$2:$D$500,"production_out")-SUMIFS(StockMovements!$E$2:$E$500,StockMovements!$B$2:$B$500,A3,StockMovements!$D$2:$D$500,"transfer")-SUMIFS(StockMovements!$E$2:$E$500,StockMovements!$B$2:$B$500,A3,StockMovements!$D$2:$D$500,"scrap"))</f>
        <v/>
      </c>
      <c r="E3" s="11">
        <f>IF(A3="","",Products!E3)</f>
        <v/>
      </c>
      <c r="F3" s="11">
        <f>IF(A3="","",D3*E3)</f>
        <v/>
      </c>
      <c r="G3" s="11">
        <f>IF(A3="","",Products!F3)</f>
        <v/>
      </c>
      <c r="H3" s="11">
        <f>IF(A3="","",IF(D3&lt;G3,"REORDER","OK"))</f>
        <v/>
      </c>
      <c r="I3" s="14">
        <f>IF(A3="","",IFERROR(_xlfn.MAXIFS(StockMovements!$A$2:$A$500,StockMovements!$B$2:$B$500,A3),0))</f>
        <v/>
      </c>
      <c r="J3" s="11">
        <f>IF(OR(A3="",I3=0),"",TODAY()-I3)</f>
        <v/>
      </c>
      <c r="K3" s="11">
        <f>IF(A3="","",IF(I3=0,"never moved",IF(J3&lt;=30,"0-30",IF(J3&lt;=60,"31-60",IF(J3&lt;=90,"61-90","90+")))))</f>
        <v/>
      </c>
    </row>
    <row r="4">
      <c r="A4" s="11">
        <f>Products!A4</f>
        <v/>
      </c>
      <c r="B4" s="11">
        <f>Products!B4</f>
        <v/>
      </c>
      <c r="C4" s="11">
        <f>Products!C4</f>
        <v/>
      </c>
      <c r="D4" s="11">
        <f>IF(A4="","",SUMIFS(StockMovements!$E$2:$E$500,StockMovements!$B$2:$B$500,A4,StockMovements!$D$2:$D$500,"receipt")+SUMIFS(StockMovements!$E$2:$E$500,StockMovements!$B$2:$B$500,A4,StockMovements!$D$2:$D$500,"production_in")+SUMIFS(StockMovements!$E$2:$E$500,StockMovements!$B$2:$B$500,A4,StockMovements!$D$2:$D$500,"adjustment")-SUMIFS(StockMovements!$E$2:$E$500,StockMovements!$B$2:$B$500,A4,StockMovements!$D$2:$D$500,"issue")-SUMIFS(StockMovements!$E$2:$E$500,StockMovements!$B$2:$B$500,A4,StockMovements!$D$2:$D$500,"production_out")-SUMIFS(StockMovements!$E$2:$E$500,StockMovements!$B$2:$B$500,A4,StockMovements!$D$2:$D$500,"transfer")-SUMIFS(StockMovements!$E$2:$E$500,StockMovements!$B$2:$B$500,A4,StockMovements!$D$2:$D$500,"scrap"))</f>
        <v/>
      </c>
      <c r="E4" s="11">
        <f>IF(A4="","",Products!E4)</f>
        <v/>
      </c>
      <c r="F4" s="11">
        <f>IF(A4="","",D4*E4)</f>
        <v/>
      </c>
      <c r="G4" s="11">
        <f>IF(A4="","",Products!F4)</f>
        <v/>
      </c>
      <c r="H4" s="11">
        <f>IF(A4="","",IF(D4&lt;G4,"REORDER","OK"))</f>
        <v/>
      </c>
      <c r="I4" s="14">
        <f>IF(A4="","",IFERROR(_xlfn.MAXIFS(StockMovements!$A$2:$A$500,StockMovements!$B$2:$B$500,A4),0))</f>
        <v/>
      </c>
      <c r="J4" s="11">
        <f>IF(OR(A4="",I4=0),"",TODAY()-I4)</f>
        <v/>
      </c>
      <c r="K4" s="11">
        <f>IF(A4="","",IF(I4=0,"never moved",IF(J4&lt;=30,"0-30",IF(J4&lt;=60,"31-60",IF(J4&lt;=90,"61-90","90+")))))</f>
        <v/>
      </c>
    </row>
    <row r="5">
      <c r="A5" s="11">
        <f>Products!A5</f>
        <v/>
      </c>
      <c r="B5" s="11">
        <f>Products!B5</f>
        <v/>
      </c>
      <c r="C5" s="11">
        <f>Products!C5</f>
        <v/>
      </c>
      <c r="D5" s="11">
        <f>IF(A5="","",SUMIFS(StockMovements!$E$2:$E$500,StockMovements!$B$2:$B$500,A5,StockMovements!$D$2:$D$500,"receipt")+SUMIFS(StockMovements!$E$2:$E$500,StockMovements!$B$2:$B$500,A5,StockMovements!$D$2:$D$500,"production_in")+SUMIFS(StockMovements!$E$2:$E$500,StockMovements!$B$2:$B$500,A5,StockMovements!$D$2:$D$500,"adjustment")-SUMIFS(StockMovements!$E$2:$E$500,StockMovements!$B$2:$B$500,A5,StockMovements!$D$2:$D$500,"issue")-SUMIFS(StockMovements!$E$2:$E$500,StockMovements!$B$2:$B$500,A5,StockMovements!$D$2:$D$500,"production_out")-SUMIFS(StockMovements!$E$2:$E$500,StockMovements!$B$2:$B$500,A5,StockMovements!$D$2:$D$500,"transfer")-SUMIFS(StockMovements!$E$2:$E$500,StockMovements!$B$2:$B$500,A5,StockMovements!$D$2:$D$500,"scrap"))</f>
        <v/>
      </c>
      <c r="E5" s="11">
        <f>IF(A5="","",Products!E5)</f>
        <v/>
      </c>
      <c r="F5" s="11">
        <f>IF(A5="","",D5*E5)</f>
        <v/>
      </c>
      <c r="G5" s="11">
        <f>IF(A5="","",Products!F5)</f>
        <v/>
      </c>
      <c r="H5" s="11">
        <f>IF(A5="","",IF(D5&lt;G5,"REORDER","OK"))</f>
        <v/>
      </c>
      <c r="I5" s="14">
        <f>IF(A5="","",IFERROR(_xlfn.MAXIFS(StockMovements!$A$2:$A$500,StockMovements!$B$2:$B$500,A5),0))</f>
        <v/>
      </c>
      <c r="J5" s="11">
        <f>IF(OR(A5="",I5=0),"",TODAY()-I5)</f>
        <v/>
      </c>
      <c r="K5" s="11">
        <f>IF(A5="","",IF(I5=0,"never moved",IF(J5&lt;=30,"0-30",IF(J5&lt;=60,"31-60",IF(J5&lt;=90,"61-90","90+")))))</f>
        <v/>
      </c>
    </row>
    <row r="6">
      <c r="A6" s="11">
        <f>Products!A6</f>
        <v/>
      </c>
      <c r="B6" s="11">
        <f>Products!B6</f>
        <v/>
      </c>
      <c r="C6" s="11">
        <f>Products!C6</f>
        <v/>
      </c>
      <c r="D6" s="11">
        <f>IF(A6="","",SUMIFS(StockMovements!$E$2:$E$500,StockMovements!$B$2:$B$500,A6,StockMovements!$D$2:$D$500,"receipt")+SUMIFS(StockMovements!$E$2:$E$500,StockMovements!$B$2:$B$500,A6,StockMovements!$D$2:$D$500,"production_in")+SUMIFS(StockMovements!$E$2:$E$500,StockMovements!$B$2:$B$500,A6,StockMovements!$D$2:$D$500,"adjustment")-SUMIFS(StockMovements!$E$2:$E$500,StockMovements!$B$2:$B$500,A6,StockMovements!$D$2:$D$500,"issue")-SUMIFS(StockMovements!$E$2:$E$500,StockMovements!$B$2:$B$500,A6,StockMovements!$D$2:$D$500,"production_out")-SUMIFS(StockMovements!$E$2:$E$500,StockMovements!$B$2:$B$500,A6,StockMovements!$D$2:$D$500,"transfer")-SUMIFS(StockMovements!$E$2:$E$500,StockMovements!$B$2:$B$500,A6,StockMovements!$D$2:$D$500,"scrap"))</f>
        <v/>
      </c>
      <c r="E6" s="11">
        <f>IF(A6="","",Products!E6)</f>
        <v/>
      </c>
      <c r="F6" s="11">
        <f>IF(A6="","",D6*E6)</f>
        <v/>
      </c>
      <c r="G6" s="11">
        <f>IF(A6="","",Products!F6)</f>
        <v/>
      </c>
      <c r="H6" s="11">
        <f>IF(A6="","",IF(D6&lt;G6,"REORDER","OK"))</f>
        <v/>
      </c>
      <c r="I6" s="14">
        <f>IF(A6="","",IFERROR(_xlfn.MAXIFS(StockMovements!$A$2:$A$500,StockMovements!$B$2:$B$500,A6),0))</f>
        <v/>
      </c>
      <c r="J6" s="11">
        <f>IF(OR(A6="",I6=0),"",TODAY()-I6)</f>
        <v/>
      </c>
      <c r="K6" s="11">
        <f>IF(A6="","",IF(I6=0,"never moved",IF(J6&lt;=30,"0-30",IF(J6&lt;=60,"31-60",IF(J6&lt;=90,"61-90","90+")))))</f>
        <v/>
      </c>
    </row>
    <row r="7">
      <c r="A7" s="11">
        <f>Products!A7</f>
        <v/>
      </c>
      <c r="B7" s="11">
        <f>Products!B7</f>
        <v/>
      </c>
      <c r="C7" s="11">
        <f>Products!C7</f>
        <v/>
      </c>
      <c r="D7" s="11">
        <f>IF(A7="","",SUMIFS(StockMovements!$E$2:$E$500,StockMovements!$B$2:$B$500,A7,StockMovements!$D$2:$D$500,"receipt")+SUMIFS(StockMovements!$E$2:$E$500,StockMovements!$B$2:$B$500,A7,StockMovements!$D$2:$D$500,"production_in")+SUMIFS(StockMovements!$E$2:$E$500,StockMovements!$B$2:$B$500,A7,StockMovements!$D$2:$D$500,"adjustment")-SUMIFS(StockMovements!$E$2:$E$500,StockMovements!$B$2:$B$500,A7,StockMovements!$D$2:$D$500,"issue")-SUMIFS(StockMovements!$E$2:$E$500,StockMovements!$B$2:$B$500,A7,StockMovements!$D$2:$D$500,"production_out")-SUMIFS(StockMovements!$E$2:$E$500,StockMovements!$B$2:$B$500,A7,StockMovements!$D$2:$D$500,"transfer")-SUMIFS(StockMovements!$E$2:$E$500,StockMovements!$B$2:$B$500,A7,StockMovements!$D$2:$D$500,"scrap"))</f>
        <v/>
      </c>
      <c r="E7" s="11">
        <f>IF(A7="","",Products!E7)</f>
        <v/>
      </c>
      <c r="F7" s="11">
        <f>IF(A7="","",D7*E7)</f>
        <v/>
      </c>
      <c r="G7" s="11">
        <f>IF(A7="","",Products!F7)</f>
        <v/>
      </c>
      <c r="H7" s="11">
        <f>IF(A7="","",IF(D7&lt;G7,"REORDER","OK"))</f>
        <v/>
      </c>
      <c r="I7" s="14">
        <f>IF(A7="","",IFERROR(_xlfn.MAXIFS(StockMovements!$A$2:$A$500,StockMovements!$B$2:$B$500,A7),0))</f>
        <v/>
      </c>
      <c r="J7" s="11">
        <f>IF(OR(A7="",I7=0),"",TODAY()-I7)</f>
        <v/>
      </c>
      <c r="K7" s="11">
        <f>IF(A7="","",IF(I7=0,"never moved",IF(J7&lt;=30,"0-30",IF(J7&lt;=60,"31-60",IF(J7&lt;=90,"61-90","90+")))))</f>
        <v/>
      </c>
    </row>
    <row r="8">
      <c r="A8" s="11">
        <f>Products!A8</f>
        <v/>
      </c>
      <c r="B8" s="11">
        <f>Products!B8</f>
        <v/>
      </c>
      <c r="C8" s="11">
        <f>Products!C8</f>
        <v/>
      </c>
      <c r="D8" s="11">
        <f>IF(A8="","",SUMIFS(StockMovements!$E$2:$E$500,StockMovements!$B$2:$B$500,A8,StockMovements!$D$2:$D$500,"receipt")+SUMIFS(StockMovements!$E$2:$E$500,StockMovements!$B$2:$B$500,A8,StockMovements!$D$2:$D$500,"production_in")+SUMIFS(StockMovements!$E$2:$E$500,StockMovements!$B$2:$B$500,A8,StockMovements!$D$2:$D$500,"adjustment")-SUMIFS(StockMovements!$E$2:$E$500,StockMovements!$B$2:$B$500,A8,StockMovements!$D$2:$D$500,"issue")-SUMIFS(StockMovements!$E$2:$E$500,StockMovements!$B$2:$B$500,A8,StockMovements!$D$2:$D$500,"production_out")-SUMIFS(StockMovements!$E$2:$E$500,StockMovements!$B$2:$B$500,A8,StockMovements!$D$2:$D$500,"transfer")-SUMIFS(StockMovements!$E$2:$E$500,StockMovements!$B$2:$B$500,A8,StockMovements!$D$2:$D$500,"scrap"))</f>
        <v/>
      </c>
      <c r="E8" s="11">
        <f>IF(A8="","",Products!E8)</f>
        <v/>
      </c>
      <c r="F8" s="11">
        <f>IF(A8="","",D8*E8)</f>
        <v/>
      </c>
      <c r="G8" s="11">
        <f>IF(A8="","",Products!F8)</f>
        <v/>
      </c>
      <c r="H8" s="11">
        <f>IF(A8="","",IF(D8&lt;G8,"REORDER","OK"))</f>
        <v/>
      </c>
      <c r="I8" s="14">
        <f>IF(A8="","",IFERROR(_xlfn.MAXIFS(StockMovements!$A$2:$A$500,StockMovements!$B$2:$B$500,A8),0))</f>
        <v/>
      </c>
      <c r="J8" s="11">
        <f>IF(OR(A8="",I8=0),"",TODAY()-I8)</f>
        <v/>
      </c>
      <c r="K8" s="11">
        <f>IF(A8="","",IF(I8=0,"never moved",IF(J8&lt;=30,"0-30",IF(J8&lt;=60,"31-60",IF(J8&lt;=90,"61-90","90+")))))</f>
        <v/>
      </c>
    </row>
    <row r="9">
      <c r="A9" s="11">
        <f>Products!A9</f>
        <v/>
      </c>
      <c r="B9" s="11">
        <f>Products!B9</f>
        <v/>
      </c>
      <c r="C9" s="11">
        <f>Products!C9</f>
        <v/>
      </c>
      <c r="D9" s="11">
        <f>IF(A9="","",SUMIFS(StockMovements!$E$2:$E$500,StockMovements!$B$2:$B$500,A9,StockMovements!$D$2:$D$500,"receipt")+SUMIFS(StockMovements!$E$2:$E$500,StockMovements!$B$2:$B$500,A9,StockMovements!$D$2:$D$500,"production_in")+SUMIFS(StockMovements!$E$2:$E$500,StockMovements!$B$2:$B$500,A9,StockMovements!$D$2:$D$500,"adjustment")-SUMIFS(StockMovements!$E$2:$E$500,StockMovements!$B$2:$B$500,A9,StockMovements!$D$2:$D$500,"issue")-SUMIFS(StockMovements!$E$2:$E$500,StockMovements!$B$2:$B$500,A9,StockMovements!$D$2:$D$500,"production_out")-SUMIFS(StockMovements!$E$2:$E$500,StockMovements!$B$2:$B$500,A9,StockMovements!$D$2:$D$500,"transfer")-SUMIFS(StockMovements!$E$2:$E$500,StockMovements!$B$2:$B$500,A9,StockMovements!$D$2:$D$500,"scrap"))</f>
        <v/>
      </c>
      <c r="E9" s="11">
        <f>IF(A9="","",Products!E9)</f>
        <v/>
      </c>
      <c r="F9" s="11">
        <f>IF(A9="","",D9*E9)</f>
        <v/>
      </c>
      <c r="G9" s="11">
        <f>IF(A9="","",Products!F9)</f>
        <v/>
      </c>
      <c r="H9" s="11">
        <f>IF(A9="","",IF(D9&lt;G9,"REORDER","OK"))</f>
        <v/>
      </c>
      <c r="I9" s="14">
        <f>IF(A9="","",IFERROR(_xlfn.MAXIFS(StockMovements!$A$2:$A$500,StockMovements!$B$2:$B$500,A9),0))</f>
        <v/>
      </c>
      <c r="J9" s="11">
        <f>IF(OR(A9="",I9=0),"",TODAY()-I9)</f>
        <v/>
      </c>
      <c r="K9" s="11">
        <f>IF(A9="","",IF(I9=0,"never moved",IF(J9&lt;=30,"0-30",IF(J9&lt;=60,"31-60",IF(J9&lt;=90,"61-90","90+")))))</f>
        <v/>
      </c>
    </row>
    <row r="10">
      <c r="A10" s="11">
        <f>Products!A10</f>
        <v/>
      </c>
      <c r="B10" s="11">
        <f>Products!B10</f>
        <v/>
      </c>
      <c r="C10" s="11">
        <f>Products!C10</f>
        <v/>
      </c>
      <c r="D10" s="11">
        <f>IF(A10="","",SUMIFS(StockMovements!$E$2:$E$500,StockMovements!$B$2:$B$500,A10,StockMovements!$D$2:$D$500,"receipt")+SUMIFS(StockMovements!$E$2:$E$500,StockMovements!$B$2:$B$500,A10,StockMovements!$D$2:$D$500,"production_in")+SUMIFS(StockMovements!$E$2:$E$500,StockMovements!$B$2:$B$500,A10,StockMovements!$D$2:$D$500,"adjustment")-SUMIFS(StockMovements!$E$2:$E$500,StockMovements!$B$2:$B$500,A10,StockMovements!$D$2:$D$500,"issue")-SUMIFS(StockMovements!$E$2:$E$500,StockMovements!$B$2:$B$500,A10,StockMovements!$D$2:$D$500,"production_out")-SUMIFS(StockMovements!$E$2:$E$500,StockMovements!$B$2:$B$500,A10,StockMovements!$D$2:$D$500,"transfer")-SUMIFS(StockMovements!$E$2:$E$500,StockMovements!$B$2:$B$500,A10,StockMovements!$D$2:$D$500,"scrap"))</f>
        <v/>
      </c>
      <c r="E10" s="11">
        <f>IF(A10="","",Products!E10)</f>
        <v/>
      </c>
      <c r="F10" s="11">
        <f>IF(A10="","",D10*E10)</f>
        <v/>
      </c>
      <c r="G10" s="11">
        <f>IF(A10="","",Products!F10)</f>
        <v/>
      </c>
      <c r="H10" s="11">
        <f>IF(A10="","",IF(D10&lt;G10,"REORDER","OK"))</f>
        <v/>
      </c>
      <c r="I10" s="14">
        <f>IF(A10="","",IFERROR(_xlfn.MAXIFS(StockMovements!$A$2:$A$500,StockMovements!$B$2:$B$500,A10),0))</f>
        <v/>
      </c>
      <c r="J10" s="11">
        <f>IF(OR(A10="",I10=0),"",TODAY()-I10)</f>
        <v/>
      </c>
      <c r="K10" s="11">
        <f>IF(A10="","",IF(I10=0,"never moved",IF(J10&lt;=30,"0-30",IF(J10&lt;=60,"31-60",IF(J10&lt;=90,"61-90","90+")))))</f>
        <v/>
      </c>
    </row>
    <row r="11">
      <c r="A11" s="11">
        <f>Products!A11</f>
        <v/>
      </c>
      <c r="B11" s="11">
        <f>Products!B11</f>
        <v/>
      </c>
      <c r="C11" s="11">
        <f>Products!C11</f>
        <v/>
      </c>
      <c r="D11" s="11">
        <f>IF(A11="","",SUMIFS(StockMovements!$E$2:$E$500,StockMovements!$B$2:$B$500,A11,StockMovements!$D$2:$D$500,"receipt")+SUMIFS(StockMovements!$E$2:$E$500,StockMovements!$B$2:$B$500,A11,StockMovements!$D$2:$D$500,"production_in")+SUMIFS(StockMovements!$E$2:$E$500,StockMovements!$B$2:$B$500,A11,StockMovements!$D$2:$D$500,"adjustment")-SUMIFS(StockMovements!$E$2:$E$500,StockMovements!$B$2:$B$500,A11,StockMovements!$D$2:$D$500,"issue")-SUMIFS(StockMovements!$E$2:$E$500,StockMovements!$B$2:$B$500,A11,StockMovements!$D$2:$D$500,"production_out")-SUMIFS(StockMovements!$E$2:$E$500,StockMovements!$B$2:$B$500,A11,StockMovements!$D$2:$D$500,"transfer")-SUMIFS(StockMovements!$E$2:$E$500,StockMovements!$B$2:$B$500,A11,StockMovements!$D$2:$D$500,"scrap"))</f>
        <v/>
      </c>
      <c r="E11" s="11">
        <f>IF(A11="","",Products!E11)</f>
        <v/>
      </c>
      <c r="F11" s="11">
        <f>IF(A11="","",D11*E11)</f>
        <v/>
      </c>
      <c r="G11" s="11">
        <f>IF(A11="","",Products!F11)</f>
        <v/>
      </c>
      <c r="H11" s="11">
        <f>IF(A11="","",IF(D11&lt;G11,"REORDER","OK"))</f>
        <v/>
      </c>
      <c r="I11" s="14">
        <f>IF(A11="","",IFERROR(_xlfn.MAXIFS(StockMovements!$A$2:$A$500,StockMovements!$B$2:$B$500,A11),0))</f>
        <v/>
      </c>
      <c r="J11" s="11">
        <f>IF(OR(A11="",I11=0),"",TODAY()-I11)</f>
        <v/>
      </c>
      <c r="K11" s="11">
        <f>IF(A11="","",IF(I11=0,"never moved",IF(J11&lt;=30,"0-30",IF(J11&lt;=60,"31-60",IF(J11&lt;=90,"61-90","90+")))))</f>
        <v/>
      </c>
    </row>
    <row r="12">
      <c r="A12" s="11">
        <f>Products!A12</f>
        <v/>
      </c>
      <c r="B12" s="11">
        <f>Products!B12</f>
        <v/>
      </c>
      <c r="C12" s="11">
        <f>Products!C12</f>
        <v/>
      </c>
      <c r="D12" s="11">
        <f>IF(A12="","",SUMIFS(StockMovements!$E$2:$E$500,StockMovements!$B$2:$B$500,A12,StockMovements!$D$2:$D$500,"receipt")+SUMIFS(StockMovements!$E$2:$E$500,StockMovements!$B$2:$B$500,A12,StockMovements!$D$2:$D$500,"production_in")+SUMIFS(StockMovements!$E$2:$E$500,StockMovements!$B$2:$B$500,A12,StockMovements!$D$2:$D$500,"adjustment")-SUMIFS(StockMovements!$E$2:$E$500,StockMovements!$B$2:$B$500,A12,StockMovements!$D$2:$D$500,"issue")-SUMIFS(StockMovements!$E$2:$E$500,StockMovements!$B$2:$B$500,A12,StockMovements!$D$2:$D$500,"production_out")-SUMIFS(StockMovements!$E$2:$E$500,StockMovements!$B$2:$B$500,A12,StockMovements!$D$2:$D$500,"transfer")-SUMIFS(StockMovements!$E$2:$E$500,StockMovements!$B$2:$B$500,A12,StockMovements!$D$2:$D$500,"scrap"))</f>
        <v/>
      </c>
      <c r="E12" s="11">
        <f>IF(A12="","",Products!E12)</f>
        <v/>
      </c>
      <c r="F12" s="11">
        <f>IF(A12="","",D12*E12)</f>
        <v/>
      </c>
      <c r="G12" s="11">
        <f>IF(A12="","",Products!F12)</f>
        <v/>
      </c>
      <c r="H12" s="11">
        <f>IF(A12="","",IF(D12&lt;G12,"REORDER","OK"))</f>
        <v/>
      </c>
      <c r="I12" s="14">
        <f>IF(A12="","",IFERROR(_xlfn.MAXIFS(StockMovements!$A$2:$A$500,StockMovements!$B$2:$B$500,A12),0))</f>
        <v/>
      </c>
      <c r="J12" s="11">
        <f>IF(OR(A12="",I12=0),"",TODAY()-I12)</f>
        <v/>
      </c>
      <c r="K12" s="11">
        <f>IF(A12="","",IF(I12=0,"never moved",IF(J12&lt;=30,"0-30",IF(J12&lt;=60,"31-60",IF(J12&lt;=90,"61-90","90+")))))</f>
        <v/>
      </c>
    </row>
    <row r="13">
      <c r="A13" s="11">
        <f>Products!A13</f>
        <v/>
      </c>
      <c r="B13" s="11">
        <f>Products!B13</f>
        <v/>
      </c>
      <c r="C13" s="11">
        <f>Products!C13</f>
        <v/>
      </c>
      <c r="D13" s="11">
        <f>IF(A13="","",SUMIFS(StockMovements!$E$2:$E$500,StockMovements!$B$2:$B$500,A13,StockMovements!$D$2:$D$500,"receipt")+SUMIFS(StockMovements!$E$2:$E$500,StockMovements!$B$2:$B$500,A13,StockMovements!$D$2:$D$500,"production_in")+SUMIFS(StockMovements!$E$2:$E$500,StockMovements!$B$2:$B$500,A13,StockMovements!$D$2:$D$500,"adjustment")-SUMIFS(StockMovements!$E$2:$E$500,StockMovements!$B$2:$B$500,A13,StockMovements!$D$2:$D$500,"issue")-SUMIFS(StockMovements!$E$2:$E$500,StockMovements!$B$2:$B$500,A13,StockMovements!$D$2:$D$500,"production_out")-SUMIFS(StockMovements!$E$2:$E$500,StockMovements!$B$2:$B$500,A13,StockMovements!$D$2:$D$500,"transfer")-SUMIFS(StockMovements!$E$2:$E$500,StockMovements!$B$2:$B$500,A13,StockMovements!$D$2:$D$500,"scrap"))</f>
        <v/>
      </c>
      <c r="E13" s="11">
        <f>IF(A13="","",Products!E13)</f>
        <v/>
      </c>
      <c r="F13" s="11">
        <f>IF(A13="","",D13*E13)</f>
        <v/>
      </c>
      <c r="G13" s="11">
        <f>IF(A13="","",Products!F13)</f>
        <v/>
      </c>
      <c r="H13" s="11">
        <f>IF(A13="","",IF(D13&lt;G13,"REORDER","OK"))</f>
        <v/>
      </c>
      <c r="I13" s="14">
        <f>IF(A13="","",IFERROR(_xlfn.MAXIFS(StockMovements!$A$2:$A$500,StockMovements!$B$2:$B$500,A13),0))</f>
        <v/>
      </c>
      <c r="J13" s="11">
        <f>IF(OR(A13="",I13=0),"",TODAY()-I13)</f>
        <v/>
      </c>
      <c r="K13" s="11">
        <f>IF(A13="","",IF(I13=0,"never moved",IF(J13&lt;=30,"0-30",IF(J13&lt;=60,"31-60",IF(J13&lt;=90,"61-90","90+")))))</f>
        <v/>
      </c>
    </row>
    <row r="14">
      <c r="A14" s="11">
        <f>Products!A14</f>
        <v/>
      </c>
      <c r="B14" s="11">
        <f>Products!B14</f>
        <v/>
      </c>
      <c r="C14" s="11">
        <f>Products!C14</f>
        <v/>
      </c>
      <c r="D14" s="11">
        <f>IF(A14="","",SUMIFS(StockMovements!$E$2:$E$500,StockMovements!$B$2:$B$500,A14,StockMovements!$D$2:$D$500,"receipt")+SUMIFS(StockMovements!$E$2:$E$500,StockMovements!$B$2:$B$500,A14,StockMovements!$D$2:$D$500,"production_in")+SUMIFS(StockMovements!$E$2:$E$500,StockMovements!$B$2:$B$500,A14,StockMovements!$D$2:$D$500,"adjustment")-SUMIFS(StockMovements!$E$2:$E$500,StockMovements!$B$2:$B$500,A14,StockMovements!$D$2:$D$500,"issue")-SUMIFS(StockMovements!$E$2:$E$500,StockMovements!$B$2:$B$500,A14,StockMovements!$D$2:$D$500,"production_out")-SUMIFS(StockMovements!$E$2:$E$500,StockMovements!$B$2:$B$500,A14,StockMovements!$D$2:$D$500,"transfer")-SUMIFS(StockMovements!$E$2:$E$500,StockMovements!$B$2:$B$500,A14,StockMovements!$D$2:$D$500,"scrap"))</f>
        <v/>
      </c>
      <c r="E14" s="11">
        <f>IF(A14="","",Products!E14)</f>
        <v/>
      </c>
      <c r="F14" s="11">
        <f>IF(A14="","",D14*E14)</f>
        <v/>
      </c>
      <c r="G14" s="11">
        <f>IF(A14="","",Products!F14)</f>
        <v/>
      </c>
      <c r="H14" s="11">
        <f>IF(A14="","",IF(D14&lt;G14,"REORDER","OK"))</f>
        <v/>
      </c>
      <c r="I14" s="14">
        <f>IF(A14="","",IFERROR(_xlfn.MAXIFS(StockMovements!$A$2:$A$500,StockMovements!$B$2:$B$500,A14),0))</f>
        <v/>
      </c>
      <c r="J14" s="11">
        <f>IF(OR(A14="",I14=0),"",TODAY()-I14)</f>
        <v/>
      </c>
      <c r="K14" s="11">
        <f>IF(A14="","",IF(I14=0,"never moved",IF(J14&lt;=30,"0-30",IF(J14&lt;=60,"31-60",IF(J14&lt;=90,"61-90","90+")))))</f>
        <v/>
      </c>
    </row>
    <row r="15">
      <c r="A15" s="11">
        <f>Products!A15</f>
        <v/>
      </c>
      <c r="B15" s="11">
        <f>Products!B15</f>
        <v/>
      </c>
      <c r="C15" s="11">
        <f>Products!C15</f>
        <v/>
      </c>
      <c r="D15" s="11">
        <f>IF(A15="","",SUMIFS(StockMovements!$E$2:$E$500,StockMovements!$B$2:$B$500,A15,StockMovements!$D$2:$D$500,"receipt")+SUMIFS(StockMovements!$E$2:$E$500,StockMovements!$B$2:$B$500,A15,StockMovements!$D$2:$D$500,"production_in")+SUMIFS(StockMovements!$E$2:$E$500,StockMovements!$B$2:$B$500,A15,StockMovements!$D$2:$D$500,"adjustment")-SUMIFS(StockMovements!$E$2:$E$500,StockMovements!$B$2:$B$500,A15,StockMovements!$D$2:$D$500,"issue")-SUMIFS(StockMovements!$E$2:$E$500,StockMovements!$B$2:$B$500,A15,StockMovements!$D$2:$D$500,"production_out")-SUMIFS(StockMovements!$E$2:$E$500,StockMovements!$B$2:$B$500,A15,StockMovements!$D$2:$D$500,"transfer")-SUMIFS(StockMovements!$E$2:$E$500,StockMovements!$B$2:$B$500,A15,StockMovements!$D$2:$D$500,"scrap"))</f>
        <v/>
      </c>
      <c r="E15" s="11">
        <f>IF(A15="","",Products!E15)</f>
        <v/>
      </c>
      <c r="F15" s="11">
        <f>IF(A15="","",D15*E15)</f>
        <v/>
      </c>
      <c r="G15" s="11">
        <f>IF(A15="","",Products!F15)</f>
        <v/>
      </c>
      <c r="H15" s="11">
        <f>IF(A15="","",IF(D15&lt;G15,"REORDER","OK"))</f>
        <v/>
      </c>
      <c r="I15" s="14">
        <f>IF(A15="","",IFERROR(_xlfn.MAXIFS(StockMovements!$A$2:$A$500,StockMovements!$B$2:$B$500,A15),0))</f>
        <v/>
      </c>
      <c r="J15" s="11">
        <f>IF(OR(A15="",I15=0),"",TODAY()-I15)</f>
        <v/>
      </c>
      <c r="K15" s="11">
        <f>IF(A15="","",IF(I15=0,"never moved",IF(J15&lt;=30,"0-30",IF(J15&lt;=60,"31-60",IF(J15&lt;=90,"61-90","90+")))))</f>
        <v/>
      </c>
    </row>
    <row r="16">
      <c r="A16" s="11">
        <f>Products!A16</f>
        <v/>
      </c>
      <c r="B16" s="11">
        <f>Products!B16</f>
        <v/>
      </c>
      <c r="C16" s="11">
        <f>Products!C16</f>
        <v/>
      </c>
      <c r="D16" s="11">
        <f>IF(A16="","",SUMIFS(StockMovements!$E$2:$E$500,StockMovements!$B$2:$B$500,A16,StockMovements!$D$2:$D$500,"receipt")+SUMIFS(StockMovements!$E$2:$E$500,StockMovements!$B$2:$B$500,A16,StockMovements!$D$2:$D$500,"production_in")+SUMIFS(StockMovements!$E$2:$E$500,StockMovements!$B$2:$B$500,A16,StockMovements!$D$2:$D$500,"adjustment")-SUMIFS(StockMovements!$E$2:$E$500,StockMovements!$B$2:$B$500,A16,StockMovements!$D$2:$D$500,"issue")-SUMIFS(StockMovements!$E$2:$E$500,StockMovements!$B$2:$B$500,A16,StockMovements!$D$2:$D$500,"production_out")-SUMIFS(StockMovements!$E$2:$E$500,StockMovements!$B$2:$B$500,A16,StockMovements!$D$2:$D$500,"transfer")-SUMIFS(StockMovements!$E$2:$E$500,StockMovements!$B$2:$B$500,A16,StockMovements!$D$2:$D$500,"scrap"))</f>
        <v/>
      </c>
      <c r="E16" s="11">
        <f>IF(A16="","",Products!E16)</f>
        <v/>
      </c>
      <c r="F16" s="11">
        <f>IF(A16="","",D16*E16)</f>
        <v/>
      </c>
      <c r="G16" s="11">
        <f>IF(A16="","",Products!F16)</f>
        <v/>
      </c>
      <c r="H16" s="11">
        <f>IF(A16="","",IF(D16&lt;G16,"REORDER","OK"))</f>
        <v/>
      </c>
      <c r="I16" s="14">
        <f>IF(A16="","",IFERROR(_xlfn.MAXIFS(StockMovements!$A$2:$A$500,StockMovements!$B$2:$B$500,A16),0))</f>
        <v/>
      </c>
      <c r="J16" s="11">
        <f>IF(OR(A16="",I16=0),"",TODAY()-I16)</f>
        <v/>
      </c>
      <c r="K16" s="11">
        <f>IF(A16="","",IF(I16=0,"never moved",IF(J16&lt;=30,"0-30",IF(J16&lt;=60,"31-60",IF(J16&lt;=90,"61-90","90+")))))</f>
        <v/>
      </c>
    </row>
    <row r="17">
      <c r="A17" s="11">
        <f>Products!A17</f>
        <v/>
      </c>
      <c r="B17" s="11">
        <f>Products!B17</f>
        <v/>
      </c>
      <c r="C17" s="11">
        <f>Products!C17</f>
        <v/>
      </c>
      <c r="D17" s="11">
        <f>IF(A17="","",SUMIFS(StockMovements!$E$2:$E$500,StockMovements!$B$2:$B$500,A17,StockMovements!$D$2:$D$500,"receipt")+SUMIFS(StockMovements!$E$2:$E$500,StockMovements!$B$2:$B$500,A17,StockMovements!$D$2:$D$500,"production_in")+SUMIFS(StockMovements!$E$2:$E$500,StockMovements!$B$2:$B$500,A17,StockMovements!$D$2:$D$500,"adjustment")-SUMIFS(StockMovements!$E$2:$E$500,StockMovements!$B$2:$B$500,A17,StockMovements!$D$2:$D$500,"issue")-SUMIFS(StockMovements!$E$2:$E$500,StockMovements!$B$2:$B$500,A17,StockMovements!$D$2:$D$500,"production_out")-SUMIFS(StockMovements!$E$2:$E$500,StockMovements!$B$2:$B$500,A17,StockMovements!$D$2:$D$500,"transfer")-SUMIFS(StockMovements!$E$2:$E$500,StockMovements!$B$2:$B$500,A17,StockMovements!$D$2:$D$500,"scrap"))</f>
        <v/>
      </c>
      <c r="E17" s="11">
        <f>IF(A17="","",Products!E17)</f>
        <v/>
      </c>
      <c r="F17" s="11">
        <f>IF(A17="","",D17*E17)</f>
        <v/>
      </c>
      <c r="G17" s="11">
        <f>IF(A17="","",Products!F17)</f>
        <v/>
      </c>
      <c r="H17" s="11">
        <f>IF(A17="","",IF(D17&lt;G17,"REORDER","OK"))</f>
        <v/>
      </c>
      <c r="I17" s="14">
        <f>IF(A17="","",IFERROR(_xlfn.MAXIFS(StockMovements!$A$2:$A$500,StockMovements!$B$2:$B$500,A17),0))</f>
        <v/>
      </c>
      <c r="J17" s="11">
        <f>IF(OR(A17="",I17=0),"",TODAY()-I17)</f>
        <v/>
      </c>
      <c r="K17" s="11">
        <f>IF(A17="","",IF(I17=0,"never moved",IF(J17&lt;=30,"0-30",IF(J17&lt;=60,"31-60",IF(J17&lt;=90,"61-90","90+")))))</f>
        <v/>
      </c>
    </row>
    <row r="18">
      <c r="A18" s="11">
        <f>Products!A18</f>
        <v/>
      </c>
      <c r="B18" s="11">
        <f>Products!B18</f>
        <v/>
      </c>
      <c r="C18" s="11">
        <f>Products!C18</f>
        <v/>
      </c>
      <c r="D18" s="11">
        <f>IF(A18="","",SUMIFS(StockMovements!$E$2:$E$500,StockMovements!$B$2:$B$500,A18,StockMovements!$D$2:$D$500,"receipt")+SUMIFS(StockMovements!$E$2:$E$500,StockMovements!$B$2:$B$500,A18,StockMovements!$D$2:$D$500,"production_in")+SUMIFS(StockMovements!$E$2:$E$500,StockMovements!$B$2:$B$500,A18,StockMovements!$D$2:$D$500,"adjustment")-SUMIFS(StockMovements!$E$2:$E$500,StockMovements!$B$2:$B$500,A18,StockMovements!$D$2:$D$500,"issue")-SUMIFS(StockMovements!$E$2:$E$500,StockMovements!$B$2:$B$500,A18,StockMovements!$D$2:$D$500,"production_out")-SUMIFS(StockMovements!$E$2:$E$500,StockMovements!$B$2:$B$500,A18,StockMovements!$D$2:$D$500,"transfer")-SUMIFS(StockMovements!$E$2:$E$500,StockMovements!$B$2:$B$500,A18,StockMovements!$D$2:$D$500,"scrap"))</f>
        <v/>
      </c>
      <c r="E18" s="11">
        <f>IF(A18="","",Products!E18)</f>
        <v/>
      </c>
      <c r="F18" s="11">
        <f>IF(A18="","",D18*E18)</f>
        <v/>
      </c>
      <c r="G18" s="11">
        <f>IF(A18="","",Products!F18)</f>
        <v/>
      </c>
      <c r="H18" s="11">
        <f>IF(A18="","",IF(D18&lt;G18,"REORDER","OK"))</f>
        <v/>
      </c>
      <c r="I18" s="14">
        <f>IF(A18="","",IFERROR(_xlfn.MAXIFS(StockMovements!$A$2:$A$500,StockMovements!$B$2:$B$500,A18),0))</f>
        <v/>
      </c>
      <c r="J18" s="11">
        <f>IF(OR(A18="",I18=0),"",TODAY()-I18)</f>
        <v/>
      </c>
      <c r="K18" s="11">
        <f>IF(A18="","",IF(I18=0,"never moved",IF(J18&lt;=30,"0-30",IF(J18&lt;=60,"31-60",IF(J18&lt;=90,"61-90","90+")))))</f>
        <v/>
      </c>
    </row>
    <row r="19">
      <c r="A19" s="11">
        <f>Products!A19</f>
        <v/>
      </c>
      <c r="B19" s="11">
        <f>Products!B19</f>
        <v/>
      </c>
      <c r="C19" s="11">
        <f>Products!C19</f>
        <v/>
      </c>
      <c r="D19" s="11">
        <f>IF(A19="","",SUMIFS(StockMovements!$E$2:$E$500,StockMovements!$B$2:$B$500,A19,StockMovements!$D$2:$D$500,"receipt")+SUMIFS(StockMovements!$E$2:$E$500,StockMovements!$B$2:$B$500,A19,StockMovements!$D$2:$D$500,"production_in")+SUMIFS(StockMovements!$E$2:$E$500,StockMovements!$B$2:$B$500,A19,StockMovements!$D$2:$D$500,"adjustment")-SUMIFS(StockMovements!$E$2:$E$500,StockMovements!$B$2:$B$500,A19,StockMovements!$D$2:$D$500,"issue")-SUMIFS(StockMovements!$E$2:$E$500,StockMovements!$B$2:$B$500,A19,StockMovements!$D$2:$D$500,"production_out")-SUMIFS(StockMovements!$E$2:$E$500,StockMovements!$B$2:$B$500,A19,StockMovements!$D$2:$D$500,"transfer")-SUMIFS(StockMovements!$E$2:$E$500,StockMovements!$B$2:$B$500,A19,StockMovements!$D$2:$D$500,"scrap"))</f>
        <v/>
      </c>
      <c r="E19" s="11">
        <f>IF(A19="","",Products!E19)</f>
        <v/>
      </c>
      <c r="F19" s="11">
        <f>IF(A19="","",D19*E19)</f>
        <v/>
      </c>
      <c r="G19" s="11">
        <f>IF(A19="","",Products!F19)</f>
        <v/>
      </c>
      <c r="H19" s="11">
        <f>IF(A19="","",IF(D19&lt;G19,"REORDER","OK"))</f>
        <v/>
      </c>
      <c r="I19" s="14">
        <f>IF(A19="","",IFERROR(_xlfn.MAXIFS(StockMovements!$A$2:$A$500,StockMovements!$B$2:$B$500,A19),0))</f>
        <v/>
      </c>
      <c r="J19" s="11">
        <f>IF(OR(A19="",I19=0),"",TODAY()-I19)</f>
        <v/>
      </c>
      <c r="K19" s="11">
        <f>IF(A19="","",IF(I19=0,"never moved",IF(J19&lt;=30,"0-30",IF(J19&lt;=60,"31-60",IF(J19&lt;=90,"61-90","90+")))))</f>
        <v/>
      </c>
    </row>
    <row r="20">
      <c r="A20" s="11">
        <f>Products!A20</f>
        <v/>
      </c>
      <c r="B20" s="11">
        <f>Products!B20</f>
        <v/>
      </c>
      <c r="C20" s="11">
        <f>Products!C20</f>
        <v/>
      </c>
      <c r="D20" s="11">
        <f>IF(A20="","",SUMIFS(StockMovements!$E$2:$E$500,StockMovements!$B$2:$B$500,A20,StockMovements!$D$2:$D$500,"receipt")+SUMIFS(StockMovements!$E$2:$E$500,StockMovements!$B$2:$B$500,A20,StockMovements!$D$2:$D$500,"production_in")+SUMIFS(StockMovements!$E$2:$E$500,StockMovements!$B$2:$B$500,A20,StockMovements!$D$2:$D$500,"adjustment")-SUMIFS(StockMovements!$E$2:$E$500,StockMovements!$B$2:$B$500,A20,StockMovements!$D$2:$D$500,"issue")-SUMIFS(StockMovements!$E$2:$E$500,StockMovements!$B$2:$B$500,A20,StockMovements!$D$2:$D$500,"production_out")-SUMIFS(StockMovements!$E$2:$E$500,StockMovements!$B$2:$B$500,A20,StockMovements!$D$2:$D$500,"transfer")-SUMIFS(StockMovements!$E$2:$E$500,StockMovements!$B$2:$B$500,A20,StockMovements!$D$2:$D$500,"scrap"))</f>
        <v/>
      </c>
      <c r="E20" s="11">
        <f>IF(A20="","",Products!E20)</f>
        <v/>
      </c>
      <c r="F20" s="11">
        <f>IF(A20="","",D20*E20)</f>
        <v/>
      </c>
      <c r="G20" s="11">
        <f>IF(A20="","",Products!F20)</f>
        <v/>
      </c>
      <c r="H20" s="11">
        <f>IF(A20="","",IF(D20&lt;G20,"REORDER","OK"))</f>
        <v/>
      </c>
      <c r="I20" s="14">
        <f>IF(A20="","",IFERROR(_xlfn.MAXIFS(StockMovements!$A$2:$A$500,StockMovements!$B$2:$B$500,A20),0))</f>
        <v/>
      </c>
      <c r="J20" s="11">
        <f>IF(OR(A20="",I20=0),"",TODAY()-I20)</f>
        <v/>
      </c>
      <c r="K20" s="11">
        <f>IF(A20="","",IF(I20=0,"never moved",IF(J20&lt;=30,"0-30",IF(J20&lt;=60,"31-60",IF(J20&lt;=90,"61-90","90+")))))</f>
        <v/>
      </c>
    </row>
    <row r="21">
      <c r="A21" s="11">
        <f>Products!A21</f>
        <v/>
      </c>
      <c r="B21" s="11">
        <f>Products!B21</f>
        <v/>
      </c>
      <c r="C21" s="11">
        <f>Products!C21</f>
        <v/>
      </c>
      <c r="D21" s="11">
        <f>IF(A21="","",SUMIFS(StockMovements!$E$2:$E$500,StockMovements!$B$2:$B$500,A21,StockMovements!$D$2:$D$500,"receipt")+SUMIFS(StockMovements!$E$2:$E$500,StockMovements!$B$2:$B$500,A21,StockMovements!$D$2:$D$500,"production_in")+SUMIFS(StockMovements!$E$2:$E$500,StockMovements!$B$2:$B$500,A21,StockMovements!$D$2:$D$500,"adjustment")-SUMIFS(StockMovements!$E$2:$E$500,StockMovements!$B$2:$B$500,A21,StockMovements!$D$2:$D$500,"issue")-SUMIFS(StockMovements!$E$2:$E$500,StockMovements!$B$2:$B$500,A21,StockMovements!$D$2:$D$500,"production_out")-SUMIFS(StockMovements!$E$2:$E$500,StockMovements!$B$2:$B$500,A21,StockMovements!$D$2:$D$500,"transfer")-SUMIFS(StockMovements!$E$2:$E$500,StockMovements!$B$2:$B$500,A21,StockMovements!$D$2:$D$500,"scrap"))</f>
        <v/>
      </c>
      <c r="E21" s="11">
        <f>IF(A21="","",Products!E21)</f>
        <v/>
      </c>
      <c r="F21" s="11">
        <f>IF(A21="","",D21*E21)</f>
        <v/>
      </c>
      <c r="G21" s="11">
        <f>IF(A21="","",Products!F21)</f>
        <v/>
      </c>
      <c r="H21" s="11">
        <f>IF(A21="","",IF(D21&lt;G21,"REORDER","OK"))</f>
        <v/>
      </c>
      <c r="I21" s="14">
        <f>IF(A21="","",IFERROR(_xlfn.MAXIFS(StockMovements!$A$2:$A$500,StockMovements!$B$2:$B$500,A21),0))</f>
        <v/>
      </c>
      <c r="J21" s="11">
        <f>IF(OR(A21="",I21=0),"",TODAY()-I21)</f>
        <v/>
      </c>
      <c r="K21" s="11">
        <f>IF(A21="","",IF(I21=0,"never moved",IF(J21&lt;=30,"0-30",IF(J21&lt;=60,"31-60",IF(J21&lt;=90,"61-90","90+")))))</f>
        <v/>
      </c>
    </row>
    <row r="22">
      <c r="A22" s="11">
        <f>Products!A22</f>
        <v/>
      </c>
      <c r="B22" s="11">
        <f>Products!B22</f>
        <v/>
      </c>
      <c r="C22" s="11">
        <f>Products!C22</f>
        <v/>
      </c>
      <c r="D22" s="11">
        <f>IF(A22="","",SUMIFS(StockMovements!$E$2:$E$500,StockMovements!$B$2:$B$500,A22,StockMovements!$D$2:$D$500,"receipt")+SUMIFS(StockMovements!$E$2:$E$500,StockMovements!$B$2:$B$500,A22,StockMovements!$D$2:$D$500,"production_in")+SUMIFS(StockMovements!$E$2:$E$500,StockMovements!$B$2:$B$500,A22,StockMovements!$D$2:$D$500,"adjustment")-SUMIFS(StockMovements!$E$2:$E$500,StockMovements!$B$2:$B$500,A22,StockMovements!$D$2:$D$500,"issue")-SUMIFS(StockMovements!$E$2:$E$500,StockMovements!$B$2:$B$500,A22,StockMovements!$D$2:$D$500,"production_out")-SUMIFS(StockMovements!$E$2:$E$500,StockMovements!$B$2:$B$500,A22,StockMovements!$D$2:$D$500,"transfer")-SUMIFS(StockMovements!$E$2:$E$500,StockMovements!$B$2:$B$500,A22,StockMovements!$D$2:$D$500,"scrap"))</f>
        <v/>
      </c>
      <c r="E22" s="11">
        <f>IF(A22="","",Products!E22)</f>
        <v/>
      </c>
      <c r="F22" s="11">
        <f>IF(A22="","",D22*E22)</f>
        <v/>
      </c>
      <c r="G22" s="11">
        <f>IF(A22="","",Products!F22)</f>
        <v/>
      </c>
      <c r="H22" s="11">
        <f>IF(A22="","",IF(D22&lt;G22,"REORDER","OK"))</f>
        <v/>
      </c>
      <c r="I22" s="14">
        <f>IF(A22="","",IFERROR(_xlfn.MAXIFS(StockMovements!$A$2:$A$500,StockMovements!$B$2:$B$500,A22),0))</f>
        <v/>
      </c>
      <c r="J22" s="11">
        <f>IF(OR(A22="",I22=0),"",TODAY()-I22)</f>
        <v/>
      </c>
      <c r="K22" s="11">
        <f>IF(A22="","",IF(I22=0,"never moved",IF(J22&lt;=30,"0-30",IF(J22&lt;=60,"31-60",IF(J22&lt;=90,"61-90","90+")))))</f>
        <v/>
      </c>
    </row>
    <row r="23">
      <c r="A23" s="11">
        <f>Products!A23</f>
        <v/>
      </c>
      <c r="B23" s="11">
        <f>Products!B23</f>
        <v/>
      </c>
      <c r="C23" s="11">
        <f>Products!C23</f>
        <v/>
      </c>
      <c r="D23" s="11">
        <f>IF(A23="","",SUMIFS(StockMovements!$E$2:$E$500,StockMovements!$B$2:$B$500,A23,StockMovements!$D$2:$D$500,"receipt")+SUMIFS(StockMovements!$E$2:$E$500,StockMovements!$B$2:$B$500,A23,StockMovements!$D$2:$D$500,"production_in")+SUMIFS(StockMovements!$E$2:$E$500,StockMovements!$B$2:$B$500,A23,StockMovements!$D$2:$D$500,"adjustment")-SUMIFS(StockMovements!$E$2:$E$500,StockMovements!$B$2:$B$500,A23,StockMovements!$D$2:$D$500,"issue")-SUMIFS(StockMovements!$E$2:$E$500,StockMovements!$B$2:$B$500,A23,StockMovements!$D$2:$D$500,"production_out")-SUMIFS(StockMovements!$E$2:$E$500,StockMovements!$B$2:$B$500,A23,StockMovements!$D$2:$D$500,"transfer")-SUMIFS(StockMovements!$E$2:$E$500,StockMovements!$B$2:$B$500,A23,StockMovements!$D$2:$D$500,"scrap"))</f>
        <v/>
      </c>
      <c r="E23" s="11">
        <f>IF(A23="","",Products!E23)</f>
        <v/>
      </c>
      <c r="F23" s="11">
        <f>IF(A23="","",D23*E23)</f>
        <v/>
      </c>
      <c r="G23" s="11">
        <f>IF(A23="","",Products!F23)</f>
        <v/>
      </c>
      <c r="H23" s="11">
        <f>IF(A23="","",IF(D23&lt;G23,"REORDER","OK"))</f>
        <v/>
      </c>
      <c r="I23" s="14">
        <f>IF(A23="","",IFERROR(_xlfn.MAXIFS(StockMovements!$A$2:$A$500,StockMovements!$B$2:$B$500,A23),0))</f>
        <v/>
      </c>
      <c r="J23" s="11">
        <f>IF(OR(A23="",I23=0),"",TODAY()-I23)</f>
        <v/>
      </c>
      <c r="K23" s="11">
        <f>IF(A23="","",IF(I23=0,"never moved",IF(J23&lt;=30,"0-30",IF(J23&lt;=60,"31-60",IF(J23&lt;=90,"61-90","90+")))))</f>
        <v/>
      </c>
    </row>
    <row r="24">
      <c r="A24" s="11">
        <f>Products!A24</f>
        <v/>
      </c>
      <c r="B24" s="11">
        <f>Products!B24</f>
        <v/>
      </c>
      <c r="C24" s="11">
        <f>Products!C24</f>
        <v/>
      </c>
      <c r="D24" s="11">
        <f>IF(A24="","",SUMIFS(StockMovements!$E$2:$E$500,StockMovements!$B$2:$B$500,A24,StockMovements!$D$2:$D$500,"receipt")+SUMIFS(StockMovements!$E$2:$E$500,StockMovements!$B$2:$B$500,A24,StockMovements!$D$2:$D$500,"production_in")+SUMIFS(StockMovements!$E$2:$E$500,StockMovements!$B$2:$B$500,A24,StockMovements!$D$2:$D$500,"adjustment")-SUMIFS(StockMovements!$E$2:$E$500,StockMovements!$B$2:$B$500,A24,StockMovements!$D$2:$D$500,"issue")-SUMIFS(StockMovements!$E$2:$E$500,StockMovements!$B$2:$B$500,A24,StockMovements!$D$2:$D$500,"production_out")-SUMIFS(StockMovements!$E$2:$E$500,StockMovements!$B$2:$B$500,A24,StockMovements!$D$2:$D$500,"transfer")-SUMIFS(StockMovements!$E$2:$E$500,StockMovements!$B$2:$B$500,A24,StockMovements!$D$2:$D$500,"scrap"))</f>
        <v/>
      </c>
      <c r="E24" s="11">
        <f>IF(A24="","",Products!E24)</f>
        <v/>
      </c>
      <c r="F24" s="11">
        <f>IF(A24="","",D24*E24)</f>
        <v/>
      </c>
      <c r="G24" s="11">
        <f>IF(A24="","",Products!F24)</f>
        <v/>
      </c>
      <c r="H24" s="11">
        <f>IF(A24="","",IF(D24&lt;G24,"REORDER","OK"))</f>
        <v/>
      </c>
      <c r="I24" s="14">
        <f>IF(A24="","",IFERROR(_xlfn.MAXIFS(StockMovements!$A$2:$A$500,StockMovements!$B$2:$B$500,A24),0))</f>
        <v/>
      </c>
      <c r="J24" s="11">
        <f>IF(OR(A24="",I24=0),"",TODAY()-I24)</f>
        <v/>
      </c>
      <c r="K24" s="11">
        <f>IF(A24="","",IF(I24=0,"never moved",IF(J24&lt;=30,"0-30",IF(J24&lt;=60,"31-60",IF(J24&lt;=90,"61-90","90+")))))</f>
        <v/>
      </c>
    </row>
    <row r="25">
      <c r="A25" s="11">
        <f>Products!A25</f>
        <v/>
      </c>
      <c r="B25" s="11">
        <f>Products!B25</f>
        <v/>
      </c>
      <c r="C25" s="11">
        <f>Products!C25</f>
        <v/>
      </c>
      <c r="D25" s="11">
        <f>IF(A25="","",SUMIFS(StockMovements!$E$2:$E$500,StockMovements!$B$2:$B$500,A25,StockMovements!$D$2:$D$500,"receipt")+SUMIFS(StockMovements!$E$2:$E$500,StockMovements!$B$2:$B$500,A25,StockMovements!$D$2:$D$500,"production_in")+SUMIFS(StockMovements!$E$2:$E$500,StockMovements!$B$2:$B$500,A25,StockMovements!$D$2:$D$500,"adjustment")-SUMIFS(StockMovements!$E$2:$E$500,StockMovements!$B$2:$B$500,A25,StockMovements!$D$2:$D$500,"issue")-SUMIFS(StockMovements!$E$2:$E$500,StockMovements!$B$2:$B$500,A25,StockMovements!$D$2:$D$500,"production_out")-SUMIFS(StockMovements!$E$2:$E$500,StockMovements!$B$2:$B$500,A25,StockMovements!$D$2:$D$500,"transfer")-SUMIFS(StockMovements!$E$2:$E$500,StockMovements!$B$2:$B$500,A25,StockMovements!$D$2:$D$500,"scrap"))</f>
        <v/>
      </c>
      <c r="E25" s="11">
        <f>IF(A25="","",Products!E25)</f>
        <v/>
      </c>
      <c r="F25" s="11">
        <f>IF(A25="","",D25*E25)</f>
        <v/>
      </c>
      <c r="G25" s="11">
        <f>IF(A25="","",Products!F25)</f>
        <v/>
      </c>
      <c r="H25" s="11">
        <f>IF(A25="","",IF(D25&lt;G25,"REORDER","OK"))</f>
        <v/>
      </c>
      <c r="I25" s="14">
        <f>IF(A25="","",IFERROR(_xlfn.MAXIFS(StockMovements!$A$2:$A$500,StockMovements!$B$2:$B$500,A25),0))</f>
        <v/>
      </c>
      <c r="J25" s="11">
        <f>IF(OR(A25="",I25=0),"",TODAY()-I25)</f>
        <v/>
      </c>
      <c r="K25" s="11">
        <f>IF(A25="","",IF(I25=0,"never moved",IF(J25&lt;=30,"0-30",IF(J25&lt;=60,"31-60",IF(J25&lt;=90,"61-90","90+")))))</f>
        <v/>
      </c>
    </row>
    <row r="26">
      <c r="A26" s="11">
        <f>Products!A26</f>
        <v/>
      </c>
      <c r="B26" s="11">
        <f>Products!B26</f>
        <v/>
      </c>
      <c r="C26" s="11">
        <f>Products!C26</f>
        <v/>
      </c>
      <c r="D26" s="11">
        <f>IF(A26="","",SUMIFS(StockMovements!$E$2:$E$500,StockMovements!$B$2:$B$500,A26,StockMovements!$D$2:$D$500,"receipt")+SUMIFS(StockMovements!$E$2:$E$500,StockMovements!$B$2:$B$500,A26,StockMovements!$D$2:$D$500,"production_in")+SUMIFS(StockMovements!$E$2:$E$500,StockMovements!$B$2:$B$500,A26,StockMovements!$D$2:$D$500,"adjustment")-SUMIFS(StockMovements!$E$2:$E$500,StockMovements!$B$2:$B$500,A26,StockMovements!$D$2:$D$500,"issue")-SUMIFS(StockMovements!$E$2:$E$500,StockMovements!$B$2:$B$500,A26,StockMovements!$D$2:$D$500,"production_out")-SUMIFS(StockMovements!$E$2:$E$500,StockMovements!$B$2:$B$500,A26,StockMovements!$D$2:$D$500,"transfer")-SUMIFS(StockMovements!$E$2:$E$500,StockMovements!$B$2:$B$500,A26,StockMovements!$D$2:$D$500,"scrap"))</f>
        <v/>
      </c>
      <c r="E26" s="11">
        <f>IF(A26="","",Products!E26)</f>
        <v/>
      </c>
      <c r="F26" s="11">
        <f>IF(A26="","",D26*E26)</f>
        <v/>
      </c>
      <c r="G26" s="11">
        <f>IF(A26="","",Products!F26)</f>
        <v/>
      </c>
      <c r="H26" s="11">
        <f>IF(A26="","",IF(D26&lt;G26,"REORDER","OK"))</f>
        <v/>
      </c>
      <c r="I26" s="14">
        <f>IF(A26="","",IFERROR(_xlfn.MAXIFS(StockMovements!$A$2:$A$500,StockMovements!$B$2:$B$500,A26),0))</f>
        <v/>
      </c>
      <c r="J26" s="11">
        <f>IF(OR(A26="",I26=0),"",TODAY()-I26)</f>
        <v/>
      </c>
      <c r="K26" s="11">
        <f>IF(A26="","",IF(I26=0,"never moved",IF(J26&lt;=30,"0-30",IF(J26&lt;=60,"31-60",IF(J26&lt;=90,"61-90","90+")))))</f>
        <v/>
      </c>
    </row>
    <row r="27">
      <c r="A27" s="11">
        <f>Products!A27</f>
        <v/>
      </c>
      <c r="B27" s="11">
        <f>Products!B27</f>
        <v/>
      </c>
      <c r="C27" s="11">
        <f>Products!C27</f>
        <v/>
      </c>
      <c r="D27" s="11">
        <f>IF(A27="","",SUMIFS(StockMovements!$E$2:$E$500,StockMovements!$B$2:$B$500,A27,StockMovements!$D$2:$D$500,"receipt")+SUMIFS(StockMovements!$E$2:$E$500,StockMovements!$B$2:$B$500,A27,StockMovements!$D$2:$D$500,"production_in")+SUMIFS(StockMovements!$E$2:$E$500,StockMovements!$B$2:$B$500,A27,StockMovements!$D$2:$D$500,"adjustment")-SUMIFS(StockMovements!$E$2:$E$500,StockMovements!$B$2:$B$500,A27,StockMovements!$D$2:$D$500,"issue")-SUMIFS(StockMovements!$E$2:$E$500,StockMovements!$B$2:$B$500,A27,StockMovements!$D$2:$D$500,"production_out")-SUMIFS(StockMovements!$E$2:$E$500,StockMovements!$B$2:$B$500,A27,StockMovements!$D$2:$D$500,"transfer")-SUMIFS(StockMovements!$E$2:$E$500,StockMovements!$B$2:$B$500,A27,StockMovements!$D$2:$D$500,"scrap"))</f>
        <v/>
      </c>
      <c r="E27" s="11">
        <f>IF(A27="","",Products!E27)</f>
        <v/>
      </c>
      <c r="F27" s="11">
        <f>IF(A27="","",D27*E27)</f>
        <v/>
      </c>
      <c r="G27" s="11">
        <f>IF(A27="","",Products!F27)</f>
        <v/>
      </c>
      <c r="H27" s="11">
        <f>IF(A27="","",IF(D27&lt;G27,"REORDER","OK"))</f>
        <v/>
      </c>
      <c r="I27" s="14">
        <f>IF(A27="","",IFERROR(_xlfn.MAXIFS(StockMovements!$A$2:$A$500,StockMovements!$B$2:$B$500,A27),0))</f>
        <v/>
      </c>
      <c r="J27" s="11">
        <f>IF(OR(A27="",I27=0),"",TODAY()-I27)</f>
        <v/>
      </c>
      <c r="K27" s="11">
        <f>IF(A27="","",IF(I27=0,"never moved",IF(J27&lt;=30,"0-30",IF(J27&lt;=60,"31-60",IF(J27&lt;=90,"61-90","90+")))))</f>
        <v/>
      </c>
    </row>
    <row r="28">
      <c r="A28" s="11">
        <f>Products!A28</f>
        <v/>
      </c>
      <c r="B28" s="11">
        <f>Products!B28</f>
        <v/>
      </c>
      <c r="C28" s="11">
        <f>Products!C28</f>
        <v/>
      </c>
      <c r="D28" s="11">
        <f>IF(A28="","",SUMIFS(StockMovements!$E$2:$E$500,StockMovements!$B$2:$B$500,A28,StockMovements!$D$2:$D$500,"receipt")+SUMIFS(StockMovements!$E$2:$E$500,StockMovements!$B$2:$B$500,A28,StockMovements!$D$2:$D$500,"production_in")+SUMIFS(StockMovements!$E$2:$E$500,StockMovements!$B$2:$B$500,A28,StockMovements!$D$2:$D$500,"adjustment")-SUMIFS(StockMovements!$E$2:$E$500,StockMovements!$B$2:$B$500,A28,StockMovements!$D$2:$D$500,"issue")-SUMIFS(StockMovements!$E$2:$E$500,StockMovements!$B$2:$B$500,A28,StockMovements!$D$2:$D$500,"production_out")-SUMIFS(StockMovements!$E$2:$E$500,StockMovements!$B$2:$B$500,A28,StockMovements!$D$2:$D$500,"transfer")-SUMIFS(StockMovements!$E$2:$E$500,StockMovements!$B$2:$B$500,A28,StockMovements!$D$2:$D$500,"scrap"))</f>
        <v/>
      </c>
      <c r="E28" s="11">
        <f>IF(A28="","",Products!E28)</f>
        <v/>
      </c>
      <c r="F28" s="11">
        <f>IF(A28="","",D28*E28)</f>
        <v/>
      </c>
      <c r="G28" s="11">
        <f>IF(A28="","",Products!F28)</f>
        <v/>
      </c>
      <c r="H28" s="11">
        <f>IF(A28="","",IF(D28&lt;G28,"REORDER","OK"))</f>
        <v/>
      </c>
      <c r="I28" s="14">
        <f>IF(A28="","",IFERROR(_xlfn.MAXIFS(StockMovements!$A$2:$A$500,StockMovements!$B$2:$B$500,A28),0))</f>
        <v/>
      </c>
      <c r="J28" s="11">
        <f>IF(OR(A28="",I28=0),"",TODAY()-I28)</f>
        <v/>
      </c>
      <c r="K28" s="11">
        <f>IF(A28="","",IF(I28=0,"never moved",IF(J28&lt;=30,"0-30",IF(J28&lt;=60,"31-60",IF(J28&lt;=90,"61-90","90+")))))</f>
        <v/>
      </c>
    </row>
    <row r="29">
      <c r="A29" s="11">
        <f>Products!A29</f>
        <v/>
      </c>
      <c r="B29" s="11">
        <f>Products!B29</f>
        <v/>
      </c>
      <c r="C29" s="11">
        <f>Products!C29</f>
        <v/>
      </c>
      <c r="D29" s="11">
        <f>IF(A29="","",SUMIFS(StockMovements!$E$2:$E$500,StockMovements!$B$2:$B$500,A29,StockMovements!$D$2:$D$500,"receipt")+SUMIFS(StockMovements!$E$2:$E$500,StockMovements!$B$2:$B$500,A29,StockMovements!$D$2:$D$500,"production_in")+SUMIFS(StockMovements!$E$2:$E$500,StockMovements!$B$2:$B$500,A29,StockMovements!$D$2:$D$500,"adjustment")-SUMIFS(StockMovements!$E$2:$E$500,StockMovements!$B$2:$B$500,A29,StockMovements!$D$2:$D$500,"issue")-SUMIFS(StockMovements!$E$2:$E$500,StockMovements!$B$2:$B$500,A29,StockMovements!$D$2:$D$500,"production_out")-SUMIFS(StockMovements!$E$2:$E$500,StockMovements!$B$2:$B$500,A29,StockMovements!$D$2:$D$500,"transfer")-SUMIFS(StockMovements!$E$2:$E$500,StockMovements!$B$2:$B$500,A29,StockMovements!$D$2:$D$500,"scrap"))</f>
        <v/>
      </c>
      <c r="E29" s="11">
        <f>IF(A29="","",Products!E29)</f>
        <v/>
      </c>
      <c r="F29" s="11">
        <f>IF(A29="","",D29*E29)</f>
        <v/>
      </c>
      <c r="G29" s="11">
        <f>IF(A29="","",Products!F29)</f>
        <v/>
      </c>
      <c r="H29" s="11">
        <f>IF(A29="","",IF(D29&lt;G29,"REORDER","OK"))</f>
        <v/>
      </c>
      <c r="I29" s="14">
        <f>IF(A29="","",IFERROR(_xlfn.MAXIFS(StockMovements!$A$2:$A$500,StockMovements!$B$2:$B$500,A29),0))</f>
        <v/>
      </c>
      <c r="J29" s="11">
        <f>IF(OR(A29="",I29=0),"",TODAY()-I29)</f>
        <v/>
      </c>
      <c r="K29" s="11">
        <f>IF(A29="","",IF(I29=0,"never moved",IF(J29&lt;=30,"0-30",IF(J29&lt;=60,"31-60",IF(J29&lt;=90,"61-90","90+")))))</f>
        <v/>
      </c>
    </row>
    <row r="30">
      <c r="A30" s="11">
        <f>Products!A30</f>
        <v/>
      </c>
      <c r="B30" s="11">
        <f>Products!B30</f>
        <v/>
      </c>
      <c r="C30" s="11">
        <f>Products!C30</f>
        <v/>
      </c>
      <c r="D30" s="11">
        <f>IF(A30="","",SUMIFS(StockMovements!$E$2:$E$500,StockMovements!$B$2:$B$500,A30,StockMovements!$D$2:$D$500,"receipt")+SUMIFS(StockMovements!$E$2:$E$500,StockMovements!$B$2:$B$500,A30,StockMovements!$D$2:$D$500,"production_in")+SUMIFS(StockMovements!$E$2:$E$500,StockMovements!$B$2:$B$500,A30,StockMovements!$D$2:$D$500,"adjustment")-SUMIFS(StockMovements!$E$2:$E$500,StockMovements!$B$2:$B$500,A30,StockMovements!$D$2:$D$500,"issue")-SUMIFS(StockMovements!$E$2:$E$500,StockMovements!$B$2:$B$500,A30,StockMovements!$D$2:$D$500,"production_out")-SUMIFS(StockMovements!$E$2:$E$500,StockMovements!$B$2:$B$500,A30,StockMovements!$D$2:$D$500,"transfer")-SUMIFS(StockMovements!$E$2:$E$500,StockMovements!$B$2:$B$500,A30,StockMovements!$D$2:$D$500,"scrap"))</f>
        <v/>
      </c>
      <c r="E30" s="11">
        <f>IF(A30="","",Products!E30)</f>
        <v/>
      </c>
      <c r="F30" s="11">
        <f>IF(A30="","",D30*E30)</f>
        <v/>
      </c>
      <c r="G30" s="11">
        <f>IF(A30="","",Products!F30)</f>
        <v/>
      </c>
      <c r="H30" s="11">
        <f>IF(A30="","",IF(D30&lt;G30,"REORDER","OK"))</f>
        <v/>
      </c>
      <c r="I30" s="14">
        <f>IF(A30="","",IFERROR(_xlfn.MAXIFS(StockMovements!$A$2:$A$500,StockMovements!$B$2:$B$500,A30),0))</f>
        <v/>
      </c>
      <c r="J30" s="11">
        <f>IF(OR(A30="",I30=0),"",TODAY()-I30)</f>
        <v/>
      </c>
      <c r="K30" s="11">
        <f>IF(A30="","",IF(I30=0,"never moved",IF(J30&lt;=30,"0-30",IF(J30&lt;=60,"31-60",IF(J30&lt;=90,"61-90","90+")))))</f>
        <v/>
      </c>
    </row>
    <row r="31">
      <c r="A31" s="11">
        <f>Products!A31</f>
        <v/>
      </c>
      <c r="B31" s="11">
        <f>Products!B31</f>
        <v/>
      </c>
      <c r="C31" s="11">
        <f>Products!C31</f>
        <v/>
      </c>
      <c r="D31" s="11">
        <f>IF(A31="","",SUMIFS(StockMovements!$E$2:$E$500,StockMovements!$B$2:$B$500,A31,StockMovements!$D$2:$D$500,"receipt")+SUMIFS(StockMovements!$E$2:$E$500,StockMovements!$B$2:$B$500,A31,StockMovements!$D$2:$D$500,"production_in")+SUMIFS(StockMovements!$E$2:$E$500,StockMovements!$B$2:$B$500,A31,StockMovements!$D$2:$D$500,"adjustment")-SUMIFS(StockMovements!$E$2:$E$500,StockMovements!$B$2:$B$500,A31,StockMovements!$D$2:$D$500,"issue")-SUMIFS(StockMovements!$E$2:$E$500,StockMovements!$B$2:$B$500,A31,StockMovements!$D$2:$D$500,"production_out")-SUMIFS(StockMovements!$E$2:$E$500,StockMovements!$B$2:$B$500,A31,StockMovements!$D$2:$D$500,"transfer")-SUMIFS(StockMovements!$E$2:$E$500,StockMovements!$B$2:$B$500,A31,StockMovements!$D$2:$D$500,"scrap"))</f>
        <v/>
      </c>
      <c r="E31" s="11">
        <f>IF(A31="","",Products!E31)</f>
        <v/>
      </c>
      <c r="F31" s="11">
        <f>IF(A31="","",D31*E31)</f>
        <v/>
      </c>
      <c r="G31" s="11">
        <f>IF(A31="","",Products!F31)</f>
        <v/>
      </c>
      <c r="H31" s="11">
        <f>IF(A31="","",IF(D31&lt;G31,"REORDER","OK"))</f>
        <v/>
      </c>
      <c r="I31" s="14">
        <f>IF(A31="","",IFERROR(_xlfn.MAXIFS(StockMovements!$A$2:$A$500,StockMovements!$B$2:$B$500,A31),0))</f>
        <v/>
      </c>
      <c r="J31" s="11">
        <f>IF(OR(A31="",I31=0),"",TODAY()-I31)</f>
        <v/>
      </c>
      <c r="K31" s="11">
        <f>IF(A31="","",IF(I31=0,"never moved",IF(J31&lt;=30,"0-30",IF(J31&lt;=60,"31-60",IF(J31&lt;=90,"61-90","90+")))))</f>
        <v/>
      </c>
    </row>
    <row r="32">
      <c r="A32" s="11">
        <f>Products!A32</f>
        <v/>
      </c>
      <c r="B32" s="11">
        <f>Products!B32</f>
        <v/>
      </c>
      <c r="C32" s="11">
        <f>Products!C32</f>
        <v/>
      </c>
      <c r="D32" s="11">
        <f>IF(A32="","",SUMIFS(StockMovements!$E$2:$E$500,StockMovements!$B$2:$B$500,A32,StockMovements!$D$2:$D$500,"receipt")+SUMIFS(StockMovements!$E$2:$E$500,StockMovements!$B$2:$B$500,A32,StockMovements!$D$2:$D$500,"production_in")+SUMIFS(StockMovements!$E$2:$E$500,StockMovements!$B$2:$B$500,A32,StockMovements!$D$2:$D$500,"adjustment")-SUMIFS(StockMovements!$E$2:$E$500,StockMovements!$B$2:$B$500,A32,StockMovements!$D$2:$D$500,"issue")-SUMIFS(StockMovements!$E$2:$E$500,StockMovements!$B$2:$B$500,A32,StockMovements!$D$2:$D$500,"production_out")-SUMIFS(StockMovements!$E$2:$E$500,StockMovements!$B$2:$B$500,A32,StockMovements!$D$2:$D$500,"transfer")-SUMIFS(StockMovements!$E$2:$E$500,StockMovements!$B$2:$B$500,A32,StockMovements!$D$2:$D$500,"scrap"))</f>
        <v/>
      </c>
      <c r="E32" s="11">
        <f>IF(A32="","",Products!E32)</f>
        <v/>
      </c>
      <c r="F32" s="11">
        <f>IF(A32="","",D32*E32)</f>
        <v/>
      </c>
      <c r="G32" s="11">
        <f>IF(A32="","",Products!F32)</f>
        <v/>
      </c>
      <c r="H32" s="11">
        <f>IF(A32="","",IF(D32&lt;G32,"REORDER","OK"))</f>
        <v/>
      </c>
      <c r="I32" s="14">
        <f>IF(A32="","",IFERROR(_xlfn.MAXIFS(StockMovements!$A$2:$A$500,StockMovements!$B$2:$B$500,A32),0))</f>
        <v/>
      </c>
      <c r="J32" s="11">
        <f>IF(OR(A32="",I32=0),"",TODAY()-I32)</f>
        <v/>
      </c>
      <c r="K32" s="11">
        <f>IF(A32="","",IF(I32=0,"never moved",IF(J32&lt;=30,"0-30",IF(J32&lt;=60,"31-60",IF(J32&lt;=90,"61-90","90+")))))</f>
        <v/>
      </c>
    </row>
    <row r="33">
      <c r="A33" s="11">
        <f>Products!A33</f>
        <v/>
      </c>
      <c r="B33" s="11">
        <f>Products!B33</f>
        <v/>
      </c>
      <c r="C33" s="11">
        <f>Products!C33</f>
        <v/>
      </c>
      <c r="D33" s="11">
        <f>IF(A33="","",SUMIFS(StockMovements!$E$2:$E$500,StockMovements!$B$2:$B$500,A33,StockMovements!$D$2:$D$500,"receipt")+SUMIFS(StockMovements!$E$2:$E$500,StockMovements!$B$2:$B$500,A33,StockMovements!$D$2:$D$500,"production_in")+SUMIFS(StockMovements!$E$2:$E$500,StockMovements!$B$2:$B$500,A33,StockMovements!$D$2:$D$500,"adjustment")-SUMIFS(StockMovements!$E$2:$E$500,StockMovements!$B$2:$B$500,A33,StockMovements!$D$2:$D$500,"issue")-SUMIFS(StockMovements!$E$2:$E$500,StockMovements!$B$2:$B$500,A33,StockMovements!$D$2:$D$500,"production_out")-SUMIFS(StockMovements!$E$2:$E$500,StockMovements!$B$2:$B$500,A33,StockMovements!$D$2:$D$500,"transfer")-SUMIFS(StockMovements!$E$2:$E$500,StockMovements!$B$2:$B$500,A33,StockMovements!$D$2:$D$500,"scrap"))</f>
        <v/>
      </c>
      <c r="E33" s="11">
        <f>IF(A33="","",Products!E33)</f>
        <v/>
      </c>
      <c r="F33" s="11">
        <f>IF(A33="","",D33*E33)</f>
        <v/>
      </c>
      <c r="G33" s="11">
        <f>IF(A33="","",Products!F33)</f>
        <v/>
      </c>
      <c r="H33" s="11">
        <f>IF(A33="","",IF(D33&lt;G33,"REORDER","OK"))</f>
        <v/>
      </c>
      <c r="I33" s="14">
        <f>IF(A33="","",IFERROR(_xlfn.MAXIFS(StockMovements!$A$2:$A$500,StockMovements!$B$2:$B$500,A33),0))</f>
        <v/>
      </c>
      <c r="J33" s="11">
        <f>IF(OR(A33="",I33=0),"",TODAY()-I33)</f>
        <v/>
      </c>
      <c r="K33" s="11">
        <f>IF(A33="","",IF(I33=0,"never moved",IF(J33&lt;=30,"0-30",IF(J33&lt;=60,"31-60",IF(J33&lt;=90,"61-90","90+")))))</f>
        <v/>
      </c>
    </row>
    <row r="34">
      <c r="A34" s="11">
        <f>Products!A34</f>
        <v/>
      </c>
      <c r="B34" s="11">
        <f>Products!B34</f>
        <v/>
      </c>
      <c r="C34" s="11">
        <f>Products!C34</f>
        <v/>
      </c>
      <c r="D34" s="11">
        <f>IF(A34="","",SUMIFS(StockMovements!$E$2:$E$500,StockMovements!$B$2:$B$500,A34,StockMovements!$D$2:$D$500,"receipt")+SUMIFS(StockMovements!$E$2:$E$500,StockMovements!$B$2:$B$500,A34,StockMovements!$D$2:$D$500,"production_in")+SUMIFS(StockMovements!$E$2:$E$500,StockMovements!$B$2:$B$500,A34,StockMovements!$D$2:$D$500,"adjustment")-SUMIFS(StockMovements!$E$2:$E$500,StockMovements!$B$2:$B$500,A34,StockMovements!$D$2:$D$500,"issue")-SUMIFS(StockMovements!$E$2:$E$500,StockMovements!$B$2:$B$500,A34,StockMovements!$D$2:$D$500,"production_out")-SUMIFS(StockMovements!$E$2:$E$500,StockMovements!$B$2:$B$500,A34,StockMovements!$D$2:$D$500,"transfer")-SUMIFS(StockMovements!$E$2:$E$500,StockMovements!$B$2:$B$500,A34,StockMovements!$D$2:$D$500,"scrap"))</f>
        <v/>
      </c>
      <c r="E34" s="11">
        <f>IF(A34="","",Products!E34)</f>
        <v/>
      </c>
      <c r="F34" s="11">
        <f>IF(A34="","",D34*E34)</f>
        <v/>
      </c>
      <c r="G34" s="11">
        <f>IF(A34="","",Products!F34)</f>
        <v/>
      </c>
      <c r="H34" s="11">
        <f>IF(A34="","",IF(D34&lt;G34,"REORDER","OK"))</f>
        <v/>
      </c>
      <c r="I34" s="14">
        <f>IF(A34="","",IFERROR(_xlfn.MAXIFS(StockMovements!$A$2:$A$500,StockMovements!$B$2:$B$500,A34),0))</f>
        <v/>
      </c>
      <c r="J34" s="11">
        <f>IF(OR(A34="",I34=0),"",TODAY()-I34)</f>
        <v/>
      </c>
      <c r="K34" s="11">
        <f>IF(A34="","",IF(I34=0,"never moved",IF(J34&lt;=30,"0-30",IF(J34&lt;=60,"31-60",IF(J34&lt;=90,"61-90","90+")))))</f>
        <v/>
      </c>
    </row>
    <row r="35">
      <c r="A35" s="11">
        <f>Products!A35</f>
        <v/>
      </c>
      <c r="B35" s="11">
        <f>Products!B35</f>
        <v/>
      </c>
      <c r="C35" s="11">
        <f>Products!C35</f>
        <v/>
      </c>
      <c r="D35" s="11">
        <f>IF(A35="","",SUMIFS(StockMovements!$E$2:$E$500,StockMovements!$B$2:$B$500,A35,StockMovements!$D$2:$D$500,"receipt")+SUMIFS(StockMovements!$E$2:$E$500,StockMovements!$B$2:$B$500,A35,StockMovements!$D$2:$D$500,"production_in")+SUMIFS(StockMovements!$E$2:$E$500,StockMovements!$B$2:$B$500,A35,StockMovements!$D$2:$D$500,"adjustment")-SUMIFS(StockMovements!$E$2:$E$500,StockMovements!$B$2:$B$500,A35,StockMovements!$D$2:$D$500,"issue")-SUMIFS(StockMovements!$E$2:$E$500,StockMovements!$B$2:$B$500,A35,StockMovements!$D$2:$D$500,"production_out")-SUMIFS(StockMovements!$E$2:$E$500,StockMovements!$B$2:$B$500,A35,StockMovements!$D$2:$D$500,"transfer")-SUMIFS(StockMovements!$E$2:$E$500,StockMovements!$B$2:$B$500,A35,StockMovements!$D$2:$D$500,"scrap"))</f>
        <v/>
      </c>
      <c r="E35" s="11">
        <f>IF(A35="","",Products!E35)</f>
        <v/>
      </c>
      <c r="F35" s="11">
        <f>IF(A35="","",D35*E35)</f>
        <v/>
      </c>
      <c r="G35" s="11">
        <f>IF(A35="","",Products!F35)</f>
        <v/>
      </c>
      <c r="H35" s="11">
        <f>IF(A35="","",IF(D35&lt;G35,"REORDER","OK"))</f>
        <v/>
      </c>
      <c r="I35" s="14">
        <f>IF(A35="","",IFERROR(_xlfn.MAXIFS(StockMovements!$A$2:$A$500,StockMovements!$B$2:$B$500,A35),0))</f>
        <v/>
      </c>
      <c r="J35" s="11">
        <f>IF(OR(A35="",I35=0),"",TODAY()-I35)</f>
        <v/>
      </c>
      <c r="K35" s="11">
        <f>IF(A35="","",IF(I35=0,"never moved",IF(J35&lt;=30,"0-30",IF(J35&lt;=60,"31-60",IF(J35&lt;=90,"61-90","90+")))))</f>
        <v/>
      </c>
    </row>
    <row r="36">
      <c r="A36" s="11">
        <f>Products!A36</f>
        <v/>
      </c>
      <c r="B36" s="11">
        <f>Products!B36</f>
        <v/>
      </c>
      <c r="C36" s="11">
        <f>Products!C36</f>
        <v/>
      </c>
      <c r="D36" s="11">
        <f>IF(A36="","",SUMIFS(StockMovements!$E$2:$E$500,StockMovements!$B$2:$B$500,A36,StockMovements!$D$2:$D$500,"receipt")+SUMIFS(StockMovements!$E$2:$E$500,StockMovements!$B$2:$B$500,A36,StockMovements!$D$2:$D$500,"production_in")+SUMIFS(StockMovements!$E$2:$E$500,StockMovements!$B$2:$B$500,A36,StockMovements!$D$2:$D$500,"adjustment")-SUMIFS(StockMovements!$E$2:$E$500,StockMovements!$B$2:$B$500,A36,StockMovements!$D$2:$D$500,"issue")-SUMIFS(StockMovements!$E$2:$E$500,StockMovements!$B$2:$B$500,A36,StockMovements!$D$2:$D$500,"production_out")-SUMIFS(StockMovements!$E$2:$E$500,StockMovements!$B$2:$B$500,A36,StockMovements!$D$2:$D$500,"transfer")-SUMIFS(StockMovements!$E$2:$E$500,StockMovements!$B$2:$B$500,A36,StockMovements!$D$2:$D$500,"scrap"))</f>
        <v/>
      </c>
      <c r="E36" s="11">
        <f>IF(A36="","",Products!E36)</f>
        <v/>
      </c>
      <c r="F36" s="11">
        <f>IF(A36="","",D36*E36)</f>
        <v/>
      </c>
      <c r="G36" s="11">
        <f>IF(A36="","",Products!F36)</f>
        <v/>
      </c>
      <c r="H36" s="11">
        <f>IF(A36="","",IF(D36&lt;G36,"REORDER","OK"))</f>
        <v/>
      </c>
      <c r="I36" s="14">
        <f>IF(A36="","",IFERROR(_xlfn.MAXIFS(StockMovements!$A$2:$A$500,StockMovements!$B$2:$B$500,A36),0))</f>
        <v/>
      </c>
      <c r="J36" s="11">
        <f>IF(OR(A36="",I36=0),"",TODAY()-I36)</f>
        <v/>
      </c>
      <c r="K36" s="11">
        <f>IF(A36="","",IF(I36=0,"never moved",IF(J36&lt;=30,"0-30",IF(J36&lt;=60,"31-60",IF(J36&lt;=90,"61-90","90+")))))</f>
        <v/>
      </c>
    </row>
    <row r="37">
      <c r="A37" s="11">
        <f>Products!A37</f>
        <v/>
      </c>
      <c r="B37" s="11">
        <f>Products!B37</f>
        <v/>
      </c>
      <c r="C37" s="11">
        <f>Products!C37</f>
        <v/>
      </c>
      <c r="D37" s="11">
        <f>IF(A37="","",SUMIFS(StockMovements!$E$2:$E$500,StockMovements!$B$2:$B$500,A37,StockMovements!$D$2:$D$500,"receipt")+SUMIFS(StockMovements!$E$2:$E$500,StockMovements!$B$2:$B$500,A37,StockMovements!$D$2:$D$500,"production_in")+SUMIFS(StockMovements!$E$2:$E$500,StockMovements!$B$2:$B$500,A37,StockMovements!$D$2:$D$500,"adjustment")-SUMIFS(StockMovements!$E$2:$E$500,StockMovements!$B$2:$B$500,A37,StockMovements!$D$2:$D$500,"issue")-SUMIFS(StockMovements!$E$2:$E$500,StockMovements!$B$2:$B$500,A37,StockMovements!$D$2:$D$500,"production_out")-SUMIFS(StockMovements!$E$2:$E$500,StockMovements!$B$2:$B$500,A37,StockMovements!$D$2:$D$500,"transfer")-SUMIFS(StockMovements!$E$2:$E$500,StockMovements!$B$2:$B$500,A37,StockMovements!$D$2:$D$500,"scrap"))</f>
        <v/>
      </c>
      <c r="E37" s="11">
        <f>IF(A37="","",Products!E37)</f>
        <v/>
      </c>
      <c r="F37" s="11">
        <f>IF(A37="","",D37*E37)</f>
        <v/>
      </c>
      <c r="G37" s="11">
        <f>IF(A37="","",Products!F37)</f>
        <v/>
      </c>
      <c r="H37" s="11">
        <f>IF(A37="","",IF(D37&lt;G37,"REORDER","OK"))</f>
        <v/>
      </c>
      <c r="I37" s="14">
        <f>IF(A37="","",IFERROR(_xlfn.MAXIFS(StockMovements!$A$2:$A$500,StockMovements!$B$2:$B$500,A37),0))</f>
        <v/>
      </c>
      <c r="J37" s="11">
        <f>IF(OR(A37="",I37=0),"",TODAY()-I37)</f>
        <v/>
      </c>
      <c r="K37" s="11">
        <f>IF(A37="","",IF(I37=0,"never moved",IF(J37&lt;=30,"0-30",IF(J37&lt;=60,"31-60",IF(J37&lt;=90,"61-90","90+")))))</f>
        <v/>
      </c>
    </row>
    <row r="38">
      <c r="A38" s="11">
        <f>Products!A38</f>
        <v/>
      </c>
      <c r="B38" s="11">
        <f>Products!B38</f>
        <v/>
      </c>
      <c r="C38" s="11">
        <f>Products!C38</f>
        <v/>
      </c>
      <c r="D38" s="11">
        <f>IF(A38="","",SUMIFS(StockMovements!$E$2:$E$500,StockMovements!$B$2:$B$500,A38,StockMovements!$D$2:$D$500,"receipt")+SUMIFS(StockMovements!$E$2:$E$500,StockMovements!$B$2:$B$500,A38,StockMovements!$D$2:$D$500,"production_in")+SUMIFS(StockMovements!$E$2:$E$500,StockMovements!$B$2:$B$500,A38,StockMovements!$D$2:$D$500,"adjustment")-SUMIFS(StockMovements!$E$2:$E$500,StockMovements!$B$2:$B$500,A38,StockMovements!$D$2:$D$500,"issue")-SUMIFS(StockMovements!$E$2:$E$500,StockMovements!$B$2:$B$500,A38,StockMovements!$D$2:$D$500,"production_out")-SUMIFS(StockMovements!$E$2:$E$500,StockMovements!$B$2:$B$500,A38,StockMovements!$D$2:$D$500,"transfer")-SUMIFS(StockMovements!$E$2:$E$500,StockMovements!$B$2:$B$500,A38,StockMovements!$D$2:$D$500,"scrap"))</f>
        <v/>
      </c>
      <c r="E38" s="11">
        <f>IF(A38="","",Products!E38)</f>
        <v/>
      </c>
      <c r="F38" s="11">
        <f>IF(A38="","",D38*E38)</f>
        <v/>
      </c>
      <c r="G38" s="11">
        <f>IF(A38="","",Products!F38)</f>
        <v/>
      </c>
      <c r="H38" s="11">
        <f>IF(A38="","",IF(D38&lt;G38,"REORDER","OK"))</f>
        <v/>
      </c>
      <c r="I38" s="14">
        <f>IF(A38="","",IFERROR(_xlfn.MAXIFS(StockMovements!$A$2:$A$500,StockMovements!$B$2:$B$500,A38),0))</f>
        <v/>
      </c>
      <c r="J38" s="11">
        <f>IF(OR(A38="",I38=0),"",TODAY()-I38)</f>
        <v/>
      </c>
      <c r="K38" s="11">
        <f>IF(A38="","",IF(I38=0,"never moved",IF(J38&lt;=30,"0-30",IF(J38&lt;=60,"31-60",IF(J38&lt;=90,"61-90","90+")))))</f>
        <v/>
      </c>
    </row>
    <row r="39">
      <c r="A39" s="11">
        <f>Products!A39</f>
        <v/>
      </c>
      <c r="B39" s="11">
        <f>Products!B39</f>
        <v/>
      </c>
      <c r="C39" s="11">
        <f>Products!C39</f>
        <v/>
      </c>
      <c r="D39" s="11">
        <f>IF(A39="","",SUMIFS(StockMovements!$E$2:$E$500,StockMovements!$B$2:$B$500,A39,StockMovements!$D$2:$D$500,"receipt")+SUMIFS(StockMovements!$E$2:$E$500,StockMovements!$B$2:$B$500,A39,StockMovements!$D$2:$D$500,"production_in")+SUMIFS(StockMovements!$E$2:$E$500,StockMovements!$B$2:$B$500,A39,StockMovements!$D$2:$D$500,"adjustment")-SUMIFS(StockMovements!$E$2:$E$500,StockMovements!$B$2:$B$500,A39,StockMovements!$D$2:$D$500,"issue")-SUMIFS(StockMovements!$E$2:$E$500,StockMovements!$B$2:$B$500,A39,StockMovements!$D$2:$D$500,"production_out")-SUMIFS(StockMovements!$E$2:$E$500,StockMovements!$B$2:$B$500,A39,StockMovements!$D$2:$D$500,"transfer")-SUMIFS(StockMovements!$E$2:$E$500,StockMovements!$B$2:$B$500,A39,StockMovements!$D$2:$D$500,"scrap"))</f>
        <v/>
      </c>
      <c r="E39" s="11">
        <f>IF(A39="","",Products!E39)</f>
        <v/>
      </c>
      <c r="F39" s="11">
        <f>IF(A39="","",D39*E39)</f>
        <v/>
      </c>
      <c r="G39" s="11">
        <f>IF(A39="","",Products!F39)</f>
        <v/>
      </c>
      <c r="H39" s="11">
        <f>IF(A39="","",IF(D39&lt;G39,"REORDER","OK"))</f>
        <v/>
      </c>
      <c r="I39" s="14">
        <f>IF(A39="","",IFERROR(_xlfn.MAXIFS(StockMovements!$A$2:$A$500,StockMovements!$B$2:$B$500,A39),0))</f>
        <v/>
      </c>
      <c r="J39" s="11">
        <f>IF(OR(A39="",I39=0),"",TODAY()-I39)</f>
        <v/>
      </c>
      <c r="K39" s="11">
        <f>IF(A39="","",IF(I39=0,"never moved",IF(J39&lt;=30,"0-30",IF(J39&lt;=60,"31-60",IF(J39&lt;=90,"61-90","90+")))))</f>
        <v/>
      </c>
    </row>
    <row r="40">
      <c r="A40" s="11">
        <f>Products!A40</f>
        <v/>
      </c>
      <c r="B40" s="11">
        <f>Products!B40</f>
        <v/>
      </c>
      <c r="C40" s="11">
        <f>Products!C40</f>
        <v/>
      </c>
      <c r="D40" s="11">
        <f>IF(A40="","",SUMIFS(StockMovements!$E$2:$E$500,StockMovements!$B$2:$B$500,A40,StockMovements!$D$2:$D$500,"receipt")+SUMIFS(StockMovements!$E$2:$E$500,StockMovements!$B$2:$B$500,A40,StockMovements!$D$2:$D$500,"production_in")+SUMIFS(StockMovements!$E$2:$E$500,StockMovements!$B$2:$B$500,A40,StockMovements!$D$2:$D$500,"adjustment")-SUMIFS(StockMovements!$E$2:$E$500,StockMovements!$B$2:$B$500,A40,StockMovements!$D$2:$D$500,"issue")-SUMIFS(StockMovements!$E$2:$E$500,StockMovements!$B$2:$B$500,A40,StockMovements!$D$2:$D$500,"production_out")-SUMIFS(StockMovements!$E$2:$E$500,StockMovements!$B$2:$B$500,A40,StockMovements!$D$2:$D$500,"transfer")-SUMIFS(StockMovements!$E$2:$E$500,StockMovements!$B$2:$B$500,A40,StockMovements!$D$2:$D$500,"scrap"))</f>
        <v/>
      </c>
      <c r="E40" s="11">
        <f>IF(A40="","",Products!E40)</f>
        <v/>
      </c>
      <c r="F40" s="11">
        <f>IF(A40="","",D40*E40)</f>
        <v/>
      </c>
      <c r="G40" s="11">
        <f>IF(A40="","",Products!F40)</f>
        <v/>
      </c>
      <c r="H40" s="11">
        <f>IF(A40="","",IF(D40&lt;G40,"REORDER","OK"))</f>
        <v/>
      </c>
      <c r="I40" s="14">
        <f>IF(A40="","",IFERROR(_xlfn.MAXIFS(StockMovements!$A$2:$A$500,StockMovements!$B$2:$B$500,A40),0))</f>
        <v/>
      </c>
      <c r="J40" s="11">
        <f>IF(OR(A40="",I40=0),"",TODAY()-I40)</f>
        <v/>
      </c>
      <c r="K40" s="11">
        <f>IF(A40="","",IF(I40=0,"never moved",IF(J40&lt;=30,"0-30",IF(J40&lt;=60,"31-60",IF(J40&lt;=90,"61-90","90+")))))</f>
        <v/>
      </c>
    </row>
    <row r="41">
      <c r="A41" s="11">
        <f>Products!A41</f>
        <v/>
      </c>
      <c r="B41" s="11">
        <f>Products!B41</f>
        <v/>
      </c>
      <c r="C41" s="11">
        <f>Products!C41</f>
        <v/>
      </c>
      <c r="D41" s="11">
        <f>IF(A41="","",SUMIFS(StockMovements!$E$2:$E$500,StockMovements!$B$2:$B$500,A41,StockMovements!$D$2:$D$500,"receipt")+SUMIFS(StockMovements!$E$2:$E$500,StockMovements!$B$2:$B$500,A41,StockMovements!$D$2:$D$500,"production_in")+SUMIFS(StockMovements!$E$2:$E$500,StockMovements!$B$2:$B$500,A41,StockMovements!$D$2:$D$500,"adjustment")-SUMIFS(StockMovements!$E$2:$E$500,StockMovements!$B$2:$B$500,A41,StockMovements!$D$2:$D$500,"issue")-SUMIFS(StockMovements!$E$2:$E$500,StockMovements!$B$2:$B$500,A41,StockMovements!$D$2:$D$500,"production_out")-SUMIFS(StockMovements!$E$2:$E$500,StockMovements!$B$2:$B$500,A41,StockMovements!$D$2:$D$500,"transfer")-SUMIFS(StockMovements!$E$2:$E$500,StockMovements!$B$2:$B$500,A41,StockMovements!$D$2:$D$500,"scrap"))</f>
        <v/>
      </c>
      <c r="E41" s="11">
        <f>IF(A41="","",Products!E41)</f>
        <v/>
      </c>
      <c r="F41" s="11">
        <f>IF(A41="","",D41*E41)</f>
        <v/>
      </c>
      <c r="G41" s="11">
        <f>IF(A41="","",Products!F41)</f>
        <v/>
      </c>
      <c r="H41" s="11">
        <f>IF(A41="","",IF(D41&lt;G41,"REORDER","OK"))</f>
        <v/>
      </c>
      <c r="I41" s="14">
        <f>IF(A41="","",IFERROR(_xlfn.MAXIFS(StockMovements!$A$2:$A$500,StockMovements!$B$2:$B$500,A41),0))</f>
        <v/>
      </c>
      <c r="J41" s="11">
        <f>IF(OR(A41="",I41=0),"",TODAY()-I41)</f>
        <v/>
      </c>
      <c r="K41" s="11">
        <f>IF(A41="","",IF(I41=0,"never moved",IF(J41&lt;=30,"0-30",IF(J41&lt;=60,"31-60",IF(J41&lt;=90,"61-90","90+")))))</f>
        <v/>
      </c>
    </row>
    <row r="42">
      <c r="A42" s="11">
        <f>Products!A42</f>
        <v/>
      </c>
      <c r="B42" s="11">
        <f>Products!B42</f>
        <v/>
      </c>
      <c r="C42" s="11">
        <f>Products!C42</f>
        <v/>
      </c>
      <c r="D42" s="11">
        <f>IF(A42="","",SUMIFS(StockMovements!$E$2:$E$500,StockMovements!$B$2:$B$500,A42,StockMovements!$D$2:$D$500,"receipt")+SUMIFS(StockMovements!$E$2:$E$500,StockMovements!$B$2:$B$500,A42,StockMovements!$D$2:$D$500,"production_in")+SUMIFS(StockMovements!$E$2:$E$500,StockMovements!$B$2:$B$500,A42,StockMovements!$D$2:$D$500,"adjustment")-SUMIFS(StockMovements!$E$2:$E$500,StockMovements!$B$2:$B$500,A42,StockMovements!$D$2:$D$500,"issue")-SUMIFS(StockMovements!$E$2:$E$500,StockMovements!$B$2:$B$500,A42,StockMovements!$D$2:$D$500,"production_out")-SUMIFS(StockMovements!$E$2:$E$500,StockMovements!$B$2:$B$500,A42,StockMovements!$D$2:$D$500,"transfer")-SUMIFS(StockMovements!$E$2:$E$500,StockMovements!$B$2:$B$500,A42,StockMovements!$D$2:$D$500,"scrap"))</f>
        <v/>
      </c>
      <c r="E42" s="11">
        <f>IF(A42="","",Products!E42)</f>
        <v/>
      </c>
      <c r="F42" s="11">
        <f>IF(A42="","",D42*E42)</f>
        <v/>
      </c>
      <c r="G42" s="11">
        <f>IF(A42="","",Products!F42)</f>
        <v/>
      </c>
      <c r="H42" s="11">
        <f>IF(A42="","",IF(D42&lt;G42,"REORDER","OK"))</f>
        <v/>
      </c>
      <c r="I42" s="14">
        <f>IF(A42="","",IFERROR(_xlfn.MAXIFS(StockMovements!$A$2:$A$500,StockMovements!$B$2:$B$500,A42),0))</f>
        <v/>
      </c>
      <c r="J42" s="11">
        <f>IF(OR(A42="",I42=0),"",TODAY()-I42)</f>
        <v/>
      </c>
      <c r="K42" s="11">
        <f>IF(A42="","",IF(I42=0,"never moved",IF(J42&lt;=30,"0-30",IF(J42&lt;=60,"31-60",IF(J42&lt;=90,"61-90","90+")))))</f>
        <v/>
      </c>
    </row>
    <row r="43">
      <c r="A43" s="11">
        <f>Products!A43</f>
        <v/>
      </c>
      <c r="B43" s="11">
        <f>Products!B43</f>
        <v/>
      </c>
      <c r="C43" s="11">
        <f>Products!C43</f>
        <v/>
      </c>
      <c r="D43" s="11">
        <f>IF(A43="","",SUMIFS(StockMovements!$E$2:$E$500,StockMovements!$B$2:$B$500,A43,StockMovements!$D$2:$D$500,"receipt")+SUMIFS(StockMovements!$E$2:$E$500,StockMovements!$B$2:$B$500,A43,StockMovements!$D$2:$D$500,"production_in")+SUMIFS(StockMovements!$E$2:$E$500,StockMovements!$B$2:$B$500,A43,StockMovements!$D$2:$D$500,"adjustment")-SUMIFS(StockMovements!$E$2:$E$500,StockMovements!$B$2:$B$500,A43,StockMovements!$D$2:$D$500,"issue")-SUMIFS(StockMovements!$E$2:$E$500,StockMovements!$B$2:$B$500,A43,StockMovements!$D$2:$D$500,"production_out")-SUMIFS(StockMovements!$E$2:$E$500,StockMovements!$B$2:$B$500,A43,StockMovements!$D$2:$D$500,"transfer")-SUMIFS(StockMovements!$E$2:$E$500,StockMovements!$B$2:$B$500,A43,StockMovements!$D$2:$D$500,"scrap"))</f>
        <v/>
      </c>
      <c r="E43" s="11">
        <f>IF(A43="","",Products!E43)</f>
        <v/>
      </c>
      <c r="F43" s="11">
        <f>IF(A43="","",D43*E43)</f>
        <v/>
      </c>
      <c r="G43" s="11">
        <f>IF(A43="","",Products!F43)</f>
        <v/>
      </c>
      <c r="H43" s="11">
        <f>IF(A43="","",IF(D43&lt;G43,"REORDER","OK"))</f>
        <v/>
      </c>
      <c r="I43" s="14">
        <f>IF(A43="","",IFERROR(_xlfn.MAXIFS(StockMovements!$A$2:$A$500,StockMovements!$B$2:$B$500,A43),0))</f>
        <v/>
      </c>
      <c r="J43" s="11">
        <f>IF(OR(A43="",I43=0),"",TODAY()-I43)</f>
        <v/>
      </c>
      <c r="K43" s="11">
        <f>IF(A43="","",IF(I43=0,"never moved",IF(J43&lt;=30,"0-30",IF(J43&lt;=60,"31-60",IF(J43&lt;=90,"61-90","90+")))))</f>
        <v/>
      </c>
    </row>
    <row r="44">
      <c r="A44" s="11">
        <f>Products!A44</f>
        <v/>
      </c>
      <c r="B44" s="11">
        <f>Products!B44</f>
        <v/>
      </c>
      <c r="C44" s="11">
        <f>Products!C44</f>
        <v/>
      </c>
      <c r="D44" s="11">
        <f>IF(A44="","",SUMIFS(StockMovements!$E$2:$E$500,StockMovements!$B$2:$B$500,A44,StockMovements!$D$2:$D$500,"receipt")+SUMIFS(StockMovements!$E$2:$E$500,StockMovements!$B$2:$B$500,A44,StockMovements!$D$2:$D$500,"production_in")+SUMIFS(StockMovements!$E$2:$E$500,StockMovements!$B$2:$B$500,A44,StockMovements!$D$2:$D$500,"adjustment")-SUMIFS(StockMovements!$E$2:$E$500,StockMovements!$B$2:$B$500,A44,StockMovements!$D$2:$D$500,"issue")-SUMIFS(StockMovements!$E$2:$E$500,StockMovements!$B$2:$B$500,A44,StockMovements!$D$2:$D$500,"production_out")-SUMIFS(StockMovements!$E$2:$E$500,StockMovements!$B$2:$B$500,A44,StockMovements!$D$2:$D$500,"transfer")-SUMIFS(StockMovements!$E$2:$E$500,StockMovements!$B$2:$B$500,A44,StockMovements!$D$2:$D$500,"scrap"))</f>
        <v/>
      </c>
      <c r="E44" s="11">
        <f>IF(A44="","",Products!E44)</f>
        <v/>
      </c>
      <c r="F44" s="11">
        <f>IF(A44="","",D44*E44)</f>
        <v/>
      </c>
      <c r="G44" s="11">
        <f>IF(A44="","",Products!F44)</f>
        <v/>
      </c>
      <c r="H44" s="11">
        <f>IF(A44="","",IF(D44&lt;G44,"REORDER","OK"))</f>
        <v/>
      </c>
      <c r="I44" s="14">
        <f>IF(A44="","",IFERROR(_xlfn.MAXIFS(StockMovements!$A$2:$A$500,StockMovements!$B$2:$B$500,A44),0))</f>
        <v/>
      </c>
      <c r="J44" s="11">
        <f>IF(OR(A44="",I44=0),"",TODAY()-I44)</f>
        <v/>
      </c>
      <c r="K44" s="11">
        <f>IF(A44="","",IF(I44=0,"never moved",IF(J44&lt;=30,"0-30",IF(J44&lt;=60,"31-60",IF(J44&lt;=90,"61-90","90+")))))</f>
        <v/>
      </c>
    </row>
    <row r="45">
      <c r="A45" s="11">
        <f>Products!A45</f>
        <v/>
      </c>
      <c r="B45" s="11">
        <f>Products!B45</f>
        <v/>
      </c>
      <c r="C45" s="11">
        <f>Products!C45</f>
        <v/>
      </c>
      <c r="D45" s="11">
        <f>IF(A45="","",SUMIFS(StockMovements!$E$2:$E$500,StockMovements!$B$2:$B$500,A45,StockMovements!$D$2:$D$500,"receipt")+SUMIFS(StockMovements!$E$2:$E$500,StockMovements!$B$2:$B$500,A45,StockMovements!$D$2:$D$500,"production_in")+SUMIFS(StockMovements!$E$2:$E$500,StockMovements!$B$2:$B$500,A45,StockMovements!$D$2:$D$500,"adjustment")-SUMIFS(StockMovements!$E$2:$E$500,StockMovements!$B$2:$B$500,A45,StockMovements!$D$2:$D$500,"issue")-SUMIFS(StockMovements!$E$2:$E$500,StockMovements!$B$2:$B$500,A45,StockMovements!$D$2:$D$500,"production_out")-SUMIFS(StockMovements!$E$2:$E$500,StockMovements!$B$2:$B$500,A45,StockMovements!$D$2:$D$500,"transfer")-SUMIFS(StockMovements!$E$2:$E$500,StockMovements!$B$2:$B$500,A45,StockMovements!$D$2:$D$500,"scrap"))</f>
        <v/>
      </c>
      <c r="E45" s="11">
        <f>IF(A45="","",Products!E45)</f>
        <v/>
      </c>
      <c r="F45" s="11">
        <f>IF(A45="","",D45*E45)</f>
        <v/>
      </c>
      <c r="G45" s="11">
        <f>IF(A45="","",Products!F45)</f>
        <v/>
      </c>
      <c r="H45" s="11">
        <f>IF(A45="","",IF(D45&lt;G45,"REORDER","OK"))</f>
        <v/>
      </c>
      <c r="I45" s="14">
        <f>IF(A45="","",IFERROR(_xlfn.MAXIFS(StockMovements!$A$2:$A$500,StockMovements!$B$2:$B$500,A45),0))</f>
        <v/>
      </c>
      <c r="J45" s="11">
        <f>IF(OR(A45="",I45=0),"",TODAY()-I45)</f>
        <v/>
      </c>
      <c r="K45" s="11">
        <f>IF(A45="","",IF(I45=0,"never moved",IF(J45&lt;=30,"0-30",IF(J45&lt;=60,"31-60",IF(J45&lt;=90,"61-90","90+")))))</f>
        <v/>
      </c>
    </row>
    <row r="46">
      <c r="A46" s="11">
        <f>Products!A46</f>
        <v/>
      </c>
      <c r="B46" s="11">
        <f>Products!B46</f>
        <v/>
      </c>
      <c r="C46" s="11">
        <f>Products!C46</f>
        <v/>
      </c>
      <c r="D46" s="11">
        <f>IF(A46="","",SUMIFS(StockMovements!$E$2:$E$500,StockMovements!$B$2:$B$500,A46,StockMovements!$D$2:$D$500,"receipt")+SUMIFS(StockMovements!$E$2:$E$500,StockMovements!$B$2:$B$500,A46,StockMovements!$D$2:$D$500,"production_in")+SUMIFS(StockMovements!$E$2:$E$500,StockMovements!$B$2:$B$500,A46,StockMovements!$D$2:$D$500,"adjustment")-SUMIFS(StockMovements!$E$2:$E$500,StockMovements!$B$2:$B$500,A46,StockMovements!$D$2:$D$500,"issue")-SUMIFS(StockMovements!$E$2:$E$500,StockMovements!$B$2:$B$500,A46,StockMovements!$D$2:$D$500,"production_out")-SUMIFS(StockMovements!$E$2:$E$500,StockMovements!$B$2:$B$500,A46,StockMovements!$D$2:$D$500,"transfer")-SUMIFS(StockMovements!$E$2:$E$500,StockMovements!$B$2:$B$500,A46,StockMovements!$D$2:$D$500,"scrap"))</f>
        <v/>
      </c>
      <c r="E46" s="11">
        <f>IF(A46="","",Products!E46)</f>
        <v/>
      </c>
      <c r="F46" s="11">
        <f>IF(A46="","",D46*E46)</f>
        <v/>
      </c>
      <c r="G46" s="11">
        <f>IF(A46="","",Products!F46)</f>
        <v/>
      </c>
      <c r="H46" s="11">
        <f>IF(A46="","",IF(D46&lt;G46,"REORDER","OK"))</f>
        <v/>
      </c>
      <c r="I46" s="14">
        <f>IF(A46="","",IFERROR(_xlfn.MAXIFS(StockMovements!$A$2:$A$500,StockMovements!$B$2:$B$500,A46),0))</f>
        <v/>
      </c>
      <c r="J46" s="11">
        <f>IF(OR(A46="",I46=0),"",TODAY()-I46)</f>
        <v/>
      </c>
      <c r="K46" s="11">
        <f>IF(A46="","",IF(I46=0,"never moved",IF(J46&lt;=30,"0-30",IF(J46&lt;=60,"31-60",IF(J46&lt;=90,"61-90","90+")))))</f>
        <v/>
      </c>
    </row>
    <row r="47">
      <c r="A47" s="11">
        <f>Products!A47</f>
        <v/>
      </c>
      <c r="B47" s="11">
        <f>Products!B47</f>
        <v/>
      </c>
      <c r="C47" s="11">
        <f>Products!C47</f>
        <v/>
      </c>
      <c r="D47" s="11">
        <f>IF(A47="","",SUMIFS(StockMovements!$E$2:$E$500,StockMovements!$B$2:$B$500,A47,StockMovements!$D$2:$D$500,"receipt")+SUMIFS(StockMovements!$E$2:$E$500,StockMovements!$B$2:$B$500,A47,StockMovements!$D$2:$D$500,"production_in")+SUMIFS(StockMovements!$E$2:$E$500,StockMovements!$B$2:$B$500,A47,StockMovements!$D$2:$D$500,"adjustment")-SUMIFS(StockMovements!$E$2:$E$500,StockMovements!$B$2:$B$500,A47,StockMovements!$D$2:$D$500,"issue")-SUMIFS(StockMovements!$E$2:$E$500,StockMovements!$B$2:$B$500,A47,StockMovements!$D$2:$D$500,"production_out")-SUMIFS(StockMovements!$E$2:$E$500,StockMovements!$B$2:$B$500,A47,StockMovements!$D$2:$D$500,"transfer")-SUMIFS(StockMovements!$E$2:$E$500,StockMovements!$B$2:$B$500,A47,StockMovements!$D$2:$D$500,"scrap"))</f>
        <v/>
      </c>
      <c r="E47" s="11">
        <f>IF(A47="","",Products!E47)</f>
        <v/>
      </c>
      <c r="F47" s="11">
        <f>IF(A47="","",D47*E47)</f>
        <v/>
      </c>
      <c r="G47" s="11">
        <f>IF(A47="","",Products!F47)</f>
        <v/>
      </c>
      <c r="H47" s="11">
        <f>IF(A47="","",IF(D47&lt;G47,"REORDER","OK"))</f>
        <v/>
      </c>
      <c r="I47" s="14">
        <f>IF(A47="","",IFERROR(_xlfn.MAXIFS(StockMovements!$A$2:$A$500,StockMovements!$B$2:$B$500,A47),0))</f>
        <v/>
      </c>
      <c r="J47" s="11">
        <f>IF(OR(A47="",I47=0),"",TODAY()-I47)</f>
        <v/>
      </c>
      <c r="K47" s="11">
        <f>IF(A47="","",IF(I47=0,"never moved",IF(J47&lt;=30,"0-30",IF(J47&lt;=60,"31-60",IF(J47&lt;=90,"61-90","90+")))))</f>
        <v/>
      </c>
    </row>
    <row r="48">
      <c r="A48" s="11">
        <f>Products!A48</f>
        <v/>
      </c>
      <c r="B48" s="11">
        <f>Products!B48</f>
        <v/>
      </c>
      <c r="C48" s="11">
        <f>Products!C48</f>
        <v/>
      </c>
      <c r="D48" s="11">
        <f>IF(A48="","",SUMIFS(StockMovements!$E$2:$E$500,StockMovements!$B$2:$B$500,A48,StockMovements!$D$2:$D$500,"receipt")+SUMIFS(StockMovements!$E$2:$E$500,StockMovements!$B$2:$B$500,A48,StockMovements!$D$2:$D$500,"production_in")+SUMIFS(StockMovements!$E$2:$E$500,StockMovements!$B$2:$B$500,A48,StockMovements!$D$2:$D$500,"adjustment")-SUMIFS(StockMovements!$E$2:$E$500,StockMovements!$B$2:$B$500,A48,StockMovements!$D$2:$D$500,"issue")-SUMIFS(StockMovements!$E$2:$E$500,StockMovements!$B$2:$B$500,A48,StockMovements!$D$2:$D$500,"production_out")-SUMIFS(StockMovements!$E$2:$E$500,StockMovements!$B$2:$B$500,A48,StockMovements!$D$2:$D$500,"transfer")-SUMIFS(StockMovements!$E$2:$E$500,StockMovements!$B$2:$B$500,A48,StockMovements!$D$2:$D$500,"scrap"))</f>
        <v/>
      </c>
      <c r="E48" s="11">
        <f>IF(A48="","",Products!E48)</f>
        <v/>
      </c>
      <c r="F48" s="11">
        <f>IF(A48="","",D48*E48)</f>
        <v/>
      </c>
      <c r="G48" s="11">
        <f>IF(A48="","",Products!F48)</f>
        <v/>
      </c>
      <c r="H48" s="11">
        <f>IF(A48="","",IF(D48&lt;G48,"REORDER","OK"))</f>
        <v/>
      </c>
      <c r="I48" s="14">
        <f>IF(A48="","",IFERROR(_xlfn.MAXIFS(StockMovements!$A$2:$A$500,StockMovements!$B$2:$B$500,A48),0))</f>
        <v/>
      </c>
      <c r="J48" s="11">
        <f>IF(OR(A48="",I48=0),"",TODAY()-I48)</f>
        <v/>
      </c>
      <c r="K48" s="11">
        <f>IF(A48="","",IF(I48=0,"never moved",IF(J48&lt;=30,"0-30",IF(J48&lt;=60,"31-60",IF(J48&lt;=90,"61-90","90+")))))</f>
        <v/>
      </c>
    </row>
    <row r="49">
      <c r="A49" s="11">
        <f>Products!A49</f>
        <v/>
      </c>
      <c r="B49" s="11">
        <f>Products!B49</f>
        <v/>
      </c>
      <c r="C49" s="11">
        <f>Products!C49</f>
        <v/>
      </c>
      <c r="D49" s="11">
        <f>IF(A49="","",SUMIFS(StockMovements!$E$2:$E$500,StockMovements!$B$2:$B$500,A49,StockMovements!$D$2:$D$500,"receipt")+SUMIFS(StockMovements!$E$2:$E$500,StockMovements!$B$2:$B$500,A49,StockMovements!$D$2:$D$500,"production_in")+SUMIFS(StockMovements!$E$2:$E$500,StockMovements!$B$2:$B$500,A49,StockMovements!$D$2:$D$500,"adjustment")-SUMIFS(StockMovements!$E$2:$E$500,StockMovements!$B$2:$B$500,A49,StockMovements!$D$2:$D$500,"issue")-SUMIFS(StockMovements!$E$2:$E$500,StockMovements!$B$2:$B$500,A49,StockMovements!$D$2:$D$500,"production_out")-SUMIFS(StockMovements!$E$2:$E$500,StockMovements!$B$2:$B$500,A49,StockMovements!$D$2:$D$500,"transfer")-SUMIFS(StockMovements!$E$2:$E$500,StockMovements!$B$2:$B$500,A49,StockMovements!$D$2:$D$500,"scrap"))</f>
        <v/>
      </c>
      <c r="E49" s="11">
        <f>IF(A49="","",Products!E49)</f>
        <v/>
      </c>
      <c r="F49" s="11">
        <f>IF(A49="","",D49*E49)</f>
        <v/>
      </c>
      <c r="G49" s="11">
        <f>IF(A49="","",Products!F49)</f>
        <v/>
      </c>
      <c r="H49" s="11">
        <f>IF(A49="","",IF(D49&lt;G49,"REORDER","OK"))</f>
        <v/>
      </c>
      <c r="I49" s="14">
        <f>IF(A49="","",IFERROR(_xlfn.MAXIFS(StockMovements!$A$2:$A$500,StockMovements!$B$2:$B$500,A49),0))</f>
        <v/>
      </c>
      <c r="J49" s="11">
        <f>IF(OR(A49="",I49=0),"",TODAY()-I49)</f>
        <v/>
      </c>
      <c r="K49" s="11">
        <f>IF(A49="","",IF(I49=0,"never moved",IF(J49&lt;=30,"0-30",IF(J49&lt;=60,"31-60",IF(J49&lt;=90,"61-90","90+")))))</f>
        <v/>
      </c>
    </row>
    <row r="50">
      <c r="A50" s="11">
        <f>Products!A50</f>
        <v/>
      </c>
      <c r="B50" s="11">
        <f>Products!B50</f>
        <v/>
      </c>
      <c r="C50" s="11">
        <f>Products!C50</f>
        <v/>
      </c>
      <c r="D50" s="11">
        <f>IF(A50="","",SUMIFS(StockMovements!$E$2:$E$500,StockMovements!$B$2:$B$500,A50,StockMovements!$D$2:$D$500,"receipt")+SUMIFS(StockMovements!$E$2:$E$500,StockMovements!$B$2:$B$500,A50,StockMovements!$D$2:$D$500,"production_in")+SUMIFS(StockMovements!$E$2:$E$500,StockMovements!$B$2:$B$500,A50,StockMovements!$D$2:$D$500,"adjustment")-SUMIFS(StockMovements!$E$2:$E$500,StockMovements!$B$2:$B$500,A50,StockMovements!$D$2:$D$500,"issue")-SUMIFS(StockMovements!$E$2:$E$500,StockMovements!$B$2:$B$500,A50,StockMovements!$D$2:$D$500,"production_out")-SUMIFS(StockMovements!$E$2:$E$500,StockMovements!$B$2:$B$500,A50,StockMovements!$D$2:$D$500,"transfer")-SUMIFS(StockMovements!$E$2:$E$500,StockMovements!$B$2:$B$500,A50,StockMovements!$D$2:$D$500,"scrap"))</f>
        <v/>
      </c>
      <c r="E50" s="11">
        <f>IF(A50="","",Products!E50)</f>
        <v/>
      </c>
      <c r="F50" s="11">
        <f>IF(A50="","",D50*E50)</f>
        <v/>
      </c>
      <c r="G50" s="11">
        <f>IF(A50="","",Products!F50)</f>
        <v/>
      </c>
      <c r="H50" s="11">
        <f>IF(A50="","",IF(D50&lt;G50,"REORDER","OK"))</f>
        <v/>
      </c>
      <c r="I50" s="14">
        <f>IF(A50="","",IFERROR(_xlfn.MAXIFS(StockMovements!$A$2:$A$500,StockMovements!$B$2:$B$500,A50),0))</f>
        <v/>
      </c>
      <c r="J50" s="11">
        <f>IF(OR(A50="",I50=0),"",TODAY()-I50)</f>
        <v/>
      </c>
      <c r="K50" s="11">
        <f>IF(A50="","",IF(I50=0,"never moved",IF(J50&lt;=30,"0-30",IF(J50&lt;=60,"31-60",IF(J50&lt;=90,"61-90","90+")))))</f>
        <v/>
      </c>
    </row>
    <row r="51">
      <c r="A51" s="11">
        <f>Products!A51</f>
        <v/>
      </c>
      <c r="B51" s="11">
        <f>Products!B51</f>
        <v/>
      </c>
      <c r="C51" s="11">
        <f>Products!C51</f>
        <v/>
      </c>
      <c r="D51" s="11">
        <f>IF(A51="","",SUMIFS(StockMovements!$E$2:$E$500,StockMovements!$B$2:$B$500,A51,StockMovements!$D$2:$D$500,"receipt")+SUMIFS(StockMovements!$E$2:$E$500,StockMovements!$B$2:$B$500,A51,StockMovements!$D$2:$D$500,"production_in")+SUMIFS(StockMovements!$E$2:$E$500,StockMovements!$B$2:$B$500,A51,StockMovements!$D$2:$D$500,"adjustment")-SUMIFS(StockMovements!$E$2:$E$500,StockMovements!$B$2:$B$500,A51,StockMovements!$D$2:$D$500,"issue")-SUMIFS(StockMovements!$E$2:$E$500,StockMovements!$B$2:$B$500,A51,StockMovements!$D$2:$D$500,"production_out")-SUMIFS(StockMovements!$E$2:$E$500,StockMovements!$B$2:$B$500,A51,StockMovements!$D$2:$D$500,"transfer")-SUMIFS(StockMovements!$E$2:$E$500,StockMovements!$B$2:$B$500,A51,StockMovements!$D$2:$D$500,"scrap"))</f>
        <v/>
      </c>
      <c r="E51" s="11">
        <f>IF(A51="","",Products!E51)</f>
        <v/>
      </c>
      <c r="F51" s="11">
        <f>IF(A51="","",D51*E51)</f>
        <v/>
      </c>
      <c r="G51" s="11">
        <f>IF(A51="","",Products!F51)</f>
        <v/>
      </c>
      <c r="H51" s="11">
        <f>IF(A51="","",IF(D51&lt;G51,"REORDER","OK"))</f>
        <v/>
      </c>
      <c r="I51" s="14">
        <f>IF(A51="","",IFERROR(_xlfn.MAXIFS(StockMovements!$A$2:$A$500,StockMovements!$B$2:$B$500,A51),0))</f>
        <v/>
      </c>
      <c r="J51" s="11">
        <f>IF(OR(A51="",I51=0),"",TODAY()-I51)</f>
        <v/>
      </c>
      <c r="K51" s="11">
        <f>IF(A51="","",IF(I51=0,"never moved",IF(J51&lt;=30,"0-30",IF(J51&lt;=60,"31-60",IF(J51&lt;=90,"61-90","90+")))))</f>
        <v/>
      </c>
    </row>
    <row r="52">
      <c r="A52" s="11">
        <f>Products!A52</f>
        <v/>
      </c>
      <c r="B52" s="11">
        <f>Products!B52</f>
        <v/>
      </c>
      <c r="C52" s="11">
        <f>Products!C52</f>
        <v/>
      </c>
      <c r="D52" s="11">
        <f>IF(A52="","",SUMIFS(StockMovements!$E$2:$E$500,StockMovements!$B$2:$B$500,A52,StockMovements!$D$2:$D$500,"receipt")+SUMIFS(StockMovements!$E$2:$E$500,StockMovements!$B$2:$B$500,A52,StockMovements!$D$2:$D$500,"production_in")+SUMIFS(StockMovements!$E$2:$E$500,StockMovements!$B$2:$B$500,A52,StockMovements!$D$2:$D$500,"adjustment")-SUMIFS(StockMovements!$E$2:$E$500,StockMovements!$B$2:$B$500,A52,StockMovements!$D$2:$D$500,"issue")-SUMIFS(StockMovements!$E$2:$E$500,StockMovements!$B$2:$B$500,A52,StockMovements!$D$2:$D$500,"production_out")-SUMIFS(StockMovements!$E$2:$E$500,StockMovements!$B$2:$B$500,A52,StockMovements!$D$2:$D$500,"transfer")-SUMIFS(StockMovements!$E$2:$E$500,StockMovements!$B$2:$B$500,A52,StockMovements!$D$2:$D$500,"scrap"))</f>
        <v/>
      </c>
      <c r="E52" s="11">
        <f>IF(A52="","",Products!E52)</f>
        <v/>
      </c>
      <c r="F52" s="11">
        <f>IF(A52="","",D52*E52)</f>
        <v/>
      </c>
      <c r="G52" s="11">
        <f>IF(A52="","",Products!F52)</f>
        <v/>
      </c>
      <c r="H52" s="11">
        <f>IF(A52="","",IF(D52&lt;G52,"REORDER","OK"))</f>
        <v/>
      </c>
      <c r="I52" s="14">
        <f>IF(A52="","",IFERROR(_xlfn.MAXIFS(StockMovements!$A$2:$A$500,StockMovements!$B$2:$B$500,A52),0))</f>
        <v/>
      </c>
      <c r="J52" s="11">
        <f>IF(OR(A52="",I52=0),"",TODAY()-I52)</f>
        <v/>
      </c>
      <c r="K52" s="11">
        <f>IF(A52="","",IF(I52=0,"never moved",IF(J52&lt;=30,"0-30",IF(J52&lt;=60,"31-60",IF(J52&lt;=90,"61-90","90+")))))</f>
        <v/>
      </c>
    </row>
    <row r="53">
      <c r="A53" s="11">
        <f>Products!A53</f>
        <v/>
      </c>
      <c r="B53" s="11">
        <f>Products!B53</f>
        <v/>
      </c>
      <c r="C53" s="11">
        <f>Products!C53</f>
        <v/>
      </c>
      <c r="D53" s="11">
        <f>IF(A53="","",SUMIFS(StockMovements!$E$2:$E$500,StockMovements!$B$2:$B$500,A53,StockMovements!$D$2:$D$500,"receipt")+SUMIFS(StockMovements!$E$2:$E$500,StockMovements!$B$2:$B$500,A53,StockMovements!$D$2:$D$500,"production_in")+SUMIFS(StockMovements!$E$2:$E$500,StockMovements!$B$2:$B$500,A53,StockMovements!$D$2:$D$500,"adjustment")-SUMIFS(StockMovements!$E$2:$E$500,StockMovements!$B$2:$B$500,A53,StockMovements!$D$2:$D$500,"issue")-SUMIFS(StockMovements!$E$2:$E$500,StockMovements!$B$2:$B$500,A53,StockMovements!$D$2:$D$500,"production_out")-SUMIFS(StockMovements!$E$2:$E$500,StockMovements!$B$2:$B$500,A53,StockMovements!$D$2:$D$500,"transfer")-SUMIFS(StockMovements!$E$2:$E$500,StockMovements!$B$2:$B$500,A53,StockMovements!$D$2:$D$500,"scrap"))</f>
        <v/>
      </c>
      <c r="E53" s="11">
        <f>IF(A53="","",Products!E53)</f>
        <v/>
      </c>
      <c r="F53" s="11">
        <f>IF(A53="","",D53*E53)</f>
        <v/>
      </c>
      <c r="G53" s="11">
        <f>IF(A53="","",Products!F53)</f>
        <v/>
      </c>
      <c r="H53" s="11">
        <f>IF(A53="","",IF(D53&lt;G53,"REORDER","OK"))</f>
        <v/>
      </c>
      <c r="I53" s="14">
        <f>IF(A53="","",IFERROR(_xlfn.MAXIFS(StockMovements!$A$2:$A$500,StockMovements!$B$2:$B$500,A53),0))</f>
        <v/>
      </c>
      <c r="J53" s="11">
        <f>IF(OR(A53="",I53=0),"",TODAY()-I53)</f>
        <v/>
      </c>
      <c r="K53" s="11">
        <f>IF(A53="","",IF(I53=0,"never moved",IF(J53&lt;=30,"0-30",IF(J53&lt;=60,"31-60",IF(J53&lt;=90,"61-90","90+")))))</f>
        <v/>
      </c>
    </row>
    <row r="54">
      <c r="A54" s="11">
        <f>Products!A54</f>
        <v/>
      </c>
      <c r="B54" s="11">
        <f>Products!B54</f>
        <v/>
      </c>
      <c r="C54" s="11">
        <f>Products!C54</f>
        <v/>
      </c>
      <c r="D54" s="11">
        <f>IF(A54="","",SUMIFS(StockMovements!$E$2:$E$500,StockMovements!$B$2:$B$500,A54,StockMovements!$D$2:$D$500,"receipt")+SUMIFS(StockMovements!$E$2:$E$500,StockMovements!$B$2:$B$500,A54,StockMovements!$D$2:$D$500,"production_in")+SUMIFS(StockMovements!$E$2:$E$500,StockMovements!$B$2:$B$500,A54,StockMovements!$D$2:$D$500,"adjustment")-SUMIFS(StockMovements!$E$2:$E$500,StockMovements!$B$2:$B$500,A54,StockMovements!$D$2:$D$500,"issue")-SUMIFS(StockMovements!$E$2:$E$500,StockMovements!$B$2:$B$500,A54,StockMovements!$D$2:$D$500,"production_out")-SUMIFS(StockMovements!$E$2:$E$500,StockMovements!$B$2:$B$500,A54,StockMovements!$D$2:$D$500,"transfer")-SUMIFS(StockMovements!$E$2:$E$500,StockMovements!$B$2:$B$500,A54,StockMovements!$D$2:$D$500,"scrap"))</f>
        <v/>
      </c>
      <c r="E54" s="11">
        <f>IF(A54="","",Products!E54)</f>
        <v/>
      </c>
      <c r="F54" s="11">
        <f>IF(A54="","",D54*E54)</f>
        <v/>
      </c>
      <c r="G54" s="11">
        <f>IF(A54="","",Products!F54)</f>
        <v/>
      </c>
      <c r="H54" s="11">
        <f>IF(A54="","",IF(D54&lt;G54,"REORDER","OK"))</f>
        <v/>
      </c>
      <c r="I54" s="14">
        <f>IF(A54="","",IFERROR(_xlfn.MAXIFS(StockMovements!$A$2:$A$500,StockMovements!$B$2:$B$500,A54),0))</f>
        <v/>
      </c>
      <c r="J54" s="11">
        <f>IF(OR(A54="",I54=0),"",TODAY()-I54)</f>
        <v/>
      </c>
      <c r="K54" s="11">
        <f>IF(A54="","",IF(I54=0,"never moved",IF(J54&lt;=30,"0-30",IF(J54&lt;=60,"31-60",IF(J54&lt;=90,"61-90","90+")))))</f>
        <v/>
      </c>
    </row>
    <row r="55">
      <c r="A55" s="11">
        <f>Products!A55</f>
        <v/>
      </c>
      <c r="B55" s="11">
        <f>Products!B55</f>
        <v/>
      </c>
      <c r="C55" s="11">
        <f>Products!C55</f>
        <v/>
      </c>
      <c r="D55" s="11">
        <f>IF(A55="","",SUMIFS(StockMovements!$E$2:$E$500,StockMovements!$B$2:$B$500,A55,StockMovements!$D$2:$D$500,"receipt")+SUMIFS(StockMovements!$E$2:$E$500,StockMovements!$B$2:$B$500,A55,StockMovements!$D$2:$D$500,"production_in")+SUMIFS(StockMovements!$E$2:$E$500,StockMovements!$B$2:$B$500,A55,StockMovements!$D$2:$D$500,"adjustment")-SUMIFS(StockMovements!$E$2:$E$500,StockMovements!$B$2:$B$500,A55,StockMovements!$D$2:$D$500,"issue")-SUMIFS(StockMovements!$E$2:$E$500,StockMovements!$B$2:$B$500,A55,StockMovements!$D$2:$D$500,"production_out")-SUMIFS(StockMovements!$E$2:$E$500,StockMovements!$B$2:$B$500,A55,StockMovements!$D$2:$D$500,"transfer")-SUMIFS(StockMovements!$E$2:$E$500,StockMovements!$B$2:$B$500,A55,StockMovements!$D$2:$D$500,"scrap"))</f>
        <v/>
      </c>
      <c r="E55" s="11">
        <f>IF(A55="","",Products!E55)</f>
        <v/>
      </c>
      <c r="F55" s="11">
        <f>IF(A55="","",D55*E55)</f>
        <v/>
      </c>
      <c r="G55" s="11">
        <f>IF(A55="","",Products!F55)</f>
        <v/>
      </c>
      <c r="H55" s="11">
        <f>IF(A55="","",IF(D55&lt;G55,"REORDER","OK"))</f>
        <v/>
      </c>
      <c r="I55" s="14">
        <f>IF(A55="","",IFERROR(_xlfn.MAXIFS(StockMovements!$A$2:$A$500,StockMovements!$B$2:$B$500,A55),0))</f>
        <v/>
      </c>
      <c r="J55" s="11">
        <f>IF(OR(A55="",I55=0),"",TODAY()-I55)</f>
        <v/>
      </c>
      <c r="K55" s="11">
        <f>IF(A55="","",IF(I55=0,"never moved",IF(J55&lt;=30,"0-30",IF(J55&lt;=60,"31-60",IF(J55&lt;=90,"61-90","90+")))))</f>
        <v/>
      </c>
    </row>
    <row r="56">
      <c r="A56" s="11">
        <f>Products!A56</f>
        <v/>
      </c>
      <c r="B56" s="11">
        <f>Products!B56</f>
        <v/>
      </c>
      <c r="C56" s="11">
        <f>Products!C56</f>
        <v/>
      </c>
      <c r="D56" s="11">
        <f>IF(A56="","",SUMIFS(StockMovements!$E$2:$E$500,StockMovements!$B$2:$B$500,A56,StockMovements!$D$2:$D$500,"receipt")+SUMIFS(StockMovements!$E$2:$E$500,StockMovements!$B$2:$B$500,A56,StockMovements!$D$2:$D$500,"production_in")+SUMIFS(StockMovements!$E$2:$E$500,StockMovements!$B$2:$B$500,A56,StockMovements!$D$2:$D$500,"adjustment")-SUMIFS(StockMovements!$E$2:$E$500,StockMovements!$B$2:$B$500,A56,StockMovements!$D$2:$D$500,"issue")-SUMIFS(StockMovements!$E$2:$E$500,StockMovements!$B$2:$B$500,A56,StockMovements!$D$2:$D$500,"production_out")-SUMIFS(StockMovements!$E$2:$E$500,StockMovements!$B$2:$B$500,A56,StockMovements!$D$2:$D$500,"transfer")-SUMIFS(StockMovements!$E$2:$E$500,StockMovements!$B$2:$B$500,A56,StockMovements!$D$2:$D$500,"scrap"))</f>
        <v/>
      </c>
      <c r="E56" s="11">
        <f>IF(A56="","",Products!E56)</f>
        <v/>
      </c>
      <c r="F56" s="11">
        <f>IF(A56="","",D56*E56)</f>
        <v/>
      </c>
      <c r="G56" s="11">
        <f>IF(A56="","",Products!F56)</f>
        <v/>
      </c>
      <c r="H56" s="11">
        <f>IF(A56="","",IF(D56&lt;G56,"REORDER","OK"))</f>
        <v/>
      </c>
      <c r="I56" s="14">
        <f>IF(A56="","",IFERROR(_xlfn.MAXIFS(StockMovements!$A$2:$A$500,StockMovements!$B$2:$B$500,A56),0))</f>
        <v/>
      </c>
      <c r="J56" s="11">
        <f>IF(OR(A56="",I56=0),"",TODAY()-I56)</f>
        <v/>
      </c>
      <c r="K56" s="11">
        <f>IF(A56="","",IF(I56=0,"never moved",IF(J56&lt;=30,"0-30",IF(J56&lt;=60,"31-60",IF(J56&lt;=90,"61-90","90+")))))</f>
        <v/>
      </c>
    </row>
    <row r="57">
      <c r="A57" s="11">
        <f>Products!A57</f>
        <v/>
      </c>
      <c r="B57" s="11">
        <f>Products!B57</f>
        <v/>
      </c>
      <c r="C57" s="11">
        <f>Products!C57</f>
        <v/>
      </c>
      <c r="D57" s="11">
        <f>IF(A57="","",SUMIFS(StockMovements!$E$2:$E$500,StockMovements!$B$2:$B$500,A57,StockMovements!$D$2:$D$500,"receipt")+SUMIFS(StockMovements!$E$2:$E$500,StockMovements!$B$2:$B$500,A57,StockMovements!$D$2:$D$500,"production_in")+SUMIFS(StockMovements!$E$2:$E$500,StockMovements!$B$2:$B$500,A57,StockMovements!$D$2:$D$500,"adjustment")-SUMIFS(StockMovements!$E$2:$E$500,StockMovements!$B$2:$B$500,A57,StockMovements!$D$2:$D$500,"issue")-SUMIFS(StockMovements!$E$2:$E$500,StockMovements!$B$2:$B$500,A57,StockMovements!$D$2:$D$500,"production_out")-SUMIFS(StockMovements!$E$2:$E$500,StockMovements!$B$2:$B$500,A57,StockMovements!$D$2:$D$500,"transfer")-SUMIFS(StockMovements!$E$2:$E$500,StockMovements!$B$2:$B$500,A57,StockMovements!$D$2:$D$500,"scrap"))</f>
        <v/>
      </c>
      <c r="E57" s="11">
        <f>IF(A57="","",Products!E57)</f>
        <v/>
      </c>
      <c r="F57" s="11">
        <f>IF(A57="","",D57*E57)</f>
        <v/>
      </c>
      <c r="G57" s="11">
        <f>IF(A57="","",Products!F57)</f>
        <v/>
      </c>
      <c r="H57" s="11">
        <f>IF(A57="","",IF(D57&lt;G57,"REORDER","OK"))</f>
        <v/>
      </c>
      <c r="I57" s="14">
        <f>IF(A57="","",IFERROR(_xlfn.MAXIFS(StockMovements!$A$2:$A$500,StockMovements!$B$2:$B$500,A57),0))</f>
        <v/>
      </c>
      <c r="J57" s="11">
        <f>IF(OR(A57="",I57=0),"",TODAY()-I57)</f>
        <v/>
      </c>
      <c r="K57" s="11">
        <f>IF(A57="","",IF(I57=0,"never moved",IF(J57&lt;=30,"0-30",IF(J57&lt;=60,"31-60",IF(J57&lt;=90,"61-90","90+")))))</f>
        <v/>
      </c>
    </row>
    <row r="58">
      <c r="A58" s="11">
        <f>Products!A58</f>
        <v/>
      </c>
      <c r="B58" s="11">
        <f>Products!B58</f>
        <v/>
      </c>
      <c r="C58" s="11">
        <f>Products!C58</f>
        <v/>
      </c>
      <c r="D58" s="11">
        <f>IF(A58="","",SUMIFS(StockMovements!$E$2:$E$500,StockMovements!$B$2:$B$500,A58,StockMovements!$D$2:$D$500,"receipt")+SUMIFS(StockMovements!$E$2:$E$500,StockMovements!$B$2:$B$500,A58,StockMovements!$D$2:$D$500,"production_in")+SUMIFS(StockMovements!$E$2:$E$500,StockMovements!$B$2:$B$500,A58,StockMovements!$D$2:$D$500,"adjustment")-SUMIFS(StockMovements!$E$2:$E$500,StockMovements!$B$2:$B$500,A58,StockMovements!$D$2:$D$500,"issue")-SUMIFS(StockMovements!$E$2:$E$500,StockMovements!$B$2:$B$500,A58,StockMovements!$D$2:$D$500,"production_out")-SUMIFS(StockMovements!$E$2:$E$500,StockMovements!$B$2:$B$500,A58,StockMovements!$D$2:$D$500,"transfer")-SUMIFS(StockMovements!$E$2:$E$500,StockMovements!$B$2:$B$500,A58,StockMovements!$D$2:$D$500,"scrap"))</f>
        <v/>
      </c>
      <c r="E58" s="11">
        <f>IF(A58="","",Products!E58)</f>
        <v/>
      </c>
      <c r="F58" s="11">
        <f>IF(A58="","",D58*E58)</f>
        <v/>
      </c>
      <c r="G58" s="11">
        <f>IF(A58="","",Products!F58)</f>
        <v/>
      </c>
      <c r="H58" s="11">
        <f>IF(A58="","",IF(D58&lt;G58,"REORDER","OK"))</f>
        <v/>
      </c>
      <c r="I58" s="14">
        <f>IF(A58="","",IFERROR(_xlfn.MAXIFS(StockMovements!$A$2:$A$500,StockMovements!$B$2:$B$500,A58),0))</f>
        <v/>
      </c>
      <c r="J58" s="11">
        <f>IF(OR(A58="",I58=0),"",TODAY()-I58)</f>
        <v/>
      </c>
      <c r="K58" s="11">
        <f>IF(A58="","",IF(I58=0,"never moved",IF(J58&lt;=30,"0-30",IF(J58&lt;=60,"31-60",IF(J58&lt;=90,"61-90","90+")))))</f>
        <v/>
      </c>
    </row>
    <row r="59">
      <c r="A59" s="11">
        <f>Products!A59</f>
        <v/>
      </c>
      <c r="B59" s="11">
        <f>Products!B59</f>
        <v/>
      </c>
      <c r="C59" s="11">
        <f>Products!C59</f>
        <v/>
      </c>
      <c r="D59" s="11">
        <f>IF(A59="","",SUMIFS(StockMovements!$E$2:$E$500,StockMovements!$B$2:$B$500,A59,StockMovements!$D$2:$D$500,"receipt")+SUMIFS(StockMovements!$E$2:$E$500,StockMovements!$B$2:$B$500,A59,StockMovements!$D$2:$D$500,"production_in")+SUMIFS(StockMovements!$E$2:$E$500,StockMovements!$B$2:$B$500,A59,StockMovements!$D$2:$D$500,"adjustment")-SUMIFS(StockMovements!$E$2:$E$500,StockMovements!$B$2:$B$500,A59,StockMovements!$D$2:$D$500,"issue")-SUMIFS(StockMovements!$E$2:$E$500,StockMovements!$B$2:$B$500,A59,StockMovements!$D$2:$D$500,"production_out")-SUMIFS(StockMovements!$E$2:$E$500,StockMovements!$B$2:$B$500,A59,StockMovements!$D$2:$D$500,"transfer")-SUMIFS(StockMovements!$E$2:$E$500,StockMovements!$B$2:$B$500,A59,StockMovements!$D$2:$D$500,"scrap"))</f>
        <v/>
      </c>
      <c r="E59" s="11">
        <f>IF(A59="","",Products!E59)</f>
        <v/>
      </c>
      <c r="F59" s="11">
        <f>IF(A59="","",D59*E59)</f>
        <v/>
      </c>
      <c r="G59" s="11">
        <f>IF(A59="","",Products!F59)</f>
        <v/>
      </c>
      <c r="H59" s="11">
        <f>IF(A59="","",IF(D59&lt;G59,"REORDER","OK"))</f>
        <v/>
      </c>
      <c r="I59" s="14">
        <f>IF(A59="","",IFERROR(_xlfn.MAXIFS(StockMovements!$A$2:$A$500,StockMovements!$B$2:$B$500,A59),0))</f>
        <v/>
      </c>
      <c r="J59" s="11">
        <f>IF(OR(A59="",I59=0),"",TODAY()-I59)</f>
        <v/>
      </c>
      <c r="K59" s="11">
        <f>IF(A59="","",IF(I59=0,"never moved",IF(J59&lt;=30,"0-30",IF(J59&lt;=60,"31-60",IF(J59&lt;=90,"61-90","90+")))))</f>
        <v/>
      </c>
    </row>
    <row r="60">
      <c r="A60" s="11">
        <f>Products!A60</f>
        <v/>
      </c>
      <c r="B60" s="11">
        <f>Products!B60</f>
        <v/>
      </c>
      <c r="C60" s="11">
        <f>Products!C60</f>
        <v/>
      </c>
      <c r="D60" s="11">
        <f>IF(A60="","",SUMIFS(StockMovements!$E$2:$E$500,StockMovements!$B$2:$B$500,A60,StockMovements!$D$2:$D$500,"receipt")+SUMIFS(StockMovements!$E$2:$E$500,StockMovements!$B$2:$B$500,A60,StockMovements!$D$2:$D$500,"production_in")+SUMIFS(StockMovements!$E$2:$E$500,StockMovements!$B$2:$B$500,A60,StockMovements!$D$2:$D$500,"adjustment")-SUMIFS(StockMovements!$E$2:$E$500,StockMovements!$B$2:$B$500,A60,StockMovements!$D$2:$D$500,"issue")-SUMIFS(StockMovements!$E$2:$E$500,StockMovements!$B$2:$B$500,A60,StockMovements!$D$2:$D$500,"production_out")-SUMIFS(StockMovements!$E$2:$E$500,StockMovements!$B$2:$B$500,A60,StockMovements!$D$2:$D$500,"transfer")-SUMIFS(StockMovements!$E$2:$E$500,StockMovements!$B$2:$B$500,A60,StockMovements!$D$2:$D$500,"scrap"))</f>
        <v/>
      </c>
      <c r="E60" s="11">
        <f>IF(A60="","",Products!E60)</f>
        <v/>
      </c>
      <c r="F60" s="11">
        <f>IF(A60="","",D60*E60)</f>
        <v/>
      </c>
      <c r="G60" s="11">
        <f>IF(A60="","",Products!F60)</f>
        <v/>
      </c>
      <c r="H60" s="11">
        <f>IF(A60="","",IF(D60&lt;G60,"REORDER","OK"))</f>
        <v/>
      </c>
      <c r="I60" s="14">
        <f>IF(A60="","",IFERROR(_xlfn.MAXIFS(StockMovements!$A$2:$A$500,StockMovements!$B$2:$B$500,A60),0))</f>
        <v/>
      </c>
      <c r="J60" s="11">
        <f>IF(OR(A60="",I60=0),"",TODAY()-I60)</f>
        <v/>
      </c>
      <c r="K60" s="11">
        <f>IF(A60="","",IF(I60=0,"never moved",IF(J60&lt;=30,"0-30",IF(J60&lt;=60,"31-60",IF(J60&lt;=90,"61-90","90+")))))</f>
        <v/>
      </c>
    </row>
    <row r="61">
      <c r="A61" s="11">
        <f>Products!A61</f>
        <v/>
      </c>
      <c r="B61" s="11">
        <f>Products!B61</f>
        <v/>
      </c>
      <c r="C61" s="11">
        <f>Products!C61</f>
        <v/>
      </c>
      <c r="D61" s="11">
        <f>IF(A61="","",SUMIFS(StockMovements!$E$2:$E$500,StockMovements!$B$2:$B$500,A61,StockMovements!$D$2:$D$500,"receipt")+SUMIFS(StockMovements!$E$2:$E$500,StockMovements!$B$2:$B$500,A61,StockMovements!$D$2:$D$500,"production_in")+SUMIFS(StockMovements!$E$2:$E$500,StockMovements!$B$2:$B$500,A61,StockMovements!$D$2:$D$500,"adjustment")-SUMIFS(StockMovements!$E$2:$E$500,StockMovements!$B$2:$B$500,A61,StockMovements!$D$2:$D$500,"issue")-SUMIFS(StockMovements!$E$2:$E$500,StockMovements!$B$2:$B$500,A61,StockMovements!$D$2:$D$500,"production_out")-SUMIFS(StockMovements!$E$2:$E$500,StockMovements!$B$2:$B$500,A61,StockMovements!$D$2:$D$500,"transfer")-SUMIFS(StockMovements!$E$2:$E$500,StockMovements!$B$2:$B$500,A61,StockMovements!$D$2:$D$500,"scrap"))</f>
        <v/>
      </c>
      <c r="E61" s="11">
        <f>IF(A61="","",Products!E61)</f>
        <v/>
      </c>
      <c r="F61" s="11">
        <f>IF(A61="","",D61*E61)</f>
        <v/>
      </c>
      <c r="G61" s="11">
        <f>IF(A61="","",Products!F61)</f>
        <v/>
      </c>
      <c r="H61" s="11">
        <f>IF(A61="","",IF(D61&lt;G61,"REORDER","OK"))</f>
        <v/>
      </c>
      <c r="I61" s="14">
        <f>IF(A61="","",IFERROR(_xlfn.MAXIFS(StockMovements!$A$2:$A$500,StockMovements!$B$2:$B$500,A61),0))</f>
        <v/>
      </c>
      <c r="J61" s="11">
        <f>IF(OR(A61="",I61=0),"",TODAY()-I61)</f>
        <v/>
      </c>
      <c r="K61" s="11">
        <f>IF(A61="","",IF(I61=0,"never moved",IF(J61&lt;=30,"0-30",IF(J61&lt;=60,"31-60",IF(J61&lt;=90,"61-90","90+")))))</f>
        <v/>
      </c>
    </row>
    <row r="62">
      <c r="A62" s="11">
        <f>Products!A62</f>
        <v/>
      </c>
      <c r="B62" s="11">
        <f>Products!B62</f>
        <v/>
      </c>
      <c r="C62" s="11">
        <f>Products!C62</f>
        <v/>
      </c>
      <c r="D62" s="11">
        <f>IF(A62="","",SUMIFS(StockMovements!$E$2:$E$500,StockMovements!$B$2:$B$500,A62,StockMovements!$D$2:$D$500,"receipt")+SUMIFS(StockMovements!$E$2:$E$500,StockMovements!$B$2:$B$500,A62,StockMovements!$D$2:$D$500,"production_in")+SUMIFS(StockMovements!$E$2:$E$500,StockMovements!$B$2:$B$500,A62,StockMovements!$D$2:$D$500,"adjustment")-SUMIFS(StockMovements!$E$2:$E$500,StockMovements!$B$2:$B$500,A62,StockMovements!$D$2:$D$500,"issue")-SUMIFS(StockMovements!$E$2:$E$500,StockMovements!$B$2:$B$500,A62,StockMovements!$D$2:$D$500,"production_out")-SUMIFS(StockMovements!$E$2:$E$500,StockMovements!$B$2:$B$500,A62,StockMovements!$D$2:$D$500,"transfer")-SUMIFS(StockMovements!$E$2:$E$500,StockMovements!$B$2:$B$500,A62,StockMovements!$D$2:$D$500,"scrap"))</f>
        <v/>
      </c>
      <c r="E62" s="11">
        <f>IF(A62="","",Products!E62)</f>
        <v/>
      </c>
      <c r="F62" s="11">
        <f>IF(A62="","",D62*E62)</f>
        <v/>
      </c>
      <c r="G62" s="11">
        <f>IF(A62="","",Products!F62)</f>
        <v/>
      </c>
      <c r="H62" s="11">
        <f>IF(A62="","",IF(D62&lt;G62,"REORDER","OK"))</f>
        <v/>
      </c>
      <c r="I62" s="14">
        <f>IF(A62="","",IFERROR(_xlfn.MAXIFS(StockMovements!$A$2:$A$500,StockMovements!$B$2:$B$500,A62),0))</f>
        <v/>
      </c>
      <c r="J62" s="11">
        <f>IF(OR(A62="",I62=0),"",TODAY()-I62)</f>
        <v/>
      </c>
      <c r="K62" s="11">
        <f>IF(A62="","",IF(I62=0,"never moved",IF(J62&lt;=30,"0-30",IF(J62&lt;=60,"31-60",IF(J62&lt;=90,"61-90","90+")))))</f>
        <v/>
      </c>
    </row>
    <row r="63">
      <c r="A63" s="11">
        <f>Products!A63</f>
        <v/>
      </c>
      <c r="B63" s="11">
        <f>Products!B63</f>
        <v/>
      </c>
      <c r="C63" s="11">
        <f>Products!C63</f>
        <v/>
      </c>
      <c r="D63" s="11">
        <f>IF(A63="","",SUMIFS(StockMovements!$E$2:$E$500,StockMovements!$B$2:$B$500,A63,StockMovements!$D$2:$D$500,"receipt")+SUMIFS(StockMovements!$E$2:$E$500,StockMovements!$B$2:$B$500,A63,StockMovements!$D$2:$D$500,"production_in")+SUMIFS(StockMovements!$E$2:$E$500,StockMovements!$B$2:$B$500,A63,StockMovements!$D$2:$D$500,"adjustment")-SUMIFS(StockMovements!$E$2:$E$500,StockMovements!$B$2:$B$500,A63,StockMovements!$D$2:$D$500,"issue")-SUMIFS(StockMovements!$E$2:$E$500,StockMovements!$B$2:$B$500,A63,StockMovements!$D$2:$D$500,"production_out")-SUMIFS(StockMovements!$E$2:$E$500,StockMovements!$B$2:$B$500,A63,StockMovements!$D$2:$D$500,"transfer")-SUMIFS(StockMovements!$E$2:$E$500,StockMovements!$B$2:$B$500,A63,StockMovements!$D$2:$D$500,"scrap"))</f>
        <v/>
      </c>
      <c r="E63" s="11">
        <f>IF(A63="","",Products!E63)</f>
        <v/>
      </c>
      <c r="F63" s="11">
        <f>IF(A63="","",D63*E63)</f>
        <v/>
      </c>
      <c r="G63" s="11">
        <f>IF(A63="","",Products!F63)</f>
        <v/>
      </c>
      <c r="H63" s="11">
        <f>IF(A63="","",IF(D63&lt;G63,"REORDER","OK"))</f>
        <v/>
      </c>
      <c r="I63" s="14">
        <f>IF(A63="","",IFERROR(_xlfn.MAXIFS(StockMovements!$A$2:$A$500,StockMovements!$B$2:$B$500,A63),0))</f>
        <v/>
      </c>
      <c r="J63" s="11">
        <f>IF(OR(A63="",I63=0),"",TODAY()-I63)</f>
        <v/>
      </c>
      <c r="K63" s="11">
        <f>IF(A63="","",IF(I63=0,"never moved",IF(J63&lt;=30,"0-30",IF(J63&lt;=60,"31-60",IF(J63&lt;=90,"61-90","90+")))))</f>
        <v/>
      </c>
    </row>
    <row r="64">
      <c r="A64" s="11">
        <f>Products!A64</f>
        <v/>
      </c>
      <c r="B64" s="11">
        <f>Products!B64</f>
        <v/>
      </c>
      <c r="C64" s="11">
        <f>Products!C64</f>
        <v/>
      </c>
      <c r="D64" s="11">
        <f>IF(A64="","",SUMIFS(StockMovements!$E$2:$E$500,StockMovements!$B$2:$B$500,A64,StockMovements!$D$2:$D$500,"receipt")+SUMIFS(StockMovements!$E$2:$E$500,StockMovements!$B$2:$B$500,A64,StockMovements!$D$2:$D$500,"production_in")+SUMIFS(StockMovements!$E$2:$E$500,StockMovements!$B$2:$B$500,A64,StockMovements!$D$2:$D$500,"adjustment")-SUMIFS(StockMovements!$E$2:$E$500,StockMovements!$B$2:$B$500,A64,StockMovements!$D$2:$D$500,"issue")-SUMIFS(StockMovements!$E$2:$E$500,StockMovements!$B$2:$B$500,A64,StockMovements!$D$2:$D$500,"production_out")-SUMIFS(StockMovements!$E$2:$E$500,StockMovements!$B$2:$B$500,A64,StockMovements!$D$2:$D$500,"transfer")-SUMIFS(StockMovements!$E$2:$E$500,StockMovements!$B$2:$B$500,A64,StockMovements!$D$2:$D$500,"scrap"))</f>
        <v/>
      </c>
      <c r="E64" s="11">
        <f>IF(A64="","",Products!E64)</f>
        <v/>
      </c>
      <c r="F64" s="11">
        <f>IF(A64="","",D64*E64)</f>
        <v/>
      </c>
      <c r="G64" s="11">
        <f>IF(A64="","",Products!F64)</f>
        <v/>
      </c>
      <c r="H64" s="11">
        <f>IF(A64="","",IF(D64&lt;G64,"REORDER","OK"))</f>
        <v/>
      </c>
      <c r="I64" s="14">
        <f>IF(A64="","",IFERROR(_xlfn.MAXIFS(StockMovements!$A$2:$A$500,StockMovements!$B$2:$B$500,A64),0))</f>
        <v/>
      </c>
      <c r="J64" s="11">
        <f>IF(OR(A64="",I64=0),"",TODAY()-I64)</f>
        <v/>
      </c>
      <c r="K64" s="11">
        <f>IF(A64="","",IF(I64=0,"never moved",IF(J64&lt;=30,"0-30",IF(J64&lt;=60,"31-60",IF(J64&lt;=90,"61-90","90+")))))</f>
        <v/>
      </c>
    </row>
    <row r="65">
      <c r="A65" s="11">
        <f>Products!A65</f>
        <v/>
      </c>
      <c r="B65" s="11">
        <f>Products!B65</f>
        <v/>
      </c>
      <c r="C65" s="11">
        <f>Products!C65</f>
        <v/>
      </c>
      <c r="D65" s="11">
        <f>IF(A65="","",SUMIFS(StockMovements!$E$2:$E$500,StockMovements!$B$2:$B$500,A65,StockMovements!$D$2:$D$500,"receipt")+SUMIFS(StockMovements!$E$2:$E$500,StockMovements!$B$2:$B$500,A65,StockMovements!$D$2:$D$500,"production_in")+SUMIFS(StockMovements!$E$2:$E$500,StockMovements!$B$2:$B$500,A65,StockMovements!$D$2:$D$500,"adjustment")-SUMIFS(StockMovements!$E$2:$E$500,StockMovements!$B$2:$B$500,A65,StockMovements!$D$2:$D$500,"issue")-SUMIFS(StockMovements!$E$2:$E$500,StockMovements!$B$2:$B$500,A65,StockMovements!$D$2:$D$500,"production_out")-SUMIFS(StockMovements!$E$2:$E$500,StockMovements!$B$2:$B$500,A65,StockMovements!$D$2:$D$500,"transfer")-SUMIFS(StockMovements!$E$2:$E$500,StockMovements!$B$2:$B$500,A65,StockMovements!$D$2:$D$500,"scrap"))</f>
        <v/>
      </c>
      <c r="E65" s="11">
        <f>IF(A65="","",Products!E65)</f>
        <v/>
      </c>
      <c r="F65" s="11">
        <f>IF(A65="","",D65*E65)</f>
        <v/>
      </c>
      <c r="G65" s="11">
        <f>IF(A65="","",Products!F65)</f>
        <v/>
      </c>
      <c r="H65" s="11">
        <f>IF(A65="","",IF(D65&lt;G65,"REORDER","OK"))</f>
        <v/>
      </c>
      <c r="I65" s="14">
        <f>IF(A65="","",IFERROR(_xlfn.MAXIFS(StockMovements!$A$2:$A$500,StockMovements!$B$2:$B$500,A65),0))</f>
        <v/>
      </c>
      <c r="J65" s="11">
        <f>IF(OR(A65="",I65=0),"",TODAY()-I65)</f>
        <v/>
      </c>
      <c r="K65" s="11">
        <f>IF(A65="","",IF(I65=0,"never moved",IF(J65&lt;=30,"0-30",IF(J65&lt;=60,"31-60",IF(J65&lt;=90,"61-90","90+")))))</f>
        <v/>
      </c>
    </row>
    <row r="66">
      <c r="A66" s="11">
        <f>Products!A66</f>
        <v/>
      </c>
      <c r="B66" s="11">
        <f>Products!B66</f>
        <v/>
      </c>
      <c r="C66" s="11">
        <f>Products!C66</f>
        <v/>
      </c>
      <c r="D66" s="11">
        <f>IF(A66="","",SUMIFS(StockMovements!$E$2:$E$500,StockMovements!$B$2:$B$500,A66,StockMovements!$D$2:$D$500,"receipt")+SUMIFS(StockMovements!$E$2:$E$500,StockMovements!$B$2:$B$500,A66,StockMovements!$D$2:$D$500,"production_in")+SUMIFS(StockMovements!$E$2:$E$500,StockMovements!$B$2:$B$500,A66,StockMovements!$D$2:$D$500,"adjustment")-SUMIFS(StockMovements!$E$2:$E$500,StockMovements!$B$2:$B$500,A66,StockMovements!$D$2:$D$500,"issue")-SUMIFS(StockMovements!$E$2:$E$500,StockMovements!$B$2:$B$500,A66,StockMovements!$D$2:$D$500,"production_out")-SUMIFS(StockMovements!$E$2:$E$500,StockMovements!$B$2:$B$500,A66,StockMovements!$D$2:$D$500,"transfer")-SUMIFS(StockMovements!$E$2:$E$500,StockMovements!$B$2:$B$500,A66,StockMovements!$D$2:$D$500,"scrap"))</f>
        <v/>
      </c>
      <c r="E66" s="11">
        <f>IF(A66="","",Products!E66)</f>
        <v/>
      </c>
      <c r="F66" s="11">
        <f>IF(A66="","",D66*E66)</f>
        <v/>
      </c>
      <c r="G66" s="11">
        <f>IF(A66="","",Products!F66)</f>
        <v/>
      </c>
      <c r="H66" s="11">
        <f>IF(A66="","",IF(D66&lt;G66,"REORDER","OK"))</f>
        <v/>
      </c>
      <c r="I66" s="14">
        <f>IF(A66="","",IFERROR(_xlfn.MAXIFS(StockMovements!$A$2:$A$500,StockMovements!$B$2:$B$500,A66),0))</f>
        <v/>
      </c>
      <c r="J66" s="11">
        <f>IF(OR(A66="",I66=0),"",TODAY()-I66)</f>
        <v/>
      </c>
      <c r="K66" s="11">
        <f>IF(A66="","",IF(I66=0,"never moved",IF(J66&lt;=30,"0-30",IF(J66&lt;=60,"31-60",IF(J66&lt;=90,"61-90","90+")))))</f>
        <v/>
      </c>
    </row>
    <row r="67">
      <c r="A67" s="11">
        <f>Products!A67</f>
        <v/>
      </c>
      <c r="B67" s="11">
        <f>Products!B67</f>
        <v/>
      </c>
      <c r="C67" s="11">
        <f>Products!C67</f>
        <v/>
      </c>
      <c r="D67" s="11">
        <f>IF(A67="","",SUMIFS(StockMovements!$E$2:$E$500,StockMovements!$B$2:$B$500,A67,StockMovements!$D$2:$D$500,"receipt")+SUMIFS(StockMovements!$E$2:$E$500,StockMovements!$B$2:$B$500,A67,StockMovements!$D$2:$D$500,"production_in")+SUMIFS(StockMovements!$E$2:$E$500,StockMovements!$B$2:$B$500,A67,StockMovements!$D$2:$D$500,"adjustment")-SUMIFS(StockMovements!$E$2:$E$500,StockMovements!$B$2:$B$500,A67,StockMovements!$D$2:$D$500,"issue")-SUMIFS(StockMovements!$E$2:$E$500,StockMovements!$B$2:$B$500,A67,StockMovements!$D$2:$D$500,"production_out")-SUMIFS(StockMovements!$E$2:$E$500,StockMovements!$B$2:$B$500,A67,StockMovements!$D$2:$D$500,"transfer")-SUMIFS(StockMovements!$E$2:$E$500,StockMovements!$B$2:$B$500,A67,StockMovements!$D$2:$D$500,"scrap"))</f>
        <v/>
      </c>
      <c r="E67" s="11">
        <f>IF(A67="","",Products!E67)</f>
        <v/>
      </c>
      <c r="F67" s="11">
        <f>IF(A67="","",D67*E67)</f>
        <v/>
      </c>
      <c r="G67" s="11">
        <f>IF(A67="","",Products!F67)</f>
        <v/>
      </c>
      <c r="H67" s="11">
        <f>IF(A67="","",IF(D67&lt;G67,"REORDER","OK"))</f>
        <v/>
      </c>
      <c r="I67" s="14">
        <f>IF(A67="","",IFERROR(_xlfn.MAXIFS(StockMovements!$A$2:$A$500,StockMovements!$B$2:$B$500,A67),0))</f>
        <v/>
      </c>
      <c r="J67" s="11">
        <f>IF(OR(A67="",I67=0),"",TODAY()-I67)</f>
        <v/>
      </c>
      <c r="K67" s="11">
        <f>IF(A67="","",IF(I67=0,"never moved",IF(J67&lt;=30,"0-30",IF(J67&lt;=60,"31-60",IF(J67&lt;=90,"61-90","90+")))))</f>
        <v/>
      </c>
    </row>
    <row r="68">
      <c r="A68" s="11">
        <f>Products!A68</f>
        <v/>
      </c>
      <c r="B68" s="11">
        <f>Products!B68</f>
        <v/>
      </c>
      <c r="C68" s="11">
        <f>Products!C68</f>
        <v/>
      </c>
      <c r="D68" s="11">
        <f>IF(A68="","",SUMIFS(StockMovements!$E$2:$E$500,StockMovements!$B$2:$B$500,A68,StockMovements!$D$2:$D$500,"receipt")+SUMIFS(StockMovements!$E$2:$E$500,StockMovements!$B$2:$B$500,A68,StockMovements!$D$2:$D$500,"production_in")+SUMIFS(StockMovements!$E$2:$E$500,StockMovements!$B$2:$B$500,A68,StockMovements!$D$2:$D$500,"adjustment")-SUMIFS(StockMovements!$E$2:$E$500,StockMovements!$B$2:$B$500,A68,StockMovements!$D$2:$D$500,"issue")-SUMIFS(StockMovements!$E$2:$E$500,StockMovements!$B$2:$B$500,A68,StockMovements!$D$2:$D$500,"production_out")-SUMIFS(StockMovements!$E$2:$E$500,StockMovements!$B$2:$B$500,A68,StockMovements!$D$2:$D$500,"transfer")-SUMIFS(StockMovements!$E$2:$E$500,StockMovements!$B$2:$B$500,A68,StockMovements!$D$2:$D$500,"scrap"))</f>
        <v/>
      </c>
      <c r="E68" s="11">
        <f>IF(A68="","",Products!E68)</f>
        <v/>
      </c>
      <c r="F68" s="11">
        <f>IF(A68="","",D68*E68)</f>
        <v/>
      </c>
      <c r="G68" s="11">
        <f>IF(A68="","",Products!F68)</f>
        <v/>
      </c>
      <c r="H68" s="11">
        <f>IF(A68="","",IF(D68&lt;G68,"REORDER","OK"))</f>
        <v/>
      </c>
      <c r="I68" s="14">
        <f>IF(A68="","",IFERROR(_xlfn.MAXIFS(StockMovements!$A$2:$A$500,StockMovements!$B$2:$B$500,A68),0))</f>
        <v/>
      </c>
      <c r="J68" s="11">
        <f>IF(OR(A68="",I68=0),"",TODAY()-I68)</f>
        <v/>
      </c>
      <c r="K68" s="11">
        <f>IF(A68="","",IF(I68=0,"never moved",IF(J68&lt;=30,"0-30",IF(J68&lt;=60,"31-60",IF(J68&lt;=90,"61-90","90+")))))</f>
        <v/>
      </c>
    </row>
    <row r="69">
      <c r="A69" s="11">
        <f>Products!A69</f>
        <v/>
      </c>
      <c r="B69" s="11">
        <f>Products!B69</f>
        <v/>
      </c>
      <c r="C69" s="11">
        <f>Products!C69</f>
        <v/>
      </c>
      <c r="D69" s="11">
        <f>IF(A69="","",SUMIFS(StockMovements!$E$2:$E$500,StockMovements!$B$2:$B$500,A69,StockMovements!$D$2:$D$500,"receipt")+SUMIFS(StockMovements!$E$2:$E$500,StockMovements!$B$2:$B$500,A69,StockMovements!$D$2:$D$500,"production_in")+SUMIFS(StockMovements!$E$2:$E$500,StockMovements!$B$2:$B$500,A69,StockMovements!$D$2:$D$500,"adjustment")-SUMIFS(StockMovements!$E$2:$E$500,StockMovements!$B$2:$B$500,A69,StockMovements!$D$2:$D$500,"issue")-SUMIFS(StockMovements!$E$2:$E$500,StockMovements!$B$2:$B$500,A69,StockMovements!$D$2:$D$500,"production_out")-SUMIFS(StockMovements!$E$2:$E$500,StockMovements!$B$2:$B$500,A69,StockMovements!$D$2:$D$500,"transfer")-SUMIFS(StockMovements!$E$2:$E$500,StockMovements!$B$2:$B$500,A69,StockMovements!$D$2:$D$500,"scrap"))</f>
        <v/>
      </c>
      <c r="E69" s="11">
        <f>IF(A69="","",Products!E69)</f>
        <v/>
      </c>
      <c r="F69" s="11">
        <f>IF(A69="","",D69*E69)</f>
        <v/>
      </c>
      <c r="G69" s="11">
        <f>IF(A69="","",Products!F69)</f>
        <v/>
      </c>
      <c r="H69" s="11">
        <f>IF(A69="","",IF(D69&lt;G69,"REORDER","OK"))</f>
        <v/>
      </c>
      <c r="I69" s="14">
        <f>IF(A69="","",IFERROR(_xlfn.MAXIFS(StockMovements!$A$2:$A$500,StockMovements!$B$2:$B$500,A69),0))</f>
        <v/>
      </c>
      <c r="J69" s="11">
        <f>IF(OR(A69="",I69=0),"",TODAY()-I69)</f>
        <v/>
      </c>
      <c r="K69" s="11">
        <f>IF(A69="","",IF(I69=0,"never moved",IF(J69&lt;=30,"0-30",IF(J69&lt;=60,"31-60",IF(J69&lt;=90,"61-90","90+")))))</f>
        <v/>
      </c>
    </row>
    <row r="70">
      <c r="A70" s="11">
        <f>Products!A70</f>
        <v/>
      </c>
      <c r="B70" s="11">
        <f>Products!B70</f>
        <v/>
      </c>
      <c r="C70" s="11">
        <f>Products!C70</f>
        <v/>
      </c>
      <c r="D70" s="11">
        <f>IF(A70="","",SUMIFS(StockMovements!$E$2:$E$500,StockMovements!$B$2:$B$500,A70,StockMovements!$D$2:$D$500,"receipt")+SUMIFS(StockMovements!$E$2:$E$500,StockMovements!$B$2:$B$500,A70,StockMovements!$D$2:$D$500,"production_in")+SUMIFS(StockMovements!$E$2:$E$500,StockMovements!$B$2:$B$500,A70,StockMovements!$D$2:$D$500,"adjustment")-SUMIFS(StockMovements!$E$2:$E$500,StockMovements!$B$2:$B$500,A70,StockMovements!$D$2:$D$500,"issue")-SUMIFS(StockMovements!$E$2:$E$500,StockMovements!$B$2:$B$500,A70,StockMovements!$D$2:$D$500,"production_out")-SUMIFS(StockMovements!$E$2:$E$500,StockMovements!$B$2:$B$500,A70,StockMovements!$D$2:$D$500,"transfer")-SUMIFS(StockMovements!$E$2:$E$500,StockMovements!$B$2:$B$500,A70,StockMovements!$D$2:$D$500,"scrap"))</f>
        <v/>
      </c>
      <c r="E70" s="11">
        <f>IF(A70="","",Products!E70)</f>
        <v/>
      </c>
      <c r="F70" s="11">
        <f>IF(A70="","",D70*E70)</f>
        <v/>
      </c>
      <c r="G70" s="11">
        <f>IF(A70="","",Products!F70)</f>
        <v/>
      </c>
      <c r="H70" s="11">
        <f>IF(A70="","",IF(D70&lt;G70,"REORDER","OK"))</f>
        <v/>
      </c>
      <c r="I70" s="14">
        <f>IF(A70="","",IFERROR(_xlfn.MAXIFS(StockMovements!$A$2:$A$500,StockMovements!$B$2:$B$500,A70),0))</f>
        <v/>
      </c>
      <c r="J70" s="11">
        <f>IF(OR(A70="",I70=0),"",TODAY()-I70)</f>
        <v/>
      </c>
      <c r="K70" s="11">
        <f>IF(A70="","",IF(I70=0,"never moved",IF(J70&lt;=30,"0-30",IF(J70&lt;=60,"31-60",IF(J70&lt;=90,"61-90","90+")))))</f>
        <v/>
      </c>
    </row>
    <row r="71">
      <c r="A71" s="11">
        <f>Products!A71</f>
        <v/>
      </c>
      <c r="B71" s="11">
        <f>Products!B71</f>
        <v/>
      </c>
      <c r="C71" s="11">
        <f>Products!C71</f>
        <v/>
      </c>
      <c r="D71" s="11">
        <f>IF(A71="","",SUMIFS(StockMovements!$E$2:$E$500,StockMovements!$B$2:$B$500,A71,StockMovements!$D$2:$D$500,"receipt")+SUMIFS(StockMovements!$E$2:$E$500,StockMovements!$B$2:$B$500,A71,StockMovements!$D$2:$D$500,"production_in")+SUMIFS(StockMovements!$E$2:$E$500,StockMovements!$B$2:$B$500,A71,StockMovements!$D$2:$D$500,"adjustment")-SUMIFS(StockMovements!$E$2:$E$500,StockMovements!$B$2:$B$500,A71,StockMovements!$D$2:$D$500,"issue")-SUMIFS(StockMovements!$E$2:$E$500,StockMovements!$B$2:$B$500,A71,StockMovements!$D$2:$D$500,"production_out")-SUMIFS(StockMovements!$E$2:$E$500,StockMovements!$B$2:$B$500,A71,StockMovements!$D$2:$D$500,"transfer")-SUMIFS(StockMovements!$E$2:$E$500,StockMovements!$B$2:$B$500,A71,StockMovements!$D$2:$D$500,"scrap"))</f>
        <v/>
      </c>
      <c r="E71" s="11">
        <f>IF(A71="","",Products!E71)</f>
        <v/>
      </c>
      <c r="F71" s="11">
        <f>IF(A71="","",D71*E71)</f>
        <v/>
      </c>
      <c r="G71" s="11">
        <f>IF(A71="","",Products!F71)</f>
        <v/>
      </c>
      <c r="H71" s="11">
        <f>IF(A71="","",IF(D71&lt;G71,"REORDER","OK"))</f>
        <v/>
      </c>
      <c r="I71" s="14">
        <f>IF(A71="","",IFERROR(_xlfn.MAXIFS(StockMovements!$A$2:$A$500,StockMovements!$B$2:$B$500,A71),0))</f>
        <v/>
      </c>
      <c r="J71" s="11">
        <f>IF(OR(A71="",I71=0),"",TODAY()-I71)</f>
        <v/>
      </c>
      <c r="K71" s="11">
        <f>IF(A71="","",IF(I71=0,"never moved",IF(J71&lt;=30,"0-30",IF(J71&lt;=60,"31-60",IF(J71&lt;=90,"61-90","90+")))))</f>
        <v/>
      </c>
    </row>
    <row r="72">
      <c r="A72" s="11">
        <f>Products!A72</f>
        <v/>
      </c>
      <c r="B72" s="11">
        <f>Products!B72</f>
        <v/>
      </c>
      <c r="C72" s="11">
        <f>Products!C72</f>
        <v/>
      </c>
      <c r="D72" s="11">
        <f>IF(A72="","",SUMIFS(StockMovements!$E$2:$E$500,StockMovements!$B$2:$B$500,A72,StockMovements!$D$2:$D$500,"receipt")+SUMIFS(StockMovements!$E$2:$E$500,StockMovements!$B$2:$B$500,A72,StockMovements!$D$2:$D$500,"production_in")+SUMIFS(StockMovements!$E$2:$E$500,StockMovements!$B$2:$B$500,A72,StockMovements!$D$2:$D$500,"adjustment")-SUMIFS(StockMovements!$E$2:$E$500,StockMovements!$B$2:$B$500,A72,StockMovements!$D$2:$D$500,"issue")-SUMIFS(StockMovements!$E$2:$E$500,StockMovements!$B$2:$B$500,A72,StockMovements!$D$2:$D$500,"production_out")-SUMIFS(StockMovements!$E$2:$E$500,StockMovements!$B$2:$B$500,A72,StockMovements!$D$2:$D$500,"transfer")-SUMIFS(StockMovements!$E$2:$E$500,StockMovements!$B$2:$B$500,A72,StockMovements!$D$2:$D$500,"scrap"))</f>
        <v/>
      </c>
      <c r="E72" s="11">
        <f>IF(A72="","",Products!E72)</f>
        <v/>
      </c>
      <c r="F72" s="11">
        <f>IF(A72="","",D72*E72)</f>
        <v/>
      </c>
      <c r="G72" s="11">
        <f>IF(A72="","",Products!F72)</f>
        <v/>
      </c>
      <c r="H72" s="11">
        <f>IF(A72="","",IF(D72&lt;G72,"REORDER","OK"))</f>
        <v/>
      </c>
      <c r="I72" s="14">
        <f>IF(A72="","",IFERROR(_xlfn.MAXIFS(StockMovements!$A$2:$A$500,StockMovements!$B$2:$B$500,A72),0))</f>
        <v/>
      </c>
      <c r="J72" s="11">
        <f>IF(OR(A72="",I72=0),"",TODAY()-I72)</f>
        <v/>
      </c>
      <c r="K72" s="11">
        <f>IF(A72="","",IF(I72=0,"never moved",IF(J72&lt;=30,"0-30",IF(J72&lt;=60,"31-60",IF(J72&lt;=90,"61-90","90+")))))</f>
        <v/>
      </c>
    </row>
    <row r="73">
      <c r="A73" s="11">
        <f>Products!A73</f>
        <v/>
      </c>
      <c r="B73" s="11">
        <f>Products!B73</f>
        <v/>
      </c>
      <c r="C73" s="11">
        <f>Products!C73</f>
        <v/>
      </c>
      <c r="D73" s="11">
        <f>IF(A73="","",SUMIFS(StockMovements!$E$2:$E$500,StockMovements!$B$2:$B$500,A73,StockMovements!$D$2:$D$500,"receipt")+SUMIFS(StockMovements!$E$2:$E$500,StockMovements!$B$2:$B$500,A73,StockMovements!$D$2:$D$500,"production_in")+SUMIFS(StockMovements!$E$2:$E$500,StockMovements!$B$2:$B$500,A73,StockMovements!$D$2:$D$500,"adjustment")-SUMIFS(StockMovements!$E$2:$E$500,StockMovements!$B$2:$B$500,A73,StockMovements!$D$2:$D$500,"issue")-SUMIFS(StockMovements!$E$2:$E$500,StockMovements!$B$2:$B$500,A73,StockMovements!$D$2:$D$500,"production_out")-SUMIFS(StockMovements!$E$2:$E$500,StockMovements!$B$2:$B$500,A73,StockMovements!$D$2:$D$500,"transfer")-SUMIFS(StockMovements!$E$2:$E$500,StockMovements!$B$2:$B$500,A73,StockMovements!$D$2:$D$500,"scrap"))</f>
        <v/>
      </c>
      <c r="E73" s="11">
        <f>IF(A73="","",Products!E73)</f>
        <v/>
      </c>
      <c r="F73" s="11">
        <f>IF(A73="","",D73*E73)</f>
        <v/>
      </c>
      <c r="G73" s="11">
        <f>IF(A73="","",Products!F73)</f>
        <v/>
      </c>
      <c r="H73" s="11">
        <f>IF(A73="","",IF(D73&lt;G73,"REORDER","OK"))</f>
        <v/>
      </c>
      <c r="I73" s="14">
        <f>IF(A73="","",IFERROR(_xlfn.MAXIFS(StockMovements!$A$2:$A$500,StockMovements!$B$2:$B$500,A73),0))</f>
        <v/>
      </c>
      <c r="J73" s="11">
        <f>IF(OR(A73="",I73=0),"",TODAY()-I73)</f>
        <v/>
      </c>
      <c r="K73" s="11">
        <f>IF(A73="","",IF(I73=0,"never moved",IF(J73&lt;=30,"0-30",IF(J73&lt;=60,"31-60",IF(J73&lt;=90,"61-90","90+")))))</f>
        <v/>
      </c>
    </row>
    <row r="74">
      <c r="A74" s="11">
        <f>Products!A74</f>
        <v/>
      </c>
      <c r="B74" s="11">
        <f>Products!B74</f>
        <v/>
      </c>
      <c r="C74" s="11">
        <f>Products!C74</f>
        <v/>
      </c>
      <c r="D74" s="11">
        <f>IF(A74="","",SUMIFS(StockMovements!$E$2:$E$500,StockMovements!$B$2:$B$500,A74,StockMovements!$D$2:$D$500,"receipt")+SUMIFS(StockMovements!$E$2:$E$500,StockMovements!$B$2:$B$500,A74,StockMovements!$D$2:$D$500,"production_in")+SUMIFS(StockMovements!$E$2:$E$500,StockMovements!$B$2:$B$500,A74,StockMovements!$D$2:$D$500,"adjustment")-SUMIFS(StockMovements!$E$2:$E$500,StockMovements!$B$2:$B$500,A74,StockMovements!$D$2:$D$500,"issue")-SUMIFS(StockMovements!$E$2:$E$500,StockMovements!$B$2:$B$500,A74,StockMovements!$D$2:$D$500,"production_out")-SUMIFS(StockMovements!$E$2:$E$500,StockMovements!$B$2:$B$500,A74,StockMovements!$D$2:$D$500,"transfer")-SUMIFS(StockMovements!$E$2:$E$500,StockMovements!$B$2:$B$500,A74,StockMovements!$D$2:$D$500,"scrap"))</f>
        <v/>
      </c>
      <c r="E74" s="11">
        <f>IF(A74="","",Products!E74)</f>
        <v/>
      </c>
      <c r="F74" s="11">
        <f>IF(A74="","",D74*E74)</f>
        <v/>
      </c>
      <c r="G74" s="11">
        <f>IF(A74="","",Products!F74)</f>
        <v/>
      </c>
      <c r="H74" s="11">
        <f>IF(A74="","",IF(D74&lt;G74,"REORDER","OK"))</f>
        <v/>
      </c>
      <c r="I74" s="14">
        <f>IF(A74="","",IFERROR(_xlfn.MAXIFS(StockMovements!$A$2:$A$500,StockMovements!$B$2:$B$500,A74),0))</f>
        <v/>
      </c>
      <c r="J74" s="11">
        <f>IF(OR(A74="",I74=0),"",TODAY()-I74)</f>
        <v/>
      </c>
      <c r="K74" s="11">
        <f>IF(A74="","",IF(I74=0,"never moved",IF(J74&lt;=30,"0-30",IF(J74&lt;=60,"31-60",IF(J74&lt;=90,"61-90","90+")))))</f>
        <v/>
      </c>
    </row>
    <row r="75">
      <c r="A75" s="11">
        <f>Products!A75</f>
        <v/>
      </c>
      <c r="B75" s="11">
        <f>Products!B75</f>
        <v/>
      </c>
      <c r="C75" s="11">
        <f>Products!C75</f>
        <v/>
      </c>
      <c r="D75" s="11">
        <f>IF(A75="","",SUMIFS(StockMovements!$E$2:$E$500,StockMovements!$B$2:$B$500,A75,StockMovements!$D$2:$D$500,"receipt")+SUMIFS(StockMovements!$E$2:$E$500,StockMovements!$B$2:$B$500,A75,StockMovements!$D$2:$D$500,"production_in")+SUMIFS(StockMovements!$E$2:$E$500,StockMovements!$B$2:$B$500,A75,StockMovements!$D$2:$D$500,"adjustment")-SUMIFS(StockMovements!$E$2:$E$500,StockMovements!$B$2:$B$500,A75,StockMovements!$D$2:$D$500,"issue")-SUMIFS(StockMovements!$E$2:$E$500,StockMovements!$B$2:$B$500,A75,StockMovements!$D$2:$D$500,"production_out")-SUMIFS(StockMovements!$E$2:$E$500,StockMovements!$B$2:$B$500,A75,StockMovements!$D$2:$D$500,"transfer")-SUMIFS(StockMovements!$E$2:$E$500,StockMovements!$B$2:$B$500,A75,StockMovements!$D$2:$D$500,"scrap"))</f>
        <v/>
      </c>
      <c r="E75" s="11">
        <f>IF(A75="","",Products!E75)</f>
        <v/>
      </c>
      <c r="F75" s="11">
        <f>IF(A75="","",D75*E75)</f>
        <v/>
      </c>
      <c r="G75" s="11">
        <f>IF(A75="","",Products!F75)</f>
        <v/>
      </c>
      <c r="H75" s="11">
        <f>IF(A75="","",IF(D75&lt;G75,"REORDER","OK"))</f>
        <v/>
      </c>
      <c r="I75" s="14">
        <f>IF(A75="","",IFERROR(_xlfn.MAXIFS(StockMovements!$A$2:$A$500,StockMovements!$B$2:$B$500,A75),0))</f>
        <v/>
      </c>
      <c r="J75" s="11">
        <f>IF(OR(A75="",I75=0),"",TODAY()-I75)</f>
        <v/>
      </c>
      <c r="K75" s="11">
        <f>IF(A75="","",IF(I75=0,"never moved",IF(J75&lt;=30,"0-30",IF(J75&lt;=60,"31-60",IF(J75&lt;=90,"61-90","90+")))))</f>
        <v/>
      </c>
    </row>
    <row r="76">
      <c r="A76" s="11">
        <f>Products!A76</f>
        <v/>
      </c>
      <c r="B76" s="11">
        <f>Products!B76</f>
        <v/>
      </c>
      <c r="C76" s="11">
        <f>Products!C76</f>
        <v/>
      </c>
      <c r="D76" s="11">
        <f>IF(A76="","",SUMIFS(StockMovements!$E$2:$E$500,StockMovements!$B$2:$B$500,A76,StockMovements!$D$2:$D$500,"receipt")+SUMIFS(StockMovements!$E$2:$E$500,StockMovements!$B$2:$B$500,A76,StockMovements!$D$2:$D$500,"production_in")+SUMIFS(StockMovements!$E$2:$E$500,StockMovements!$B$2:$B$500,A76,StockMovements!$D$2:$D$500,"adjustment")-SUMIFS(StockMovements!$E$2:$E$500,StockMovements!$B$2:$B$500,A76,StockMovements!$D$2:$D$500,"issue")-SUMIFS(StockMovements!$E$2:$E$500,StockMovements!$B$2:$B$500,A76,StockMovements!$D$2:$D$500,"production_out")-SUMIFS(StockMovements!$E$2:$E$500,StockMovements!$B$2:$B$500,A76,StockMovements!$D$2:$D$500,"transfer")-SUMIFS(StockMovements!$E$2:$E$500,StockMovements!$B$2:$B$500,A76,StockMovements!$D$2:$D$500,"scrap"))</f>
        <v/>
      </c>
      <c r="E76" s="11">
        <f>IF(A76="","",Products!E76)</f>
        <v/>
      </c>
      <c r="F76" s="11">
        <f>IF(A76="","",D76*E76)</f>
        <v/>
      </c>
      <c r="G76" s="11">
        <f>IF(A76="","",Products!F76)</f>
        <v/>
      </c>
      <c r="H76" s="11">
        <f>IF(A76="","",IF(D76&lt;G76,"REORDER","OK"))</f>
        <v/>
      </c>
      <c r="I76" s="14">
        <f>IF(A76="","",IFERROR(_xlfn.MAXIFS(StockMovements!$A$2:$A$500,StockMovements!$B$2:$B$500,A76),0))</f>
        <v/>
      </c>
      <c r="J76" s="11">
        <f>IF(OR(A76="",I76=0),"",TODAY()-I76)</f>
        <v/>
      </c>
      <c r="K76" s="11">
        <f>IF(A76="","",IF(I76=0,"never moved",IF(J76&lt;=30,"0-30",IF(J76&lt;=60,"31-60",IF(J76&lt;=90,"61-90","90+")))))</f>
        <v/>
      </c>
    </row>
    <row r="77">
      <c r="A77" s="11">
        <f>Products!A77</f>
        <v/>
      </c>
      <c r="B77" s="11">
        <f>Products!B77</f>
        <v/>
      </c>
      <c r="C77" s="11">
        <f>Products!C77</f>
        <v/>
      </c>
      <c r="D77" s="11">
        <f>IF(A77="","",SUMIFS(StockMovements!$E$2:$E$500,StockMovements!$B$2:$B$500,A77,StockMovements!$D$2:$D$500,"receipt")+SUMIFS(StockMovements!$E$2:$E$500,StockMovements!$B$2:$B$500,A77,StockMovements!$D$2:$D$500,"production_in")+SUMIFS(StockMovements!$E$2:$E$500,StockMovements!$B$2:$B$500,A77,StockMovements!$D$2:$D$500,"adjustment")-SUMIFS(StockMovements!$E$2:$E$500,StockMovements!$B$2:$B$500,A77,StockMovements!$D$2:$D$500,"issue")-SUMIFS(StockMovements!$E$2:$E$500,StockMovements!$B$2:$B$500,A77,StockMovements!$D$2:$D$500,"production_out")-SUMIFS(StockMovements!$E$2:$E$500,StockMovements!$B$2:$B$500,A77,StockMovements!$D$2:$D$500,"transfer")-SUMIFS(StockMovements!$E$2:$E$500,StockMovements!$B$2:$B$500,A77,StockMovements!$D$2:$D$500,"scrap"))</f>
        <v/>
      </c>
      <c r="E77" s="11">
        <f>IF(A77="","",Products!E77)</f>
        <v/>
      </c>
      <c r="F77" s="11">
        <f>IF(A77="","",D77*E77)</f>
        <v/>
      </c>
      <c r="G77" s="11">
        <f>IF(A77="","",Products!F77)</f>
        <v/>
      </c>
      <c r="H77" s="11">
        <f>IF(A77="","",IF(D77&lt;G77,"REORDER","OK"))</f>
        <v/>
      </c>
      <c r="I77" s="14">
        <f>IF(A77="","",IFERROR(_xlfn.MAXIFS(StockMovements!$A$2:$A$500,StockMovements!$B$2:$B$500,A77),0))</f>
        <v/>
      </c>
      <c r="J77" s="11">
        <f>IF(OR(A77="",I77=0),"",TODAY()-I77)</f>
        <v/>
      </c>
      <c r="K77" s="11">
        <f>IF(A77="","",IF(I77=0,"never moved",IF(J77&lt;=30,"0-30",IF(J77&lt;=60,"31-60",IF(J77&lt;=90,"61-90","90+")))))</f>
        <v/>
      </c>
    </row>
    <row r="78">
      <c r="A78" s="11">
        <f>Products!A78</f>
        <v/>
      </c>
      <c r="B78" s="11">
        <f>Products!B78</f>
        <v/>
      </c>
      <c r="C78" s="11">
        <f>Products!C78</f>
        <v/>
      </c>
      <c r="D78" s="11">
        <f>IF(A78="","",SUMIFS(StockMovements!$E$2:$E$500,StockMovements!$B$2:$B$500,A78,StockMovements!$D$2:$D$500,"receipt")+SUMIFS(StockMovements!$E$2:$E$500,StockMovements!$B$2:$B$500,A78,StockMovements!$D$2:$D$500,"production_in")+SUMIFS(StockMovements!$E$2:$E$500,StockMovements!$B$2:$B$500,A78,StockMovements!$D$2:$D$500,"adjustment")-SUMIFS(StockMovements!$E$2:$E$500,StockMovements!$B$2:$B$500,A78,StockMovements!$D$2:$D$500,"issue")-SUMIFS(StockMovements!$E$2:$E$500,StockMovements!$B$2:$B$500,A78,StockMovements!$D$2:$D$500,"production_out")-SUMIFS(StockMovements!$E$2:$E$500,StockMovements!$B$2:$B$500,A78,StockMovements!$D$2:$D$500,"transfer")-SUMIFS(StockMovements!$E$2:$E$500,StockMovements!$B$2:$B$500,A78,StockMovements!$D$2:$D$500,"scrap"))</f>
        <v/>
      </c>
      <c r="E78" s="11">
        <f>IF(A78="","",Products!E78)</f>
        <v/>
      </c>
      <c r="F78" s="11">
        <f>IF(A78="","",D78*E78)</f>
        <v/>
      </c>
      <c r="G78" s="11">
        <f>IF(A78="","",Products!F78)</f>
        <v/>
      </c>
      <c r="H78" s="11">
        <f>IF(A78="","",IF(D78&lt;G78,"REORDER","OK"))</f>
        <v/>
      </c>
      <c r="I78" s="14">
        <f>IF(A78="","",IFERROR(_xlfn.MAXIFS(StockMovements!$A$2:$A$500,StockMovements!$B$2:$B$500,A78),0))</f>
        <v/>
      </c>
      <c r="J78" s="11">
        <f>IF(OR(A78="",I78=0),"",TODAY()-I78)</f>
        <v/>
      </c>
      <c r="K78" s="11">
        <f>IF(A78="","",IF(I78=0,"never moved",IF(J78&lt;=30,"0-30",IF(J78&lt;=60,"31-60",IF(J78&lt;=90,"61-90","90+")))))</f>
        <v/>
      </c>
    </row>
    <row r="79">
      <c r="A79" s="11">
        <f>Products!A79</f>
        <v/>
      </c>
      <c r="B79" s="11">
        <f>Products!B79</f>
        <v/>
      </c>
      <c r="C79" s="11">
        <f>Products!C79</f>
        <v/>
      </c>
      <c r="D79" s="11">
        <f>IF(A79="","",SUMIFS(StockMovements!$E$2:$E$500,StockMovements!$B$2:$B$500,A79,StockMovements!$D$2:$D$500,"receipt")+SUMIFS(StockMovements!$E$2:$E$500,StockMovements!$B$2:$B$500,A79,StockMovements!$D$2:$D$500,"production_in")+SUMIFS(StockMovements!$E$2:$E$500,StockMovements!$B$2:$B$500,A79,StockMovements!$D$2:$D$500,"adjustment")-SUMIFS(StockMovements!$E$2:$E$500,StockMovements!$B$2:$B$500,A79,StockMovements!$D$2:$D$500,"issue")-SUMIFS(StockMovements!$E$2:$E$500,StockMovements!$B$2:$B$500,A79,StockMovements!$D$2:$D$500,"production_out")-SUMIFS(StockMovements!$E$2:$E$500,StockMovements!$B$2:$B$500,A79,StockMovements!$D$2:$D$500,"transfer")-SUMIFS(StockMovements!$E$2:$E$500,StockMovements!$B$2:$B$500,A79,StockMovements!$D$2:$D$500,"scrap"))</f>
        <v/>
      </c>
      <c r="E79" s="11">
        <f>IF(A79="","",Products!E79)</f>
        <v/>
      </c>
      <c r="F79" s="11">
        <f>IF(A79="","",D79*E79)</f>
        <v/>
      </c>
      <c r="G79" s="11">
        <f>IF(A79="","",Products!F79)</f>
        <v/>
      </c>
      <c r="H79" s="11">
        <f>IF(A79="","",IF(D79&lt;G79,"REORDER","OK"))</f>
        <v/>
      </c>
      <c r="I79" s="14">
        <f>IF(A79="","",IFERROR(_xlfn.MAXIFS(StockMovements!$A$2:$A$500,StockMovements!$B$2:$B$500,A79),0))</f>
        <v/>
      </c>
      <c r="J79" s="11">
        <f>IF(OR(A79="",I79=0),"",TODAY()-I79)</f>
        <v/>
      </c>
      <c r="K79" s="11">
        <f>IF(A79="","",IF(I79=0,"never moved",IF(J79&lt;=30,"0-30",IF(J79&lt;=60,"31-60",IF(J79&lt;=90,"61-90","90+")))))</f>
        <v/>
      </c>
    </row>
    <row r="80">
      <c r="A80" s="11">
        <f>Products!A80</f>
        <v/>
      </c>
      <c r="B80" s="11">
        <f>Products!B80</f>
        <v/>
      </c>
      <c r="C80" s="11">
        <f>Products!C80</f>
        <v/>
      </c>
      <c r="D80" s="11">
        <f>IF(A80="","",SUMIFS(StockMovements!$E$2:$E$500,StockMovements!$B$2:$B$500,A80,StockMovements!$D$2:$D$500,"receipt")+SUMIFS(StockMovements!$E$2:$E$500,StockMovements!$B$2:$B$500,A80,StockMovements!$D$2:$D$500,"production_in")+SUMIFS(StockMovements!$E$2:$E$500,StockMovements!$B$2:$B$500,A80,StockMovements!$D$2:$D$500,"adjustment")-SUMIFS(StockMovements!$E$2:$E$500,StockMovements!$B$2:$B$500,A80,StockMovements!$D$2:$D$500,"issue")-SUMIFS(StockMovements!$E$2:$E$500,StockMovements!$B$2:$B$500,A80,StockMovements!$D$2:$D$500,"production_out")-SUMIFS(StockMovements!$E$2:$E$500,StockMovements!$B$2:$B$500,A80,StockMovements!$D$2:$D$500,"transfer")-SUMIFS(StockMovements!$E$2:$E$500,StockMovements!$B$2:$B$500,A80,StockMovements!$D$2:$D$500,"scrap"))</f>
        <v/>
      </c>
      <c r="E80" s="11">
        <f>IF(A80="","",Products!E80)</f>
        <v/>
      </c>
      <c r="F80" s="11">
        <f>IF(A80="","",D80*E80)</f>
        <v/>
      </c>
      <c r="G80" s="11">
        <f>IF(A80="","",Products!F80)</f>
        <v/>
      </c>
      <c r="H80" s="11">
        <f>IF(A80="","",IF(D80&lt;G80,"REORDER","OK"))</f>
        <v/>
      </c>
      <c r="I80" s="14">
        <f>IF(A80="","",IFERROR(_xlfn.MAXIFS(StockMovements!$A$2:$A$500,StockMovements!$B$2:$B$500,A80),0))</f>
        <v/>
      </c>
      <c r="J80" s="11">
        <f>IF(OR(A80="",I80=0),"",TODAY()-I80)</f>
        <v/>
      </c>
      <c r="K80" s="11">
        <f>IF(A80="","",IF(I80=0,"never moved",IF(J80&lt;=30,"0-30",IF(J80&lt;=60,"31-60",IF(J80&lt;=90,"61-90","90+")))))</f>
        <v/>
      </c>
    </row>
    <row r="81">
      <c r="A81" s="11">
        <f>Products!A81</f>
        <v/>
      </c>
      <c r="B81" s="11">
        <f>Products!B81</f>
        <v/>
      </c>
      <c r="C81" s="11">
        <f>Products!C81</f>
        <v/>
      </c>
      <c r="D81" s="11">
        <f>IF(A81="","",SUMIFS(StockMovements!$E$2:$E$500,StockMovements!$B$2:$B$500,A81,StockMovements!$D$2:$D$500,"receipt")+SUMIFS(StockMovements!$E$2:$E$500,StockMovements!$B$2:$B$500,A81,StockMovements!$D$2:$D$500,"production_in")+SUMIFS(StockMovements!$E$2:$E$500,StockMovements!$B$2:$B$500,A81,StockMovements!$D$2:$D$500,"adjustment")-SUMIFS(StockMovements!$E$2:$E$500,StockMovements!$B$2:$B$500,A81,StockMovements!$D$2:$D$500,"issue")-SUMIFS(StockMovements!$E$2:$E$500,StockMovements!$B$2:$B$500,A81,StockMovements!$D$2:$D$500,"production_out")-SUMIFS(StockMovements!$E$2:$E$500,StockMovements!$B$2:$B$500,A81,StockMovements!$D$2:$D$500,"transfer")-SUMIFS(StockMovements!$E$2:$E$500,StockMovements!$B$2:$B$500,A81,StockMovements!$D$2:$D$500,"scrap"))</f>
        <v/>
      </c>
      <c r="E81" s="11">
        <f>IF(A81="","",Products!E81)</f>
        <v/>
      </c>
      <c r="F81" s="11">
        <f>IF(A81="","",D81*E81)</f>
        <v/>
      </c>
      <c r="G81" s="11">
        <f>IF(A81="","",Products!F81)</f>
        <v/>
      </c>
      <c r="H81" s="11">
        <f>IF(A81="","",IF(D81&lt;G81,"REORDER","OK"))</f>
        <v/>
      </c>
      <c r="I81" s="14">
        <f>IF(A81="","",IFERROR(_xlfn.MAXIFS(StockMovements!$A$2:$A$500,StockMovements!$B$2:$B$500,A81),0))</f>
        <v/>
      </c>
      <c r="J81" s="11">
        <f>IF(OR(A81="",I81=0),"",TODAY()-I81)</f>
        <v/>
      </c>
      <c r="K81" s="11">
        <f>IF(A81="","",IF(I81=0,"never moved",IF(J81&lt;=30,"0-30",IF(J81&lt;=60,"31-60",IF(J81&lt;=90,"61-90","90+")))))</f>
        <v/>
      </c>
    </row>
    <row r="82">
      <c r="A82" s="11">
        <f>Products!A82</f>
        <v/>
      </c>
      <c r="B82" s="11">
        <f>Products!B82</f>
        <v/>
      </c>
      <c r="C82" s="11">
        <f>Products!C82</f>
        <v/>
      </c>
      <c r="D82" s="11">
        <f>IF(A82="","",SUMIFS(StockMovements!$E$2:$E$500,StockMovements!$B$2:$B$500,A82,StockMovements!$D$2:$D$500,"receipt")+SUMIFS(StockMovements!$E$2:$E$500,StockMovements!$B$2:$B$500,A82,StockMovements!$D$2:$D$500,"production_in")+SUMIFS(StockMovements!$E$2:$E$500,StockMovements!$B$2:$B$500,A82,StockMovements!$D$2:$D$500,"adjustment")-SUMIFS(StockMovements!$E$2:$E$500,StockMovements!$B$2:$B$500,A82,StockMovements!$D$2:$D$500,"issue")-SUMIFS(StockMovements!$E$2:$E$500,StockMovements!$B$2:$B$500,A82,StockMovements!$D$2:$D$500,"production_out")-SUMIFS(StockMovements!$E$2:$E$500,StockMovements!$B$2:$B$500,A82,StockMovements!$D$2:$D$500,"transfer")-SUMIFS(StockMovements!$E$2:$E$500,StockMovements!$B$2:$B$500,A82,StockMovements!$D$2:$D$500,"scrap"))</f>
        <v/>
      </c>
      <c r="E82" s="11">
        <f>IF(A82="","",Products!E82)</f>
        <v/>
      </c>
      <c r="F82" s="11">
        <f>IF(A82="","",D82*E82)</f>
        <v/>
      </c>
      <c r="G82" s="11">
        <f>IF(A82="","",Products!F82)</f>
        <v/>
      </c>
      <c r="H82" s="11">
        <f>IF(A82="","",IF(D82&lt;G82,"REORDER","OK"))</f>
        <v/>
      </c>
      <c r="I82" s="14">
        <f>IF(A82="","",IFERROR(_xlfn.MAXIFS(StockMovements!$A$2:$A$500,StockMovements!$B$2:$B$500,A82),0))</f>
        <v/>
      </c>
      <c r="J82" s="11">
        <f>IF(OR(A82="",I82=0),"",TODAY()-I82)</f>
        <v/>
      </c>
      <c r="K82" s="11">
        <f>IF(A82="","",IF(I82=0,"never moved",IF(J82&lt;=30,"0-30",IF(J82&lt;=60,"31-60",IF(J82&lt;=90,"61-90","90+")))))</f>
        <v/>
      </c>
    </row>
    <row r="83">
      <c r="A83" s="11">
        <f>Products!A83</f>
        <v/>
      </c>
      <c r="B83" s="11">
        <f>Products!B83</f>
        <v/>
      </c>
      <c r="C83" s="11">
        <f>Products!C83</f>
        <v/>
      </c>
      <c r="D83" s="11">
        <f>IF(A83="","",SUMIFS(StockMovements!$E$2:$E$500,StockMovements!$B$2:$B$500,A83,StockMovements!$D$2:$D$500,"receipt")+SUMIFS(StockMovements!$E$2:$E$500,StockMovements!$B$2:$B$500,A83,StockMovements!$D$2:$D$500,"production_in")+SUMIFS(StockMovements!$E$2:$E$500,StockMovements!$B$2:$B$500,A83,StockMovements!$D$2:$D$500,"adjustment")-SUMIFS(StockMovements!$E$2:$E$500,StockMovements!$B$2:$B$500,A83,StockMovements!$D$2:$D$500,"issue")-SUMIFS(StockMovements!$E$2:$E$500,StockMovements!$B$2:$B$500,A83,StockMovements!$D$2:$D$500,"production_out")-SUMIFS(StockMovements!$E$2:$E$500,StockMovements!$B$2:$B$500,A83,StockMovements!$D$2:$D$500,"transfer")-SUMIFS(StockMovements!$E$2:$E$500,StockMovements!$B$2:$B$500,A83,StockMovements!$D$2:$D$500,"scrap"))</f>
        <v/>
      </c>
      <c r="E83" s="11">
        <f>IF(A83="","",Products!E83)</f>
        <v/>
      </c>
      <c r="F83" s="11">
        <f>IF(A83="","",D83*E83)</f>
        <v/>
      </c>
      <c r="G83" s="11">
        <f>IF(A83="","",Products!F83)</f>
        <v/>
      </c>
      <c r="H83" s="11">
        <f>IF(A83="","",IF(D83&lt;G83,"REORDER","OK"))</f>
        <v/>
      </c>
      <c r="I83" s="14">
        <f>IF(A83="","",IFERROR(_xlfn.MAXIFS(StockMovements!$A$2:$A$500,StockMovements!$B$2:$B$500,A83),0))</f>
        <v/>
      </c>
      <c r="J83" s="11">
        <f>IF(OR(A83="",I83=0),"",TODAY()-I83)</f>
        <v/>
      </c>
      <c r="K83" s="11">
        <f>IF(A83="","",IF(I83=0,"never moved",IF(J83&lt;=30,"0-30",IF(J83&lt;=60,"31-60",IF(J83&lt;=90,"61-90","90+")))))</f>
        <v/>
      </c>
    </row>
    <row r="84">
      <c r="A84" s="11">
        <f>Products!A84</f>
        <v/>
      </c>
      <c r="B84" s="11">
        <f>Products!B84</f>
        <v/>
      </c>
      <c r="C84" s="11">
        <f>Products!C84</f>
        <v/>
      </c>
      <c r="D84" s="11">
        <f>IF(A84="","",SUMIFS(StockMovements!$E$2:$E$500,StockMovements!$B$2:$B$500,A84,StockMovements!$D$2:$D$500,"receipt")+SUMIFS(StockMovements!$E$2:$E$500,StockMovements!$B$2:$B$500,A84,StockMovements!$D$2:$D$500,"production_in")+SUMIFS(StockMovements!$E$2:$E$500,StockMovements!$B$2:$B$500,A84,StockMovements!$D$2:$D$500,"adjustment")-SUMIFS(StockMovements!$E$2:$E$500,StockMovements!$B$2:$B$500,A84,StockMovements!$D$2:$D$500,"issue")-SUMIFS(StockMovements!$E$2:$E$500,StockMovements!$B$2:$B$500,A84,StockMovements!$D$2:$D$500,"production_out")-SUMIFS(StockMovements!$E$2:$E$500,StockMovements!$B$2:$B$500,A84,StockMovements!$D$2:$D$500,"transfer")-SUMIFS(StockMovements!$E$2:$E$500,StockMovements!$B$2:$B$500,A84,StockMovements!$D$2:$D$500,"scrap"))</f>
        <v/>
      </c>
      <c r="E84" s="11">
        <f>IF(A84="","",Products!E84)</f>
        <v/>
      </c>
      <c r="F84" s="11">
        <f>IF(A84="","",D84*E84)</f>
        <v/>
      </c>
      <c r="G84" s="11">
        <f>IF(A84="","",Products!F84)</f>
        <v/>
      </c>
      <c r="H84" s="11">
        <f>IF(A84="","",IF(D84&lt;G84,"REORDER","OK"))</f>
        <v/>
      </c>
      <c r="I84" s="14">
        <f>IF(A84="","",IFERROR(_xlfn.MAXIFS(StockMovements!$A$2:$A$500,StockMovements!$B$2:$B$500,A84),0))</f>
        <v/>
      </c>
      <c r="J84" s="11">
        <f>IF(OR(A84="",I84=0),"",TODAY()-I84)</f>
        <v/>
      </c>
      <c r="K84" s="11">
        <f>IF(A84="","",IF(I84=0,"never moved",IF(J84&lt;=30,"0-30",IF(J84&lt;=60,"31-60",IF(J84&lt;=90,"61-90","90+")))))</f>
        <v/>
      </c>
    </row>
    <row r="85">
      <c r="A85" s="11">
        <f>Products!A85</f>
        <v/>
      </c>
      <c r="B85" s="11">
        <f>Products!B85</f>
        <v/>
      </c>
      <c r="C85" s="11">
        <f>Products!C85</f>
        <v/>
      </c>
      <c r="D85" s="11">
        <f>IF(A85="","",SUMIFS(StockMovements!$E$2:$E$500,StockMovements!$B$2:$B$500,A85,StockMovements!$D$2:$D$500,"receipt")+SUMIFS(StockMovements!$E$2:$E$500,StockMovements!$B$2:$B$500,A85,StockMovements!$D$2:$D$500,"production_in")+SUMIFS(StockMovements!$E$2:$E$500,StockMovements!$B$2:$B$500,A85,StockMovements!$D$2:$D$500,"adjustment")-SUMIFS(StockMovements!$E$2:$E$500,StockMovements!$B$2:$B$500,A85,StockMovements!$D$2:$D$500,"issue")-SUMIFS(StockMovements!$E$2:$E$500,StockMovements!$B$2:$B$500,A85,StockMovements!$D$2:$D$500,"production_out")-SUMIFS(StockMovements!$E$2:$E$500,StockMovements!$B$2:$B$500,A85,StockMovements!$D$2:$D$500,"transfer")-SUMIFS(StockMovements!$E$2:$E$500,StockMovements!$B$2:$B$500,A85,StockMovements!$D$2:$D$500,"scrap"))</f>
        <v/>
      </c>
      <c r="E85" s="11">
        <f>IF(A85="","",Products!E85)</f>
        <v/>
      </c>
      <c r="F85" s="11">
        <f>IF(A85="","",D85*E85)</f>
        <v/>
      </c>
      <c r="G85" s="11">
        <f>IF(A85="","",Products!F85)</f>
        <v/>
      </c>
      <c r="H85" s="11">
        <f>IF(A85="","",IF(D85&lt;G85,"REORDER","OK"))</f>
        <v/>
      </c>
      <c r="I85" s="14">
        <f>IF(A85="","",IFERROR(_xlfn.MAXIFS(StockMovements!$A$2:$A$500,StockMovements!$B$2:$B$500,A85),0))</f>
        <v/>
      </c>
      <c r="J85" s="11">
        <f>IF(OR(A85="",I85=0),"",TODAY()-I85)</f>
        <v/>
      </c>
      <c r="K85" s="11">
        <f>IF(A85="","",IF(I85=0,"never moved",IF(J85&lt;=30,"0-30",IF(J85&lt;=60,"31-60",IF(J85&lt;=90,"61-90","90+")))))</f>
        <v/>
      </c>
    </row>
    <row r="86">
      <c r="A86" s="11">
        <f>Products!A86</f>
        <v/>
      </c>
      <c r="B86" s="11">
        <f>Products!B86</f>
        <v/>
      </c>
      <c r="C86" s="11">
        <f>Products!C86</f>
        <v/>
      </c>
      <c r="D86" s="11">
        <f>IF(A86="","",SUMIFS(StockMovements!$E$2:$E$500,StockMovements!$B$2:$B$500,A86,StockMovements!$D$2:$D$500,"receipt")+SUMIFS(StockMovements!$E$2:$E$500,StockMovements!$B$2:$B$500,A86,StockMovements!$D$2:$D$500,"production_in")+SUMIFS(StockMovements!$E$2:$E$500,StockMovements!$B$2:$B$500,A86,StockMovements!$D$2:$D$500,"adjustment")-SUMIFS(StockMovements!$E$2:$E$500,StockMovements!$B$2:$B$500,A86,StockMovements!$D$2:$D$500,"issue")-SUMIFS(StockMovements!$E$2:$E$500,StockMovements!$B$2:$B$500,A86,StockMovements!$D$2:$D$500,"production_out")-SUMIFS(StockMovements!$E$2:$E$500,StockMovements!$B$2:$B$500,A86,StockMovements!$D$2:$D$500,"transfer")-SUMIFS(StockMovements!$E$2:$E$500,StockMovements!$B$2:$B$500,A86,StockMovements!$D$2:$D$500,"scrap"))</f>
        <v/>
      </c>
      <c r="E86" s="11">
        <f>IF(A86="","",Products!E86)</f>
        <v/>
      </c>
      <c r="F86" s="11">
        <f>IF(A86="","",D86*E86)</f>
        <v/>
      </c>
      <c r="G86" s="11">
        <f>IF(A86="","",Products!F86)</f>
        <v/>
      </c>
      <c r="H86" s="11">
        <f>IF(A86="","",IF(D86&lt;G86,"REORDER","OK"))</f>
        <v/>
      </c>
      <c r="I86" s="14">
        <f>IF(A86="","",IFERROR(_xlfn.MAXIFS(StockMovements!$A$2:$A$500,StockMovements!$B$2:$B$500,A86),0))</f>
        <v/>
      </c>
      <c r="J86" s="11">
        <f>IF(OR(A86="",I86=0),"",TODAY()-I86)</f>
        <v/>
      </c>
      <c r="K86" s="11">
        <f>IF(A86="","",IF(I86=0,"never moved",IF(J86&lt;=30,"0-30",IF(J86&lt;=60,"31-60",IF(J86&lt;=90,"61-90","90+")))))</f>
        <v/>
      </c>
    </row>
    <row r="87">
      <c r="A87" s="11">
        <f>Products!A87</f>
        <v/>
      </c>
      <c r="B87" s="11">
        <f>Products!B87</f>
        <v/>
      </c>
      <c r="C87" s="11">
        <f>Products!C87</f>
        <v/>
      </c>
      <c r="D87" s="11">
        <f>IF(A87="","",SUMIFS(StockMovements!$E$2:$E$500,StockMovements!$B$2:$B$500,A87,StockMovements!$D$2:$D$500,"receipt")+SUMIFS(StockMovements!$E$2:$E$500,StockMovements!$B$2:$B$500,A87,StockMovements!$D$2:$D$500,"production_in")+SUMIFS(StockMovements!$E$2:$E$500,StockMovements!$B$2:$B$500,A87,StockMovements!$D$2:$D$500,"adjustment")-SUMIFS(StockMovements!$E$2:$E$500,StockMovements!$B$2:$B$500,A87,StockMovements!$D$2:$D$500,"issue")-SUMIFS(StockMovements!$E$2:$E$500,StockMovements!$B$2:$B$500,A87,StockMovements!$D$2:$D$500,"production_out")-SUMIFS(StockMovements!$E$2:$E$500,StockMovements!$B$2:$B$500,A87,StockMovements!$D$2:$D$500,"transfer")-SUMIFS(StockMovements!$E$2:$E$500,StockMovements!$B$2:$B$500,A87,StockMovements!$D$2:$D$500,"scrap"))</f>
        <v/>
      </c>
      <c r="E87" s="11">
        <f>IF(A87="","",Products!E87)</f>
        <v/>
      </c>
      <c r="F87" s="11">
        <f>IF(A87="","",D87*E87)</f>
        <v/>
      </c>
      <c r="G87" s="11">
        <f>IF(A87="","",Products!F87)</f>
        <v/>
      </c>
      <c r="H87" s="11">
        <f>IF(A87="","",IF(D87&lt;G87,"REORDER","OK"))</f>
        <v/>
      </c>
      <c r="I87" s="14">
        <f>IF(A87="","",IFERROR(_xlfn.MAXIFS(StockMovements!$A$2:$A$500,StockMovements!$B$2:$B$500,A87),0))</f>
        <v/>
      </c>
      <c r="J87" s="11">
        <f>IF(OR(A87="",I87=0),"",TODAY()-I87)</f>
        <v/>
      </c>
      <c r="K87" s="11">
        <f>IF(A87="","",IF(I87=0,"never moved",IF(J87&lt;=30,"0-30",IF(J87&lt;=60,"31-60",IF(J87&lt;=90,"61-90","90+")))))</f>
        <v/>
      </c>
    </row>
    <row r="88">
      <c r="A88" s="11">
        <f>Products!A88</f>
        <v/>
      </c>
      <c r="B88" s="11">
        <f>Products!B88</f>
        <v/>
      </c>
      <c r="C88" s="11">
        <f>Products!C88</f>
        <v/>
      </c>
      <c r="D88" s="11">
        <f>IF(A88="","",SUMIFS(StockMovements!$E$2:$E$500,StockMovements!$B$2:$B$500,A88,StockMovements!$D$2:$D$500,"receipt")+SUMIFS(StockMovements!$E$2:$E$500,StockMovements!$B$2:$B$500,A88,StockMovements!$D$2:$D$500,"production_in")+SUMIFS(StockMovements!$E$2:$E$500,StockMovements!$B$2:$B$500,A88,StockMovements!$D$2:$D$500,"adjustment")-SUMIFS(StockMovements!$E$2:$E$500,StockMovements!$B$2:$B$500,A88,StockMovements!$D$2:$D$500,"issue")-SUMIFS(StockMovements!$E$2:$E$500,StockMovements!$B$2:$B$500,A88,StockMovements!$D$2:$D$500,"production_out")-SUMIFS(StockMovements!$E$2:$E$500,StockMovements!$B$2:$B$500,A88,StockMovements!$D$2:$D$500,"transfer")-SUMIFS(StockMovements!$E$2:$E$500,StockMovements!$B$2:$B$500,A88,StockMovements!$D$2:$D$500,"scrap"))</f>
        <v/>
      </c>
      <c r="E88" s="11">
        <f>IF(A88="","",Products!E88)</f>
        <v/>
      </c>
      <c r="F88" s="11">
        <f>IF(A88="","",D88*E88)</f>
        <v/>
      </c>
      <c r="G88" s="11">
        <f>IF(A88="","",Products!F88)</f>
        <v/>
      </c>
      <c r="H88" s="11">
        <f>IF(A88="","",IF(D88&lt;G88,"REORDER","OK"))</f>
        <v/>
      </c>
      <c r="I88" s="14">
        <f>IF(A88="","",IFERROR(_xlfn.MAXIFS(StockMovements!$A$2:$A$500,StockMovements!$B$2:$B$500,A88),0))</f>
        <v/>
      </c>
      <c r="J88" s="11">
        <f>IF(OR(A88="",I88=0),"",TODAY()-I88)</f>
        <v/>
      </c>
      <c r="K88" s="11">
        <f>IF(A88="","",IF(I88=0,"never moved",IF(J88&lt;=30,"0-30",IF(J88&lt;=60,"31-60",IF(J88&lt;=90,"61-90","90+")))))</f>
        <v/>
      </c>
    </row>
    <row r="89">
      <c r="A89" s="11">
        <f>Products!A89</f>
        <v/>
      </c>
      <c r="B89" s="11">
        <f>Products!B89</f>
        <v/>
      </c>
      <c r="C89" s="11">
        <f>Products!C89</f>
        <v/>
      </c>
      <c r="D89" s="11">
        <f>IF(A89="","",SUMIFS(StockMovements!$E$2:$E$500,StockMovements!$B$2:$B$500,A89,StockMovements!$D$2:$D$500,"receipt")+SUMIFS(StockMovements!$E$2:$E$500,StockMovements!$B$2:$B$500,A89,StockMovements!$D$2:$D$500,"production_in")+SUMIFS(StockMovements!$E$2:$E$500,StockMovements!$B$2:$B$500,A89,StockMovements!$D$2:$D$500,"adjustment")-SUMIFS(StockMovements!$E$2:$E$500,StockMovements!$B$2:$B$500,A89,StockMovements!$D$2:$D$500,"issue")-SUMIFS(StockMovements!$E$2:$E$500,StockMovements!$B$2:$B$500,A89,StockMovements!$D$2:$D$500,"production_out")-SUMIFS(StockMovements!$E$2:$E$500,StockMovements!$B$2:$B$500,A89,StockMovements!$D$2:$D$500,"transfer")-SUMIFS(StockMovements!$E$2:$E$500,StockMovements!$B$2:$B$500,A89,StockMovements!$D$2:$D$500,"scrap"))</f>
        <v/>
      </c>
      <c r="E89" s="11">
        <f>IF(A89="","",Products!E89)</f>
        <v/>
      </c>
      <c r="F89" s="11">
        <f>IF(A89="","",D89*E89)</f>
        <v/>
      </c>
      <c r="G89" s="11">
        <f>IF(A89="","",Products!F89)</f>
        <v/>
      </c>
      <c r="H89" s="11">
        <f>IF(A89="","",IF(D89&lt;G89,"REORDER","OK"))</f>
        <v/>
      </c>
      <c r="I89" s="14">
        <f>IF(A89="","",IFERROR(_xlfn.MAXIFS(StockMovements!$A$2:$A$500,StockMovements!$B$2:$B$500,A89),0))</f>
        <v/>
      </c>
      <c r="J89" s="11">
        <f>IF(OR(A89="",I89=0),"",TODAY()-I89)</f>
        <v/>
      </c>
      <c r="K89" s="11">
        <f>IF(A89="","",IF(I89=0,"never moved",IF(J89&lt;=30,"0-30",IF(J89&lt;=60,"31-60",IF(J89&lt;=90,"61-90","90+")))))</f>
        <v/>
      </c>
    </row>
    <row r="90">
      <c r="A90" s="11">
        <f>Products!A90</f>
        <v/>
      </c>
      <c r="B90" s="11">
        <f>Products!B90</f>
        <v/>
      </c>
      <c r="C90" s="11">
        <f>Products!C90</f>
        <v/>
      </c>
      <c r="D90" s="11">
        <f>IF(A90="","",SUMIFS(StockMovements!$E$2:$E$500,StockMovements!$B$2:$B$500,A90,StockMovements!$D$2:$D$500,"receipt")+SUMIFS(StockMovements!$E$2:$E$500,StockMovements!$B$2:$B$500,A90,StockMovements!$D$2:$D$500,"production_in")+SUMIFS(StockMovements!$E$2:$E$500,StockMovements!$B$2:$B$500,A90,StockMovements!$D$2:$D$500,"adjustment")-SUMIFS(StockMovements!$E$2:$E$500,StockMovements!$B$2:$B$500,A90,StockMovements!$D$2:$D$500,"issue")-SUMIFS(StockMovements!$E$2:$E$500,StockMovements!$B$2:$B$500,A90,StockMovements!$D$2:$D$500,"production_out")-SUMIFS(StockMovements!$E$2:$E$500,StockMovements!$B$2:$B$500,A90,StockMovements!$D$2:$D$500,"transfer")-SUMIFS(StockMovements!$E$2:$E$500,StockMovements!$B$2:$B$500,A90,StockMovements!$D$2:$D$500,"scrap"))</f>
        <v/>
      </c>
      <c r="E90" s="11">
        <f>IF(A90="","",Products!E90)</f>
        <v/>
      </c>
      <c r="F90" s="11">
        <f>IF(A90="","",D90*E90)</f>
        <v/>
      </c>
      <c r="G90" s="11">
        <f>IF(A90="","",Products!F90)</f>
        <v/>
      </c>
      <c r="H90" s="11">
        <f>IF(A90="","",IF(D90&lt;G90,"REORDER","OK"))</f>
        <v/>
      </c>
      <c r="I90" s="14">
        <f>IF(A90="","",IFERROR(_xlfn.MAXIFS(StockMovements!$A$2:$A$500,StockMovements!$B$2:$B$500,A90),0))</f>
        <v/>
      </c>
      <c r="J90" s="11">
        <f>IF(OR(A90="",I90=0),"",TODAY()-I90)</f>
        <v/>
      </c>
      <c r="K90" s="11">
        <f>IF(A90="","",IF(I90=0,"never moved",IF(J90&lt;=30,"0-30",IF(J90&lt;=60,"31-60",IF(J90&lt;=90,"61-90","90+")))))</f>
        <v/>
      </c>
    </row>
    <row r="91">
      <c r="A91" s="11">
        <f>Products!A91</f>
        <v/>
      </c>
      <c r="B91" s="11">
        <f>Products!B91</f>
        <v/>
      </c>
      <c r="C91" s="11">
        <f>Products!C91</f>
        <v/>
      </c>
      <c r="D91" s="11">
        <f>IF(A91="","",SUMIFS(StockMovements!$E$2:$E$500,StockMovements!$B$2:$B$500,A91,StockMovements!$D$2:$D$500,"receipt")+SUMIFS(StockMovements!$E$2:$E$500,StockMovements!$B$2:$B$500,A91,StockMovements!$D$2:$D$500,"production_in")+SUMIFS(StockMovements!$E$2:$E$500,StockMovements!$B$2:$B$500,A91,StockMovements!$D$2:$D$500,"adjustment")-SUMIFS(StockMovements!$E$2:$E$500,StockMovements!$B$2:$B$500,A91,StockMovements!$D$2:$D$500,"issue")-SUMIFS(StockMovements!$E$2:$E$500,StockMovements!$B$2:$B$500,A91,StockMovements!$D$2:$D$500,"production_out")-SUMIFS(StockMovements!$E$2:$E$500,StockMovements!$B$2:$B$500,A91,StockMovements!$D$2:$D$500,"transfer")-SUMIFS(StockMovements!$E$2:$E$500,StockMovements!$B$2:$B$500,A91,StockMovements!$D$2:$D$500,"scrap"))</f>
        <v/>
      </c>
      <c r="E91" s="11">
        <f>IF(A91="","",Products!E91)</f>
        <v/>
      </c>
      <c r="F91" s="11">
        <f>IF(A91="","",D91*E91)</f>
        <v/>
      </c>
      <c r="G91" s="11">
        <f>IF(A91="","",Products!F91)</f>
        <v/>
      </c>
      <c r="H91" s="11">
        <f>IF(A91="","",IF(D91&lt;G91,"REORDER","OK"))</f>
        <v/>
      </c>
      <c r="I91" s="14">
        <f>IF(A91="","",IFERROR(_xlfn.MAXIFS(StockMovements!$A$2:$A$500,StockMovements!$B$2:$B$500,A91),0))</f>
        <v/>
      </c>
      <c r="J91" s="11">
        <f>IF(OR(A91="",I91=0),"",TODAY()-I91)</f>
        <v/>
      </c>
      <c r="K91" s="11">
        <f>IF(A91="","",IF(I91=0,"never moved",IF(J91&lt;=30,"0-30",IF(J91&lt;=60,"31-60",IF(J91&lt;=90,"61-90","90+")))))</f>
        <v/>
      </c>
    </row>
    <row r="92">
      <c r="A92" s="11">
        <f>Products!A92</f>
        <v/>
      </c>
      <c r="B92" s="11">
        <f>Products!B92</f>
        <v/>
      </c>
      <c r="C92" s="11">
        <f>Products!C92</f>
        <v/>
      </c>
      <c r="D92" s="11">
        <f>IF(A92="","",SUMIFS(StockMovements!$E$2:$E$500,StockMovements!$B$2:$B$500,A92,StockMovements!$D$2:$D$500,"receipt")+SUMIFS(StockMovements!$E$2:$E$500,StockMovements!$B$2:$B$500,A92,StockMovements!$D$2:$D$500,"production_in")+SUMIFS(StockMovements!$E$2:$E$500,StockMovements!$B$2:$B$500,A92,StockMovements!$D$2:$D$500,"adjustment")-SUMIFS(StockMovements!$E$2:$E$500,StockMovements!$B$2:$B$500,A92,StockMovements!$D$2:$D$500,"issue")-SUMIFS(StockMovements!$E$2:$E$500,StockMovements!$B$2:$B$500,A92,StockMovements!$D$2:$D$500,"production_out")-SUMIFS(StockMovements!$E$2:$E$500,StockMovements!$B$2:$B$500,A92,StockMovements!$D$2:$D$500,"transfer")-SUMIFS(StockMovements!$E$2:$E$500,StockMovements!$B$2:$B$500,A92,StockMovements!$D$2:$D$500,"scrap"))</f>
        <v/>
      </c>
      <c r="E92" s="11">
        <f>IF(A92="","",Products!E92)</f>
        <v/>
      </c>
      <c r="F92" s="11">
        <f>IF(A92="","",D92*E92)</f>
        <v/>
      </c>
      <c r="G92" s="11">
        <f>IF(A92="","",Products!F92)</f>
        <v/>
      </c>
      <c r="H92" s="11">
        <f>IF(A92="","",IF(D92&lt;G92,"REORDER","OK"))</f>
        <v/>
      </c>
      <c r="I92" s="14">
        <f>IF(A92="","",IFERROR(_xlfn.MAXIFS(StockMovements!$A$2:$A$500,StockMovements!$B$2:$B$500,A92),0))</f>
        <v/>
      </c>
      <c r="J92" s="11">
        <f>IF(OR(A92="",I92=0),"",TODAY()-I92)</f>
        <v/>
      </c>
      <c r="K92" s="11">
        <f>IF(A92="","",IF(I92=0,"never moved",IF(J92&lt;=30,"0-30",IF(J92&lt;=60,"31-60",IF(J92&lt;=90,"61-90","90+")))))</f>
        <v/>
      </c>
    </row>
    <row r="93">
      <c r="A93" s="11">
        <f>Products!A93</f>
        <v/>
      </c>
      <c r="B93" s="11">
        <f>Products!B93</f>
        <v/>
      </c>
      <c r="C93" s="11">
        <f>Products!C93</f>
        <v/>
      </c>
      <c r="D93" s="11">
        <f>IF(A93="","",SUMIFS(StockMovements!$E$2:$E$500,StockMovements!$B$2:$B$500,A93,StockMovements!$D$2:$D$500,"receipt")+SUMIFS(StockMovements!$E$2:$E$500,StockMovements!$B$2:$B$500,A93,StockMovements!$D$2:$D$500,"production_in")+SUMIFS(StockMovements!$E$2:$E$500,StockMovements!$B$2:$B$500,A93,StockMovements!$D$2:$D$500,"adjustment")-SUMIFS(StockMovements!$E$2:$E$500,StockMovements!$B$2:$B$500,A93,StockMovements!$D$2:$D$500,"issue")-SUMIFS(StockMovements!$E$2:$E$500,StockMovements!$B$2:$B$500,A93,StockMovements!$D$2:$D$500,"production_out")-SUMIFS(StockMovements!$E$2:$E$500,StockMovements!$B$2:$B$500,A93,StockMovements!$D$2:$D$500,"transfer")-SUMIFS(StockMovements!$E$2:$E$500,StockMovements!$B$2:$B$500,A93,StockMovements!$D$2:$D$500,"scrap"))</f>
        <v/>
      </c>
      <c r="E93" s="11">
        <f>IF(A93="","",Products!E93)</f>
        <v/>
      </c>
      <c r="F93" s="11">
        <f>IF(A93="","",D93*E93)</f>
        <v/>
      </c>
      <c r="G93" s="11">
        <f>IF(A93="","",Products!F93)</f>
        <v/>
      </c>
      <c r="H93" s="11">
        <f>IF(A93="","",IF(D93&lt;G93,"REORDER","OK"))</f>
        <v/>
      </c>
      <c r="I93" s="14">
        <f>IF(A93="","",IFERROR(_xlfn.MAXIFS(StockMovements!$A$2:$A$500,StockMovements!$B$2:$B$500,A93),0))</f>
        <v/>
      </c>
      <c r="J93" s="11">
        <f>IF(OR(A93="",I93=0),"",TODAY()-I93)</f>
        <v/>
      </c>
      <c r="K93" s="11">
        <f>IF(A93="","",IF(I93=0,"never moved",IF(J93&lt;=30,"0-30",IF(J93&lt;=60,"31-60",IF(J93&lt;=90,"61-90","90+")))))</f>
        <v/>
      </c>
    </row>
    <row r="94">
      <c r="A94" s="11">
        <f>Products!A94</f>
        <v/>
      </c>
      <c r="B94" s="11">
        <f>Products!B94</f>
        <v/>
      </c>
      <c r="C94" s="11">
        <f>Products!C94</f>
        <v/>
      </c>
      <c r="D94" s="11">
        <f>IF(A94="","",SUMIFS(StockMovements!$E$2:$E$500,StockMovements!$B$2:$B$500,A94,StockMovements!$D$2:$D$500,"receipt")+SUMIFS(StockMovements!$E$2:$E$500,StockMovements!$B$2:$B$500,A94,StockMovements!$D$2:$D$500,"production_in")+SUMIFS(StockMovements!$E$2:$E$500,StockMovements!$B$2:$B$500,A94,StockMovements!$D$2:$D$500,"adjustment")-SUMIFS(StockMovements!$E$2:$E$500,StockMovements!$B$2:$B$500,A94,StockMovements!$D$2:$D$500,"issue")-SUMIFS(StockMovements!$E$2:$E$500,StockMovements!$B$2:$B$500,A94,StockMovements!$D$2:$D$500,"production_out")-SUMIFS(StockMovements!$E$2:$E$500,StockMovements!$B$2:$B$500,A94,StockMovements!$D$2:$D$500,"transfer")-SUMIFS(StockMovements!$E$2:$E$500,StockMovements!$B$2:$B$500,A94,StockMovements!$D$2:$D$500,"scrap"))</f>
        <v/>
      </c>
      <c r="E94" s="11">
        <f>IF(A94="","",Products!E94)</f>
        <v/>
      </c>
      <c r="F94" s="11">
        <f>IF(A94="","",D94*E94)</f>
        <v/>
      </c>
      <c r="G94" s="11">
        <f>IF(A94="","",Products!F94)</f>
        <v/>
      </c>
      <c r="H94" s="11">
        <f>IF(A94="","",IF(D94&lt;G94,"REORDER","OK"))</f>
        <v/>
      </c>
      <c r="I94" s="14">
        <f>IF(A94="","",IFERROR(_xlfn.MAXIFS(StockMovements!$A$2:$A$500,StockMovements!$B$2:$B$500,A94),0))</f>
        <v/>
      </c>
      <c r="J94" s="11">
        <f>IF(OR(A94="",I94=0),"",TODAY()-I94)</f>
        <v/>
      </c>
      <c r="K94" s="11">
        <f>IF(A94="","",IF(I94=0,"never moved",IF(J94&lt;=30,"0-30",IF(J94&lt;=60,"31-60",IF(J94&lt;=90,"61-90","90+")))))</f>
        <v/>
      </c>
    </row>
    <row r="95">
      <c r="A95" s="11">
        <f>Products!A95</f>
        <v/>
      </c>
      <c r="B95" s="11">
        <f>Products!B95</f>
        <v/>
      </c>
      <c r="C95" s="11">
        <f>Products!C95</f>
        <v/>
      </c>
      <c r="D95" s="11">
        <f>IF(A95="","",SUMIFS(StockMovements!$E$2:$E$500,StockMovements!$B$2:$B$500,A95,StockMovements!$D$2:$D$500,"receipt")+SUMIFS(StockMovements!$E$2:$E$500,StockMovements!$B$2:$B$500,A95,StockMovements!$D$2:$D$500,"production_in")+SUMIFS(StockMovements!$E$2:$E$500,StockMovements!$B$2:$B$500,A95,StockMovements!$D$2:$D$500,"adjustment")-SUMIFS(StockMovements!$E$2:$E$500,StockMovements!$B$2:$B$500,A95,StockMovements!$D$2:$D$500,"issue")-SUMIFS(StockMovements!$E$2:$E$500,StockMovements!$B$2:$B$500,A95,StockMovements!$D$2:$D$500,"production_out")-SUMIFS(StockMovements!$E$2:$E$500,StockMovements!$B$2:$B$500,A95,StockMovements!$D$2:$D$500,"transfer")-SUMIFS(StockMovements!$E$2:$E$500,StockMovements!$B$2:$B$500,A95,StockMovements!$D$2:$D$500,"scrap"))</f>
        <v/>
      </c>
      <c r="E95" s="11">
        <f>IF(A95="","",Products!E95)</f>
        <v/>
      </c>
      <c r="F95" s="11">
        <f>IF(A95="","",D95*E95)</f>
        <v/>
      </c>
      <c r="G95" s="11">
        <f>IF(A95="","",Products!F95)</f>
        <v/>
      </c>
      <c r="H95" s="11">
        <f>IF(A95="","",IF(D95&lt;G95,"REORDER","OK"))</f>
        <v/>
      </c>
      <c r="I95" s="14">
        <f>IF(A95="","",IFERROR(_xlfn.MAXIFS(StockMovements!$A$2:$A$500,StockMovements!$B$2:$B$500,A95),0))</f>
        <v/>
      </c>
      <c r="J95" s="11">
        <f>IF(OR(A95="",I95=0),"",TODAY()-I95)</f>
        <v/>
      </c>
      <c r="K95" s="11">
        <f>IF(A95="","",IF(I95=0,"never moved",IF(J95&lt;=30,"0-30",IF(J95&lt;=60,"31-60",IF(J95&lt;=90,"61-90","90+")))))</f>
        <v/>
      </c>
    </row>
    <row r="96">
      <c r="A96" s="11">
        <f>Products!A96</f>
        <v/>
      </c>
      <c r="B96" s="11">
        <f>Products!B96</f>
        <v/>
      </c>
      <c r="C96" s="11">
        <f>Products!C96</f>
        <v/>
      </c>
      <c r="D96" s="11">
        <f>IF(A96="","",SUMIFS(StockMovements!$E$2:$E$500,StockMovements!$B$2:$B$500,A96,StockMovements!$D$2:$D$500,"receipt")+SUMIFS(StockMovements!$E$2:$E$500,StockMovements!$B$2:$B$500,A96,StockMovements!$D$2:$D$500,"production_in")+SUMIFS(StockMovements!$E$2:$E$500,StockMovements!$B$2:$B$500,A96,StockMovements!$D$2:$D$500,"adjustment")-SUMIFS(StockMovements!$E$2:$E$500,StockMovements!$B$2:$B$500,A96,StockMovements!$D$2:$D$500,"issue")-SUMIFS(StockMovements!$E$2:$E$500,StockMovements!$B$2:$B$500,A96,StockMovements!$D$2:$D$500,"production_out")-SUMIFS(StockMovements!$E$2:$E$500,StockMovements!$B$2:$B$500,A96,StockMovements!$D$2:$D$500,"transfer")-SUMIFS(StockMovements!$E$2:$E$500,StockMovements!$B$2:$B$500,A96,StockMovements!$D$2:$D$500,"scrap"))</f>
        <v/>
      </c>
      <c r="E96" s="11">
        <f>IF(A96="","",Products!E96)</f>
        <v/>
      </c>
      <c r="F96" s="11">
        <f>IF(A96="","",D96*E96)</f>
        <v/>
      </c>
      <c r="G96" s="11">
        <f>IF(A96="","",Products!F96)</f>
        <v/>
      </c>
      <c r="H96" s="11">
        <f>IF(A96="","",IF(D96&lt;G96,"REORDER","OK"))</f>
        <v/>
      </c>
      <c r="I96" s="14">
        <f>IF(A96="","",IFERROR(_xlfn.MAXIFS(StockMovements!$A$2:$A$500,StockMovements!$B$2:$B$500,A96),0))</f>
        <v/>
      </c>
      <c r="J96" s="11">
        <f>IF(OR(A96="",I96=0),"",TODAY()-I96)</f>
        <v/>
      </c>
      <c r="K96" s="11">
        <f>IF(A96="","",IF(I96=0,"never moved",IF(J96&lt;=30,"0-30",IF(J96&lt;=60,"31-60",IF(J96&lt;=90,"61-90","90+")))))</f>
        <v/>
      </c>
    </row>
    <row r="97">
      <c r="A97" s="11">
        <f>Products!A97</f>
        <v/>
      </c>
      <c r="B97" s="11">
        <f>Products!B97</f>
        <v/>
      </c>
      <c r="C97" s="11">
        <f>Products!C97</f>
        <v/>
      </c>
      <c r="D97" s="11">
        <f>IF(A97="","",SUMIFS(StockMovements!$E$2:$E$500,StockMovements!$B$2:$B$500,A97,StockMovements!$D$2:$D$500,"receipt")+SUMIFS(StockMovements!$E$2:$E$500,StockMovements!$B$2:$B$500,A97,StockMovements!$D$2:$D$500,"production_in")+SUMIFS(StockMovements!$E$2:$E$500,StockMovements!$B$2:$B$500,A97,StockMovements!$D$2:$D$500,"adjustment")-SUMIFS(StockMovements!$E$2:$E$500,StockMovements!$B$2:$B$500,A97,StockMovements!$D$2:$D$500,"issue")-SUMIFS(StockMovements!$E$2:$E$500,StockMovements!$B$2:$B$500,A97,StockMovements!$D$2:$D$500,"production_out")-SUMIFS(StockMovements!$E$2:$E$500,StockMovements!$B$2:$B$500,A97,StockMovements!$D$2:$D$500,"transfer")-SUMIFS(StockMovements!$E$2:$E$500,StockMovements!$B$2:$B$500,A97,StockMovements!$D$2:$D$500,"scrap"))</f>
        <v/>
      </c>
      <c r="E97" s="11">
        <f>IF(A97="","",Products!E97)</f>
        <v/>
      </c>
      <c r="F97" s="11">
        <f>IF(A97="","",D97*E97)</f>
        <v/>
      </c>
      <c r="G97" s="11">
        <f>IF(A97="","",Products!F97)</f>
        <v/>
      </c>
      <c r="H97" s="11">
        <f>IF(A97="","",IF(D97&lt;G97,"REORDER","OK"))</f>
        <v/>
      </c>
      <c r="I97" s="14">
        <f>IF(A97="","",IFERROR(_xlfn.MAXIFS(StockMovements!$A$2:$A$500,StockMovements!$B$2:$B$500,A97),0))</f>
        <v/>
      </c>
      <c r="J97" s="11">
        <f>IF(OR(A97="",I97=0),"",TODAY()-I97)</f>
        <v/>
      </c>
      <c r="K97" s="11">
        <f>IF(A97="","",IF(I97=0,"never moved",IF(J97&lt;=30,"0-30",IF(J97&lt;=60,"31-60",IF(J97&lt;=90,"61-90","90+")))))</f>
        <v/>
      </c>
    </row>
    <row r="98">
      <c r="A98" s="11">
        <f>Products!A98</f>
        <v/>
      </c>
      <c r="B98" s="11">
        <f>Products!B98</f>
        <v/>
      </c>
      <c r="C98" s="11">
        <f>Products!C98</f>
        <v/>
      </c>
      <c r="D98" s="11">
        <f>IF(A98="","",SUMIFS(StockMovements!$E$2:$E$500,StockMovements!$B$2:$B$500,A98,StockMovements!$D$2:$D$500,"receipt")+SUMIFS(StockMovements!$E$2:$E$500,StockMovements!$B$2:$B$500,A98,StockMovements!$D$2:$D$500,"production_in")+SUMIFS(StockMovements!$E$2:$E$500,StockMovements!$B$2:$B$500,A98,StockMovements!$D$2:$D$500,"adjustment")-SUMIFS(StockMovements!$E$2:$E$500,StockMovements!$B$2:$B$500,A98,StockMovements!$D$2:$D$500,"issue")-SUMIFS(StockMovements!$E$2:$E$500,StockMovements!$B$2:$B$500,A98,StockMovements!$D$2:$D$500,"production_out")-SUMIFS(StockMovements!$E$2:$E$500,StockMovements!$B$2:$B$500,A98,StockMovements!$D$2:$D$500,"transfer")-SUMIFS(StockMovements!$E$2:$E$500,StockMovements!$B$2:$B$500,A98,StockMovements!$D$2:$D$500,"scrap"))</f>
        <v/>
      </c>
      <c r="E98" s="11">
        <f>IF(A98="","",Products!E98)</f>
        <v/>
      </c>
      <c r="F98" s="11">
        <f>IF(A98="","",D98*E98)</f>
        <v/>
      </c>
      <c r="G98" s="11">
        <f>IF(A98="","",Products!F98)</f>
        <v/>
      </c>
      <c r="H98" s="11">
        <f>IF(A98="","",IF(D98&lt;G98,"REORDER","OK"))</f>
        <v/>
      </c>
      <c r="I98" s="14">
        <f>IF(A98="","",IFERROR(_xlfn.MAXIFS(StockMovements!$A$2:$A$500,StockMovements!$B$2:$B$500,A98),0))</f>
        <v/>
      </c>
      <c r="J98" s="11">
        <f>IF(OR(A98="",I98=0),"",TODAY()-I98)</f>
        <v/>
      </c>
      <c r="K98" s="11">
        <f>IF(A98="","",IF(I98=0,"never moved",IF(J98&lt;=30,"0-30",IF(J98&lt;=60,"31-60",IF(J98&lt;=90,"61-90","90+")))))</f>
        <v/>
      </c>
    </row>
    <row r="99">
      <c r="A99" s="11">
        <f>Products!A99</f>
        <v/>
      </c>
      <c r="B99" s="11">
        <f>Products!B99</f>
        <v/>
      </c>
      <c r="C99" s="11">
        <f>Products!C99</f>
        <v/>
      </c>
      <c r="D99" s="11">
        <f>IF(A99="","",SUMIFS(StockMovements!$E$2:$E$500,StockMovements!$B$2:$B$500,A99,StockMovements!$D$2:$D$500,"receipt")+SUMIFS(StockMovements!$E$2:$E$500,StockMovements!$B$2:$B$500,A99,StockMovements!$D$2:$D$500,"production_in")+SUMIFS(StockMovements!$E$2:$E$500,StockMovements!$B$2:$B$500,A99,StockMovements!$D$2:$D$500,"adjustment")-SUMIFS(StockMovements!$E$2:$E$500,StockMovements!$B$2:$B$500,A99,StockMovements!$D$2:$D$500,"issue")-SUMIFS(StockMovements!$E$2:$E$500,StockMovements!$B$2:$B$500,A99,StockMovements!$D$2:$D$500,"production_out")-SUMIFS(StockMovements!$E$2:$E$500,StockMovements!$B$2:$B$500,A99,StockMovements!$D$2:$D$500,"transfer")-SUMIFS(StockMovements!$E$2:$E$500,StockMovements!$B$2:$B$500,A99,StockMovements!$D$2:$D$500,"scrap"))</f>
        <v/>
      </c>
      <c r="E99" s="11">
        <f>IF(A99="","",Products!E99)</f>
        <v/>
      </c>
      <c r="F99" s="11">
        <f>IF(A99="","",D99*E99)</f>
        <v/>
      </c>
      <c r="G99" s="11">
        <f>IF(A99="","",Products!F99)</f>
        <v/>
      </c>
      <c r="H99" s="11">
        <f>IF(A99="","",IF(D99&lt;G99,"REORDER","OK"))</f>
        <v/>
      </c>
      <c r="I99" s="14">
        <f>IF(A99="","",IFERROR(_xlfn.MAXIFS(StockMovements!$A$2:$A$500,StockMovements!$B$2:$B$500,A99),0))</f>
        <v/>
      </c>
      <c r="J99" s="11">
        <f>IF(OR(A99="",I99=0),"",TODAY()-I99)</f>
        <v/>
      </c>
      <c r="K99" s="11">
        <f>IF(A99="","",IF(I99=0,"never moved",IF(J99&lt;=30,"0-30",IF(J99&lt;=60,"31-60",IF(J99&lt;=90,"61-90","90+")))))</f>
        <v/>
      </c>
    </row>
    <row r="100">
      <c r="A100" s="11">
        <f>Products!A100</f>
        <v/>
      </c>
      <c r="B100" s="11">
        <f>Products!B100</f>
        <v/>
      </c>
      <c r="C100" s="11">
        <f>Products!C100</f>
        <v/>
      </c>
      <c r="D100" s="11">
        <f>IF(A100="","",SUMIFS(StockMovements!$E$2:$E$500,StockMovements!$B$2:$B$500,A100,StockMovements!$D$2:$D$500,"receipt")+SUMIFS(StockMovements!$E$2:$E$500,StockMovements!$B$2:$B$500,A100,StockMovements!$D$2:$D$500,"production_in")+SUMIFS(StockMovements!$E$2:$E$500,StockMovements!$B$2:$B$500,A100,StockMovements!$D$2:$D$500,"adjustment")-SUMIFS(StockMovements!$E$2:$E$500,StockMovements!$B$2:$B$500,A100,StockMovements!$D$2:$D$500,"issue")-SUMIFS(StockMovements!$E$2:$E$500,StockMovements!$B$2:$B$500,A100,StockMovements!$D$2:$D$500,"production_out")-SUMIFS(StockMovements!$E$2:$E$500,StockMovements!$B$2:$B$500,A100,StockMovements!$D$2:$D$500,"transfer")-SUMIFS(StockMovements!$E$2:$E$500,StockMovements!$B$2:$B$500,A100,StockMovements!$D$2:$D$500,"scrap"))</f>
        <v/>
      </c>
      <c r="E100" s="11">
        <f>IF(A100="","",Products!E100)</f>
        <v/>
      </c>
      <c r="F100" s="11">
        <f>IF(A100="","",D100*E100)</f>
        <v/>
      </c>
      <c r="G100" s="11">
        <f>IF(A100="","",Products!F100)</f>
        <v/>
      </c>
      <c r="H100" s="11">
        <f>IF(A100="","",IF(D100&lt;G100,"REORDER","OK"))</f>
        <v/>
      </c>
      <c r="I100" s="14">
        <f>IF(A100="","",IFERROR(_xlfn.MAXIFS(StockMovements!$A$2:$A$500,StockMovements!$B$2:$B$500,A100),0))</f>
        <v/>
      </c>
      <c r="J100" s="11">
        <f>IF(OR(A100="",I100=0),"",TODAY()-I100)</f>
        <v/>
      </c>
      <c r="K100" s="11">
        <f>IF(A100="","",IF(I100=0,"never moved",IF(J100&lt;=30,"0-30",IF(J100&lt;=60,"31-60",IF(J100&lt;=90,"61-90","90+")))))</f>
        <v/>
      </c>
    </row>
    <row r="101">
      <c r="A101" s="11">
        <f>Products!A101</f>
        <v/>
      </c>
      <c r="B101" s="11">
        <f>Products!B101</f>
        <v/>
      </c>
      <c r="C101" s="11">
        <f>Products!C101</f>
        <v/>
      </c>
      <c r="D101" s="11">
        <f>IF(A101="","",SUMIFS(StockMovements!$E$2:$E$500,StockMovements!$B$2:$B$500,A101,StockMovements!$D$2:$D$500,"receipt")+SUMIFS(StockMovements!$E$2:$E$500,StockMovements!$B$2:$B$500,A101,StockMovements!$D$2:$D$500,"production_in")+SUMIFS(StockMovements!$E$2:$E$500,StockMovements!$B$2:$B$500,A101,StockMovements!$D$2:$D$500,"adjustment")-SUMIFS(StockMovements!$E$2:$E$500,StockMovements!$B$2:$B$500,A101,StockMovements!$D$2:$D$500,"issue")-SUMIFS(StockMovements!$E$2:$E$500,StockMovements!$B$2:$B$500,A101,StockMovements!$D$2:$D$500,"production_out")-SUMIFS(StockMovements!$E$2:$E$500,StockMovements!$B$2:$B$500,A101,StockMovements!$D$2:$D$500,"transfer")-SUMIFS(StockMovements!$E$2:$E$500,StockMovements!$B$2:$B$500,A101,StockMovements!$D$2:$D$500,"scrap"))</f>
        <v/>
      </c>
      <c r="E101" s="11">
        <f>IF(A101="","",Products!E101)</f>
        <v/>
      </c>
      <c r="F101" s="11">
        <f>IF(A101="","",D101*E101)</f>
        <v/>
      </c>
      <c r="G101" s="11">
        <f>IF(A101="","",Products!F101)</f>
        <v/>
      </c>
      <c r="H101" s="11">
        <f>IF(A101="","",IF(D101&lt;G101,"REORDER","OK"))</f>
        <v/>
      </c>
      <c r="I101" s="14">
        <f>IF(A101="","",IFERROR(_xlfn.MAXIFS(StockMovements!$A$2:$A$500,StockMovements!$B$2:$B$500,A101),0))</f>
        <v/>
      </c>
      <c r="J101" s="11">
        <f>IF(OR(A101="",I101=0),"",TODAY()-I101)</f>
        <v/>
      </c>
      <c r="K101" s="11">
        <f>IF(A101="","",IF(I101=0,"never moved",IF(J101&lt;=30,"0-30",IF(J101&lt;=60,"31-60",IF(J101&lt;=90,"61-90","90+")))))</f>
        <v/>
      </c>
    </row>
    <row r="102">
      <c r="A102" s="11">
        <f>Products!A102</f>
        <v/>
      </c>
      <c r="B102" s="11">
        <f>Products!B102</f>
        <v/>
      </c>
      <c r="C102" s="11">
        <f>Products!C102</f>
        <v/>
      </c>
      <c r="D102" s="11">
        <f>IF(A102="","",SUMIFS(StockMovements!$E$2:$E$500,StockMovements!$B$2:$B$500,A102,StockMovements!$D$2:$D$500,"receipt")+SUMIFS(StockMovements!$E$2:$E$500,StockMovements!$B$2:$B$500,A102,StockMovements!$D$2:$D$500,"production_in")+SUMIFS(StockMovements!$E$2:$E$500,StockMovements!$B$2:$B$500,A102,StockMovements!$D$2:$D$500,"adjustment")-SUMIFS(StockMovements!$E$2:$E$500,StockMovements!$B$2:$B$500,A102,StockMovements!$D$2:$D$500,"issue")-SUMIFS(StockMovements!$E$2:$E$500,StockMovements!$B$2:$B$500,A102,StockMovements!$D$2:$D$500,"production_out")-SUMIFS(StockMovements!$E$2:$E$500,StockMovements!$B$2:$B$500,A102,StockMovements!$D$2:$D$500,"transfer")-SUMIFS(StockMovements!$E$2:$E$500,StockMovements!$B$2:$B$500,A102,StockMovements!$D$2:$D$500,"scrap"))</f>
        <v/>
      </c>
      <c r="E102" s="11">
        <f>IF(A102="","",Products!E102)</f>
        <v/>
      </c>
      <c r="F102" s="11">
        <f>IF(A102="","",D102*E102)</f>
        <v/>
      </c>
      <c r="G102" s="11">
        <f>IF(A102="","",Products!F102)</f>
        <v/>
      </c>
      <c r="H102" s="11">
        <f>IF(A102="","",IF(D102&lt;G102,"REORDER","OK"))</f>
        <v/>
      </c>
      <c r="I102" s="14">
        <f>IF(A102="","",IFERROR(_xlfn.MAXIFS(StockMovements!$A$2:$A$500,StockMovements!$B$2:$B$500,A102),0))</f>
        <v/>
      </c>
      <c r="J102" s="11">
        <f>IF(OR(A102="",I102=0),"",TODAY()-I102)</f>
        <v/>
      </c>
      <c r="K102" s="11">
        <f>IF(A102="","",IF(I102=0,"never moved",IF(J102&lt;=30,"0-30",IF(J102&lt;=60,"31-60",IF(J102&lt;=90,"61-90","90+")))))</f>
        <v/>
      </c>
    </row>
    <row r="103">
      <c r="A103" s="11">
        <f>Products!A103</f>
        <v/>
      </c>
      <c r="B103" s="11">
        <f>Products!B103</f>
        <v/>
      </c>
      <c r="C103" s="11">
        <f>Products!C103</f>
        <v/>
      </c>
      <c r="D103" s="11">
        <f>IF(A103="","",SUMIFS(StockMovements!$E$2:$E$500,StockMovements!$B$2:$B$500,A103,StockMovements!$D$2:$D$500,"receipt")+SUMIFS(StockMovements!$E$2:$E$500,StockMovements!$B$2:$B$500,A103,StockMovements!$D$2:$D$500,"production_in")+SUMIFS(StockMovements!$E$2:$E$500,StockMovements!$B$2:$B$500,A103,StockMovements!$D$2:$D$500,"adjustment")-SUMIFS(StockMovements!$E$2:$E$500,StockMovements!$B$2:$B$500,A103,StockMovements!$D$2:$D$500,"issue")-SUMIFS(StockMovements!$E$2:$E$500,StockMovements!$B$2:$B$500,A103,StockMovements!$D$2:$D$500,"production_out")-SUMIFS(StockMovements!$E$2:$E$500,StockMovements!$B$2:$B$500,A103,StockMovements!$D$2:$D$500,"transfer")-SUMIFS(StockMovements!$E$2:$E$500,StockMovements!$B$2:$B$500,A103,StockMovements!$D$2:$D$500,"scrap"))</f>
        <v/>
      </c>
      <c r="E103" s="11">
        <f>IF(A103="","",Products!E103)</f>
        <v/>
      </c>
      <c r="F103" s="11">
        <f>IF(A103="","",D103*E103)</f>
        <v/>
      </c>
      <c r="G103" s="11">
        <f>IF(A103="","",Products!F103)</f>
        <v/>
      </c>
      <c r="H103" s="11">
        <f>IF(A103="","",IF(D103&lt;G103,"REORDER","OK"))</f>
        <v/>
      </c>
      <c r="I103" s="14">
        <f>IF(A103="","",IFERROR(_xlfn.MAXIFS(StockMovements!$A$2:$A$500,StockMovements!$B$2:$B$500,A103),0))</f>
        <v/>
      </c>
      <c r="J103" s="11">
        <f>IF(OR(A103="",I103=0),"",TODAY()-I103)</f>
        <v/>
      </c>
      <c r="K103" s="11">
        <f>IF(A103="","",IF(I103=0,"never moved",IF(J103&lt;=30,"0-30",IF(J103&lt;=60,"31-60",IF(J103&lt;=90,"61-90","90+")))))</f>
        <v/>
      </c>
    </row>
    <row r="104">
      <c r="A104" s="11">
        <f>Products!A104</f>
        <v/>
      </c>
      <c r="B104" s="11">
        <f>Products!B104</f>
        <v/>
      </c>
      <c r="C104" s="11">
        <f>Products!C104</f>
        <v/>
      </c>
      <c r="D104" s="11">
        <f>IF(A104="","",SUMIFS(StockMovements!$E$2:$E$500,StockMovements!$B$2:$B$500,A104,StockMovements!$D$2:$D$500,"receipt")+SUMIFS(StockMovements!$E$2:$E$500,StockMovements!$B$2:$B$500,A104,StockMovements!$D$2:$D$500,"production_in")+SUMIFS(StockMovements!$E$2:$E$500,StockMovements!$B$2:$B$500,A104,StockMovements!$D$2:$D$500,"adjustment")-SUMIFS(StockMovements!$E$2:$E$500,StockMovements!$B$2:$B$500,A104,StockMovements!$D$2:$D$500,"issue")-SUMIFS(StockMovements!$E$2:$E$500,StockMovements!$B$2:$B$500,A104,StockMovements!$D$2:$D$500,"production_out")-SUMIFS(StockMovements!$E$2:$E$500,StockMovements!$B$2:$B$500,A104,StockMovements!$D$2:$D$500,"transfer")-SUMIFS(StockMovements!$E$2:$E$500,StockMovements!$B$2:$B$500,A104,StockMovements!$D$2:$D$500,"scrap"))</f>
        <v/>
      </c>
      <c r="E104" s="11">
        <f>IF(A104="","",Products!E104)</f>
        <v/>
      </c>
      <c r="F104" s="11">
        <f>IF(A104="","",D104*E104)</f>
        <v/>
      </c>
      <c r="G104" s="11">
        <f>IF(A104="","",Products!F104)</f>
        <v/>
      </c>
      <c r="H104" s="11">
        <f>IF(A104="","",IF(D104&lt;G104,"REORDER","OK"))</f>
        <v/>
      </c>
      <c r="I104" s="14">
        <f>IF(A104="","",IFERROR(_xlfn.MAXIFS(StockMovements!$A$2:$A$500,StockMovements!$B$2:$B$500,A104),0))</f>
        <v/>
      </c>
      <c r="J104" s="11">
        <f>IF(OR(A104="",I104=0),"",TODAY()-I104)</f>
        <v/>
      </c>
      <c r="K104" s="11">
        <f>IF(A104="","",IF(I104=0,"never moved",IF(J104&lt;=30,"0-30",IF(J104&lt;=60,"31-60",IF(J104&lt;=90,"61-90","90+")))))</f>
        <v/>
      </c>
    </row>
    <row r="105">
      <c r="A105" s="11">
        <f>Products!A105</f>
        <v/>
      </c>
      <c r="B105" s="11">
        <f>Products!B105</f>
        <v/>
      </c>
      <c r="C105" s="11">
        <f>Products!C105</f>
        <v/>
      </c>
      <c r="D105" s="11">
        <f>IF(A105="","",SUMIFS(StockMovements!$E$2:$E$500,StockMovements!$B$2:$B$500,A105,StockMovements!$D$2:$D$500,"receipt")+SUMIFS(StockMovements!$E$2:$E$500,StockMovements!$B$2:$B$500,A105,StockMovements!$D$2:$D$500,"production_in")+SUMIFS(StockMovements!$E$2:$E$500,StockMovements!$B$2:$B$500,A105,StockMovements!$D$2:$D$500,"adjustment")-SUMIFS(StockMovements!$E$2:$E$500,StockMovements!$B$2:$B$500,A105,StockMovements!$D$2:$D$500,"issue")-SUMIFS(StockMovements!$E$2:$E$500,StockMovements!$B$2:$B$500,A105,StockMovements!$D$2:$D$500,"production_out")-SUMIFS(StockMovements!$E$2:$E$500,StockMovements!$B$2:$B$500,A105,StockMovements!$D$2:$D$500,"transfer")-SUMIFS(StockMovements!$E$2:$E$500,StockMovements!$B$2:$B$500,A105,StockMovements!$D$2:$D$500,"scrap"))</f>
        <v/>
      </c>
      <c r="E105" s="11">
        <f>IF(A105="","",Products!E105)</f>
        <v/>
      </c>
      <c r="F105" s="11">
        <f>IF(A105="","",D105*E105)</f>
        <v/>
      </c>
      <c r="G105" s="11">
        <f>IF(A105="","",Products!F105)</f>
        <v/>
      </c>
      <c r="H105" s="11">
        <f>IF(A105="","",IF(D105&lt;G105,"REORDER","OK"))</f>
        <v/>
      </c>
      <c r="I105" s="14">
        <f>IF(A105="","",IFERROR(_xlfn.MAXIFS(StockMovements!$A$2:$A$500,StockMovements!$B$2:$B$500,A105),0))</f>
        <v/>
      </c>
      <c r="J105" s="11">
        <f>IF(OR(A105="",I105=0),"",TODAY()-I105)</f>
        <v/>
      </c>
      <c r="K105" s="11">
        <f>IF(A105="","",IF(I105=0,"never moved",IF(J105&lt;=30,"0-30",IF(J105&lt;=60,"31-60",IF(J105&lt;=90,"61-90","90+")))))</f>
        <v/>
      </c>
    </row>
    <row r="106">
      <c r="A106" s="11">
        <f>Products!A106</f>
        <v/>
      </c>
      <c r="B106" s="11">
        <f>Products!B106</f>
        <v/>
      </c>
      <c r="C106" s="11">
        <f>Products!C106</f>
        <v/>
      </c>
      <c r="D106" s="11">
        <f>IF(A106="","",SUMIFS(StockMovements!$E$2:$E$500,StockMovements!$B$2:$B$500,A106,StockMovements!$D$2:$D$500,"receipt")+SUMIFS(StockMovements!$E$2:$E$500,StockMovements!$B$2:$B$500,A106,StockMovements!$D$2:$D$500,"production_in")+SUMIFS(StockMovements!$E$2:$E$500,StockMovements!$B$2:$B$500,A106,StockMovements!$D$2:$D$500,"adjustment")-SUMIFS(StockMovements!$E$2:$E$500,StockMovements!$B$2:$B$500,A106,StockMovements!$D$2:$D$500,"issue")-SUMIFS(StockMovements!$E$2:$E$500,StockMovements!$B$2:$B$500,A106,StockMovements!$D$2:$D$500,"production_out")-SUMIFS(StockMovements!$E$2:$E$500,StockMovements!$B$2:$B$500,A106,StockMovements!$D$2:$D$500,"transfer")-SUMIFS(StockMovements!$E$2:$E$500,StockMovements!$B$2:$B$500,A106,StockMovements!$D$2:$D$500,"scrap"))</f>
        <v/>
      </c>
      <c r="E106" s="11">
        <f>IF(A106="","",Products!E106)</f>
        <v/>
      </c>
      <c r="F106" s="11">
        <f>IF(A106="","",D106*E106)</f>
        <v/>
      </c>
      <c r="G106" s="11">
        <f>IF(A106="","",Products!F106)</f>
        <v/>
      </c>
      <c r="H106" s="11">
        <f>IF(A106="","",IF(D106&lt;G106,"REORDER","OK"))</f>
        <v/>
      </c>
      <c r="I106" s="14">
        <f>IF(A106="","",IFERROR(_xlfn.MAXIFS(StockMovements!$A$2:$A$500,StockMovements!$B$2:$B$500,A106),0))</f>
        <v/>
      </c>
      <c r="J106" s="11">
        <f>IF(OR(A106="",I106=0),"",TODAY()-I106)</f>
        <v/>
      </c>
      <c r="K106" s="11">
        <f>IF(A106="","",IF(I106=0,"never moved",IF(J106&lt;=30,"0-30",IF(J106&lt;=60,"31-60",IF(J106&lt;=90,"61-90","90+")))))</f>
        <v/>
      </c>
    </row>
    <row r="107">
      <c r="A107" s="11">
        <f>Products!A107</f>
        <v/>
      </c>
      <c r="B107" s="11">
        <f>Products!B107</f>
        <v/>
      </c>
      <c r="C107" s="11">
        <f>Products!C107</f>
        <v/>
      </c>
      <c r="D107" s="11">
        <f>IF(A107="","",SUMIFS(StockMovements!$E$2:$E$500,StockMovements!$B$2:$B$500,A107,StockMovements!$D$2:$D$500,"receipt")+SUMIFS(StockMovements!$E$2:$E$500,StockMovements!$B$2:$B$500,A107,StockMovements!$D$2:$D$500,"production_in")+SUMIFS(StockMovements!$E$2:$E$500,StockMovements!$B$2:$B$500,A107,StockMovements!$D$2:$D$500,"adjustment")-SUMIFS(StockMovements!$E$2:$E$500,StockMovements!$B$2:$B$500,A107,StockMovements!$D$2:$D$500,"issue")-SUMIFS(StockMovements!$E$2:$E$500,StockMovements!$B$2:$B$500,A107,StockMovements!$D$2:$D$500,"production_out")-SUMIFS(StockMovements!$E$2:$E$500,StockMovements!$B$2:$B$500,A107,StockMovements!$D$2:$D$500,"transfer")-SUMIFS(StockMovements!$E$2:$E$500,StockMovements!$B$2:$B$500,A107,StockMovements!$D$2:$D$500,"scrap"))</f>
        <v/>
      </c>
      <c r="E107" s="11">
        <f>IF(A107="","",Products!E107)</f>
        <v/>
      </c>
      <c r="F107" s="11">
        <f>IF(A107="","",D107*E107)</f>
        <v/>
      </c>
      <c r="G107" s="11">
        <f>IF(A107="","",Products!F107)</f>
        <v/>
      </c>
      <c r="H107" s="11">
        <f>IF(A107="","",IF(D107&lt;G107,"REORDER","OK"))</f>
        <v/>
      </c>
      <c r="I107" s="14">
        <f>IF(A107="","",IFERROR(_xlfn.MAXIFS(StockMovements!$A$2:$A$500,StockMovements!$B$2:$B$500,A107),0))</f>
        <v/>
      </c>
      <c r="J107" s="11">
        <f>IF(OR(A107="",I107=0),"",TODAY()-I107)</f>
        <v/>
      </c>
      <c r="K107" s="11">
        <f>IF(A107="","",IF(I107=0,"never moved",IF(J107&lt;=30,"0-30",IF(J107&lt;=60,"31-60",IF(J107&lt;=90,"61-90","90+")))))</f>
        <v/>
      </c>
    </row>
    <row r="108">
      <c r="A108" s="11">
        <f>Products!A108</f>
        <v/>
      </c>
      <c r="B108" s="11">
        <f>Products!B108</f>
        <v/>
      </c>
      <c r="C108" s="11">
        <f>Products!C108</f>
        <v/>
      </c>
      <c r="D108" s="11">
        <f>IF(A108="","",SUMIFS(StockMovements!$E$2:$E$500,StockMovements!$B$2:$B$500,A108,StockMovements!$D$2:$D$500,"receipt")+SUMIFS(StockMovements!$E$2:$E$500,StockMovements!$B$2:$B$500,A108,StockMovements!$D$2:$D$500,"production_in")+SUMIFS(StockMovements!$E$2:$E$500,StockMovements!$B$2:$B$500,A108,StockMovements!$D$2:$D$500,"adjustment")-SUMIFS(StockMovements!$E$2:$E$500,StockMovements!$B$2:$B$500,A108,StockMovements!$D$2:$D$500,"issue")-SUMIFS(StockMovements!$E$2:$E$500,StockMovements!$B$2:$B$500,A108,StockMovements!$D$2:$D$500,"production_out")-SUMIFS(StockMovements!$E$2:$E$500,StockMovements!$B$2:$B$500,A108,StockMovements!$D$2:$D$500,"transfer")-SUMIFS(StockMovements!$E$2:$E$500,StockMovements!$B$2:$B$500,A108,StockMovements!$D$2:$D$500,"scrap"))</f>
        <v/>
      </c>
      <c r="E108" s="11">
        <f>IF(A108="","",Products!E108)</f>
        <v/>
      </c>
      <c r="F108" s="11">
        <f>IF(A108="","",D108*E108)</f>
        <v/>
      </c>
      <c r="G108" s="11">
        <f>IF(A108="","",Products!F108)</f>
        <v/>
      </c>
      <c r="H108" s="11">
        <f>IF(A108="","",IF(D108&lt;G108,"REORDER","OK"))</f>
        <v/>
      </c>
      <c r="I108" s="14">
        <f>IF(A108="","",IFERROR(_xlfn.MAXIFS(StockMovements!$A$2:$A$500,StockMovements!$B$2:$B$500,A108),0))</f>
        <v/>
      </c>
      <c r="J108" s="11">
        <f>IF(OR(A108="",I108=0),"",TODAY()-I108)</f>
        <v/>
      </c>
      <c r="K108" s="11">
        <f>IF(A108="","",IF(I108=0,"never moved",IF(J108&lt;=30,"0-30",IF(J108&lt;=60,"31-60",IF(J108&lt;=90,"61-90","90+")))))</f>
        <v/>
      </c>
    </row>
    <row r="109">
      <c r="A109" s="11">
        <f>Products!A109</f>
        <v/>
      </c>
      <c r="B109" s="11">
        <f>Products!B109</f>
        <v/>
      </c>
      <c r="C109" s="11">
        <f>Products!C109</f>
        <v/>
      </c>
      <c r="D109" s="11">
        <f>IF(A109="","",SUMIFS(StockMovements!$E$2:$E$500,StockMovements!$B$2:$B$500,A109,StockMovements!$D$2:$D$500,"receipt")+SUMIFS(StockMovements!$E$2:$E$500,StockMovements!$B$2:$B$500,A109,StockMovements!$D$2:$D$500,"production_in")+SUMIFS(StockMovements!$E$2:$E$500,StockMovements!$B$2:$B$500,A109,StockMovements!$D$2:$D$500,"adjustment")-SUMIFS(StockMovements!$E$2:$E$500,StockMovements!$B$2:$B$500,A109,StockMovements!$D$2:$D$500,"issue")-SUMIFS(StockMovements!$E$2:$E$500,StockMovements!$B$2:$B$500,A109,StockMovements!$D$2:$D$500,"production_out")-SUMIFS(StockMovements!$E$2:$E$500,StockMovements!$B$2:$B$500,A109,StockMovements!$D$2:$D$500,"transfer")-SUMIFS(StockMovements!$E$2:$E$500,StockMovements!$B$2:$B$500,A109,StockMovements!$D$2:$D$500,"scrap"))</f>
        <v/>
      </c>
      <c r="E109" s="11">
        <f>IF(A109="","",Products!E109)</f>
        <v/>
      </c>
      <c r="F109" s="11">
        <f>IF(A109="","",D109*E109)</f>
        <v/>
      </c>
      <c r="G109" s="11">
        <f>IF(A109="","",Products!F109)</f>
        <v/>
      </c>
      <c r="H109" s="11">
        <f>IF(A109="","",IF(D109&lt;G109,"REORDER","OK"))</f>
        <v/>
      </c>
      <c r="I109" s="14">
        <f>IF(A109="","",IFERROR(_xlfn.MAXIFS(StockMovements!$A$2:$A$500,StockMovements!$B$2:$B$500,A109),0))</f>
        <v/>
      </c>
      <c r="J109" s="11">
        <f>IF(OR(A109="",I109=0),"",TODAY()-I109)</f>
        <v/>
      </c>
      <c r="K109" s="11">
        <f>IF(A109="","",IF(I109=0,"never moved",IF(J109&lt;=30,"0-30",IF(J109&lt;=60,"31-60",IF(J109&lt;=90,"61-90","90+")))))</f>
        <v/>
      </c>
    </row>
    <row r="110">
      <c r="A110" s="11">
        <f>Products!A110</f>
        <v/>
      </c>
      <c r="B110" s="11">
        <f>Products!B110</f>
        <v/>
      </c>
      <c r="C110" s="11">
        <f>Products!C110</f>
        <v/>
      </c>
      <c r="D110" s="11">
        <f>IF(A110="","",SUMIFS(StockMovements!$E$2:$E$500,StockMovements!$B$2:$B$500,A110,StockMovements!$D$2:$D$500,"receipt")+SUMIFS(StockMovements!$E$2:$E$500,StockMovements!$B$2:$B$500,A110,StockMovements!$D$2:$D$500,"production_in")+SUMIFS(StockMovements!$E$2:$E$500,StockMovements!$B$2:$B$500,A110,StockMovements!$D$2:$D$500,"adjustment")-SUMIFS(StockMovements!$E$2:$E$500,StockMovements!$B$2:$B$500,A110,StockMovements!$D$2:$D$500,"issue")-SUMIFS(StockMovements!$E$2:$E$500,StockMovements!$B$2:$B$500,A110,StockMovements!$D$2:$D$500,"production_out")-SUMIFS(StockMovements!$E$2:$E$500,StockMovements!$B$2:$B$500,A110,StockMovements!$D$2:$D$500,"transfer")-SUMIFS(StockMovements!$E$2:$E$500,StockMovements!$B$2:$B$500,A110,StockMovements!$D$2:$D$500,"scrap"))</f>
        <v/>
      </c>
      <c r="E110" s="11">
        <f>IF(A110="","",Products!E110)</f>
        <v/>
      </c>
      <c r="F110" s="11">
        <f>IF(A110="","",D110*E110)</f>
        <v/>
      </c>
      <c r="G110" s="11">
        <f>IF(A110="","",Products!F110)</f>
        <v/>
      </c>
      <c r="H110" s="11">
        <f>IF(A110="","",IF(D110&lt;G110,"REORDER","OK"))</f>
        <v/>
      </c>
      <c r="I110" s="14">
        <f>IF(A110="","",IFERROR(_xlfn.MAXIFS(StockMovements!$A$2:$A$500,StockMovements!$B$2:$B$500,A110),0))</f>
        <v/>
      </c>
      <c r="J110" s="11">
        <f>IF(OR(A110="",I110=0),"",TODAY()-I110)</f>
        <v/>
      </c>
      <c r="K110" s="11">
        <f>IF(A110="","",IF(I110=0,"never moved",IF(J110&lt;=30,"0-30",IF(J110&lt;=60,"31-60",IF(J110&lt;=90,"61-90","90+")))))</f>
        <v/>
      </c>
    </row>
    <row r="111">
      <c r="A111" s="11">
        <f>Products!A111</f>
        <v/>
      </c>
      <c r="B111" s="11">
        <f>Products!B111</f>
        <v/>
      </c>
      <c r="C111" s="11">
        <f>Products!C111</f>
        <v/>
      </c>
      <c r="D111" s="11">
        <f>IF(A111="","",SUMIFS(StockMovements!$E$2:$E$500,StockMovements!$B$2:$B$500,A111,StockMovements!$D$2:$D$500,"receipt")+SUMIFS(StockMovements!$E$2:$E$500,StockMovements!$B$2:$B$500,A111,StockMovements!$D$2:$D$500,"production_in")+SUMIFS(StockMovements!$E$2:$E$500,StockMovements!$B$2:$B$500,A111,StockMovements!$D$2:$D$500,"adjustment")-SUMIFS(StockMovements!$E$2:$E$500,StockMovements!$B$2:$B$500,A111,StockMovements!$D$2:$D$500,"issue")-SUMIFS(StockMovements!$E$2:$E$500,StockMovements!$B$2:$B$500,A111,StockMovements!$D$2:$D$500,"production_out")-SUMIFS(StockMovements!$E$2:$E$500,StockMovements!$B$2:$B$500,A111,StockMovements!$D$2:$D$500,"transfer")-SUMIFS(StockMovements!$E$2:$E$500,StockMovements!$B$2:$B$500,A111,StockMovements!$D$2:$D$500,"scrap"))</f>
        <v/>
      </c>
      <c r="E111" s="11">
        <f>IF(A111="","",Products!E111)</f>
        <v/>
      </c>
      <c r="F111" s="11">
        <f>IF(A111="","",D111*E111)</f>
        <v/>
      </c>
      <c r="G111" s="11">
        <f>IF(A111="","",Products!F111)</f>
        <v/>
      </c>
      <c r="H111" s="11">
        <f>IF(A111="","",IF(D111&lt;G111,"REORDER","OK"))</f>
        <v/>
      </c>
      <c r="I111" s="14">
        <f>IF(A111="","",IFERROR(_xlfn.MAXIFS(StockMovements!$A$2:$A$500,StockMovements!$B$2:$B$500,A111),0))</f>
        <v/>
      </c>
      <c r="J111" s="11">
        <f>IF(OR(A111="",I111=0),"",TODAY()-I111)</f>
        <v/>
      </c>
      <c r="K111" s="11">
        <f>IF(A111="","",IF(I111=0,"never moved",IF(J111&lt;=30,"0-30",IF(J111&lt;=60,"31-60",IF(J111&lt;=90,"61-90","90+")))))</f>
        <v/>
      </c>
    </row>
    <row r="112">
      <c r="A112" s="11">
        <f>Products!A112</f>
        <v/>
      </c>
      <c r="B112" s="11">
        <f>Products!B112</f>
        <v/>
      </c>
      <c r="C112" s="11">
        <f>Products!C112</f>
        <v/>
      </c>
      <c r="D112" s="11">
        <f>IF(A112="","",SUMIFS(StockMovements!$E$2:$E$500,StockMovements!$B$2:$B$500,A112,StockMovements!$D$2:$D$500,"receipt")+SUMIFS(StockMovements!$E$2:$E$500,StockMovements!$B$2:$B$500,A112,StockMovements!$D$2:$D$500,"production_in")+SUMIFS(StockMovements!$E$2:$E$500,StockMovements!$B$2:$B$500,A112,StockMovements!$D$2:$D$500,"adjustment")-SUMIFS(StockMovements!$E$2:$E$500,StockMovements!$B$2:$B$500,A112,StockMovements!$D$2:$D$500,"issue")-SUMIFS(StockMovements!$E$2:$E$500,StockMovements!$B$2:$B$500,A112,StockMovements!$D$2:$D$500,"production_out")-SUMIFS(StockMovements!$E$2:$E$500,StockMovements!$B$2:$B$500,A112,StockMovements!$D$2:$D$500,"transfer")-SUMIFS(StockMovements!$E$2:$E$500,StockMovements!$B$2:$B$500,A112,StockMovements!$D$2:$D$500,"scrap"))</f>
        <v/>
      </c>
      <c r="E112" s="11">
        <f>IF(A112="","",Products!E112)</f>
        <v/>
      </c>
      <c r="F112" s="11">
        <f>IF(A112="","",D112*E112)</f>
        <v/>
      </c>
      <c r="G112" s="11">
        <f>IF(A112="","",Products!F112)</f>
        <v/>
      </c>
      <c r="H112" s="11">
        <f>IF(A112="","",IF(D112&lt;G112,"REORDER","OK"))</f>
        <v/>
      </c>
      <c r="I112" s="14">
        <f>IF(A112="","",IFERROR(_xlfn.MAXIFS(StockMovements!$A$2:$A$500,StockMovements!$B$2:$B$500,A112),0))</f>
        <v/>
      </c>
      <c r="J112" s="11">
        <f>IF(OR(A112="",I112=0),"",TODAY()-I112)</f>
        <v/>
      </c>
      <c r="K112" s="11">
        <f>IF(A112="","",IF(I112=0,"never moved",IF(J112&lt;=30,"0-30",IF(J112&lt;=60,"31-60",IF(J112&lt;=90,"61-90","90+")))))</f>
        <v/>
      </c>
    </row>
    <row r="113">
      <c r="A113" s="11">
        <f>Products!A113</f>
        <v/>
      </c>
      <c r="B113" s="11">
        <f>Products!B113</f>
        <v/>
      </c>
      <c r="C113" s="11">
        <f>Products!C113</f>
        <v/>
      </c>
      <c r="D113" s="11">
        <f>IF(A113="","",SUMIFS(StockMovements!$E$2:$E$500,StockMovements!$B$2:$B$500,A113,StockMovements!$D$2:$D$500,"receipt")+SUMIFS(StockMovements!$E$2:$E$500,StockMovements!$B$2:$B$500,A113,StockMovements!$D$2:$D$500,"production_in")+SUMIFS(StockMovements!$E$2:$E$500,StockMovements!$B$2:$B$500,A113,StockMovements!$D$2:$D$500,"adjustment")-SUMIFS(StockMovements!$E$2:$E$500,StockMovements!$B$2:$B$500,A113,StockMovements!$D$2:$D$500,"issue")-SUMIFS(StockMovements!$E$2:$E$500,StockMovements!$B$2:$B$500,A113,StockMovements!$D$2:$D$500,"production_out")-SUMIFS(StockMovements!$E$2:$E$500,StockMovements!$B$2:$B$500,A113,StockMovements!$D$2:$D$500,"transfer")-SUMIFS(StockMovements!$E$2:$E$500,StockMovements!$B$2:$B$500,A113,StockMovements!$D$2:$D$500,"scrap"))</f>
        <v/>
      </c>
      <c r="E113" s="11">
        <f>IF(A113="","",Products!E113)</f>
        <v/>
      </c>
      <c r="F113" s="11">
        <f>IF(A113="","",D113*E113)</f>
        <v/>
      </c>
      <c r="G113" s="11">
        <f>IF(A113="","",Products!F113)</f>
        <v/>
      </c>
      <c r="H113" s="11">
        <f>IF(A113="","",IF(D113&lt;G113,"REORDER","OK"))</f>
        <v/>
      </c>
      <c r="I113" s="14">
        <f>IF(A113="","",IFERROR(_xlfn.MAXIFS(StockMovements!$A$2:$A$500,StockMovements!$B$2:$B$500,A113),0))</f>
        <v/>
      </c>
      <c r="J113" s="11">
        <f>IF(OR(A113="",I113=0),"",TODAY()-I113)</f>
        <v/>
      </c>
      <c r="K113" s="11">
        <f>IF(A113="","",IF(I113=0,"never moved",IF(J113&lt;=30,"0-30",IF(J113&lt;=60,"31-60",IF(J113&lt;=90,"61-90","90+")))))</f>
        <v/>
      </c>
    </row>
    <row r="114">
      <c r="A114" s="11">
        <f>Products!A114</f>
        <v/>
      </c>
      <c r="B114" s="11">
        <f>Products!B114</f>
        <v/>
      </c>
      <c r="C114" s="11">
        <f>Products!C114</f>
        <v/>
      </c>
      <c r="D114" s="11">
        <f>IF(A114="","",SUMIFS(StockMovements!$E$2:$E$500,StockMovements!$B$2:$B$500,A114,StockMovements!$D$2:$D$500,"receipt")+SUMIFS(StockMovements!$E$2:$E$500,StockMovements!$B$2:$B$500,A114,StockMovements!$D$2:$D$500,"production_in")+SUMIFS(StockMovements!$E$2:$E$500,StockMovements!$B$2:$B$500,A114,StockMovements!$D$2:$D$500,"adjustment")-SUMIFS(StockMovements!$E$2:$E$500,StockMovements!$B$2:$B$500,A114,StockMovements!$D$2:$D$500,"issue")-SUMIFS(StockMovements!$E$2:$E$500,StockMovements!$B$2:$B$500,A114,StockMovements!$D$2:$D$500,"production_out")-SUMIFS(StockMovements!$E$2:$E$500,StockMovements!$B$2:$B$500,A114,StockMovements!$D$2:$D$500,"transfer")-SUMIFS(StockMovements!$E$2:$E$500,StockMovements!$B$2:$B$500,A114,StockMovements!$D$2:$D$500,"scrap"))</f>
        <v/>
      </c>
      <c r="E114" s="11">
        <f>IF(A114="","",Products!E114)</f>
        <v/>
      </c>
      <c r="F114" s="11">
        <f>IF(A114="","",D114*E114)</f>
        <v/>
      </c>
      <c r="G114" s="11">
        <f>IF(A114="","",Products!F114)</f>
        <v/>
      </c>
      <c r="H114" s="11">
        <f>IF(A114="","",IF(D114&lt;G114,"REORDER","OK"))</f>
        <v/>
      </c>
      <c r="I114" s="14">
        <f>IF(A114="","",IFERROR(_xlfn.MAXIFS(StockMovements!$A$2:$A$500,StockMovements!$B$2:$B$500,A114),0))</f>
        <v/>
      </c>
      <c r="J114" s="11">
        <f>IF(OR(A114="",I114=0),"",TODAY()-I114)</f>
        <v/>
      </c>
      <c r="K114" s="11">
        <f>IF(A114="","",IF(I114=0,"never moved",IF(J114&lt;=30,"0-30",IF(J114&lt;=60,"31-60",IF(J114&lt;=90,"61-90","90+")))))</f>
        <v/>
      </c>
    </row>
    <row r="115">
      <c r="A115" s="11">
        <f>Products!A115</f>
        <v/>
      </c>
      <c r="B115" s="11">
        <f>Products!B115</f>
        <v/>
      </c>
      <c r="C115" s="11">
        <f>Products!C115</f>
        <v/>
      </c>
      <c r="D115" s="11">
        <f>IF(A115="","",SUMIFS(StockMovements!$E$2:$E$500,StockMovements!$B$2:$B$500,A115,StockMovements!$D$2:$D$500,"receipt")+SUMIFS(StockMovements!$E$2:$E$500,StockMovements!$B$2:$B$500,A115,StockMovements!$D$2:$D$500,"production_in")+SUMIFS(StockMovements!$E$2:$E$500,StockMovements!$B$2:$B$500,A115,StockMovements!$D$2:$D$500,"adjustment")-SUMIFS(StockMovements!$E$2:$E$500,StockMovements!$B$2:$B$500,A115,StockMovements!$D$2:$D$500,"issue")-SUMIFS(StockMovements!$E$2:$E$500,StockMovements!$B$2:$B$500,A115,StockMovements!$D$2:$D$500,"production_out")-SUMIFS(StockMovements!$E$2:$E$500,StockMovements!$B$2:$B$500,A115,StockMovements!$D$2:$D$500,"transfer")-SUMIFS(StockMovements!$E$2:$E$500,StockMovements!$B$2:$B$500,A115,StockMovements!$D$2:$D$500,"scrap"))</f>
        <v/>
      </c>
      <c r="E115" s="11">
        <f>IF(A115="","",Products!E115)</f>
        <v/>
      </c>
      <c r="F115" s="11">
        <f>IF(A115="","",D115*E115)</f>
        <v/>
      </c>
      <c r="G115" s="11">
        <f>IF(A115="","",Products!F115)</f>
        <v/>
      </c>
      <c r="H115" s="11">
        <f>IF(A115="","",IF(D115&lt;G115,"REORDER","OK"))</f>
        <v/>
      </c>
      <c r="I115" s="14">
        <f>IF(A115="","",IFERROR(_xlfn.MAXIFS(StockMovements!$A$2:$A$500,StockMovements!$B$2:$B$500,A115),0))</f>
        <v/>
      </c>
      <c r="J115" s="11">
        <f>IF(OR(A115="",I115=0),"",TODAY()-I115)</f>
        <v/>
      </c>
      <c r="K115" s="11">
        <f>IF(A115="","",IF(I115=0,"never moved",IF(J115&lt;=30,"0-30",IF(J115&lt;=60,"31-60",IF(J115&lt;=90,"61-90","90+")))))</f>
        <v/>
      </c>
    </row>
    <row r="116">
      <c r="A116" s="11">
        <f>Products!A116</f>
        <v/>
      </c>
      <c r="B116" s="11">
        <f>Products!B116</f>
        <v/>
      </c>
      <c r="C116" s="11">
        <f>Products!C116</f>
        <v/>
      </c>
      <c r="D116" s="11">
        <f>IF(A116="","",SUMIFS(StockMovements!$E$2:$E$500,StockMovements!$B$2:$B$500,A116,StockMovements!$D$2:$D$500,"receipt")+SUMIFS(StockMovements!$E$2:$E$500,StockMovements!$B$2:$B$500,A116,StockMovements!$D$2:$D$500,"production_in")+SUMIFS(StockMovements!$E$2:$E$500,StockMovements!$B$2:$B$500,A116,StockMovements!$D$2:$D$500,"adjustment")-SUMIFS(StockMovements!$E$2:$E$500,StockMovements!$B$2:$B$500,A116,StockMovements!$D$2:$D$500,"issue")-SUMIFS(StockMovements!$E$2:$E$500,StockMovements!$B$2:$B$500,A116,StockMovements!$D$2:$D$500,"production_out")-SUMIFS(StockMovements!$E$2:$E$500,StockMovements!$B$2:$B$500,A116,StockMovements!$D$2:$D$500,"transfer")-SUMIFS(StockMovements!$E$2:$E$500,StockMovements!$B$2:$B$500,A116,StockMovements!$D$2:$D$500,"scrap"))</f>
        <v/>
      </c>
      <c r="E116" s="11">
        <f>IF(A116="","",Products!E116)</f>
        <v/>
      </c>
      <c r="F116" s="11">
        <f>IF(A116="","",D116*E116)</f>
        <v/>
      </c>
      <c r="G116" s="11">
        <f>IF(A116="","",Products!F116)</f>
        <v/>
      </c>
      <c r="H116" s="11">
        <f>IF(A116="","",IF(D116&lt;G116,"REORDER","OK"))</f>
        <v/>
      </c>
      <c r="I116" s="14">
        <f>IF(A116="","",IFERROR(_xlfn.MAXIFS(StockMovements!$A$2:$A$500,StockMovements!$B$2:$B$500,A116),0))</f>
        <v/>
      </c>
      <c r="J116" s="11">
        <f>IF(OR(A116="",I116=0),"",TODAY()-I116)</f>
        <v/>
      </c>
      <c r="K116" s="11">
        <f>IF(A116="","",IF(I116=0,"never moved",IF(J116&lt;=30,"0-30",IF(J116&lt;=60,"31-60",IF(J116&lt;=90,"61-90","90+")))))</f>
        <v/>
      </c>
    </row>
    <row r="117">
      <c r="A117" s="11">
        <f>Products!A117</f>
        <v/>
      </c>
      <c r="B117" s="11">
        <f>Products!B117</f>
        <v/>
      </c>
      <c r="C117" s="11">
        <f>Products!C117</f>
        <v/>
      </c>
      <c r="D117" s="11">
        <f>IF(A117="","",SUMIFS(StockMovements!$E$2:$E$500,StockMovements!$B$2:$B$500,A117,StockMovements!$D$2:$D$500,"receipt")+SUMIFS(StockMovements!$E$2:$E$500,StockMovements!$B$2:$B$500,A117,StockMovements!$D$2:$D$500,"production_in")+SUMIFS(StockMovements!$E$2:$E$500,StockMovements!$B$2:$B$500,A117,StockMovements!$D$2:$D$500,"adjustment")-SUMIFS(StockMovements!$E$2:$E$500,StockMovements!$B$2:$B$500,A117,StockMovements!$D$2:$D$500,"issue")-SUMIFS(StockMovements!$E$2:$E$500,StockMovements!$B$2:$B$500,A117,StockMovements!$D$2:$D$500,"production_out")-SUMIFS(StockMovements!$E$2:$E$500,StockMovements!$B$2:$B$500,A117,StockMovements!$D$2:$D$500,"transfer")-SUMIFS(StockMovements!$E$2:$E$500,StockMovements!$B$2:$B$500,A117,StockMovements!$D$2:$D$500,"scrap"))</f>
        <v/>
      </c>
      <c r="E117" s="11">
        <f>IF(A117="","",Products!E117)</f>
        <v/>
      </c>
      <c r="F117" s="11">
        <f>IF(A117="","",D117*E117)</f>
        <v/>
      </c>
      <c r="G117" s="11">
        <f>IF(A117="","",Products!F117)</f>
        <v/>
      </c>
      <c r="H117" s="11">
        <f>IF(A117="","",IF(D117&lt;G117,"REORDER","OK"))</f>
        <v/>
      </c>
      <c r="I117" s="14">
        <f>IF(A117="","",IFERROR(_xlfn.MAXIFS(StockMovements!$A$2:$A$500,StockMovements!$B$2:$B$500,A117),0))</f>
        <v/>
      </c>
      <c r="J117" s="11">
        <f>IF(OR(A117="",I117=0),"",TODAY()-I117)</f>
        <v/>
      </c>
      <c r="K117" s="11">
        <f>IF(A117="","",IF(I117=0,"never moved",IF(J117&lt;=30,"0-30",IF(J117&lt;=60,"31-60",IF(J117&lt;=90,"61-90","90+")))))</f>
        <v/>
      </c>
    </row>
    <row r="118">
      <c r="A118" s="11">
        <f>Products!A118</f>
        <v/>
      </c>
      <c r="B118" s="11">
        <f>Products!B118</f>
        <v/>
      </c>
      <c r="C118" s="11">
        <f>Products!C118</f>
        <v/>
      </c>
      <c r="D118" s="11">
        <f>IF(A118="","",SUMIFS(StockMovements!$E$2:$E$500,StockMovements!$B$2:$B$500,A118,StockMovements!$D$2:$D$500,"receipt")+SUMIFS(StockMovements!$E$2:$E$500,StockMovements!$B$2:$B$500,A118,StockMovements!$D$2:$D$500,"production_in")+SUMIFS(StockMovements!$E$2:$E$500,StockMovements!$B$2:$B$500,A118,StockMovements!$D$2:$D$500,"adjustment")-SUMIFS(StockMovements!$E$2:$E$500,StockMovements!$B$2:$B$500,A118,StockMovements!$D$2:$D$500,"issue")-SUMIFS(StockMovements!$E$2:$E$500,StockMovements!$B$2:$B$500,A118,StockMovements!$D$2:$D$500,"production_out")-SUMIFS(StockMovements!$E$2:$E$500,StockMovements!$B$2:$B$500,A118,StockMovements!$D$2:$D$500,"transfer")-SUMIFS(StockMovements!$E$2:$E$500,StockMovements!$B$2:$B$500,A118,StockMovements!$D$2:$D$500,"scrap"))</f>
        <v/>
      </c>
      <c r="E118" s="11">
        <f>IF(A118="","",Products!E118)</f>
        <v/>
      </c>
      <c r="F118" s="11">
        <f>IF(A118="","",D118*E118)</f>
        <v/>
      </c>
      <c r="G118" s="11">
        <f>IF(A118="","",Products!F118)</f>
        <v/>
      </c>
      <c r="H118" s="11">
        <f>IF(A118="","",IF(D118&lt;G118,"REORDER","OK"))</f>
        <v/>
      </c>
      <c r="I118" s="14">
        <f>IF(A118="","",IFERROR(_xlfn.MAXIFS(StockMovements!$A$2:$A$500,StockMovements!$B$2:$B$500,A118),0))</f>
        <v/>
      </c>
      <c r="J118" s="11">
        <f>IF(OR(A118="",I118=0),"",TODAY()-I118)</f>
        <v/>
      </c>
      <c r="K118" s="11">
        <f>IF(A118="","",IF(I118=0,"never moved",IF(J118&lt;=30,"0-30",IF(J118&lt;=60,"31-60",IF(J118&lt;=90,"61-90","90+")))))</f>
        <v/>
      </c>
    </row>
    <row r="119">
      <c r="A119" s="11">
        <f>Products!A119</f>
        <v/>
      </c>
      <c r="B119" s="11">
        <f>Products!B119</f>
        <v/>
      </c>
      <c r="C119" s="11">
        <f>Products!C119</f>
        <v/>
      </c>
      <c r="D119" s="11">
        <f>IF(A119="","",SUMIFS(StockMovements!$E$2:$E$500,StockMovements!$B$2:$B$500,A119,StockMovements!$D$2:$D$500,"receipt")+SUMIFS(StockMovements!$E$2:$E$500,StockMovements!$B$2:$B$500,A119,StockMovements!$D$2:$D$500,"production_in")+SUMIFS(StockMovements!$E$2:$E$500,StockMovements!$B$2:$B$500,A119,StockMovements!$D$2:$D$500,"adjustment")-SUMIFS(StockMovements!$E$2:$E$500,StockMovements!$B$2:$B$500,A119,StockMovements!$D$2:$D$500,"issue")-SUMIFS(StockMovements!$E$2:$E$500,StockMovements!$B$2:$B$500,A119,StockMovements!$D$2:$D$500,"production_out")-SUMIFS(StockMovements!$E$2:$E$500,StockMovements!$B$2:$B$500,A119,StockMovements!$D$2:$D$500,"transfer")-SUMIFS(StockMovements!$E$2:$E$500,StockMovements!$B$2:$B$500,A119,StockMovements!$D$2:$D$500,"scrap"))</f>
        <v/>
      </c>
      <c r="E119" s="11">
        <f>IF(A119="","",Products!E119)</f>
        <v/>
      </c>
      <c r="F119" s="11">
        <f>IF(A119="","",D119*E119)</f>
        <v/>
      </c>
      <c r="G119" s="11">
        <f>IF(A119="","",Products!F119)</f>
        <v/>
      </c>
      <c r="H119" s="11">
        <f>IF(A119="","",IF(D119&lt;G119,"REORDER","OK"))</f>
        <v/>
      </c>
      <c r="I119" s="14">
        <f>IF(A119="","",IFERROR(_xlfn.MAXIFS(StockMovements!$A$2:$A$500,StockMovements!$B$2:$B$500,A119),0))</f>
        <v/>
      </c>
      <c r="J119" s="11">
        <f>IF(OR(A119="",I119=0),"",TODAY()-I119)</f>
        <v/>
      </c>
      <c r="K119" s="11">
        <f>IF(A119="","",IF(I119=0,"never moved",IF(J119&lt;=30,"0-30",IF(J119&lt;=60,"31-60",IF(J119&lt;=90,"61-90","90+")))))</f>
        <v/>
      </c>
    </row>
    <row r="120">
      <c r="A120" s="11">
        <f>Products!A120</f>
        <v/>
      </c>
      <c r="B120" s="11">
        <f>Products!B120</f>
        <v/>
      </c>
      <c r="C120" s="11">
        <f>Products!C120</f>
        <v/>
      </c>
      <c r="D120" s="11">
        <f>IF(A120="","",SUMIFS(StockMovements!$E$2:$E$500,StockMovements!$B$2:$B$500,A120,StockMovements!$D$2:$D$500,"receipt")+SUMIFS(StockMovements!$E$2:$E$500,StockMovements!$B$2:$B$500,A120,StockMovements!$D$2:$D$500,"production_in")+SUMIFS(StockMovements!$E$2:$E$500,StockMovements!$B$2:$B$500,A120,StockMovements!$D$2:$D$500,"adjustment")-SUMIFS(StockMovements!$E$2:$E$500,StockMovements!$B$2:$B$500,A120,StockMovements!$D$2:$D$500,"issue")-SUMIFS(StockMovements!$E$2:$E$500,StockMovements!$B$2:$B$500,A120,StockMovements!$D$2:$D$500,"production_out")-SUMIFS(StockMovements!$E$2:$E$500,StockMovements!$B$2:$B$500,A120,StockMovements!$D$2:$D$500,"transfer")-SUMIFS(StockMovements!$E$2:$E$500,StockMovements!$B$2:$B$500,A120,StockMovements!$D$2:$D$500,"scrap"))</f>
        <v/>
      </c>
      <c r="E120" s="11">
        <f>IF(A120="","",Products!E120)</f>
        <v/>
      </c>
      <c r="F120" s="11">
        <f>IF(A120="","",D120*E120)</f>
        <v/>
      </c>
      <c r="G120" s="11">
        <f>IF(A120="","",Products!F120)</f>
        <v/>
      </c>
      <c r="H120" s="11">
        <f>IF(A120="","",IF(D120&lt;G120,"REORDER","OK"))</f>
        <v/>
      </c>
      <c r="I120" s="14">
        <f>IF(A120="","",IFERROR(_xlfn.MAXIFS(StockMovements!$A$2:$A$500,StockMovements!$B$2:$B$500,A120),0))</f>
        <v/>
      </c>
      <c r="J120" s="11">
        <f>IF(OR(A120="",I120=0),"",TODAY()-I120)</f>
        <v/>
      </c>
      <c r="K120" s="11">
        <f>IF(A120="","",IF(I120=0,"never moved",IF(J120&lt;=30,"0-30",IF(J120&lt;=60,"31-60",IF(J120&lt;=90,"61-90","90+")))))</f>
        <v/>
      </c>
    </row>
    <row r="121">
      <c r="A121" s="11">
        <f>Products!A121</f>
        <v/>
      </c>
      <c r="B121" s="11">
        <f>Products!B121</f>
        <v/>
      </c>
      <c r="C121" s="11">
        <f>Products!C121</f>
        <v/>
      </c>
      <c r="D121" s="11">
        <f>IF(A121="","",SUMIFS(StockMovements!$E$2:$E$500,StockMovements!$B$2:$B$500,A121,StockMovements!$D$2:$D$500,"receipt")+SUMIFS(StockMovements!$E$2:$E$500,StockMovements!$B$2:$B$500,A121,StockMovements!$D$2:$D$500,"production_in")+SUMIFS(StockMovements!$E$2:$E$500,StockMovements!$B$2:$B$500,A121,StockMovements!$D$2:$D$500,"adjustment")-SUMIFS(StockMovements!$E$2:$E$500,StockMovements!$B$2:$B$500,A121,StockMovements!$D$2:$D$500,"issue")-SUMIFS(StockMovements!$E$2:$E$500,StockMovements!$B$2:$B$500,A121,StockMovements!$D$2:$D$500,"production_out")-SUMIFS(StockMovements!$E$2:$E$500,StockMovements!$B$2:$B$500,A121,StockMovements!$D$2:$D$500,"transfer")-SUMIFS(StockMovements!$E$2:$E$500,StockMovements!$B$2:$B$500,A121,StockMovements!$D$2:$D$500,"scrap"))</f>
        <v/>
      </c>
      <c r="E121" s="11">
        <f>IF(A121="","",Products!E121)</f>
        <v/>
      </c>
      <c r="F121" s="11">
        <f>IF(A121="","",D121*E121)</f>
        <v/>
      </c>
      <c r="G121" s="11">
        <f>IF(A121="","",Products!F121)</f>
        <v/>
      </c>
      <c r="H121" s="11">
        <f>IF(A121="","",IF(D121&lt;G121,"REORDER","OK"))</f>
        <v/>
      </c>
      <c r="I121" s="14">
        <f>IF(A121="","",IFERROR(_xlfn.MAXIFS(StockMovements!$A$2:$A$500,StockMovements!$B$2:$B$500,A121),0))</f>
        <v/>
      </c>
      <c r="J121" s="11">
        <f>IF(OR(A121="",I121=0),"",TODAY()-I121)</f>
        <v/>
      </c>
      <c r="K121" s="11">
        <f>IF(A121="","",IF(I121=0,"never moved",IF(J121&lt;=30,"0-30",IF(J121&lt;=60,"31-60",IF(J121&lt;=90,"61-90","90+")))))</f>
        <v/>
      </c>
    </row>
    <row r="122">
      <c r="A122" s="11">
        <f>Products!A122</f>
        <v/>
      </c>
      <c r="B122" s="11">
        <f>Products!B122</f>
        <v/>
      </c>
      <c r="C122" s="11">
        <f>Products!C122</f>
        <v/>
      </c>
      <c r="D122" s="11">
        <f>IF(A122="","",SUMIFS(StockMovements!$E$2:$E$500,StockMovements!$B$2:$B$500,A122,StockMovements!$D$2:$D$500,"receipt")+SUMIFS(StockMovements!$E$2:$E$500,StockMovements!$B$2:$B$500,A122,StockMovements!$D$2:$D$500,"production_in")+SUMIFS(StockMovements!$E$2:$E$500,StockMovements!$B$2:$B$500,A122,StockMovements!$D$2:$D$500,"adjustment")-SUMIFS(StockMovements!$E$2:$E$500,StockMovements!$B$2:$B$500,A122,StockMovements!$D$2:$D$500,"issue")-SUMIFS(StockMovements!$E$2:$E$500,StockMovements!$B$2:$B$500,A122,StockMovements!$D$2:$D$500,"production_out")-SUMIFS(StockMovements!$E$2:$E$500,StockMovements!$B$2:$B$500,A122,StockMovements!$D$2:$D$500,"transfer")-SUMIFS(StockMovements!$E$2:$E$500,StockMovements!$B$2:$B$500,A122,StockMovements!$D$2:$D$500,"scrap"))</f>
        <v/>
      </c>
      <c r="E122" s="11">
        <f>IF(A122="","",Products!E122)</f>
        <v/>
      </c>
      <c r="F122" s="11">
        <f>IF(A122="","",D122*E122)</f>
        <v/>
      </c>
      <c r="G122" s="11">
        <f>IF(A122="","",Products!F122)</f>
        <v/>
      </c>
      <c r="H122" s="11">
        <f>IF(A122="","",IF(D122&lt;G122,"REORDER","OK"))</f>
        <v/>
      </c>
      <c r="I122" s="14">
        <f>IF(A122="","",IFERROR(_xlfn.MAXIFS(StockMovements!$A$2:$A$500,StockMovements!$B$2:$B$500,A122),0))</f>
        <v/>
      </c>
      <c r="J122" s="11">
        <f>IF(OR(A122="",I122=0),"",TODAY()-I122)</f>
        <v/>
      </c>
      <c r="K122" s="11">
        <f>IF(A122="","",IF(I122=0,"never moved",IF(J122&lt;=30,"0-30",IF(J122&lt;=60,"31-60",IF(J122&lt;=90,"61-90","90+")))))</f>
        <v/>
      </c>
    </row>
    <row r="123">
      <c r="A123" s="11">
        <f>Products!A123</f>
        <v/>
      </c>
      <c r="B123" s="11">
        <f>Products!B123</f>
        <v/>
      </c>
      <c r="C123" s="11">
        <f>Products!C123</f>
        <v/>
      </c>
      <c r="D123" s="11">
        <f>IF(A123="","",SUMIFS(StockMovements!$E$2:$E$500,StockMovements!$B$2:$B$500,A123,StockMovements!$D$2:$D$500,"receipt")+SUMIFS(StockMovements!$E$2:$E$500,StockMovements!$B$2:$B$500,A123,StockMovements!$D$2:$D$500,"production_in")+SUMIFS(StockMovements!$E$2:$E$500,StockMovements!$B$2:$B$500,A123,StockMovements!$D$2:$D$500,"adjustment")-SUMIFS(StockMovements!$E$2:$E$500,StockMovements!$B$2:$B$500,A123,StockMovements!$D$2:$D$500,"issue")-SUMIFS(StockMovements!$E$2:$E$500,StockMovements!$B$2:$B$500,A123,StockMovements!$D$2:$D$500,"production_out")-SUMIFS(StockMovements!$E$2:$E$500,StockMovements!$B$2:$B$500,A123,StockMovements!$D$2:$D$500,"transfer")-SUMIFS(StockMovements!$E$2:$E$500,StockMovements!$B$2:$B$500,A123,StockMovements!$D$2:$D$500,"scrap"))</f>
        <v/>
      </c>
      <c r="E123" s="11">
        <f>IF(A123="","",Products!E123)</f>
        <v/>
      </c>
      <c r="F123" s="11">
        <f>IF(A123="","",D123*E123)</f>
        <v/>
      </c>
      <c r="G123" s="11">
        <f>IF(A123="","",Products!F123)</f>
        <v/>
      </c>
      <c r="H123" s="11">
        <f>IF(A123="","",IF(D123&lt;G123,"REORDER","OK"))</f>
        <v/>
      </c>
      <c r="I123" s="14">
        <f>IF(A123="","",IFERROR(_xlfn.MAXIFS(StockMovements!$A$2:$A$500,StockMovements!$B$2:$B$500,A123),0))</f>
        <v/>
      </c>
      <c r="J123" s="11">
        <f>IF(OR(A123="",I123=0),"",TODAY()-I123)</f>
        <v/>
      </c>
      <c r="K123" s="11">
        <f>IF(A123="","",IF(I123=0,"never moved",IF(J123&lt;=30,"0-30",IF(J123&lt;=60,"31-60",IF(J123&lt;=90,"61-90","90+")))))</f>
        <v/>
      </c>
    </row>
    <row r="124">
      <c r="A124" s="11">
        <f>Products!A124</f>
        <v/>
      </c>
      <c r="B124" s="11">
        <f>Products!B124</f>
        <v/>
      </c>
      <c r="C124" s="11">
        <f>Products!C124</f>
        <v/>
      </c>
      <c r="D124" s="11">
        <f>IF(A124="","",SUMIFS(StockMovements!$E$2:$E$500,StockMovements!$B$2:$B$500,A124,StockMovements!$D$2:$D$500,"receipt")+SUMIFS(StockMovements!$E$2:$E$500,StockMovements!$B$2:$B$500,A124,StockMovements!$D$2:$D$500,"production_in")+SUMIFS(StockMovements!$E$2:$E$500,StockMovements!$B$2:$B$500,A124,StockMovements!$D$2:$D$500,"adjustment")-SUMIFS(StockMovements!$E$2:$E$500,StockMovements!$B$2:$B$500,A124,StockMovements!$D$2:$D$500,"issue")-SUMIFS(StockMovements!$E$2:$E$500,StockMovements!$B$2:$B$500,A124,StockMovements!$D$2:$D$500,"production_out")-SUMIFS(StockMovements!$E$2:$E$500,StockMovements!$B$2:$B$500,A124,StockMovements!$D$2:$D$500,"transfer")-SUMIFS(StockMovements!$E$2:$E$500,StockMovements!$B$2:$B$500,A124,StockMovements!$D$2:$D$500,"scrap"))</f>
        <v/>
      </c>
      <c r="E124" s="11">
        <f>IF(A124="","",Products!E124)</f>
        <v/>
      </c>
      <c r="F124" s="11">
        <f>IF(A124="","",D124*E124)</f>
        <v/>
      </c>
      <c r="G124" s="11">
        <f>IF(A124="","",Products!F124)</f>
        <v/>
      </c>
      <c r="H124" s="11">
        <f>IF(A124="","",IF(D124&lt;G124,"REORDER","OK"))</f>
        <v/>
      </c>
      <c r="I124" s="14">
        <f>IF(A124="","",IFERROR(_xlfn.MAXIFS(StockMovements!$A$2:$A$500,StockMovements!$B$2:$B$500,A124),0))</f>
        <v/>
      </c>
      <c r="J124" s="11">
        <f>IF(OR(A124="",I124=0),"",TODAY()-I124)</f>
        <v/>
      </c>
      <c r="K124" s="11">
        <f>IF(A124="","",IF(I124=0,"never moved",IF(J124&lt;=30,"0-30",IF(J124&lt;=60,"31-60",IF(J124&lt;=90,"61-90","90+")))))</f>
        <v/>
      </c>
    </row>
    <row r="125">
      <c r="A125" s="11">
        <f>Products!A125</f>
        <v/>
      </c>
      <c r="B125" s="11">
        <f>Products!B125</f>
        <v/>
      </c>
      <c r="C125" s="11">
        <f>Products!C125</f>
        <v/>
      </c>
      <c r="D125" s="11">
        <f>IF(A125="","",SUMIFS(StockMovements!$E$2:$E$500,StockMovements!$B$2:$B$500,A125,StockMovements!$D$2:$D$500,"receipt")+SUMIFS(StockMovements!$E$2:$E$500,StockMovements!$B$2:$B$500,A125,StockMovements!$D$2:$D$500,"production_in")+SUMIFS(StockMovements!$E$2:$E$500,StockMovements!$B$2:$B$500,A125,StockMovements!$D$2:$D$500,"adjustment")-SUMIFS(StockMovements!$E$2:$E$500,StockMovements!$B$2:$B$500,A125,StockMovements!$D$2:$D$500,"issue")-SUMIFS(StockMovements!$E$2:$E$500,StockMovements!$B$2:$B$500,A125,StockMovements!$D$2:$D$500,"production_out")-SUMIFS(StockMovements!$E$2:$E$500,StockMovements!$B$2:$B$500,A125,StockMovements!$D$2:$D$500,"transfer")-SUMIFS(StockMovements!$E$2:$E$500,StockMovements!$B$2:$B$500,A125,StockMovements!$D$2:$D$500,"scrap"))</f>
        <v/>
      </c>
      <c r="E125" s="11">
        <f>IF(A125="","",Products!E125)</f>
        <v/>
      </c>
      <c r="F125" s="11">
        <f>IF(A125="","",D125*E125)</f>
        <v/>
      </c>
      <c r="G125" s="11">
        <f>IF(A125="","",Products!F125)</f>
        <v/>
      </c>
      <c r="H125" s="11">
        <f>IF(A125="","",IF(D125&lt;G125,"REORDER","OK"))</f>
        <v/>
      </c>
      <c r="I125" s="14">
        <f>IF(A125="","",IFERROR(_xlfn.MAXIFS(StockMovements!$A$2:$A$500,StockMovements!$B$2:$B$500,A125),0))</f>
        <v/>
      </c>
      <c r="J125" s="11">
        <f>IF(OR(A125="",I125=0),"",TODAY()-I125)</f>
        <v/>
      </c>
      <c r="K125" s="11">
        <f>IF(A125="","",IF(I125=0,"never moved",IF(J125&lt;=30,"0-30",IF(J125&lt;=60,"31-60",IF(J125&lt;=90,"61-90","90+")))))</f>
        <v/>
      </c>
    </row>
    <row r="126">
      <c r="A126" s="11">
        <f>Products!A126</f>
        <v/>
      </c>
      <c r="B126" s="11">
        <f>Products!B126</f>
        <v/>
      </c>
      <c r="C126" s="11">
        <f>Products!C126</f>
        <v/>
      </c>
      <c r="D126" s="11">
        <f>IF(A126="","",SUMIFS(StockMovements!$E$2:$E$500,StockMovements!$B$2:$B$500,A126,StockMovements!$D$2:$D$500,"receipt")+SUMIFS(StockMovements!$E$2:$E$500,StockMovements!$B$2:$B$500,A126,StockMovements!$D$2:$D$500,"production_in")+SUMIFS(StockMovements!$E$2:$E$500,StockMovements!$B$2:$B$500,A126,StockMovements!$D$2:$D$500,"adjustment")-SUMIFS(StockMovements!$E$2:$E$500,StockMovements!$B$2:$B$500,A126,StockMovements!$D$2:$D$500,"issue")-SUMIFS(StockMovements!$E$2:$E$500,StockMovements!$B$2:$B$500,A126,StockMovements!$D$2:$D$500,"production_out")-SUMIFS(StockMovements!$E$2:$E$500,StockMovements!$B$2:$B$500,A126,StockMovements!$D$2:$D$500,"transfer")-SUMIFS(StockMovements!$E$2:$E$500,StockMovements!$B$2:$B$500,A126,StockMovements!$D$2:$D$500,"scrap"))</f>
        <v/>
      </c>
      <c r="E126" s="11">
        <f>IF(A126="","",Products!E126)</f>
        <v/>
      </c>
      <c r="F126" s="11">
        <f>IF(A126="","",D126*E126)</f>
        <v/>
      </c>
      <c r="G126" s="11">
        <f>IF(A126="","",Products!F126)</f>
        <v/>
      </c>
      <c r="H126" s="11">
        <f>IF(A126="","",IF(D126&lt;G126,"REORDER","OK"))</f>
        <v/>
      </c>
      <c r="I126" s="14">
        <f>IF(A126="","",IFERROR(_xlfn.MAXIFS(StockMovements!$A$2:$A$500,StockMovements!$B$2:$B$500,A126),0))</f>
        <v/>
      </c>
      <c r="J126" s="11">
        <f>IF(OR(A126="",I126=0),"",TODAY()-I126)</f>
        <v/>
      </c>
      <c r="K126" s="11">
        <f>IF(A126="","",IF(I126=0,"never moved",IF(J126&lt;=30,"0-30",IF(J126&lt;=60,"31-60",IF(J126&lt;=90,"61-90","90+")))))</f>
        <v/>
      </c>
    </row>
    <row r="127">
      <c r="A127" s="11">
        <f>Products!A127</f>
        <v/>
      </c>
      <c r="B127" s="11">
        <f>Products!B127</f>
        <v/>
      </c>
      <c r="C127" s="11">
        <f>Products!C127</f>
        <v/>
      </c>
      <c r="D127" s="11">
        <f>IF(A127="","",SUMIFS(StockMovements!$E$2:$E$500,StockMovements!$B$2:$B$500,A127,StockMovements!$D$2:$D$500,"receipt")+SUMIFS(StockMovements!$E$2:$E$500,StockMovements!$B$2:$B$500,A127,StockMovements!$D$2:$D$500,"production_in")+SUMIFS(StockMovements!$E$2:$E$500,StockMovements!$B$2:$B$500,A127,StockMovements!$D$2:$D$500,"adjustment")-SUMIFS(StockMovements!$E$2:$E$500,StockMovements!$B$2:$B$500,A127,StockMovements!$D$2:$D$500,"issue")-SUMIFS(StockMovements!$E$2:$E$500,StockMovements!$B$2:$B$500,A127,StockMovements!$D$2:$D$500,"production_out")-SUMIFS(StockMovements!$E$2:$E$500,StockMovements!$B$2:$B$500,A127,StockMovements!$D$2:$D$500,"transfer")-SUMIFS(StockMovements!$E$2:$E$500,StockMovements!$B$2:$B$500,A127,StockMovements!$D$2:$D$500,"scrap"))</f>
        <v/>
      </c>
      <c r="E127" s="11">
        <f>IF(A127="","",Products!E127)</f>
        <v/>
      </c>
      <c r="F127" s="11">
        <f>IF(A127="","",D127*E127)</f>
        <v/>
      </c>
      <c r="G127" s="11">
        <f>IF(A127="","",Products!F127)</f>
        <v/>
      </c>
      <c r="H127" s="11">
        <f>IF(A127="","",IF(D127&lt;G127,"REORDER","OK"))</f>
        <v/>
      </c>
      <c r="I127" s="14">
        <f>IF(A127="","",IFERROR(_xlfn.MAXIFS(StockMovements!$A$2:$A$500,StockMovements!$B$2:$B$500,A127),0))</f>
        <v/>
      </c>
      <c r="J127" s="11">
        <f>IF(OR(A127="",I127=0),"",TODAY()-I127)</f>
        <v/>
      </c>
      <c r="K127" s="11">
        <f>IF(A127="","",IF(I127=0,"never moved",IF(J127&lt;=30,"0-30",IF(J127&lt;=60,"31-60",IF(J127&lt;=90,"61-90","90+")))))</f>
        <v/>
      </c>
    </row>
    <row r="128">
      <c r="A128" s="11">
        <f>Products!A128</f>
        <v/>
      </c>
      <c r="B128" s="11">
        <f>Products!B128</f>
        <v/>
      </c>
      <c r="C128" s="11">
        <f>Products!C128</f>
        <v/>
      </c>
      <c r="D128" s="11">
        <f>IF(A128="","",SUMIFS(StockMovements!$E$2:$E$500,StockMovements!$B$2:$B$500,A128,StockMovements!$D$2:$D$500,"receipt")+SUMIFS(StockMovements!$E$2:$E$500,StockMovements!$B$2:$B$500,A128,StockMovements!$D$2:$D$500,"production_in")+SUMIFS(StockMovements!$E$2:$E$500,StockMovements!$B$2:$B$500,A128,StockMovements!$D$2:$D$500,"adjustment")-SUMIFS(StockMovements!$E$2:$E$500,StockMovements!$B$2:$B$500,A128,StockMovements!$D$2:$D$500,"issue")-SUMIFS(StockMovements!$E$2:$E$500,StockMovements!$B$2:$B$500,A128,StockMovements!$D$2:$D$500,"production_out")-SUMIFS(StockMovements!$E$2:$E$500,StockMovements!$B$2:$B$500,A128,StockMovements!$D$2:$D$500,"transfer")-SUMIFS(StockMovements!$E$2:$E$500,StockMovements!$B$2:$B$500,A128,StockMovements!$D$2:$D$500,"scrap"))</f>
        <v/>
      </c>
      <c r="E128" s="11">
        <f>IF(A128="","",Products!E128)</f>
        <v/>
      </c>
      <c r="F128" s="11">
        <f>IF(A128="","",D128*E128)</f>
        <v/>
      </c>
      <c r="G128" s="11">
        <f>IF(A128="","",Products!F128)</f>
        <v/>
      </c>
      <c r="H128" s="11">
        <f>IF(A128="","",IF(D128&lt;G128,"REORDER","OK"))</f>
        <v/>
      </c>
      <c r="I128" s="14">
        <f>IF(A128="","",IFERROR(_xlfn.MAXIFS(StockMovements!$A$2:$A$500,StockMovements!$B$2:$B$500,A128),0))</f>
        <v/>
      </c>
      <c r="J128" s="11">
        <f>IF(OR(A128="",I128=0),"",TODAY()-I128)</f>
        <v/>
      </c>
      <c r="K128" s="11">
        <f>IF(A128="","",IF(I128=0,"never moved",IF(J128&lt;=30,"0-30",IF(J128&lt;=60,"31-60",IF(J128&lt;=90,"61-90","90+")))))</f>
        <v/>
      </c>
    </row>
    <row r="129">
      <c r="A129" s="11">
        <f>Products!A129</f>
        <v/>
      </c>
      <c r="B129" s="11">
        <f>Products!B129</f>
        <v/>
      </c>
      <c r="C129" s="11">
        <f>Products!C129</f>
        <v/>
      </c>
      <c r="D129" s="11">
        <f>IF(A129="","",SUMIFS(StockMovements!$E$2:$E$500,StockMovements!$B$2:$B$500,A129,StockMovements!$D$2:$D$500,"receipt")+SUMIFS(StockMovements!$E$2:$E$500,StockMovements!$B$2:$B$500,A129,StockMovements!$D$2:$D$500,"production_in")+SUMIFS(StockMovements!$E$2:$E$500,StockMovements!$B$2:$B$500,A129,StockMovements!$D$2:$D$500,"adjustment")-SUMIFS(StockMovements!$E$2:$E$500,StockMovements!$B$2:$B$500,A129,StockMovements!$D$2:$D$500,"issue")-SUMIFS(StockMovements!$E$2:$E$500,StockMovements!$B$2:$B$500,A129,StockMovements!$D$2:$D$500,"production_out")-SUMIFS(StockMovements!$E$2:$E$500,StockMovements!$B$2:$B$500,A129,StockMovements!$D$2:$D$500,"transfer")-SUMIFS(StockMovements!$E$2:$E$500,StockMovements!$B$2:$B$500,A129,StockMovements!$D$2:$D$500,"scrap"))</f>
        <v/>
      </c>
      <c r="E129" s="11">
        <f>IF(A129="","",Products!E129)</f>
        <v/>
      </c>
      <c r="F129" s="11">
        <f>IF(A129="","",D129*E129)</f>
        <v/>
      </c>
      <c r="G129" s="11">
        <f>IF(A129="","",Products!F129)</f>
        <v/>
      </c>
      <c r="H129" s="11">
        <f>IF(A129="","",IF(D129&lt;G129,"REORDER","OK"))</f>
        <v/>
      </c>
      <c r="I129" s="14">
        <f>IF(A129="","",IFERROR(_xlfn.MAXIFS(StockMovements!$A$2:$A$500,StockMovements!$B$2:$B$500,A129),0))</f>
        <v/>
      </c>
      <c r="J129" s="11">
        <f>IF(OR(A129="",I129=0),"",TODAY()-I129)</f>
        <v/>
      </c>
      <c r="K129" s="11">
        <f>IF(A129="","",IF(I129=0,"never moved",IF(J129&lt;=30,"0-30",IF(J129&lt;=60,"31-60",IF(J129&lt;=90,"61-90","90+")))))</f>
        <v/>
      </c>
    </row>
    <row r="130">
      <c r="A130" s="11">
        <f>Products!A130</f>
        <v/>
      </c>
      <c r="B130" s="11">
        <f>Products!B130</f>
        <v/>
      </c>
      <c r="C130" s="11">
        <f>Products!C130</f>
        <v/>
      </c>
      <c r="D130" s="11">
        <f>IF(A130="","",SUMIFS(StockMovements!$E$2:$E$500,StockMovements!$B$2:$B$500,A130,StockMovements!$D$2:$D$500,"receipt")+SUMIFS(StockMovements!$E$2:$E$500,StockMovements!$B$2:$B$500,A130,StockMovements!$D$2:$D$500,"production_in")+SUMIFS(StockMovements!$E$2:$E$500,StockMovements!$B$2:$B$500,A130,StockMovements!$D$2:$D$500,"adjustment")-SUMIFS(StockMovements!$E$2:$E$500,StockMovements!$B$2:$B$500,A130,StockMovements!$D$2:$D$500,"issue")-SUMIFS(StockMovements!$E$2:$E$500,StockMovements!$B$2:$B$500,A130,StockMovements!$D$2:$D$500,"production_out")-SUMIFS(StockMovements!$E$2:$E$500,StockMovements!$B$2:$B$500,A130,StockMovements!$D$2:$D$500,"transfer")-SUMIFS(StockMovements!$E$2:$E$500,StockMovements!$B$2:$B$500,A130,StockMovements!$D$2:$D$500,"scrap"))</f>
        <v/>
      </c>
      <c r="E130" s="11">
        <f>IF(A130="","",Products!E130)</f>
        <v/>
      </c>
      <c r="F130" s="11">
        <f>IF(A130="","",D130*E130)</f>
        <v/>
      </c>
      <c r="G130" s="11">
        <f>IF(A130="","",Products!F130)</f>
        <v/>
      </c>
      <c r="H130" s="11">
        <f>IF(A130="","",IF(D130&lt;G130,"REORDER","OK"))</f>
        <v/>
      </c>
      <c r="I130" s="14">
        <f>IF(A130="","",IFERROR(_xlfn.MAXIFS(StockMovements!$A$2:$A$500,StockMovements!$B$2:$B$500,A130),0))</f>
        <v/>
      </c>
      <c r="J130" s="11">
        <f>IF(OR(A130="",I130=0),"",TODAY()-I130)</f>
        <v/>
      </c>
      <c r="K130" s="11">
        <f>IF(A130="","",IF(I130=0,"never moved",IF(J130&lt;=30,"0-30",IF(J130&lt;=60,"31-60",IF(J130&lt;=90,"61-90","90+")))))</f>
        <v/>
      </c>
    </row>
    <row r="131">
      <c r="A131" s="11">
        <f>Products!A131</f>
        <v/>
      </c>
      <c r="B131" s="11">
        <f>Products!B131</f>
        <v/>
      </c>
      <c r="C131" s="11">
        <f>Products!C131</f>
        <v/>
      </c>
      <c r="D131" s="11">
        <f>IF(A131="","",SUMIFS(StockMovements!$E$2:$E$500,StockMovements!$B$2:$B$500,A131,StockMovements!$D$2:$D$500,"receipt")+SUMIFS(StockMovements!$E$2:$E$500,StockMovements!$B$2:$B$500,A131,StockMovements!$D$2:$D$500,"production_in")+SUMIFS(StockMovements!$E$2:$E$500,StockMovements!$B$2:$B$500,A131,StockMovements!$D$2:$D$500,"adjustment")-SUMIFS(StockMovements!$E$2:$E$500,StockMovements!$B$2:$B$500,A131,StockMovements!$D$2:$D$500,"issue")-SUMIFS(StockMovements!$E$2:$E$500,StockMovements!$B$2:$B$500,A131,StockMovements!$D$2:$D$500,"production_out")-SUMIFS(StockMovements!$E$2:$E$500,StockMovements!$B$2:$B$500,A131,StockMovements!$D$2:$D$500,"transfer")-SUMIFS(StockMovements!$E$2:$E$500,StockMovements!$B$2:$B$500,A131,StockMovements!$D$2:$D$500,"scrap"))</f>
        <v/>
      </c>
      <c r="E131" s="11">
        <f>IF(A131="","",Products!E131)</f>
        <v/>
      </c>
      <c r="F131" s="11">
        <f>IF(A131="","",D131*E131)</f>
        <v/>
      </c>
      <c r="G131" s="11">
        <f>IF(A131="","",Products!F131)</f>
        <v/>
      </c>
      <c r="H131" s="11">
        <f>IF(A131="","",IF(D131&lt;G131,"REORDER","OK"))</f>
        <v/>
      </c>
      <c r="I131" s="14">
        <f>IF(A131="","",IFERROR(_xlfn.MAXIFS(StockMovements!$A$2:$A$500,StockMovements!$B$2:$B$500,A131),0))</f>
        <v/>
      </c>
      <c r="J131" s="11">
        <f>IF(OR(A131="",I131=0),"",TODAY()-I131)</f>
        <v/>
      </c>
      <c r="K131" s="11">
        <f>IF(A131="","",IF(I131=0,"never moved",IF(J131&lt;=30,"0-30",IF(J131&lt;=60,"31-60",IF(J131&lt;=90,"61-90","90+")))))</f>
        <v/>
      </c>
    </row>
    <row r="132">
      <c r="A132" s="11">
        <f>Products!A132</f>
        <v/>
      </c>
      <c r="B132" s="11">
        <f>Products!B132</f>
        <v/>
      </c>
      <c r="C132" s="11">
        <f>Products!C132</f>
        <v/>
      </c>
      <c r="D132" s="11">
        <f>IF(A132="","",SUMIFS(StockMovements!$E$2:$E$500,StockMovements!$B$2:$B$500,A132,StockMovements!$D$2:$D$500,"receipt")+SUMIFS(StockMovements!$E$2:$E$500,StockMovements!$B$2:$B$500,A132,StockMovements!$D$2:$D$500,"production_in")+SUMIFS(StockMovements!$E$2:$E$500,StockMovements!$B$2:$B$500,A132,StockMovements!$D$2:$D$500,"adjustment")-SUMIFS(StockMovements!$E$2:$E$500,StockMovements!$B$2:$B$500,A132,StockMovements!$D$2:$D$500,"issue")-SUMIFS(StockMovements!$E$2:$E$500,StockMovements!$B$2:$B$500,A132,StockMovements!$D$2:$D$500,"production_out")-SUMIFS(StockMovements!$E$2:$E$500,StockMovements!$B$2:$B$500,A132,StockMovements!$D$2:$D$500,"transfer")-SUMIFS(StockMovements!$E$2:$E$500,StockMovements!$B$2:$B$500,A132,StockMovements!$D$2:$D$500,"scrap"))</f>
        <v/>
      </c>
      <c r="E132" s="11">
        <f>IF(A132="","",Products!E132)</f>
        <v/>
      </c>
      <c r="F132" s="11">
        <f>IF(A132="","",D132*E132)</f>
        <v/>
      </c>
      <c r="G132" s="11">
        <f>IF(A132="","",Products!F132)</f>
        <v/>
      </c>
      <c r="H132" s="11">
        <f>IF(A132="","",IF(D132&lt;G132,"REORDER","OK"))</f>
        <v/>
      </c>
      <c r="I132" s="14">
        <f>IF(A132="","",IFERROR(_xlfn.MAXIFS(StockMovements!$A$2:$A$500,StockMovements!$B$2:$B$500,A132),0))</f>
        <v/>
      </c>
      <c r="J132" s="11">
        <f>IF(OR(A132="",I132=0),"",TODAY()-I132)</f>
        <v/>
      </c>
      <c r="K132" s="11">
        <f>IF(A132="","",IF(I132=0,"never moved",IF(J132&lt;=30,"0-30",IF(J132&lt;=60,"31-60",IF(J132&lt;=90,"61-90","90+")))))</f>
        <v/>
      </c>
    </row>
    <row r="133">
      <c r="A133" s="11">
        <f>Products!A133</f>
        <v/>
      </c>
      <c r="B133" s="11">
        <f>Products!B133</f>
        <v/>
      </c>
      <c r="C133" s="11">
        <f>Products!C133</f>
        <v/>
      </c>
      <c r="D133" s="11">
        <f>IF(A133="","",SUMIFS(StockMovements!$E$2:$E$500,StockMovements!$B$2:$B$500,A133,StockMovements!$D$2:$D$500,"receipt")+SUMIFS(StockMovements!$E$2:$E$500,StockMovements!$B$2:$B$500,A133,StockMovements!$D$2:$D$500,"production_in")+SUMIFS(StockMovements!$E$2:$E$500,StockMovements!$B$2:$B$500,A133,StockMovements!$D$2:$D$500,"adjustment")-SUMIFS(StockMovements!$E$2:$E$500,StockMovements!$B$2:$B$500,A133,StockMovements!$D$2:$D$500,"issue")-SUMIFS(StockMovements!$E$2:$E$500,StockMovements!$B$2:$B$500,A133,StockMovements!$D$2:$D$500,"production_out")-SUMIFS(StockMovements!$E$2:$E$500,StockMovements!$B$2:$B$500,A133,StockMovements!$D$2:$D$500,"transfer")-SUMIFS(StockMovements!$E$2:$E$500,StockMovements!$B$2:$B$500,A133,StockMovements!$D$2:$D$500,"scrap"))</f>
        <v/>
      </c>
      <c r="E133" s="11">
        <f>IF(A133="","",Products!E133)</f>
        <v/>
      </c>
      <c r="F133" s="11">
        <f>IF(A133="","",D133*E133)</f>
        <v/>
      </c>
      <c r="G133" s="11">
        <f>IF(A133="","",Products!F133)</f>
        <v/>
      </c>
      <c r="H133" s="11">
        <f>IF(A133="","",IF(D133&lt;G133,"REORDER","OK"))</f>
        <v/>
      </c>
      <c r="I133" s="14">
        <f>IF(A133="","",IFERROR(_xlfn.MAXIFS(StockMovements!$A$2:$A$500,StockMovements!$B$2:$B$500,A133),0))</f>
        <v/>
      </c>
      <c r="J133" s="11">
        <f>IF(OR(A133="",I133=0),"",TODAY()-I133)</f>
        <v/>
      </c>
      <c r="K133" s="11">
        <f>IF(A133="","",IF(I133=0,"never moved",IF(J133&lt;=30,"0-30",IF(J133&lt;=60,"31-60",IF(J133&lt;=90,"61-90","90+")))))</f>
        <v/>
      </c>
    </row>
    <row r="134">
      <c r="A134" s="11">
        <f>Products!A134</f>
        <v/>
      </c>
      <c r="B134" s="11">
        <f>Products!B134</f>
        <v/>
      </c>
      <c r="C134" s="11">
        <f>Products!C134</f>
        <v/>
      </c>
      <c r="D134" s="11">
        <f>IF(A134="","",SUMIFS(StockMovements!$E$2:$E$500,StockMovements!$B$2:$B$500,A134,StockMovements!$D$2:$D$500,"receipt")+SUMIFS(StockMovements!$E$2:$E$500,StockMovements!$B$2:$B$500,A134,StockMovements!$D$2:$D$500,"production_in")+SUMIFS(StockMovements!$E$2:$E$500,StockMovements!$B$2:$B$500,A134,StockMovements!$D$2:$D$500,"adjustment")-SUMIFS(StockMovements!$E$2:$E$500,StockMovements!$B$2:$B$500,A134,StockMovements!$D$2:$D$500,"issue")-SUMIFS(StockMovements!$E$2:$E$500,StockMovements!$B$2:$B$500,A134,StockMovements!$D$2:$D$500,"production_out")-SUMIFS(StockMovements!$E$2:$E$500,StockMovements!$B$2:$B$500,A134,StockMovements!$D$2:$D$500,"transfer")-SUMIFS(StockMovements!$E$2:$E$500,StockMovements!$B$2:$B$500,A134,StockMovements!$D$2:$D$500,"scrap"))</f>
        <v/>
      </c>
      <c r="E134" s="11">
        <f>IF(A134="","",Products!E134)</f>
        <v/>
      </c>
      <c r="F134" s="11">
        <f>IF(A134="","",D134*E134)</f>
        <v/>
      </c>
      <c r="G134" s="11">
        <f>IF(A134="","",Products!F134)</f>
        <v/>
      </c>
      <c r="H134" s="11">
        <f>IF(A134="","",IF(D134&lt;G134,"REORDER","OK"))</f>
        <v/>
      </c>
      <c r="I134" s="14">
        <f>IF(A134="","",IFERROR(_xlfn.MAXIFS(StockMovements!$A$2:$A$500,StockMovements!$B$2:$B$500,A134),0))</f>
        <v/>
      </c>
      <c r="J134" s="11">
        <f>IF(OR(A134="",I134=0),"",TODAY()-I134)</f>
        <v/>
      </c>
      <c r="K134" s="11">
        <f>IF(A134="","",IF(I134=0,"never moved",IF(J134&lt;=30,"0-30",IF(J134&lt;=60,"31-60",IF(J134&lt;=90,"61-90","90+")))))</f>
        <v/>
      </c>
    </row>
    <row r="135">
      <c r="A135" s="11">
        <f>Products!A135</f>
        <v/>
      </c>
      <c r="B135" s="11">
        <f>Products!B135</f>
        <v/>
      </c>
      <c r="C135" s="11">
        <f>Products!C135</f>
        <v/>
      </c>
      <c r="D135" s="11">
        <f>IF(A135="","",SUMIFS(StockMovements!$E$2:$E$500,StockMovements!$B$2:$B$500,A135,StockMovements!$D$2:$D$500,"receipt")+SUMIFS(StockMovements!$E$2:$E$500,StockMovements!$B$2:$B$500,A135,StockMovements!$D$2:$D$500,"production_in")+SUMIFS(StockMovements!$E$2:$E$500,StockMovements!$B$2:$B$500,A135,StockMovements!$D$2:$D$500,"adjustment")-SUMIFS(StockMovements!$E$2:$E$500,StockMovements!$B$2:$B$500,A135,StockMovements!$D$2:$D$500,"issue")-SUMIFS(StockMovements!$E$2:$E$500,StockMovements!$B$2:$B$500,A135,StockMovements!$D$2:$D$500,"production_out")-SUMIFS(StockMovements!$E$2:$E$500,StockMovements!$B$2:$B$500,A135,StockMovements!$D$2:$D$500,"transfer")-SUMIFS(StockMovements!$E$2:$E$500,StockMovements!$B$2:$B$500,A135,StockMovements!$D$2:$D$500,"scrap"))</f>
        <v/>
      </c>
      <c r="E135" s="11">
        <f>IF(A135="","",Products!E135)</f>
        <v/>
      </c>
      <c r="F135" s="11">
        <f>IF(A135="","",D135*E135)</f>
        <v/>
      </c>
      <c r="G135" s="11">
        <f>IF(A135="","",Products!F135)</f>
        <v/>
      </c>
      <c r="H135" s="11">
        <f>IF(A135="","",IF(D135&lt;G135,"REORDER","OK"))</f>
        <v/>
      </c>
      <c r="I135" s="14">
        <f>IF(A135="","",IFERROR(_xlfn.MAXIFS(StockMovements!$A$2:$A$500,StockMovements!$B$2:$B$500,A135),0))</f>
        <v/>
      </c>
      <c r="J135" s="11">
        <f>IF(OR(A135="",I135=0),"",TODAY()-I135)</f>
        <v/>
      </c>
      <c r="K135" s="11">
        <f>IF(A135="","",IF(I135=0,"never moved",IF(J135&lt;=30,"0-30",IF(J135&lt;=60,"31-60",IF(J135&lt;=90,"61-90","90+")))))</f>
        <v/>
      </c>
    </row>
    <row r="136">
      <c r="A136" s="11">
        <f>Products!A136</f>
        <v/>
      </c>
      <c r="B136" s="11">
        <f>Products!B136</f>
        <v/>
      </c>
      <c r="C136" s="11">
        <f>Products!C136</f>
        <v/>
      </c>
      <c r="D136" s="11">
        <f>IF(A136="","",SUMIFS(StockMovements!$E$2:$E$500,StockMovements!$B$2:$B$500,A136,StockMovements!$D$2:$D$500,"receipt")+SUMIFS(StockMovements!$E$2:$E$500,StockMovements!$B$2:$B$500,A136,StockMovements!$D$2:$D$500,"production_in")+SUMIFS(StockMovements!$E$2:$E$500,StockMovements!$B$2:$B$500,A136,StockMovements!$D$2:$D$500,"adjustment")-SUMIFS(StockMovements!$E$2:$E$500,StockMovements!$B$2:$B$500,A136,StockMovements!$D$2:$D$500,"issue")-SUMIFS(StockMovements!$E$2:$E$500,StockMovements!$B$2:$B$500,A136,StockMovements!$D$2:$D$500,"production_out")-SUMIFS(StockMovements!$E$2:$E$500,StockMovements!$B$2:$B$500,A136,StockMovements!$D$2:$D$500,"transfer")-SUMIFS(StockMovements!$E$2:$E$500,StockMovements!$B$2:$B$500,A136,StockMovements!$D$2:$D$500,"scrap"))</f>
        <v/>
      </c>
      <c r="E136" s="11">
        <f>IF(A136="","",Products!E136)</f>
        <v/>
      </c>
      <c r="F136" s="11">
        <f>IF(A136="","",D136*E136)</f>
        <v/>
      </c>
      <c r="G136" s="11">
        <f>IF(A136="","",Products!F136)</f>
        <v/>
      </c>
      <c r="H136" s="11">
        <f>IF(A136="","",IF(D136&lt;G136,"REORDER","OK"))</f>
        <v/>
      </c>
      <c r="I136" s="14">
        <f>IF(A136="","",IFERROR(_xlfn.MAXIFS(StockMovements!$A$2:$A$500,StockMovements!$B$2:$B$500,A136),0))</f>
        <v/>
      </c>
      <c r="J136" s="11">
        <f>IF(OR(A136="",I136=0),"",TODAY()-I136)</f>
        <v/>
      </c>
      <c r="K136" s="11">
        <f>IF(A136="","",IF(I136=0,"never moved",IF(J136&lt;=30,"0-30",IF(J136&lt;=60,"31-60",IF(J136&lt;=90,"61-90","90+")))))</f>
        <v/>
      </c>
    </row>
    <row r="137">
      <c r="A137" s="11">
        <f>Products!A137</f>
        <v/>
      </c>
      <c r="B137" s="11">
        <f>Products!B137</f>
        <v/>
      </c>
      <c r="C137" s="11">
        <f>Products!C137</f>
        <v/>
      </c>
      <c r="D137" s="11">
        <f>IF(A137="","",SUMIFS(StockMovements!$E$2:$E$500,StockMovements!$B$2:$B$500,A137,StockMovements!$D$2:$D$500,"receipt")+SUMIFS(StockMovements!$E$2:$E$500,StockMovements!$B$2:$B$500,A137,StockMovements!$D$2:$D$500,"production_in")+SUMIFS(StockMovements!$E$2:$E$500,StockMovements!$B$2:$B$500,A137,StockMovements!$D$2:$D$500,"adjustment")-SUMIFS(StockMovements!$E$2:$E$500,StockMovements!$B$2:$B$500,A137,StockMovements!$D$2:$D$500,"issue")-SUMIFS(StockMovements!$E$2:$E$500,StockMovements!$B$2:$B$500,A137,StockMovements!$D$2:$D$500,"production_out")-SUMIFS(StockMovements!$E$2:$E$500,StockMovements!$B$2:$B$500,A137,StockMovements!$D$2:$D$500,"transfer")-SUMIFS(StockMovements!$E$2:$E$500,StockMovements!$B$2:$B$500,A137,StockMovements!$D$2:$D$500,"scrap"))</f>
        <v/>
      </c>
      <c r="E137" s="11">
        <f>IF(A137="","",Products!E137)</f>
        <v/>
      </c>
      <c r="F137" s="11">
        <f>IF(A137="","",D137*E137)</f>
        <v/>
      </c>
      <c r="G137" s="11">
        <f>IF(A137="","",Products!F137)</f>
        <v/>
      </c>
      <c r="H137" s="11">
        <f>IF(A137="","",IF(D137&lt;G137,"REORDER","OK"))</f>
        <v/>
      </c>
      <c r="I137" s="14">
        <f>IF(A137="","",IFERROR(_xlfn.MAXIFS(StockMovements!$A$2:$A$500,StockMovements!$B$2:$B$500,A137),0))</f>
        <v/>
      </c>
      <c r="J137" s="11">
        <f>IF(OR(A137="",I137=0),"",TODAY()-I137)</f>
        <v/>
      </c>
      <c r="K137" s="11">
        <f>IF(A137="","",IF(I137=0,"never moved",IF(J137&lt;=30,"0-30",IF(J137&lt;=60,"31-60",IF(J137&lt;=90,"61-90","90+")))))</f>
        <v/>
      </c>
    </row>
    <row r="138">
      <c r="A138" s="11">
        <f>Products!A138</f>
        <v/>
      </c>
      <c r="B138" s="11">
        <f>Products!B138</f>
        <v/>
      </c>
      <c r="C138" s="11">
        <f>Products!C138</f>
        <v/>
      </c>
      <c r="D138" s="11">
        <f>IF(A138="","",SUMIFS(StockMovements!$E$2:$E$500,StockMovements!$B$2:$B$500,A138,StockMovements!$D$2:$D$500,"receipt")+SUMIFS(StockMovements!$E$2:$E$500,StockMovements!$B$2:$B$500,A138,StockMovements!$D$2:$D$500,"production_in")+SUMIFS(StockMovements!$E$2:$E$500,StockMovements!$B$2:$B$500,A138,StockMovements!$D$2:$D$500,"adjustment")-SUMIFS(StockMovements!$E$2:$E$500,StockMovements!$B$2:$B$500,A138,StockMovements!$D$2:$D$500,"issue")-SUMIFS(StockMovements!$E$2:$E$500,StockMovements!$B$2:$B$500,A138,StockMovements!$D$2:$D$500,"production_out")-SUMIFS(StockMovements!$E$2:$E$500,StockMovements!$B$2:$B$500,A138,StockMovements!$D$2:$D$500,"transfer")-SUMIFS(StockMovements!$E$2:$E$500,StockMovements!$B$2:$B$500,A138,StockMovements!$D$2:$D$500,"scrap"))</f>
        <v/>
      </c>
      <c r="E138" s="11">
        <f>IF(A138="","",Products!E138)</f>
        <v/>
      </c>
      <c r="F138" s="11">
        <f>IF(A138="","",D138*E138)</f>
        <v/>
      </c>
      <c r="G138" s="11">
        <f>IF(A138="","",Products!F138)</f>
        <v/>
      </c>
      <c r="H138" s="11">
        <f>IF(A138="","",IF(D138&lt;G138,"REORDER","OK"))</f>
        <v/>
      </c>
      <c r="I138" s="14">
        <f>IF(A138="","",IFERROR(_xlfn.MAXIFS(StockMovements!$A$2:$A$500,StockMovements!$B$2:$B$500,A138),0))</f>
        <v/>
      </c>
      <c r="J138" s="11">
        <f>IF(OR(A138="",I138=0),"",TODAY()-I138)</f>
        <v/>
      </c>
      <c r="K138" s="11">
        <f>IF(A138="","",IF(I138=0,"never moved",IF(J138&lt;=30,"0-30",IF(J138&lt;=60,"31-60",IF(J138&lt;=90,"61-90","90+")))))</f>
        <v/>
      </c>
    </row>
    <row r="139">
      <c r="A139" s="11">
        <f>Products!A139</f>
        <v/>
      </c>
      <c r="B139" s="11">
        <f>Products!B139</f>
        <v/>
      </c>
      <c r="C139" s="11">
        <f>Products!C139</f>
        <v/>
      </c>
      <c r="D139" s="11">
        <f>IF(A139="","",SUMIFS(StockMovements!$E$2:$E$500,StockMovements!$B$2:$B$500,A139,StockMovements!$D$2:$D$500,"receipt")+SUMIFS(StockMovements!$E$2:$E$500,StockMovements!$B$2:$B$500,A139,StockMovements!$D$2:$D$500,"production_in")+SUMIFS(StockMovements!$E$2:$E$500,StockMovements!$B$2:$B$500,A139,StockMovements!$D$2:$D$500,"adjustment")-SUMIFS(StockMovements!$E$2:$E$500,StockMovements!$B$2:$B$500,A139,StockMovements!$D$2:$D$500,"issue")-SUMIFS(StockMovements!$E$2:$E$500,StockMovements!$B$2:$B$500,A139,StockMovements!$D$2:$D$500,"production_out")-SUMIFS(StockMovements!$E$2:$E$500,StockMovements!$B$2:$B$500,A139,StockMovements!$D$2:$D$500,"transfer")-SUMIFS(StockMovements!$E$2:$E$500,StockMovements!$B$2:$B$500,A139,StockMovements!$D$2:$D$500,"scrap"))</f>
        <v/>
      </c>
      <c r="E139" s="11">
        <f>IF(A139="","",Products!E139)</f>
        <v/>
      </c>
      <c r="F139" s="11">
        <f>IF(A139="","",D139*E139)</f>
        <v/>
      </c>
      <c r="G139" s="11">
        <f>IF(A139="","",Products!F139)</f>
        <v/>
      </c>
      <c r="H139" s="11">
        <f>IF(A139="","",IF(D139&lt;G139,"REORDER","OK"))</f>
        <v/>
      </c>
      <c r="I139" s="14">
        <f>IF(A139="","",IFERROR(_xlfn.MAXIFS(StockMovements!$A$2:$A$500,StockMovements!$B$2:$B$500,A139),0))</f>
        <v/>
      </c>
      <c r="J139" s="11">
        <f>IF(OR(A139="",I139=0),"",TODAY()-I139)</f>
        <v/>
      </c>
      <c r="K139" s="11">
        <f>IF(A139="","",IF(I139=0,"never moved",IF(J139&lt;=30,"0-30",IF(J139&lt;=60,"31-60",IF(J139&lt;=90,"61-90","90+")))))</f>
        <v/>
      </c>
    </row>
    <row r="140">
      <c r="A140" s="11">
        <f>Products!A140</f>
        <v/>
      </c>
      <c r="B140" s="11">
        <f>Products!B140</f>
        <v/>
      </c>
      <c r="C140" s="11">
        <f>Products!C140</f>
        <v/>
      </c>
      <c r="D140" s="11">
        <f>IF(A140="","",SUMIFS(StockMovements!$E$2:$E$500,StockMovements!$B$2:$B$500,A140,StockMovements!$D$2:$D$500,"receipt")+SUMIFS(StockMovements!$E$2:$E$500,StockMovements!$B$2:$B$500,A140,StockMovements!$D$2:$D$500,"production_in")+SUMIFS(StockMovements!$E$2:$E$500,StockMovements!$B$2:$B$500,A140,StockMovements!$D$2:$D$500,"adjustment")-SUMIFS(StockMovements!$E$2:$E$500,StockMovements!$B$2:$B$500,A140,StockMovements!$D$2:$D$500,"issue")-SUMIFS(StockMovements!$E$2:$E$500,StockMovements!$B$2:$B$500,A140,StockMovements!$D$2:$D$500,"production_out")-SUMIFS(StockMovements!$E$2:$E$500,StockMovements!$B$2:$B$500,A140,StockMovements!$D$2:$D$500,"transfer")-SUMIFS(StockMovements!$E$2:$E$500,StockMovements!$B$2:$B$500,A140,StockMovements!$D$2:$D$500,"scrap"))</f>
        <v/>
      </c>
      <c r="E140" s="11">
        <f>IF(A140="","",Products!E140)</f>
        <v/>
      </c>
      <c r="F140" s="11">
        <f>IF(A140="","",D140*E140)</f>
        <v/>
      </c>
      <c r="G140" s="11">
        <f>IF(A140="","",Products!F140)</f>
        <v/>
      </c>
      <c r="H140" s="11">
        <f>IF(A140="","",IF(D140&lt;G140,"REORDER","OK"))</f>
        <v/>
      </c>
      <c r="I140" s="14">
        <f>IF(A140="","",IFERROR(_xlfn.MAXIFS(StockMovements!$A$2:$A$500,StockMovements!$B$2:$B$500,A140),0))</f>
        <v/>
      </c>
      <c r="J140" s="11">
        <f>IF(OR(A140="",I140=0),"",TODAY()-I140)</f>
        <v/>
      </c>
      <c r="K140" s="11">
        <f>IF(A140="","",IF(I140=0,"never moved",IF(J140&lt;=30,"0-30",IF(J140&lt;=60,"31-60",IF(J140&lt;=90,"61-90","90+")))))</f>
        <v/>
      </c>
    </row>
    <row r="141">
      <c r="A141" s="11">
        <f>Products!A141</f>
        <v/>
      </c>
      <c r="B141" s="11">
        <f>Products!B141</f>
        <v/>
      </c>
      <c r="C141" s="11">
        <f>Products!C141</f>
        <v/>
      </c>
      <c r="D141" s="11">
        <f>IF(A141="","",SUMIFS(StockMovements!$E$2:$E$500,StockMovements!$B$2:$B$500,A141,StockMovements!$D$2:$D$500,"receipt")+SUMIFS(StockMovements!$E$2:$E$500,StockMovements!$B$2:$B$500,A141,StockMovements!$D$2:$D$500,"production_in")+SUMIFS(StockMovements!$E$2:$E$500,StockMovements!$B$2:$B$500,A141,StockMovements!$D$2:$D$500,"adjustment")-SUMIFS(StockMovements!$E$2:$E$500,StockMovements!$B$2:$B$500,A141,StockMovements!$D$2:$D$500,"issue")-SUMIFS(StockMovements!$E$2:$E$500,StockMovements!$B$2:$B$500,A141,StockMovements!$D$2:$D$500,"production_out")-SUMIFS(StockMovements!$E$2:$E$500,StockMovements!$B$2:$B$500,A141,StockMovements!$D$2:$D$500,"transfer")-SUMIFS(StockMovements!$E$2:$E$500,StockMovements!$B$2:$B$500,A141,StockMovements!$D$2:$D$500,"scrap"))</f>
        <v/>
      </c>
      <c r="E141" s="11">
        <f>IF(A141="","",Products!E141)</f>
        <v/>
      </c>
      <c r="F141" s="11">
        <f>IF(A141="","",D141*E141)</f>
        <v/>
      </c>
      <c r="G141" s="11">
        <f>IF(A141="","",Products!F141)</f>
        <v/>
      </c>
      <c r="H141" s="11">
        <f>IF(A141="","",IF(D141&lt;G141,"REORDER","OK"))</f>
        <v/>
      </c>
      <c r="I141" s="14">
        <f>IF(A141="","",IFERROR(_xlfn.MAXIFS(StockMovements!$A$2:$A$500,StockMovements!$B$2:$B$500,A141),0))</f>
        <v/>
      </c>
      <c r="J141" s="11">
        <f>IF(OR(A141="",I141=0),"",TODAY()-I141)</f>
        <v/>
      </c>
      <c r="K141" s="11">
        <f>IF(A141="","",IF(I141=0,"never moved",IF(J141&lt;=30,"0-30",IF(J141&lt;=60,"31-60",IF(J141&lt;=90,"61-90","90+")))))</f>
        <v/>
      </c>
    </row>
    <row r="142">
      <c r="A142" s="11">
        <f>Products!A142</f>
        <v/>
      </c>
      <c r="B142" s="11">
        <f>Products!B142</f>
        <v/>
      </c>
      <c r="C142" s="11">
        <f>Products!C142</f>
        <v/>
      </c>
      <c r="D142" s="11">
        <f>IF(A142="","",SUMIFS(StockMovements!$E$2:$E$500,StockMovements!$B$2:$B$500,A142,StockMovements!$D$2:$D$500,"receipt")+SUMIFS(StockMovements!$E$2:$E$500,StockMovements!$B$2:$B$500,A142,StockMovements!$D$2:$D$500,"production_in")+SUMIFS(StockMovements!$E$2:$E$500,StockMovements!$B$2:$B$500,A142,StockMovements!$D$2:$D$500,"adjustment")-SUMIFS(StockMovements!$E$2:$E$500,StockMovements!$B$2:$B$500,A142,StockMovements!$D$2:$D$500,"issue")-SUMIFS(StockMovements!$E$2:$E$500,StockMovements!$B$2:$B$500,A142,StockMovements!$D$2:$D$500,"production_out")-SUMIFS(StockMovements!$E$2:$E$500,StockMovements!$B$2:$B$500,A142,StockMovements!$D$2:$D$500,"transfer")-SUMIFS(StockMovements!$E$2:$E$500,StockMovements!$B$2:$B$500,A142,StockMovements!$D$2:$D$500,"scrap"))</f>
        <v/>
      </c>
      <c r="E142" s="11">
        <f>IF(A142="","",Products!E142)</f>
        <v/>
      </c>
      <c r="F142" s="11">
        <f>IF(A142="","",D142*E142)</f>
        <v/>
      </c>
      <c r="G142" s="11">
        <f>IF(A142="","",Products!F142)</f>
        <v/>
      </c>
      <c r="H142" s="11">
        <f>IF(A142="","",IF(D142&lt;G142,"REORDER","OK"))</f>
        <v/>
      </c>
      <c r="I142" s="14">
        <f>IF(A142="","",IFERROR(_xlfn.MAXIFS(StockMovements!$A$2:$A$500,StockMovements!$B$2:$B$500,A142),0))</f>
        <v/>
      </c>
      <c r="J142" s="11">
        <f>IF(OR(A142="",I142=0),"",TODAY()-I142)</f>
        <v/>
      </c>
      <c r="K142" s="11">
        <f>IF(A142="","",IF(I142=0,"never moved",IF(J142&lt;=30,"0-30",IF(J142&lt;=60,"31-60",IF(J142&lt;=90,"61-90","90+")))))</f>
        <v/>
      </c>
    </row>
    <row r="143">
      <c r="A143" s="11">
        <f>Products!A143</f>
        <v/>
      </c>
      <c r="B143" s="11">
        <f>Products!B143</f>
        <v/>
      </c>
      <c r="C143" s="11">
        <f>Products!C143</f>
        <v/>
      </c>
      <c r="D143" s="11">
        <f>IF(A143="","",SUMIFS(StockMovements!$E$2:$E$500,StockMovements!$B$2:$B$500,A143,StockMovements!$D$2:$D$500,"receipt")+SUMIFS(StockMovements!$E$2:$E$500,StockMovements!$B$2:$B$500,A143,StockMovements!$D$2:$D$500,"production_in")+SUMIFS(StockMovements!$E$2:$E$500,StockMovements!$B$2:$B$500,A143,StockMovements!$D$2:$D$500,"adjustment")-SUMIFS(StockMovements!$E$2:$E$500,StockMovements!$B$2:$B$500,A143,StockMovements!$D$2:$D$500,"issue")-SUMIFS(StockMovements!$E$2:$E$500,StockMovements!$B$2:$B$500,A143,StockMovements!$D$2:$D$500,"production_out")-SUMIFS(StockMovements!$E$2:$E$500,StockMovements!$B$2:$B$500,A143,StockMovements!$D$2:$D$500,"transfer")-SUMIFS(StockMovements!$E$2:$E$500,StockMovements!$B$2:$B$500,A143,StockMovements!$D$2:$D$500,"scrap"))</f>
        <v/>
      </c>
      <c r="E143" s="11">
        <f>IF(A143="","",Products!E143)</f>
        <v/>
      </c>
      <c r="F143" s="11">
        <f>IF(A143="","",D143*E143)</f>
        <v/>
      </c>
      <c r="G143" s="11">
        <f>IF(A143="","",Products!F143)</f>
        <v/>
      </c>
      <c r="H143" s="11">
        <f>IF(A143="","",IF(D143&lt;G143,"REORDER","OK"))</f>
        <v/>
      </c>
      <c r="I143" s="14">
        <f>IF(A143="","",IFERROR(_xlfn.MAXIFS(StockMovements!$A$2:$A$500,StockMovements!$B$2:$B$500,A143),0))</f>
        <v/>
      </c>
      <c r="J143" s="11">
        <f>IF(OR(A143="",I143=0),"",TODAY()-I143)</f>
        <v/>
      </c>
      <c r="K143" s="11">
        <f>IF(A143="","",IF(I143=0,"never moved",IF(J143&lt;=30,"0-30",IF(J143&lt;=60,"31-60",IF(J143&lt;=90,"61-90","90+")))))</f>
        <v/>
      </c>
    </row>
    <row r="144">
      <c r="A144" s="11">
        <f>Products!A144</f>
        <v/>
      </c>
      <c r="B144" s="11">
        <f>Products!B144</f>
        <v/>
      </c>
      <c r="C144" s="11">
        <f>Products!C144</f>
        <v/>
      </c>
      <c r="D144" s="11">
        <f>IF(A144="","",SUMIFS(StockMovements!$E$2:$E$500,StockMovements!$B$2:$B$500,A144,StockMovements!$D$2:$D$500,"receipt")+SUMIFS(StockMovements!$E$2:$E$500,StockMovements!$B$2:$B$500,A144,StockMovements!$D$2:$D$500,"production_in")+SUMIFS(StockMovements!$E$2:$E$500,StockMovements!$B$2:$B$500,A144,StockMovements!$D$2:$D$500,"adjustment")-SUMIFS(StockMovements!$E$2:$E$500,StockMovements!$B$2:$B$500,A144,StockMovements!$D$2:$D$500,"issue")-SUMIFS(StockMovements!$E$2:$E$500,StockMovements!$B$2:$B$500,A144,StockMovements!$D$2:$D$500,"production_out")-SUMIFS(StockMovements!$E$2:$E$500,StockMovements!$B$2:$B$500,A144,StockMovements!$D$2:$D$500,"transfer")-SUMIFS(StockMovements!$E$2:$E$500,StockMovements!$B$2:$B$500,A144,StockMovements!$D$2:$D$500,"scrap"))</f>
        <v/>
      </c>
      <c r="E144" s="11">
        <f>IF(A144="","",Products!E144)</f>
        <v/>
      </c>
      <c r="F144" s="11">
        <f>IF(A144="","",D144*E144)</f>
        <v/>
      </c>
      <c r="G144" s="11">
        <f>IF(A144="","",Products!F144)</f>
        <v/>
      </c>
      <c r="H144" s="11">
        <f>IF(A144="","",IF(D144&lt;G144,"REORDER","OK"))</f>
        <v/>
      </c>
      <c r="I144" s="14">
        <f>IF(A144="","",IFERROR(_xlfn.MAXIFS(StockMovements!$A$2:$A$500,StockMovements!$B$2:$B$500,A144),0))</f>
        <v/>
      </c>
      <c r="J144" s="11">
        <f>IF(OR(A144="",I144=0),"",TODAY()-I144)</f>
        <v/>
      </c>
      <c r="K144" s="11">
        <f>IF(A144="","",IF(I144=0,"never moved",IF(J144&lt;=30,"0-30",IF(J144&lt;=60,"31-60",IF(J144&lt;=90,"61-90","90+")))))</f>
        <v/>
      </c>
    </row>
    <row r="145">
      <c r="A145" s="11">
        <f>Products!A145</f>
        <v/>
      </c>
      <c r="B145" s="11">
        <f>Products!B145</f>
        <v/>
      </c>
      <c r="C145" s="11">
        <f>Products!C145</f>
        <v/>
      </c>
      <c r="D145" s="11">
        <f>IF(A145="","",SUMIFS(StockMovements!$E$2:$E$500,StockMovements!$B$2:$B$500,A145,StockMovements!$D$2:$D$500,"receipt")+SUMIFS(StockMovements!$E$2:$E$500,StockMovements!$B$2:$B$500,A145,StockMovements!$D$2:$D$500,"production_in")+SUMIFS(StockMovements!$E$2:$E$500,StockMovements!$B$2:$B$500,A145,StockMovements!$D$2:$D$500,"adjustment")-SUMIFS(StockMovements!$E$2:$E$500,StockMovements!$B$2:$B$500,A145,StockMovements!$D$2:$D$500,"issue")-SUMIFS(StockMovements!$E$2:$E$500,StockMovements!$B$2:$B$500,A145,StockMovements!$D$2:$D$500,"production_out")-SUMIFS(StockMovements!$E$2:$E$500,StockMovements!$B$2:$B$500,A145,StockMovements!$D$2:$D$500,"transfer")-SUMIFS(StockMovements!$E$2:$E$500,StockMovements!$B$2:$B$500,A145,StockMovements!$D$2:$D$500,"scrap"))</f>
        <v/>
      </c>
      <c r="E145" s="11">
        <f>IF(A145="","",Products!E145)</f>
        <v/>
      </c>
      <c r="F145" s="11">
        <f>IF(A145="","",D145*E145)</f>
        <v/>
      </c>
      <c r="G145" s="11">
        <f>IF(A145="","",Products!F145)</f>
        <v/>
      </c>
      <c r="H145" s="11">
        <f>IF(A145="","",IF(D145&lt;G145,"REORDER","OK"))</f>
        <v/>
      </c>
      <c r="I145" s="14">
        <f>IF(A145="","",IFERROR(_xlfn.MAXIFS(StockMovements!$A$2:$A$500,StockMovements!$B$2:$B$500,A145),0))</f>
        <v/>
      </c>
      <c r="J145" s="11">
        <f>IF(OR(A145="",I145=0),"",TODAY()-I145)</f>
        <v/>
      </c>
      <c r="K145" s="11">
        <f>IF(A145="","",IF(I145=0,"never moved",IF(J145&lt;=30,"0-30",IF(J145&lt;=60,"31-60",IF(J145&lt;=90,"61-90","90+")))))</f>
        <v/>
      </c>
    </row>
    <row r="146">
      <c r="A146" s="11">
        <f>Products!A146</f>
        <v/>
      </c>
      <c r="B146" s="11">
        <f>Products!B146</f>
        <v/>
      </c>
      <c r="C146" s="11">
        <f>Products!C146</f>
        <v/>
      </c>
      <c r="D146" s="11">
        <f>IF(A146="","",SUMIFS(StockMovements!$E$2:$E$500,StockMovements!$B$2:$B$500,A146,StockMovements!$D$2:$D$500,"receipt")+SUMIFS(StockMovements!$E$2:$E$500,StockMovements!$B$2:$B$500,A146,StockMovements!$D$2:$D$500,"production_in")+SUMIFS(StockMovements!$E$2:$E$500,StockMovements!$B$2:$B$500,A146,StockMovements!$D$2:$D$500,"adjustment")-SUMIFS(StockMovements!$E$2:$E$500,StockMovements!$B$2:$B$500,A146,StockMovements!$D$2:$D$500,"issue")-SUMIFS(StockMovements!$E$2:$E$500,StockMovements!$B$2:$B$500,A146,StockMovements!$D$2:$D$500,"production_out")-SUMIFS(StockMovements!$E$2:$E$500,StockMovements!$B$2:$B$500,A146,StockMovements!$D$2:$D$500,"transfer")-SUMIFS(StockMovements!$E$2:$E$500,StockMovements!$B$2:$B$500,A146,StockMovements!$D$2:$D$500,"scrap"))</f>
        <v/>
      </c>
      <c r="E146" s="11">
        <f>IF(A146="","",Products!E146)</f>
        <v/>
      </c>
      <c r="F146" s="11">
        <f>IF(A146="","",D146*E146)</f>
        <v/>
      </c>
      <c r="G146" s="11">
        <f>IF(A146="","",Products!F146)</f>
        <v/>
      </c>
      <c r="H146" s="11">
        <f>IF(A146="","",IF(D146&lt;G146,"REORDER","OK"))</f>
        <v/>
      </c>
      <c r="I146" s="14">
        <f>IF(A146="","",IFERROR(_xlfn.MAXIFS(StockMovements!$A$2:$A$500,StockMovements!$B$2:$B$500,A146),0))</f>
        <v/>
      </c>
      <c r="J146" s="11">
        <f>IF(OR(A146="",I146=0),"",TODAY()-I146)</f>
        <v/>
      </c>
      <c r="K146" s="11">
        <f>IF(A146="","",IF(I146=0,"never moved",IF(J146&lt;=30,"0-30",IF(J146&lt;=60,"31-60",IF(J146&lt;=90,"61-90","90+")))))</f>
        <v/>
      </c>
    </row>
    <row r="147">
      <c r="A147" s="11">
        <f>Products!A147</f>
        <v/>
      </c>
      <c r="B147" s="11">
        <f>Products!B147</f>
        <v/>
      </c>
      <c r="C147" s="11">
        <f>Products!C147</f>
        <v/>
      </c>
      <c r="D147" s="11">
        <f>IF(A147="","",SUMIFS(StockMovements!$E$2:$E$500,StockMovements!$B$2:$B$500,A147,StockMovements!$D$2:$D$500,"receipt")+SUMIFS(StockMovements!$E$2:$E$500,StockMovements!$B$2:$B$500,A147,StockMovements!$D$2:$D$500,"production_in")+SUMIFS(StockMovements!$E$2:$E$500,StockMovements!$B$2:$B$500,A147,StockMovements!$D$2:$D$500,"adjustment")-SUMIFS(StockMovements!$E$2:$E$500,StockMovements!$B$2:$B$500,A147,StockMovements!$D$2:$D$500,"issue")-SUMIFS(StockMovements!$E$2:$E$500,StockMovements!$B$2:$B$500,A147,StockMovements!$D$2:$D$500,"production_out")-SUMIFS(StockMovements!$E$2:$E$500,StockMovements!$B$2:$B$500,A147,StockMovements!$D$2:$D$500,"transfer")-SUMIFS(StockMovements!$E$2:$E$500,StockMovements!$B$2:$B$500,A147,StockMovements!$D$2:$D$500,"scrap"))</f>
        <v/>
      </c>
      <c r="E147" s="11">
        <f>IF(A147="","",Products!E147)</f>
        <v/>
      </c>
      <c r="F147" s="11">
        <f>IF(A147="","",D147*E147)</f>
        <v/>
      </c>
      <c r="G147" s="11">
        <f>IF(A147="","",Products!F147)</f>
        <v/>
      </c>
      <c r="H147" s="11">
        <f>IF(A147="","",IF(D147&lt;G147,"REORDER","OK"))</f>
        <v/>
      </c>
      <c r="I147" s="14">
        <f>IF(A147="","",IFERROR(_xlfn.MAXIFS(StockMovements!$A$2:$A$500,StockMovements!$B$2:$B$500,A147),0))</f>
        <v/>
      </c>
      <c r="J147" s="11">
        <f>IF(OR(A147="",I147=0),"",TODAY()-I147)</f>
        <v/>
      </c>
      <c r="K147" s="11">
        <f>IF(A147="","",IF(I147=0,"never moved",IF(J147&lt;=30,"0-30",IF(J147&lt;=60,"31-60",IF(J147&lt;=90,"61-90","90+")))))</f>
        <v/>
      </c>
    </row>
    <row r="148">
      <c r="A148" s="11">
        <f>Products!A148</f>
        <v/>
      </c>
      <c r="B148" s="11">
        <f>Products!B148</f>
        <v/>
      </c>
      <c r="C148" s="11">
        <f>Products!C148</f>
        <v/>
      </c>
      <c r="D148" s="11">
        <f>IF(A148="","",SUMIFS(StockMovements!$E$2:$E$500,StockMovements!$B$2:$B$500,A148,StockMovements!$D$2:$D$500,"receipt")+SUMIFS(StockMovements!$E$2:$E$500,StockMovements!$B$2:$B$500,A148,StockMovements!$D$2:$D$500,"production_in")+SUMIFS(StockMovements!$E$2:$E$500,StockMovements!$B$2:$B$500,A148,StockMovements!$D$2:$D$500,"adjustment")-SUMIFS(StockMovements!$E$2:$E$500,StockMovements!$B$2:$B$500,A148,StockMovements!$D$2:$D$500,"issue")-SUMIFS(StockMovements!$E$2:$E$500,StockMovements!$B$2:$B$500,A148,StockMovements!$D$2:$D$500,"production_out")-SUMIFS(StockMovements!$E$2:$E$500,StockMovements!$B$2:$B$500,A148,StockMovements!$D$2:$D$500,"transfer")-SUMIFS(StockMovements!$E$2:$E$500,StockMovements!$B$2:$B$500,A148,StockMovements!$D$2:$D$500,"scrap"))</f>
        <v/>
      </c>
      <c r="E148" s="11">
        <f>IF(A148="","",Products!E148)</f>
        <v/>
      </c>
      <c r="F148" s="11">
        <f>IF(A148="","",D148*E148)</f>
        <v/>
      </c>
      <c r="G148" s="11">
        <f>IF(A148="","",Products!F148)</f>
        <v/>
      </c>
      <c r="H148" s="11">
        <f>IF(A148="","",IF(D148&lt;G148,"REORDER","OK"))</f>
        <v/>
      </c>
      <c r="I148" s="14">
        <f>IF(A148="","",IFERROR(_xlfn.MAXIFS(StockMovements!$A$2:$A$500,StockMovements!$B$2:$B$500,A148),0))</f>
        <v/>
      </c>
      <c r="J148" s="11">
        <f>IF(OR(A148="",I148=0),"",TODAY()-I148)</f>
        <v/>
      </c>
      <c r="K148" s="11">
        <f>IF(A148="","",IF(I148=0,"never moved",IF(J148&lt;=30,"0-30",IF(J148&lt;=60,"31-60",IF(J148&lt;=90,"61-90","90+")))))</f>
        <v/>
      </c>
    </row>
    <row r="149">
      <c r="A149" s="11">
        <f>Products!A149</f>
        <v/>
      </c>
      <c r="B149" s="11">
        <f>Products!B149</f>
        <v/>
      </c>
      <c r="C149" s="11">
        <f>Products!C149</f>
        <v/>
      </c>
      <c r="D149" s="11">
        <f>IF(A149="","",SUMIFS(StockMovements!$E$2:$E$500,StockMovements!$B$2:$B$500,A149,StockMovements!$D$2:$D$500,"receipt")+SUMIFS(StockMovements!$E$2:$E$500,StockMovements!$B$2:$B$500,A149,StockMovements!$D$2:$D$500,"production_in")+SUMIFS(StockMovements!$E$2:$E$500,StockMovements!$B$2:$B$500,A149,StockMovements!$D$2:$D$500,"adjustment")-SUMIFS(StockMovements!$E$2:$E$500,StockMovements!$B$2:$B$500,A149,StockMovements!$D$2:$D$500,"issue")-SUMIFS(StockMovements!$E$2:$E$500,StockMovements!$B$2:$B$500,A149,StockMovements!$D$2:$D$500,"production_out")-SUMIFS(StockMovements!$E$2:$E$500,StockMovements!$B$2:$B$500,A149,StockMovements!$D$2:$D$500,"transfer")-SUMIFS(StockMovements!$E$2:$E$500,StockMovements!$B$2:$B$500,A149,StockMovements!$D$2:$D$500,"scrap"))</f>
        <v/>
      </c>
      <c r="E149" s="11">
        <f>IF(A149="","",Products!E149)</f>
        <v/>
      </c>
      <c r="F149" s="11">
        <f>IF(A149="","",D149*E149)</f>
        <v/>
      </c>
      <c r="G149" s="11">
        <f>IF(A149="","",Products!F149)</f>
        <v/>
      </c>
      <c r="H149" s="11">
        <f>IF(A149="","",IF(D149&lt;G149,"REORDER","OK"))</f>
        <v/>
      </c>
      <c r="I149" s="14">
        <f>IF(A149="","",IFERROR(_xlfn.MAXIFS(StockMovements!$A$2:$A$500,StockMovements!$B$2:$B$500,A149),0))</f>
        <v/>
      </c>
      <c r="J149" s="11">
        <f>IF(OR(A149="",I149=0),"",TODAY()-I149)</f>
        <v/>
      </c>
      <c r="K149" s="11">
        <f>IF(A149="","",IF(I149=0,"never moved",IF(J149&lt;=30,"0-30",IF(J149&lt;=60,"31-60",IF(J149&lt;=90,"61-90","90+")))))</f>
        <v/>
      </c>
    </row>
    <row r="150">
      <c r="A150" s="11">
        <f>Products!A150</f>
        <v/>
      </c>
      <c r="B150" s="11">
        <f>Products!B150</f>
        <v/>
      </c>
      <c r="C150" s="11">
        <f>Products!C150</f>
        <v/>
      </c>
      <c r="D150" s="11">
        <f>IF(A150="","",SUMIFS(StockMovements!$E$2:$E$500,StockMovements!$B$2:$B$500,A150,StockMovements!$D$2:$D$500,"receipt")+SUMIFS(StockMovements!$E$2:$E$500,StockMovements!$B$2:$B$500,A150,StockMovements!$D$2:$D$500,"production_in")+SUMIFS(StockMovements!$E$2:$E$500,StockMovements!$B$2:$B$500,A150,StockMovements!$D$2:$D$500,"adjustment")-SUMIFS(StockMovements!$E$2:$E$500,StockMovements!$B$2:$B$500,A150,StockMovements!$D$2:$D$500,"issue")-SUMIFS(StockMovements!$E$2:$E$500,StockMovements!$B$2:$B$500,A150,StockMovements!$D$2:$D$500,"production_out")-SUMIFS(StockMovements!$E$2:$E$500,StockMovements!$B$2:$B$500,A150,StockMovements!$D$2:$D$500,"transfer")-SUMIFS(StockMovements!$E$2:$E$500,StockMovements!$B$2:$B$500,A150,StockMovements!$D$2:$D$500,"scrap"))</f>
        <v/>
      </c>
      <c r="E150" s="11">
        <f>IF(A150="","",Products!E150)</f>
        <v/>
      </c>
      <c r="F150" s="11">
        <f>IF(A150="","",D150*E150)</f>
        <v/>
      </c>
      <c r="G150" s="11">
        <f>IF(A150="","",Products!F150)</f>
        <v/>
      </c>
      <c r="H150" s="11">
        <f>IF(A150="","",IF(D150&lt;G150,"REORDER","OK"))</f>
        <v/>
      </c>
      <c r="I150" s="14">
        <f>IF(A150="","",IFERROR(_xlfn.MAXIFS(StockMovements!$A$2:$A$500,StockMovements!$B$2:$B$500,A150),0))</f>
        <v/>
      </c>
      <c r="J150" s="11">
        <f>IF(OR(A150="",I150=0),"",TODAY()-I150)</f>
        <v/>
      </c>
      <c r="K150" s="11">
        <f>IF(A150="","",IF(I150=0,"never moved",IF(J150&lt;=30,"0-30",IF(J150&lt;=60,"31-60",IF(J150&lt;=90,"61-90","90+")))))</f>
        <v/>
      </c>
    </row>
    <row r="151">
      <c r="A151" s="11">
        <f>Products!A151</f>
        <v/>
      </c>
      <c r="B151" s="11">
        <f>Products!B151</f>
        <v/>
      </c>
      <c r="C151" s="11">
        <f>Products!C151</f>
        <v/>
      </c>
      <c r="D151" s="11">
        <f>IF(A151="","",SUMIFS(StockMovements!$E$2:$E$500,StockMovements!$B$2:$B$500,A151,StockMovements!$D$2:$D$500,"receipt")+SUMIFS(StockMovements!$E$2:$E$500,StockMovements!$B$2:$B$500,A151,StockMovements!$D$2:$D$500,"production_in")+SUMIFS(StockMovements!$E$2:$E$500,StockMovements!$B$2:$B$500,A151,StockMovements!$D$2:$D$500,"adjustment")-SUMIFS(StockMovements!$E$2:$E$500,StockMovements!$B$2:$B$500,A151,StockMovements!$D$2:$D$500,"issue")-SUMIFS(StockMovements!$E$2:$E$500,StockMovements!$B$2:$B$500,A151,StockMovements!$D$2:$D$500,"production_out")-SUMIFS(StockMovements!$E$2:$E$500,StockMovements!$B$2:$B$500,A151,StockMovements!$D$2:$D$500,"transfer")-SUMIFS(StockMovements!$E$2:$E$500,StockMovements!$B$2:$B$500,A151,StockMovements!$D$2:$D$500,"scrap"))</f>
        <v/>
      </c>
      <c r="E151" s="11">
        <f>IF(A151="","",Products!E151)</f>
        <v/>
      </c>
      <c r="F151" s="11">
        <f>IF(A151="","",D151*E151)</f>
        <v/>
      </c>
      <c r="G151" s="11">
        <f>IF(A151="","",Products!F151)</f>
        <v/>
      </c>
      <c r="H151" s="11">
        <f>IF(A151="","",IF(D151&lt;G151,"REORDER","OK"))</f>
        <v/>
      </c>
      <c r="I151" s="14">
        <f>IF(A151="","",IFERROR(_xlfn.MAXIFS(StockMovements!$A$2:$A$500,StockMovements!$B$2:$B$500,A151),0))</f>
        <v/>
      </c>
      <c r="J151" s="11">
        <f>IF(OR(A151="",I151=0),"",TODAY()-I151)</f>
        <v/>
      </c>
      <c r="K151" s="11">
        <f>IF(A151="","",IF(I151=0,"never moved",IF(J151&lt;=30,"0-30",IF(J151&lt;=60,"31-60",IF(J151&lt;=90,"61-90","90+")))))</f>
        <v/>
      </c>
    </row>
    <row r="152">
      <c r="A152" s="11">
        <f>Products!A152</f>
        <v/>
      </c>
      <c r="B152" s="11">
        <f>Products!B152</f>
        <v/>
      </c>
      <c r="C152" s="11">
        <f>Products!C152</f>
        <v/>
      </c>
      <c r="D152" s="11">
        <f>IF(A152="","",SUMIFS(StockMovements!$E$2:$E$500,StockMovements!$B$2:$B$500,A152,StockMovements!$D$2:$D$500,"receipt")+SUMIFS(StockMovements!$E$2:$E$500,StockMovements!$B$2:$B$500,A152,StockMovements!$D$2:$D$500,"production_in")+SUMIFS(StockMovements!$E$2:$E$500,StockMovements!$B$2:$B$500,A152,StockMovements!$D$2:$D$500,"adjustment")-SUMIFS(StockMovements!$E$2:$E$500,StockMovements!$B$2:$B$500,A152,StockMovements!$D$2:$D$500,"issue")-SUMIFS(StockMovements!$E$2:$E$500,StockMovements!$B$2:$B$500,A152,StockMovements!$D$2:$D$500,"production_out")-SUMIFS(StockMovements!$E$2:$E$500,StockMovements!$B$2:$B$500,A152,StockMovements!$D$2:$D$500,"transfer")-SUMIFS(StockMovements!$E$2:$E$500,StockMovements!$B$2:$B$500,A152,StockMovements!$D$2:$D$500,"scrap"))</f>
        <v/>
      </c>
      <c r="E152" s="11">
        <f>IF(A152="","",Products!E152)</f>
        <v/>
      </c>
      <c r="F152" s="11">
        <f>IF(A152="","",D152*E152)</f>
        <v/>
      </c>
      <c r="G152" s="11">
        <f>IF(A152="","",Products!F152)</f>
        <v/>
      </c>
      <c r="H152" s="11">
        <f>IF(A152="","",IF(D152&lt;G152,"REORDER","OK"))</f>
        <v/>
      </c>
      <c r="I152" s="14">
        <f>IF(A152="","",IFERROR(_xlfn.MAXIFS(StockMovements!$A$2:$A$500,StockMovements!$B$2:$B$500,A152),0))</f>
        <v/>
      </c>
      <c r="J152" s="11">
        <f>IF(OR(A152="",I152=0),"",TODAY()-I152)</f>
        <v/>
      </c>
      <c r="K152" s="11">
        <f>IF(A152="","",IF(I152=0,"never moved",IF(J152&lt;=30,"0-30",IF(J152&lt;=60,"31-60",IF(J152&lt;=90,"61-90","90+")))))</f>
        <v/>
      </c>
    </row>
    <row r="153">
      <c r="A153" s="11">
        <f>Products!A153</f>
        <v/>
      </c>
      <c r="B153" s="11">
        <f>Products!B153</f>
        <v/>
      </c>
      <c r="C153" s="11">
        <f>Products!C153</f>
        <v/>
      </c>
      <c r="D153" s="11">
        <f>IF(A153="","",SUMIFS(StockMovements!$E$2:$E$500,StockMovements!$B$2:$B$500,A153,StockMovements!$D$2:$D$500,"receipt")+SUMIFS(StockMovements!$E$2:$E$500,StockMovements!$B$2:$B$500,A153,StockMovements!$D$2:$D$500,"production_in")+SUMIFS(StockMovements!$E$2:$E$500,StockMovements!$B$2:$B$500,A153,StockMovements!$D$2:$D$500,"adjustment")-SUMIFS(StockMovements!$E$2:$E$500,StockMovements!$B$2:$B$500,A153,StockMovements!$D$2:$D$500,"issue")-SUMIFS(StockMovements!$E$2:$E$500,StockMovements!$B$2:$B$500,A153,StockMovements!$D$2:$D$500,"production_out")-SUMIFS(StockMovements!$E$2:$E$500,StockMovements!$B$2:$B$500,A153,StockMovements!$D$2:$D$500,"transfer")-SUMIFS(StockMovements!$E$2:$E$500,StockMovements!$B$2:$B$500,A153,StockMovements!$D$2:$D$500,"scrap"))</f>
        <v/>
      </c>
      <c r="E153" s="11">
        <f>IF(A153="","",Products!E153)</f>
        <v/>
      </c>
      <c r="F153" s="11">
        <f>IF(A153="","",D153*E153)</f>
        <v/>
      </c>
      <c r="G153" s="11">
        <f>IF(A153="","",Products!F153)</f>
        <v/>
      </c>
      <c r="H153" s="11">
        <f>IF(A153="","",IF(D153&lt;G153,"REORDER","OK"))</f>
        <v/>
      </c>
      <c r="I153" s="14">
        <f>IF(A153="","",IFERROR(_xlfn.MAXIFS(StockMovements!$A$2:$A$500,StockMovements!$B$2:$B$500,A153),0))</f>
        <v/>
      </c>
      <c r="J153" s="11">
        <f>IF(OR(A153="",I153=0),"",TODAY()-I153)</f>
        <v/>
      </c>
      <c r="K153" s="11">
        <f>IF(A153="","",IF(I153=0,"never moved",IF(J153&lt;=30,"0-30",IF(J153&lt;=60,"31-60",IF(J153&lt;=90,"61-90","90+")))))</f>
        <v/>
      </c>
    </row>
    <row r="154">
      <c r="A154" s="11">
        <f>Products!A154</f>
        <v/>
      </c>
      <c r="B154" s="11">
        <f>Products!B154</f>
        <v/>
      </c>
      <c r="C154" s="11">
        <f>Products!C154</f>
        <v/>
      </c>
      <c r="D154" s="11">
        <f>IF(A154="","",SUMIFS(StockMovements!$E$2:$E$500,StockMovements!$B$2:$B$500,A154,StockMovements!$D$2:$D$500,"receipt")+SUMIFS(StockMovements!$E$2:$E$500,StockMovements!$B$2:$B$500,A154,StockMovements!$D$2:$D$500,"production_in")+SUMIFS(StockMovements!$E$2:$E$500,StockMovements!$B$2:$B$500,A154,StockMovements!$D$2:$D$500,"adjustment")-SUMIFS(StockMovements!$E$2:$E$500,StockMovements!$B$2:$B$500,A154,StockMovements!$D$2:$D$500,"issue")-SUMIFS(StockMovements!$E$2:$E$500,StockMovements!$B$2:$B$500,A154,StockMovements!$D$2:$D$500,"production_out")-SUMIFS(StockMovements!$E$2:$E$500,StockMovements!$B$2:$B$500,A154,StockMovements!$D$2:$D$500,"transfer")-SUMIFS(StockMovements!$E$2:$E$500,StockMovements!$B$2:$B$500,A154,StockMovements!$D$2:$D$500,"scrap"))</f>
        <v/>
      </c>
      <c r="E154" s="11">
        <f>IF(A154="","",Products!E154)</f>
        <v/>
      </c>
      <c r="F154" s="11">
        <f>IF(A154="","",D154*E154)</f>
        <v/>
      </c>
      <c r="G154" s="11">
        <f>IF(A154="","",Products!F154)</f>
        <v/>
      </c>
      <c r="H154" s="11">
        <f>IF(A154="","",IF(D154&lt;G154,"REORDER","OK"))</f>
        <v/>
      </c>
      <c r="I154" s="14">
        <f>IF(A154="","",IFERROR(_xlfn.MAXIFS(StockMovements!$A$2:$A$500,StockMovements!$B$2:$B$500,A154),0))</f>
        <v/>
      </c>
      <c r="J154" s="11">
        <f>IF(OR(A154="",I154=0),"",TODAY()-I154)</f>
        <v/>
      </c>
      <c r="K154" s="11">
        <f>IF(A154="","",IF(I154=0,"never moved",IF(J154&lt;=30,"0-30",IF(J154&lt;=60,"31-60",IF(J154&lt;=90,"61-90","90+")))))</f>
        <v/>
      </c>
    </row>
    <row r="155">
      <c r="A155" s="11">
        <f>Products!A155</f>
        <v/>
      </c>
      <c r="B155" s="11">
        <f>Products!B155</f>
        <v/>
      </c>
      <c r="C155" s="11">
        <f>Products!C155</f>
        <v/>
      </c>
      <c r="D155" s="11">
        <f>IF(A155="","",SUMIFS(StockMovements!$E$2:$E$500,StockMovements!$B$2:$B$500,A155,StockMovements!$D$2:$D$500,"receipt")+SUMIFS(StockMovements!$E$2:$E$500,StockMovements!$B$2:$B$500,A155,StockMovements!$D$2:$D$500,"production_in")+SUMIFS(StockMovements!$E$2:$E$500,StockMovements!$B$2:$B$500,A155,StockMovements!$D$2:$D$500,"adjustment")-SUMIFS(StockMovements!$E$2:$E$500,StockMovements!$B$2:$B$500,A155,StockMovements!$D$2:$D$500,"issue")-SUMIFS(StockMovements!$E$2:$E$500,StockMovements!$B$2:$B$500,A155,StockMovements!$D$2:$D$500,"production_out")-SUMIFS(StockMovements!$E$2:$E$500,StockMovements!$B$2:$B$500,A155,StockMovements!$D$2:$D$500,"transfer")-SUMIFS(StockMovements!$E$2:$E$500,StockMovements!$B$2:$B$500,A155,StockMovements!$D$2:$D$500,"scrap"))</f>
        <v/>
      </c>
      <c r="E155" s="11">
        <f>IF(A155="","",Products!E155)</f>
        <v/>
      </c>
      <c r="F155" s="11">
        <f>IF(A155="","",D155*E155)</f>
        <v/>
      </c>
      <c r="G155" s="11">
        <f>IF(A155="","",Products!F155)</f>
        <v/>
      </c>
      <c r="H155" s="11">
        <f>IF(A155="","",IF(D155&lt;G155,"REORDER","OK"))</f>
        <v/>
      </c>
      <c r="I155" s="14">
        <f>IF(A155="","",IFERROR(_xlfn.MAXIFS(StockMovements!$A$2:$A$500,StockMovements!$B$2:$B$500,A155),0))</f>
        <v/>
      </c>
      <c r="J155" s="11">
        <f>IF(OR(A155="",I155=0),"",TODAY()-I155)</f>
        <v/>
      </c>
      <c r="K155" s="11">
        <f>IF(A155="","",IF(I155=0,"never moved",IF(J155&lt;=30,"0-30",IF(J155&lt;=60,"31-60",IF(J155&lt;=90,"61-90","90+")))))</f>
        <v/>
      </c>
    </row>
    <row r="156">
      <c r="A156" s="11">
        <f>Products!A156</f>
        <v/>
      </c>
      <c r="B156" s="11">
        <f>Products!B156</f>
        <v/>
      </c>
      <c r="C156" s="11">
        <f>Products!C156</f>
        <v/>
      </c>
      <c r="D156" s="11">
        <f>IF(A156="","",SUMIFS(StockMovements!$E$2:$E$500,StockMovements!$B$2:$B$500,A156,StockMovements!$D$2:$D$500,"receipt")+SUMIFS(StockMovements!$E$2:$E$500,StockMovements!$B$2:$B$500,A156,StockMovements!$D$2:$D$500,"production_in")+SUMIFS(StockMovements!$E$2:$E$500,StockMovements!$B$2:$B$500,A156,StockMovements!$D$2:$D$500,"adjustment")-SUMIFS(StockMovements!$E$2:$E$500,StockMovements!$B$2:$B$500,A156,StockMovements!$D$2:$D$500,"issue")-SUMIFS(StockMovements!$E$2:$E$500,StockMovements!$B$2:$B$500,A156,StockMovements!$D$2:$D$500,"production_out")-SUMIFS(StockMovements!$E$2:$E$500,StockMovements!$B$2:$B$500,A156,StockMovements!$D$2:$D$500,"transfer")-SUMIFS(StockMovements!$E$2:$E$500,StockMovements!$B$2:$B$500,A156,StockMovements!$D$2:$D$500,"scrap"))</f>
        <v/>
      </c>
      <c r="E156" s="11">
        <f>IF(A156="","",Products!E156)</f>
        <v/>
      </c>
      <c r="F156" s="11">
        <f>IF(A156="","",D156*E156)</f>
        <v/>
      </c>
      <c r="G156" s="11">
        <f>IF(A156="","",Products!F156)</f>
        <v/>
      </c>
      <c r="H156" s="11">
        <f>IF(A156="","",IF(D156&lt;G156,"REORDER","OK"))</f>
        <v/>
      </c>
      <c r="I156" s="14">
        <f>IF(A156="","",IFERROR(_xlfn.MAXIFS(StockMovements!$A$2:$A$500,StockMovements!$B$2:$B$500,A156),0))</f>
        <v/>
      </c>
      <c r="J156" s="11">
        <f>IF(OR(A156="",I156=0),"",TODAY()-I156)</f>
        <v/>
      </c>
      <c r="K156" s="11">
        <f>IF(A156="","",IF(I156=0,"never moved",IF(J156&lt;=30,"0-30",IF(J156&lt;=60,"31-60",IF(J156&lt;=90,"61-90","90+")))))</f>
        <v/>
      </c>
    </row>
    <row r="157">
      <c r="A157" s="11">
        <f>Products!A157</f>
        <v/>
      </c>
      <c r="B157" s="11">
        <f>Products!B157</f>
        <v/>
      </c>
      <c r="C157" s="11">
        <f>Products!C157</f>
        <v/>
      </c>
      <c r="D157" s="11">
        <f>IF(A157="","",SUMIFS(StockMovements!$E$2:$E$500,StockMovements!$B$2:$B$500,A157,StockMovements!$D$2:$D$500,"receipt")+SUMIFS(StockMovements!$E$2:$E$500,StockMovements!$B$2:$B$500,A157,StockMovements!$D$2:$D$500,"production_in")+SUMIFS(StockMovements!$E$2:$E$500,StockMovements!$B$2:$B$500,A157,StockMovements!$D$2:$D$500,"adjustment")-SUMIFS(StockMovements!$E$2:$E$500,StockMovements!$B$2:$B$500,A157,StockMovements!$D$2:$D$500,"issue")-SUMIFS(StockMovements!$E$2:$E$500,StockMovements!$B$2:$B$500,A157,StockMovements!$D$2:$D$500,"production_out")-SUMIFS(StockMovements!$E$2:$E$500,StockMovements!$B$2:$B$500,A157,StockMovements!$D$2:$D$500,"transfer")-SUMIFS(StockMovements!$E$2:$E$500,StockMovements!$B$2:$B$500,A157,StockMovements!$D$2:$D$500,"scrap"))</f>
        <v/>
      </c>
      <c r="E157" s="11">
        <f>IF(A157="","",Products!E157)</f>
        <v/>
      </c>
      <c r="F157" s="11">
        <f>IF(A157="","",D157*E157)</f>
        <v/>
      </c>
      <c r="G157" s="11">
        <f>IF(A157="","",Products!F157)</f>
        <v/>
      </c>
      <c r="H157" s="11">
        <f>IF(A157="","",IF(D157&lt;G157,"REORDER","OK"))</f>
        <v/>
      </c>
      <c r="I157" s="14">
        <f>IF(A157="","",IFERROR(_xlfn.MAXIFS(StockMovements!$A$2:$A$500,StockMovements!$B$2:$B$500,A157),0))</f>
        <v/>
      </c>
      <c r="J157" s="11">
        <f>IF(OR(A157="",I157=0),"",TODAY()-I157)</f>
        <v/>
      </c>
      <c r="K157" s="11">
        <f>IF(A157="","",IF(I157=0,"never moved",IF(J157&lt;=30,"0-30",IF(J157&lt;=60,"31-60",IF(J157&lt;=90,"61-90","90+")))))</f>
        <v/>
      </c>
    </row>
    <row r="158">
      <c r="A158" s="11">
        <f>Products!A158</f>
        <v/>
      </c>
      <c r="B158" s="11">
        <f>Products!B158</f>
        <v/>
      </c>
      <c r="C158" s="11">
        <f>Products!C158</f>
        <v/>
      </c>
      <c r="D158" s="11">
        <f>IF(A158="","",SUMIFS(StockMovements!$E$2:$E$500,StockMovements!$B$2:$B$500,A158,StockMovements!$D$2:$D$500,"receipt")+SUMIFS(StockMovements!$E$2:$E$500,StockMovements!$B$2:$B$500,A158,StockMovements!$D$2:$D$500,"production_in")+SUMIFS(StockMovements!$E$2:$E$500,StockMovements!$B$2:$B$500,A158,StockMovements!$D$2:$D$500,"adjustment")-SUMIFS(StockMovements!$E$2:$E$500,StockMovements!$B$2:$B$500,A158,StockMovements!$D$2:$D$500,"issue")-SUMIFS(StockMovements!$E$2:$E$500,StockMovements!$B$2:$B$500,A158,StockMovements!$D$2:$D$500,"production_out")-SUMIFS(StockMovements!$E$2:$E$500,StockMovements!$B$2:$B$500,A158,StockMovements!$D$2:$D$500,"transfer")-SUMIFS(StockMovements!$E$2:$E$500,StockMovements!$B$2:$B$500,A158,StockMovements!$D$2:$D$500,"scrap"))</f>
        <v/>
      </c>
      <c r="E158" s="11">
        <f>IF(A158="","",Products!E158)</f>
        <v/>
      </c>
      <c r="F158" s="11">
        <f>IF(A158="","",D158*E158)</f>
        <v/>
      </c>
      <c r="G158" s="11">
        <f>IF(A158="","",Products!F158)</f>
        <v/>
      </c>
      <c r="H158" s="11">
        <f>IF(A158="","",IF(D158&lt;G158,"REORDER","OK"))</f>
        <v/>
      </c>
      <c r="I158" s="14">
        <f>IF(A158="","",IFERROR(_xlfn.MAXIFS(StockMovements!$A$2:$A$500,StockMovements!$B$2:$B$500,A158),0))</f>
        <v/>
      </c>
      <c r="J158" s="11">
        <f>IF(OR(A158="",I158=0),"",TODAY()-I158)</f>
        <v/>
      </c>
      <c r="K158" s="11">
        <f>IF(A158="","",IF(I158=0,"never moved",IF(J158&lt;=30,"0-30",IF(J158&lt;=60,"31-60",IF(J158&lt;=90,"61-90","90+")))))</f>
        <v/>
      </c>
    </row>
    <row r="159">
      <c r="A159" s="11">
        <f>Products!A159</f>
        <v/>
      </c>
      <c r="B159" s="11">
        <f>Products!B159</f>
        <v/>
      </c>
      <c r="C159" s="11">
        <f>Products!C159</f>
        <v/>
      </c>
      <c r="D159" s="11">
        <f>IF(A159="","",SUMIFS(StockMovements!$E$2:$E$500,StockMovements!$B$2:$B$500,A159,StockMovements!$D$2:$D$500,"receipt")+SUMIFS(StockMovements!$E$2:$E$500,StockMovements!$B$2:$B$500,A159,StockMovements!$D$2:$D$500,"production_in")+SUMIFS(StockMovements!$E$2:$E$500,StockMovements!$B$2:$B$500,A159,StockMovements!$D$2:$D$500,"adjustment")-SUMIFS(StockMovements!$E$2:$E$500,StockMovements!$B$2:$B$500,A159,StockMovements!$D$2:$D$500,"issue")-SUMIFS(StockMovements!$E$2:$E$500,StockMovements!$B$2:$B$500,A159,StockMovements!$D$2:$D$500,"production_out")-SUMIFS(StockMovements!$E$2:$E$500,StockMovements!$B$2:$B$500,A159,StockMovements!$D$2:$D$500,"transfer")-SUMIFS(StockMovements!$E$2:$E$500,StockMovements!$B$2:$B$500,A159,StockMovements!$D$2:$D$500,"scrap"))</f>
        <v/>
      </c>
      <c r="E159" s="11">
        <f>IF(A159="","",Products!E159)</f>
        <v/>
      </c>
      <c r="F159" s="11">
        <f>IF(A159="","",D159*E159)</f>
        <v/>
      </c>
      <c r="G159" s="11">
        <f>IF(A159="","",Products!F159)</f>
        <v/>
      </c>
      <c r="H159" s="11">
        <f>IF(A159="","",IF(D159&lt;G159,"REORDER","OK"))</f>
        <v/>
      </c>
      <c r="I159" s="14">
        <f>IF(A159="","",IFERROR(_xlfn.MAXIFS(StockMovements!$A$2:$A$500,StockMovements!$B$2:$B$500,A159),0))</f>
        <v/>
      </c>
      <c r="J159" s="11">
        <f>IF(OR(A159="",I159=0),"",TODAY()-I159)</f>
        <v/>
      </c>
      <c r="K159" s="11">
        <f>IF(A159="","",IF(I159=0,"never moved",IF(J159&lt;=30,"0-30",IF(J159&lt;=60,"31-60",IF(J159&lt;=90,"61-90","90+")))))</f>
        <v/>
      </c>
    </row>
    <row r="160">
      <c r="A160" s="11">
        <f>Products!A160</f>
        <v/>
      </c>
      <c r="B160" s="11">
        <f>Products!B160</f>
        <v/>
      </c>
      <c r="C160" s="11">
        <f>Products!C160</f>
        <v/>
      </c>
      <c r="D160" s="11">
        <f>IF(A160="","",SUMIFS(StockMovements!$E$2:$E$500,StockMovements!$B$2:$B$500,A160,StockMovements!$D$2:$D$500,"receipt")+SUMIFS(StockMovements!$E$2:$E$500,StockMovements!$B$2:$B$500,A160,StockMovements!$D$2:$D$500,"production_in")+SUMIFS(StockMovements!$E$2:$E$500,StockMovements!$B$2:$B$500,A160,StockMovements!$D$2:$D$500,"adjustment")-SUMIFS(StockMovements!$E$2:$E$500,StockMovements!$B$2:$B$500,A160,StockMovements!$D$2:$D$500,"issue")-SUMIFS(StockMovements!$E$2:$E$500,StockMovements!$B$2:$B$500,A160,StockMovements!$D$2:$D$500,"production_out")-SUMIFS(StockMovements!$E$2:$E$500,StockMovements!$B$2:$B$500,A160,StockMovements!$D$2:$D$500,"transfer")-SUMIFS(StockMovements!$E$2:$E$500,StockMovements!$B$2:$B$500,A160,StockMovements!$D$2:$D$500,"scrap"))</f>
        <v/>
      </c>
      <c r="E160" s="11">
        <f>IF(A160="","",Products!E160)</f>
        <v/>
      </c>
      <c r="F160" s="11">
        <f>IF(A160="","",D160*E160)</f>
        <v/>
      </c>
      <c r="G160" s="11">
        <f>IF(A160="","",Products!F160)</f>
        <v/>
      </c>
      <c r="H160" s="11">
        <f>IF(A160="","",IF(D160&lt;G160,"REORDER","OK"))</f>
        <v/>
      </c>
      <c r="I160" s="14">
        <f>IF(A160="","",IFERROR(_xlfn.MAXIFS(StockMovements!$A$2:$A$500,StockMovements!$B$2:$B$500,A160),0))</f>
        <v/>
      </c>
      <c r="J160" s="11">
        <f>IF(OR(A160="",I160=0),"",TODAY()-I160)</f>
        <v/>
      </c>
      <c r="K160" s="11">
        <f>IF(A160="","",IF(I160=0,"never moved",IF(J160&lt;=30,"0-30",IF(J160&lt;=60,"31-60",IF(J160&lt;=90,"61-90","90+")))))</f>
        <v/>
      </c>
    </row>
    <row r="161">
      <c r="A161" s="11">
        <f>Products!A161</f>
        <v/>
      </c>
      <c r="B161" s="11">
        <f>Products!B161</f>
        <v/>
      </c>
      <c r="C161" s="11">
        <f>Products!C161</f>
        <v/>
      </c>
      <c r="D161" s="11">
        <f>IF(A161="","",SUMIFS(StockMovements!$E$2:$E$500,StockMovements!$B$2:$B$500,A161,StockMovements!$D$2:$D$500,"receipt")+SUMIFS(StockMovements!$E$2:$E$500,StockMovements!$B$2:$B$500,A161,StockMovements!$D$2:$D$500,"production_in")+SUMIFS(StockMovements!$E$2:$E$500,StockMovements!$B$2:$B$500,A161,StockMovements!$D$2:$D$500,"adjustment")-SUMIFS(StockMovements!$E$2:$E$500,StockMovements!$B$2:$B$500,A161,StockMovements!$D$2:$D$500,"issue")-SUMIFS(StockMovements!$E$2:$E$500,StockMovements!$B$2:$B$500,A161,StockMovements!$D$2:$D$500,"production_out")-SUMIFS(StockMovements!$E$2:$E$500,StockMovements!$B$2:$B$500,A161,StockMovements!$D$2:$D$500,"transfer")-SUMIFS(StockMovements!$E$2:$E$500,StockMovements!$B$2:$B$500,A161,StockMovements!$D$2:$D$500,"scrap"))</f>
        <v/>
      </c>
      <c r="E161" s="11">
        <f>IF(A161="","",Products!E161)</f>
        <v/>
      </c>
      <c r="F161" s="11">
        <f>IF(A161="","",D161*E161)</f>
        <v/>
      </c>
      <c r="G161" s="11">
        <f>IF(A161="","",Products!F161)</f>
        <v/>
      </c>
      <c r="H161" s="11">
        <f>IF(A161="","",IF(D161&lt;G161,"REORDER","OK"))</f>
        <v/>
      </c>
      <c r="I161" s="14">
        <f>IF(A161="","",IFERROR(_xlfn.MAXIFS(StockMovements!$A$2:$A$500,StockMovements!$B$2:$B$500,A161),0))</f>
        <v/>
      </c>
      <c r="J161" s="11">
        <f>IF(OR(A161="",I161=0),"",TODAY()-I161)</f>
        <v/>
      </c>
      <c r="K161" s="11">
        <f>IF(A161="","",IF(I161=0,"never moved",IF(J161&lt;=30,"0-30",IF(J161&lt;=60,"31-60",IF(J161&lt;=90,"61-90","90+")))))</f>
        <v/>
      </c>
    </row>
    <row r="162">
      <c r="A162" s="11">
        <f>Products!A162</f>
        <v/>
      </c>
      <c r="B162" s="11">
        <f>Products!B162</f>
        <v/>
      </c>
      <c r="C162" s="11">
        <f>Products!C162</f>
        <v/>
      </c>
      <c r="D162" s="11">
        <f>IF(A162="","",SUMIFS(StockMovements!$E$2:$E$500,StockMovements!$B$2:$B$500,A162,StockMovements!$D$2:$D$500,"receipt")+SUMIFS(StockMovements!$E$2:$E$500,StockMovements!$B$2:$B$500,A162,StockMovements!$D$2:$D$500,"production_in")+SUMIFS(StockMovements!$E$2:$E$500,StockMovements!$B$2:$B$500,A162,StockMovements!$D$2:$D$500,"adjustment")-SUMIFS(StockMovements!$E$2:$E$500,StockMovements!$B$2:$B$500,A162,StockMovements!$D$2:$D$500,"issue")-SUMIFS(StockMovements!$E$2:$E$500,StockMovements!$B$2:$B$500,A162,StockMovements!$D$2:$D$500,"production_out")-SUMIFS(StockMovements!$E$2:$E$500,StockMovements!$B$2:$B$500,A162,StockMovements!$D$2:$D$500,"transfer")-SUMIFS(StockMovements!$E$2:$E$500,StockMovements!$B$2:$B$500,A162,StockMovements!$D$2:$D$500,"scrap"))</f>
        <v/>
      </c>
      <c r="E162" s="11">
        <f>IF(A162="","",Products!E162)</f>
        <v/>
      </c>
      <c r="F162" s="11">
        <f>IF(A162="","",D162*E162)</f>
        <v/>
      </c>
      <c r="G162" s="11">
        <f>IF(A162="","",Products!F162)</f>
        <v/>
      </c>
      <c r="H162" s="11">
        <f>IF(A162="","",IF(D162&lt;G162,"REORDER","OK"))</f>
        <v/>
      </c>
      <c r="I162" s="14">
        <f>IF(A162="","",IFERROR(_xlfn.MAXIFS(StockMovements!$A$2:$A$500,StockMovements!$B$2:$B$500,A162),0))</f>
        <v/>
      </c>
      <c r="J162" s="11">
        <f>IF(OR(A162="",I162=0),"",TODAY()-I162)</f>
        <v/>
      </c>
      <c r="K162" s="11">
        <f>IF(A162="","",IF(I162=0,"never moved",IF(J162&lt;=30,"0-30",IF(J162&lt;=60,"31-60",IF(J162&lt;=90,"61-90","90+")))))</f>
        <v/>
      </c>
    </row>
    <row r="163">
      <c r="A163" s="11">
        <f>Products!A163</f>
        <v/>
      </c>
      <c r="B163" s="11">
        <f>Products!B163</f>
        <v/>
      </c>
      <c r="C163" s="11">
        <f>Products!C163</f>
        <v/>
      </c>
      <c r="D163" s="11">
        <f>IF(A163="","",SUMIFS(StockMovements!$E$2:$E$500,StockMovements!$B$2:$B$500,A163,StockMovements!$D$2:$D$500,"receipt")+SUMIFS(StockMovements!$E$2:$E$500,StockMovements!$B$2:$B$500,A163,StockMovements!$D$2:$D$500,"production_in")+SUMIFS(StockMovements!$E$2:$E$500,StockMovements!$B$2:$B$500,A163,StockMovements!$D$2:$D$500,"adjustment")-SUMIFS(StockMovements!$E$2:$E$500,StockMovements!$B$2:$B$500,A163,StockMovements!$D$2:$D$500,"issue")-SUMIFS(StockMovements!$E$2:$E$500,StockMovements!$B$2:$B$500,A163,StockMovements!$D$2:$D$500,"production_out")-SUMIFS(StockMovements!$E$2:$E$500,StockMovements!$B$2:$B$500,A163,StockMovements!$D$2:$D$500,"transfer")-SUMIFS(StockMovements!$E$2:$E$500,StockMovements!$B$2:$B$500,A163,StockMovements!$D$2:$D$500,"scrap"))</f>
        <v/>
      </c>
      <c r="E163" s="11">
        <f>IF(A163="","",Products!E163)</f>
        <v/>
      </c>
      <c r="F163" s="11">
        <f>IF(A163="","",D163*E163)</f>
        <v/>
      </c>
      <c r="G163" s="11">
        <f>IF(A163="","",Products!F163)</f>
        <v/>
      </c>
      <c r="H163" s="11">
        <f>IF(A163="","",IF(D163&lt;G163,"REORDER","OK"))</f>
        <v/>
      </c>
      <c r="I163" s="14">
        <f>IF(A163="","",IFERROR(_xlfn.MAXIFS(StockMovements!$A$2:$A$500,StockMovements!$B$2:$B$500,A163),0))</f>
        <v/>
      </c>
      <c r="J163" s="11">
        <f>IF(OR(A163="",I163=0),"",TODAY()-I163)</f>
        <v/>
      </c>
      <c r="K163" s="11">
        <f>IF(A163="","",IF(I163=0,"never moved",IF(J163&lt;=30,"0-30",IF(J163&lt;=60,"31-60",IF(J163&lt;=90,"61-90","90+")))))</f>
        <v/>
      </c>
    </row>
    <row r="164">
      <c r="A164" s="11">
        <f>Products!A164</f>
        <v/>
      </c>
      <c r="B164" s="11">
        <f>Products!B164</f>
        <v/>
      </c>
      <c r="C164" s="11">
        <f>Products!C164</f>
        <v/>
      </c>
      <c r="D164" s="11">
        <f>IF(A164="","",SUMIFS(StockMovements!$E$2:$E$500,StockMovements!$B$2:$B$500,A164,StockMovements!$D$2:$D$500,"receipt")+SUMIFS(StockMovements!$E$2:$E$500,StockMovements!$B$2:$B$500,A164,StockMovements!$D$2:$D$500,"production_in")+SUMIFS(StockMovements!$E$2:$E$500,StockMovements!$B$2:$B$500,A164,StockMovements!$D$2:$D$500,"adjustment")-SUMIFS(StockMovements!$E$2:$E$500,StockMovements!$B$2:$B$500,A164,StockMovements!$D$2:$D$500,"issue")-SUMIFS(StockMovements!$E$2:$E$500,StockMovements!$B$2:$B$500,A164,StockMovements!$D$2:$D$500,"production_out")-SUMIFS(StockMovements!$E$2:$E$500,StockMovements!$B$2:$B$500,A164,StockMovements!$D$2:$D$500,"transfer")-SUMIFS(StockMovements!$E$2:$E$500,StockMovements!$B$2:$B$500,A164,StockMovements!$D$2:$D$500,"scrap"))</f>
        <v/>
      </c>
      <c r="E164" s="11">
        <f>IF(A164="","",Products!E164)</f>
        <v/>
      </c>
      <c r="F164" s="11">
        <f>IF(A164="","",D164*E164)</f>
        <v/>
      </c>
      <c r="G164" s="11">
        <f>IF(A164="","",Products!F164)</f>
        <v/>
      </c>
      <c r="H164" s="11">
        <f>IF(A164="","",IF(D164&lt;G164,"REORDER","OK"))</f>
        <v/>
      </c>
      <c r="I164" s="14">
        <f>IF(A164="","",IFERROR(_xlfn.MAXIFS(StockMovements!$A$2:$A$500,StockMovements!$B$2:$B$500,A164),0))</f>
        <v/>
      </c>
      <c r="J164" s="11">
        <f>IF(OR(A164="",I164=0),"",TODAY()-I164)</f>
        <v/>
      </c>
      <c r="K164" s="11">
        <f>IF(A164="","",IF(I164=0,"never moved",IF(J164&lt;=30,"0-30",IF(J164&lt;=60,"31-60",IF(J164&lt;=90,"61-90","90+")))))</f>
        <v/>
      </c>
    </row>
    <row r="165">
      <c r="A165" s="11">
        <f>Products!A165</f>
        <v/>
      </c>
      <c r="B165" s="11">
        <f>Products!B165</f>
        <v/>
      </c>
      <c r="C165" s="11">
        <f>Products!C165</f>
        <v/>
      </c>
      <c r="D165" s="11">
        <f>IF(A165="","",SUMIFS(StockMovements!$E$2:$E$500,StockMovements!$B$2:$B$500,A165,StockMovements!$D$2:$D$500,"receipt")+SUMIFS(StockMovements!$E$2:$E$500,StockMovements!$B$2:$B$500,A165,StockMovements!$D$2:$D$500,"production_in")+SUMIFS(StockMovements!$E$2:$E$500,StockMovements!$B$2:$B$500,A165,StockMovements!$D$2:$D$500,"adjustment")-SUMIFS(StockMovements!$E$2:$E$500,StockMovements!$B$2:$B$500,A165,StockMovements!$D$2:$D$500,"issue")-SUMIFS(StockMovements!$E$2:$E$500,StockMovements!$B$2:$B$500,A165,StockMovements!$D$2:$D$500,"production_out")-SUMIFS(StockMovements!$E$2:$E$500,StockMovements!$B$2:$B$500,A165,StockMovements!$D$2:$D$500,"transfer")-SUMIFS(StockMovements!$E$2:$E$500,StockMovements!$B$2:$B$500,A165,StockMovements!$D$2:$D$500,"scrap"))</f>
        <v/>
      </c>
      <c r="E165" s="11">
        <f>IF(A165="","",Products!E165)</f>
        <v/>
      </c>
      <c r="F165" s="11">
        <f>IF(A165="","",D165*E165)</f>
        <v/>
      </c>
      <c r="G165" s="11">
        <f>IF(A165="","",Products!F165)</f>
        <v/>
      </c>
      <c r="H165" s="11">
        <f>IF(A165="","",IF(D165&lt;G165,"REORDER","OK"))</f>
        <v/>
      </c>
      <c r="I165" s="14">
        <f>IF(A165="","",IFERROR(_xlfn.MAXIFS(StockMovements!$A$2:$A$500,StockMovements!$B$2:$B$500,A165),0))</f>
        <v/>
      </c>
      <c r="J165" s="11">
        <f>IF(OR(A165="",I165=0),"",TODAY()-I165)</f>
        <v/>
      </c>
      <c r="K165" s="11">
        <f>IF(A165="","",IF(I165=0,"never moved",IF(J165&lt;=30,"0-30",IF(J165&lt;=60,"31-60",IF(J165&lt;=90,"61-90","90+")))))</f>
        <v/>
      </c>
    </row>
    <row r="166">
      <c r="A166" s="11">
        <f>Products!A166</f>
        <v/>
      </c>
      <c r="B166" s="11">
        <f>Products!B166</f>
        <v/>
      </c>
      <c r="C166" s="11">
        <f>Products!C166</f>
        <v/>
      </c>
      <c r="D166" s="11">
        <f>IF(A166="","",SUMIFS(StockMovements!$E$2:$E$500,StockMovements!$B$2:$B$500,A166,StockMovements!$D$2:$D$500,"receipt")+SUMIFS(StockMovements!$E$2:$E$500,StockMovements!$B$2:$B$500,A166,StockMovements!$D$2:$D$500,"production_in")+SUMIFS(StockMovements!$E$2:$E$500,StockMovements!$B$2:$B$500,A166,StockMovements!$D$2:$D$500,"adjustment")-SUMIFS(StockMovements!$E$2:$E$500,StockMovements!$B$2:$B$500,A166,StockMovements!$D$2:$D$500,"issue")-SUMIFS(StockMovements!$E$2:$E$500,StockMovements!$B$2:$B$500,A166,StockMovements!$D$2:$D$500,"production_out")-SUMIFS(StockMovements!$E$2:$E$500,StockMovements!$B$2:$B$500,A166,StockMovements!$D$2:$D$500,"transfer")-SUMIFS(StockMovements!$E$2:$E$500,StockMovements!$B$2:$B$500,A166,StockMovements!$D$2:$D$500,"scrap"))</f>
        <v/>
      </c>
      <c r="E166" s="11">
        <f>IF(A166="","",Products!E166)</f>
        <v/>
      </c>
      <c r="F166" s="11">
        <f>IF(A166="","",D166*E166)</f>
        <v/>
      </c>
      <c r="G166" s="11">
        <f>IF(A166="","",Products!F166)</f>
        <v/>
      </c>
      <c r="H166" s="11">
        <f>IF(A166="","",IF(D166&lt;G166,"REORDER","OK"))</f>
        <v/>
      </c>
      <c r="I166" s="14">
        <f>IF(A166="","",IFERROR(_xlfn.MAXIFS(StockMovements!$A$2:$A$500,StockMovements!$B$2:$B$500,A166),0))</f>
        <v/>
      </c>
      <c r="J166" s="11">
        <f>IF(OR(A166="",I166=0),"",TODAY()-I166)</f>
        <v/>
      </c>
      <c r="K166" s="11">
        <f>IF(A166="","",IF(I166=0,"never moved",IF(J166&lt;=30,"0-30",IF(J166&lt;=60,"31-60",IF(J166&lt;=90,"61-90","90+")))))</f>
        <v/>
      </c>
    </row>
    <row r="167">
      <c r="A167" s="11">
        <f>Products!A167</f>
        <v/>
      </c>
      <c r="B167" s="11">
        <f>Products!B167</f>
        <v/>
      </c>
      <c r="C167" s="11">
        <f>Products!C167</f>
        <v/>
      </c>
      <c r="D167" s="11">
        <f>IF(A167="","",SUMIFS(StockMovements!$E$2:$E$500,StockMovements!$B$2:$B$500,A167,StockMovements!$D$2:$D$500,"receipt")+SUMIFS(StockMovements!$E$2:$E$500,StockMovements!$B$2:$B$500,A167,StockMovements!$D$2:$D$500,"production_in")+SUMIFS(StockMovements!$E$2:$E$500,StockMovements!$B$2:$B$500,A167,StockMovements!$D$2:$D$500,"adjustment")-SUMIFS(StockMovements!$E$2:$E$500,StockMovements!$B$2:$B$500,A167,StockMovements!$D$2:$D$500,"issue")-SUMIFS(StockMovements!$E$2:$E$500,StockMovements!$B$2:$B$500,A167,StockMovements!$D$2:$D$500,"production_out")-SUMIFS(StockMovements!$E$2:$E$500,StockMovements!$B$2:$B$500,A167,StockMovements!$D$2:$D$500,"transfer")-SUMIFS(StockMovements!$E$2:$E$500,StockMovements!$B$2:$B$500,A167,StockMovements!$D$2:$D$500,"scrap"))</f>
        <v/>
      </c>
      <c r="E167" s="11">
        <f>IF(A167="","",Products!E167)</f>
        <v/>
      </c>
      <c r="F167" s="11">
        <f>IF(A167="","",D167*E167)</f>
        <v/>
      </c>
      <c r="G167" s="11">
        <f>IF(A167="","",Products!F167)</f>
        <v/>
      </c>
      <c r="H167" s="11">
        <f>IF(A167="","",IF(D167&lt;G167,"REORDER","OK"))</f>
        <v/>
      </c>
      <c r="I167" s="14">
        <f>IF(A167="","",IFERROR(_xlfn.MAXIFS(StockMovements!$A$2:$A$500,StockMovements!$B$2:$B$500,A167),0))</f>
        <v/>
      </c>
      <c r="J167" s="11">
        <f>IF(OR(A167="",I167=0),"",TODAY()-I167)</f>
        <v/>
      </c>
      <c r="K167" s="11">
        <f>IF(A167="","",IF(I167=0,"never moved",IF(J167&lt;=30,"0-30",IF(J167&lt;=60,"31-60",IF(J167&lt;=90,"61-90","90+")))))</f>
        <v/>
      </c>
    </row>
    <row r="168">
      <c r="A168" s="11">
        <f>Products!A168</f>
        <v/>
      </c>
      <c r="B168" s="11">
        <f>Products!B168</f>
        <v/>
      </c>
      <c r="C168" s="11">
        <f>Products!C168</f>
        <v/>
      </c>
      <c r="D168" s="11">
        <f>IF(A168="","",SUMIFS(StockMovements!$E$2:$E$500,StockMovements!$B$2:$B$500,A168,StockMovements!$D$2:$D$500,"receipt")+SUMIFS(StockMovements!$E$2:$E$500,StockMovements!$B$2:$B$500,A168,StockMovements!$D$2:$D$500,"production_in")+SUMIFS(StockMovements!$E$2:$E$500,StockMovements!$B$2:$B$500,A168,StockMovements!$D$2:$D$500,"adjustment")-SUMIFS(StockMovements!$E$2:$E$500,StockMovements!$B$2:$B$500,A168,StockMovements!$D$2:$D$500,"issue")-SUMIFS(StockMovements!$E$2:$E$500,StockMovements!$B$2:$B$500,A168,StockMovements!$D$2:$D$500,"production_out")-SUMIFS(StockMovements!$E$2:$E$500,StockMovements!$B$2:$B$500,A168,StockMovements!$D$2:$D$500,"transfer")-SUMIFS(StockMovements!$E$2:$E$500,StockMovements!$B$2:$B$500,A168,StockMovements!$D$2:$D$500,"scrap"))</f>
        <v/>
      </c>
      <c r="E168" s="11">
        <f>IF(A168="","",Products!E168)</f>
        <v/>
      </c>
      <c r="F168" s="11">
        <f>IF(A168="","",D168*E168)</f>
        <v/>
      </c>
      <c r="G168" s="11">
        <f>IF(A168="","",Products!F168)</f>
        <v/>
      </c>
      <c r="H168" s="11">
        <f>IF(A168="","",IF(D168&lt;G168,"REORDER","OK"))</f>
        <v/>
      </c>
      <c r="I168" s="14">
        <f>IF(A168="","",IFERROR(_xlfn.MAXIFS(StockMovements!$A$2:$A$500,StockMovements!$B$2:$B$500,A168),0))</f>
        <v/>
      </c>
      <c r="J168" s="11">
        <f>IF(OR(A168="",I168=0),"",TODAY()-I168)</f>
        <v/>
      </c>
      <c r="K168" s="11">
        <f>IF(A168="","",IF(I168=0,"never moved",IF(J168&lt;=30,"0-30",IF(J168&lt;=60,"31-60",IF(J168&lt;=90,"61-90","90+")))))</f>
        <v/>
      </c>
    </row>
    <row r="169">
      <c r="A169" s="11">
        <f>Products!A169</f>
        <v/>
      </c>
      <c r="B169" s="11">
        <f>Products!B169</f>
        <v/>
      </c>
      <c r="C169" s="11">
        <f>Products!C169</f>
        <v/>
      </c>
      <c r="D169" s="11">
        <f>IF(A169="","",SUMIFS(StockMovements!$E$2:$E$500,StockMovements!$B$2:$B$500,A169,StockMovements!$D$2:$D$500,"receipt")+SUMIFS(StockMovements!$E$2:$E$500,StockMovements!$B$2:$B$500,A169,StockMovements!$D$2:$D$500,"production_in")+SUMIFS(StockMovements!$E$2:$E$500,StockMovements!$B$2:$B$500,A169,StockMovements!$D$2:$D$500,"adjustment")-SUMIFS(StockMovements!$E$2:$E$500,StockMovements!$B$2:$B$500,A169,StockMovements!$D$2:$D$500,"issue")-SUMIFS(StockMovements!$E$2:$E$500,StockMovements!$B$2:$B$500,A169,StockMovements!$D$2:$D$500,"production_out")-SUMIFS(StockMovements!$E$2:$E$500,StockMovements!$B$2:$B$500,A169,StockMovements!$D$2:$D$500,"transfer")-SUMIFS(StockMovements!$E$2:$E$500,StockMovements!$B$2:$B$500,A169,StockMovements!$D$2:$D$500,"scrap"))</f>
        <v/>
      </c>
      <c r="E169" s="11">
        <f>IF(A169="","",Products!E169)</f>
        <v/>
      </c>
      <c r="F169" s="11">
        <f>IF(A169="","",D169*E169)</f>
        <v/>
      </c>
      <c r="G169" s="11">
        <f>IF(A169="","",Products!F169)</f>
        <v/>
      </c>
      <c r="H169" s="11">
        <f>IF(A169="","",IF(D169&lt;G169,"REORDER","OK"))</f>
        <v/>
      </c>
      <c r="I169" s="14">
        <f>IF(A169="","",IFERROR(_xlfn.MAXIFS(StockMovements!$A$2:$A$500,StockMovements!$B$2:$B$500,A169),0))</f>
        <v/>
      </c>
      <c r="J169" s="11">
        <f>IF(OR(A169="",I169=0),"",TODAY()-I169)</f>
        <v/>
      </c>
      <c r="K169" s="11">
        <f>IF(A169="","",IF(I169=0,"never moved",IF(J169&lt;=30,"0-30",IF(J169&lt;=60,"31-60",IF(J169&lt;=90,"61-90","90+")))))</f>
        <v/>
      </c>
    </row>
    <row r="170">
      <c r="A170" s="11">
        <f>Products!A170</f>
        <v/>
      </c>
      <c r="B170" s="11">
        <f>Products!B170</f>
        <v/>
      </c>
      <c r="C170" s="11">
        <f>Products!C170</f>
        <v/>
      </c>
      <c r="D170" s="11">
        <f>IF(A170="","",SUMIFS(StockMovements!$E$2:$E$500,StockMovements!$B$2:$B$500,A170,StockMovements!$D$2:$D$500,"receipt")+SUMIFS(StockMovements!$E$2:$E$500,StockMovements!$B$2:$B$500,A170,StockMovements!$D$2:$D$500,"production_in")+SUMIFS(StockMovements!$E$2:$E$500,StockMovements!$B$2:$B$500,A170,StockMovements!$D$2:$D$500,"adjustment")-SUMIFS(StockMovements!$E$2:$E$500,StockMovements!$B$2:$B$500,A170,StockMovements!$D$2:$D$500,"issue")-SUMIFS(StockMovements!$E$2:$E$500,StockMovements!$B$2:$B$500,A170,StockMovements!$D$2:$D$500,"production_out")-SUMIFS(StockMovements!$E$2:$E$500,StockMovements!$B$2:$B$500,A170,StockMovements!$D$2:$D$500,"transfer")-SUMIFS(StockMovements!$E$2:$E$500,StockMovements!$B$2:$B$500,A170,StockMovements!$D$2:$D$500,"scrap"))</f>
        <v/>
      </c>
      <c r="E170" s="11">
        <f>IF(A170="","",Products!E170)</f>
        <v/>
      </c>
      <c r="F170" s="11">
        <f>IF(A170="","",D170*E170)</f>
        <v/>
      </c>
      <c r="G170" s="11">
        <f>IF(A170="","",Products!F170)</f>
        <v/>
      </c>
      <c r="H170" s="11">
        <f>IF(A170="","",IF(D170&lt;G170,"REORDER","OK"))</f>
        <v/>
      </c>
      <c r="I170" s="14">
        <f>IF(A170="","",IFERROR(_xlfn.MAXIFS(StockMovements!$A$2:$A$500,StockMovements!$B$2:$B$500,A170),0))</f>
        <v/>
      </c>
      <c r="J170" s="11">
        <f>IF(OR(A170="",I170=0),"",TODAY()-I170)</f>
        <v/>
      </c>
      <c r="K170" s="11">
        <f>IF(A170="","",IF(I170=0,"never moved",IF(J170&lt;=30,"0-30",IF(J170&lt;=60,"31-60",IF(J170&lt;=90,"61-90","90+")))))</f>
        <v/>
      </c>
    </row>
    <row r="171">
      <c r="A171" s="11">
        <f>Products!A171</f>
        <v/>
      </c>
      <c r="B171" s="11">
        <f>Products!B171</f>
        <v/>
      </c>
      <c r="C171" s="11">
        <f>Products!C171</f>
        <v/>
      </c>
      <c r="D171" s="11">
        <f>IF(A171="","",SUMIFS(StockMovements!$E$2:$E$500,StockMovements!$B$2:$B$500,A171,StockMovements!$D$2:$D$500,"receipt")+SUMIFS(StockMovements!$E$2:$E$500,StockMovements!$B$2:$B$500,A171,StockMovements!$D$2:$D$500,"production_in")+SUMIFS(StockMovements!$E$2:$E$500,StockMovements!$B$2:$B$500,A171,StockMovements!$D$2:$D$500,"adjustment")-SUMIFS(StockMovements!$E$2:$E$500,StockMovements!$B$2:$B$500,A171,StockMovements!$D$2:$D$500,"issue")-SUMIFS(StockMovements!$E$2:$E$500,StockMovements!$B$2:$B$500,A171,StockMovements!$D$2:$D$500,"production_out")-SUMIFS(StockMovements!$E$2:$E$500,StockMovements!$B$2:$B$500,A171,StockMovements!$D$2:$D$500,"transfer")-SUMIFS(StockMovements!$E$2:$E$500,StockMovements!$B$2:$B$500,A171,StockMovements!$D$2:$D$500,"scrap"))</f>
        <v/>
      </c>
      <c r="E171" s="11">
        <f>IF(A171="","",Products!E171)</f>
        <v/>
      </c>
      <c r="F171" s="11">
        <f>IF(A171="","",D171*E171)</f>
        <v/>
      </c>
      <c r="G171" s="11">
        <f>IF(A171="","",Products!F171)</f>
        <v/>
      </c>
      <c r="H171" s="11">
        <f>IF(A171="","",IF(D171&lt;G171,"REORDER","OK"))</f>
        <v/>
      </c>
      <c r="I171" s="14">
        <f>IF(A171="","",IFERROR(_xlfn.MAXIFS(StockMovements!$A$2:$A$500,StockMovements!$B$2:$B$500,A171),0))</f>
        <v/>
      </c>
      <c r="J171" s="11">
        <f>IF(OR(A171="",I171=0),"",TODAY()-I171)</f>
        <v/>
      </c>
      <c r="K171" s="11">
        <f>IF(A171="","",IF(I171=0,"never moved",IF(J171&lt;=30,"0-30",IF(J171&lt;=60,"31-60",IF(J171&lt;=90,"61-90","90+")))))</f>
        <v/>
      </c>
    </row>
    <row r="172">
      <c r="A172" s="11">
        <f>Products!A172</f>
        <v/>
      </c>
      <c r="B172" s="11">
        <f>Products!B172</f>
        <v/>
      </c>
      <c r="C172" s="11">
        <f>Products!C172</f>
        <v/>
      </c>
      <c r="D172" s="11">
        <f>IF(A172="","",SUMIFS(StockMovements!$E$2:$E$500,StockMovements!$B$2:$B$500,A172,StockMovements!$D$2:$D$500,"receipt")+SUMIFS(StockMovements!$E$2:$E$500,StockMovements!$B$2:$B$500,A172,StockMovements!$D$2:$D$500,"production_in")+SUMIFS(StockMovements!$E$2:$E$500,StockMovements!$B$2:$B$500,A172,StockMovements!$D$2:$D$500,"adjustment")-SUMIFS(StockMovements!$E$2:$E$500,StockMovements!$B$2:$B$500,A172,StockMovements!$D$2:$D$500,"issue")-SUMIFS(StockMovements!$E$2:$E$500,StockMovements!$B$2:$B$500,A172,StockMovements!$D$2:$D$500,"production_out")-SUMIFS(StockMovements!$E$2:$E$500,StockMovements!$B$2:$B$500,A172,StockMovements!$D$2:$D$500,"transfer")-SUMIFS(StockMovements!$E$2:$E$500,StockMovements!$B$2:$B$500,A172,StockMovements!$D$2:$D$500,"scrap"))</f>
        <v/>
      </c>
      <c r="E172" s="11">
        <f>IF(A172="","",Products!E172)</f>
        <v/>
      </c>
      <c r="F172" s="11">
        <f>IF(A172="","",D172*E172)</f>
        <v/>
      </c>
      <c r="G172" s="11">
        <f>IF(A172="","",Products!F172)</f>
        <v/>
      </c>
      <c r="H172" s="11">
        <f>IF(A172="","",IF(D172&lt;G172,"REORDER","OK"))</f>
        <v/>
      </c>
      <c r="I172" s="14">
        <f>IF(A172="","",IFERROR(_xlfn.MAXIFS(StockMovements!$A$2:$A$500,StockMovements!$B$2:$B$500,A172),0))</f>
        <v/>
      </c>
      <c r="J172" s="11">
        <f>IF(OR(A172="",I172=0),"",TODAY()-I172)</f>
        <v/>
      </c>
      <c r="K172" s="11">
        <f>IF(A172="","",IF(I172=0,"never moved",IF(J172&lt;=30,"0-30",IF(J172&lt;=60,"31-60",IF(J172&lt;=90,"61-90","90+")))))</f>
        <v/>
      </c>
    </row>
    <row r="173">
      <c r="A173" s="11">
        <f>Products!A173</f>
        <v/>
      </c>
      <c r="B173" s="11">
        <f>Products!B173</f>
        <v/>
      </c>
      <c r="C173" s="11">
        <f>Products!C173</f>
        <v/>
      </c>
      <c r="D173" s="11">
        <f>IF(A173="","",SUMIFS(StockMovements!$E$2:$E$500,StockMovements!$B$2:$B$500,A173,StockMovements!$D$2:$D$500,"receipt")+SUMIFS(StockMovements!$E$2:$E$500,StockMovements!$B$2:$B$500,A173,StockMovements!$D$2:$D$500,"production_in")+SUMIFS(StockMovements!$E$2:$E$500,StockMovements!$B$2:$B$500,A173,StockMovements!$D$2:$D$500,"adjustment")-SUMIFS(StockMovements!$E$2:$E$500,StockMovements!$B$2:$B$500,A173,StockMovements!$D$2:$D$500,"issue")-SUMIFS(StockMovements!$E$2:$E$500,StockMovements!$B$2:$B$500,A173,StockMovements!$D$2:$D$500,"production_out")-SUMIFS(StockMovements!$E$2:$E$500,StockMovements!$B$2:$B$500,A173,StockMovements!$D$2:$D$500,"transfer")-SUMIFS(StockMovements!$E$2:$E$500,StockMovements!$B$2:$B$500,A173,StockMovements!$D$2:$D$500,"scrap"))</f>
        <v/>
      </c>
      <c r="E173" s="11">
        <f>IF(A173="","",Products!E173)</f>
        <v/>
      </c>
      <c r="F173" s="11">
        <f>IF(A173="","",D173*E173)</f>
        <v/>
      </c>
      <c r="G173" s="11">
        <f>IF(A173="","",Products!F173)</f>
        <v/>
      </c>
      <c r="H173" s="11">
        <f>IF(A173="","",IF(D173&lt;G173,"REORDER","OK"))</f>
        <v/>
      </c>
      <c r="I173" s="14">
        <f>IF(A173="","",IFERROR(_xlfn.MAXIFS(StockMovements!$A$2:$A$500,StockMovements!$B$2:$B$500,A173),0))</f>
        <v/>
      </c>
      <c r="J173" s="11">
        <f>IF(OR(A173="",I173=0),"",TODAY()-I173)</f>
        <v/>
      </c>
      <c r="K173" s="11">
        <f>IF(A173="","",IF(I173=0,"never moved",IF(J173&lt;=30,"0-30",IF(J173&lt;=60,"31-60",IF(J173&lt;=90,"61-90","90+")))))</f>
        <v/>
      </c>
    </row>
    <row r="174">
      <c r="A174" s="11">
        <f>Products!A174</f>
        <v/>
      </c>
      <c r="B174" s="11">
        <f>Products!B174</f>
        <v/>
      </c>
      <c r="C174" s="11">
        <f>Products!C174</f>
        <v/>
      </c>
      <c r="D174" s="11">
        <f>IF(A174="","",SUMIFS(StockMovements!$E$2:$E$500,StockMovements!$B$2:$B$500,A174,StockMovements!$D$2:$D$500,"receipt")+SUMIFS(StockMovements!$E$2:$E$500,StockMovements!$B$2:$B$500,A174,StockMovements!$D$2:$D$500,"production_in")+SUMIFS(StockMovements!$E$2:$E$500,StockMovements!$B$2:$B$500,A174,StockMovements!$D$2:$D$500,"adjustment")-SUMIFS(StockMovements!$E$2:$E$500,StockMovements!$B$2:$B$500,A174,StockMovements!$D$2:$D$500,"issue")-SUMIFS(StockMovements!$E$2:$E$500,StockMovements!$B$2:$B$500,A174,StockMovements!$D$2:$D$500,"production_out")-SUMIFS(StockMovements!$E$2:$E$500,StockMovements!$B$2:$B$500,A174,StockMovements!$D$2:$D$500,"transfer")-SUMIFS(StockMovements!$E$2:$E$500,StockMovements!$B$2:$B$500,A174,StockMovements!$D$2:$D$500,"scrap"))</f>
        <v/>
      </c>
      <c r="E174" s="11">
        <f>IF(A174="","",Products!E174)</f>
        <v/>
      </c>
      <c r="F174" s="11">
        <f>IF(A174="","",D174*E174)</f>
        <v/>
      </c>
      <c r="G174" s="11">
        <f>IF(A174="","",Products!F174)</f>
        <v/>
      </c>
      <c r="H174" s="11">
        <f>IF(A174="","",IF(D174&lt;G174,"REORDER","OK"))</f>
        <v/>
      </c>
      <c r="I174" s="14">
        <f>IF(A174="","",IFERROR(_xlfn.MAXIFS(StockMovements!$A$2:$A$500,StockMovements!$B$2:$B$500,A174),0))</f>
        <v/>
      </c>
      <c r="J174" s="11">
        <f>IF(OR(A174="",I174=0),"",TODAY()-I174)</f>
        <v/>
      </c>
      <c r="K174" s="11">
        <f>IF(A174="","",IF(I174=0,"never moved",IF(J174&lt;=30,"0-30",IF(J174&lt;=60,"31-60",IF(J174&lt;=90,"61-90","90+")))))</f>
        <v/>
      </c>
    </row>
    <row r="175">
      <c r="A175" s="11">
        <f>Products!A175</f>
        <v/>
      </c>
      <c r="B175" s="11">
        <f>Products!B175</f>
        <v/>
      </c>
      <c r="C175" s="11">
        <f>Products!C175</f>
        <v/>
      </c>
      <c r="D175" s="11">
        <f>IF(A175="","",SUMIFS(StockMovements!$E$2:$E$500,StockMovements!$B$2:$B$500,A175,StockMovements!$D$2:$D$500,"receipt")+SUMIFS(StockMovements!$E$2:$E$500,StockMovements!$B$2:$B$500,A175,StockMovements!$D$2:$D$500,"production_in")+SUMIFS(StockMovements!$E$2:$E$500,StockMovements!$B$2:$B$500,A175,StockMovements!$D$2:$D$500,"adjustment")-SUMIFS(StockMovements!$E$2:$E$500,StockMovements!$B$2:$B$500,A175,StockMovements!$D$2:$D$500,"issue")-SUMIFS(StockMovements!$E$2:$E$500,StockMovements!$B$2:$B$500,A175,StockMovements!$D$2:$D$500,"production_out")-SUMIFS(StockMovements!$E$2:$E$500,StockMovements!$B$2:$B$500,A175,StockMovements!$D$2:$D$500,"transfer")-SUMIFS(StockMovements!$E$2:$E$500,StockMovements!$B$2:$B$500,A175,StockMovements!$D$2:$D$500,"scrap"))</f>
        <v/>
      </c>
      <c r="E175" s="11">
        <f>IF(A175="","",Products!E175)</f>
        <v/>
      </c>
      <c r="F175" s="11">
        <f>IF(A175="","",D175*E175)</f>
        <v/>
      </c>
      <c r="G175" s="11">
        <f>IF(A175="","",Products!F175)</f>
        <v/>
      </c>
      <c r="H175" s="11">
        <f>IF(A175="","",IF(D175&lt;G175,"REORDER","OK"))</f>
        <v/>
      </c>
      <c r="I175" s="14">
        <f>IF(A175="","",IFERROR(_xlfn.MAXIFS(StockMovements!$A$2:$A$500,StockMovements!$B$2:$B$500,A175),0))</f>
        <v/>
      </c>
      <c r="J175" s="11">
        <f>IF(OR(A175="",I175=0),"",TODAY()-I175)</f>
        <v/>
      </c>
      <c r="K175" s="11">
        <f>IF(A175="","",IF(I175=0,"never moved",IF(J175&lt;=30,"0-30",IF(J175&lt;=60,"31-60",IF(J175&lt;=90,"61-90","90+")))))</f>
        <v/>
      </c>
    </row>
    <row r="176">
      <c r="A176" s="11">
        <f>Products!A176</f>
        <v/>
      </c>
      <c r="B176" s="11">
        <f>Products!B176</f>
        <v/>
      </c>
      <c r="C176" s="11">
        <f>Products!C176</f>
        <v/>
      </c>
      <c r="D176" s="11">
        <f>IF(A176="","",SUMIFS(StockMovements!$E$2:$E$500,StockMovements!$B$2:$B$500,A176,StockMovements!$D$2:$D$500,"receipt")+SUMIFS(StockMovements!$E$2:$E$500,StockMovements!$B$2:$B$500,A176,StockMovements!$D$2:$D$500,"production_in")+SUMIFS(StockMovements!$E$2:$E$500,StockMovements!$B$2:$B$500,A176,StockMovements!$D$2:$D$500,"adjustment")-SUMIFS(StockMovements!$E$2:$E$500,StockMovements!$B$2:$B$500,A176,StockMovements!$D$2:$D$500,"issue")-SUMIFS(StockMovements!$E$2:$E$500,StockMovements!$B$2:$B$500,A176,StockMovements!$D$2:$D$500,"production_out")-SUMIFS(StockMovements!$E$2:$E$500,StockMovements!$B$2:$B$500,A176,StockMovements!$D$2:$D$500,"transfer")-SUMIFS(StockMovements!$E$2:$E$500,StockMovements!$B$2:$B$500,A176,StockMovements!$D$2:$D$500,"scrap"))</f>
        <v/>
      </c>
      <c r="E176" s="11">
        <f>IF(A176="","",Products!E176)</f>
        <v/>
      </c>
      <c r="F176" s="11">
        <f>IF(A176="","",D176*E176)</f>
        <v/>
      </c>
      <c r="G176" s="11">
        <f>IF(A176="","",Products!F176)</f>
        <v/>
      </c>
      <c r="H176" s="11">
        <f>IF(A176="","",IF(D176&lt;G176,"REORDER","OK"))</f>
        <v/>
      </c>
      <c r="I176" s="14">
        <f>IF(A176="","",IFERROR(_xlfn.MAXIFS(StockMovements!$A$2:$A$500,StockMovements!$B$2:$B$500,A176),0))</f>
        <v/>
      </c>
      <c r="J176" s="11">
        <f>IF(OR(A176="",I176=0),"",TODAY()-I176)</f>
        <v/>
      </c>
      <c r="K176" s="11">
        <f>IF(A176="","",IF(I176=0,"never moved",IF(J176&lt;=30,"0-30",IF(J176&lt;=60,"31-60",IF(J176&lt;=90,"61-90","90+")))))</f>
        <v/>
      </c>
    </row>
    <row r="177">
      <c r="A177" s="11">
        <f>Products!A177</f>
        <v/>
      </c>
      <c r="B177" s="11">
        <f>Products!B177</f>
        <v/>
      </c>
      <c r="C177" s="11">
        <f>Products!C177</f>
        <v/>
      </c>
      <c r="D177" s="11">
        <f>IF(A177="","",SUMIFS(StockMovements!$E$2:$E$500,StockMovements!$B$2:$B$500,A177,StockMovements!$D$2:$D$500,"receipt")+SUMIFS(StockMovements!$E$2:$E$500,StockMovements!$B$2:$B$500,A177,StockMovements!$D$2:$D$500,"production_in")+SUMIFS(StockMovements!$E$2:$E$500,StockMovements!$B$2:$B$500,A177,StockMovements!$D$2:$D$500,"adjustment")-SUMIFS(StockMovements!$E$2:$E$500,StockMovements!$B$2:$B$500,A177,StockMovements!$D$2:$D$500,"issue")-SUMIFS(StockMovements!$E$2:$E$500,StockMovements!$B$2:$B$500,A177,StockMovements!$D$2:$D$500,"production_out")-SUMIFS(StockMovements!$E$2:$E$500,StockMovements!$B$2:$B$500,A177,StockMovements!$D$2:$D$500,"transfer")-SUMIFS(StockMovements!$E$2:$E$500,StockMovements!$B$2:$B$500,A177,StockMovements!$D$2:$D$500,"scrap"))</f>
        <v/>
      </c>
      <c r="E177" s="11">
        <f>IF(A177="","",Products!E177)</f>
        <v/>
      </c>
      <c r="F177" s="11">
        <f>IF(A177="","",D177*E177)</f>
        <v/>
      </c>
      <c r="G177" s="11">
        <f>IF(A177="","",Products!F177)</f>
        <v/>
      </c>
      <c r="H177" s="11">
        <f>IF(A177="","",IF(D177&lt;G177,"REORDER","OK"))</f>
        <v/>
      </c>
      <c r="I177" s="14">
        <f>IF(A177="","",IFERROR(_xlfn.MAXIFS(StockMovements!$A$2:$A$500,StockMovements!$B$2:$B$500,A177),0))</f>
        <v/>
      </c>
      <c r="J177" s="11">
        <f>IF(OR(A177="",I177=0),"",TODAY()-I177)</f>
        <v/>
      </c>
      <c r="K177" s="11">
        <f>IF(A177="","",IF(I177=0,"never moved",IF(J177&lt;=30,"0-30",IF(J177&lt;=60,"31-60",IF(J177&lt;=90,"61-90","90+")))))</f>
        <v/>
      </c>
    </row>
    <row r="178">
      <c r="A178" s="11">
        <f>Products!A178</f>
        <v/>
      </c>
      <c r="B178" s="11">
        <f>Products!B178</f>
        <v/>
      </c>
      <c r="C178" s="11">
        <f>Products!C178</f>
        <v/>
      </c>
      <c r="D178" s="11">
        <f>IF(A178="","",SUMIFS(StockMovements!$E$2:$E$500,StockMovements!$B$2:$B$500,A178,StockMovements!$D$2:$D$500,"receipt")+SUMIFS(StockMovements!$E$2:$E$500,StockMovements!$B$2:$B$500,A178,StockMovements!$D$2:$D$500,"production_in")+SUMIFS(StockMovements!$E$2:$E$500,StockMovements!$B$2:$B$500,A178,StockMovements!$D$2:$D$500,"adjustment")-SUMIFS(StockMovements!$E$2:$E$500,StockMovements!$B$2:$B$500,A178,StockMovements!$D$2:$D$500,"issue")-SUMIFS(StockMovements!$E$2:$E$500,StockMovements!$B$2:$B$500,A178,StockMovements!$D$2:$D$500,"production_out")-SUMIFS(StockMovements!$E$2:$E$500,StockMovements!$B$2:$B$500,A178,StockMovements!$D$2:$D$500,"transfer")-SUMIFS(StockMovements!$E$2:$E$500,StockMovements!$B$2:$B$500,A178,StockMovements!$D$2:$D$500,"scrap"))</f>
        <v/>
      </c>
      <c r="E178" s="11">
        <f>IF(A178="","",Products!E178)</f>
        <v/>
      </c>
      <c r="F178" s="11">
        <f>IF(A178="","",D178*E178)</f>
        <v/>
      </c>
      <c r="G178" s="11">
        <f>IF(A178="","",Products!F178)</f>
        <v/>
      </c>
      <c r="H178" s="11">
        <f>IF(A178="","",IF(D178&lt;G178,"REORDER","OK"))</f>
        <v/>
      </c>
      <c r="I178" s="14">
        <f>IF(A178="","",IFERROR(_xlfn.MAXIFS(StockMovements!$A$2:$A$500,StockMovements!$B$2:$B$500,A178),0))</f>
        <v/>
      </c>
      <c r="J178" s="11">
        <f>IF(OR(A178="",I178=0),"",TODAY()-I178)</f>
        <v/>
      </c>
      <c r="K178" s="11">
        <f>IF(A178="","",IF(I178=0,"never moved",IF(J178&lt;=30,"0-30",IF(J178&lt;=60,"31-60",IF(J178&lt;=90,"61-90","90+")))))</f>
        <v/>
      </c>
    </row>
    <row r="179">
      <c r="A179" s="11">
        <f>Products!A179</f>
        <v/>
      </c>
      <c r="B179" s="11">
        <f>Products!B179</f>
        <v/>
      </c>
      <c r="C179" s="11">
        <f>Products!C179</f>
        <v/>
      </c>
      <c r="D179" s="11">
        <f>IF(A179="","",SUMIFS(StockMovements!$E$2:$E$500,StockMovements!$B$2:$B$500,A179,StockMovements!$D$2:$D$500,"receipt")+SUMIFS(StockMovements!$E$2:$E$500,StockMovements!$B$2:$B$500,A179,StockMovements!$D$2:$D$500,"production_in")+SUMIFS(StockMovements!$E$2:$E$500,StockMovements!$B$2:$B$500,A179,StockMovements!$D$2:$D$500,"adjustment")-SUMIFS(StockMovements!$E$2:$E$500,StockMovements!$B$2:$B$500,A179,StockMovements!$D$2:$D$500,"issue")-SUMIFS(StockMovements!$E$2:$E$500,StockMovements!$B$2:$B$500,A179,StockMovements!$D$2:$D$500,"production_out")-SUMIFS(StockMovements!$E$2:$E$500,StockMovements!$B$2:$B$500,A179,StockMovements!$D$2:$D$500,"transfer")-SUMIFS(StockMovements!$E$2:$E$500,StockMovements!$B$2:$B$500,A179,StockMovements!$D$2:$D$500,"scrap"))</f>
        <v/>
      </c>
      <c r="E179" s="11">
        <f>IF(A179="","",Products!E179)</f>
        <v/>
      </c>
      <c r="F179" s="11">
        <f>IF(A179="","",D179*E179)</f>
        <v/>
      </c>
      <c r="G179" s="11">
        <f>IF(A179="","",Products!F179)</f>
        <v/>
      </c>
      <c r="H179" s="11">
        <f>IF(A179="","",IF(D179&lt;G179,"REORDER","OK"))</f>
        <v/>
      </c>
      <c r="I179" s="14">
        <f>IF(A179="","",IFERROR(_xlfn.MAXIFS(StockMovements!$A$2:$A$500,StockMovements!$B$2:$B$500,A179),0))</f>
        <v/>
      </c>
      <c r="J179" s="11">
        <f>IF(OR(A179="",I179=0),"",TODAY()-I179)</f>
        <v/>
      </c>
      <c r="K179" s="11">
        <f>IF(A179="","",IF(I179=0,"never moved",IF(J179&lt;=30,"0-30",IF(J179&lt;=60,"31-60",IF(J179&lt;=90,"61-90","90+")))))</f>
        <v/>
      </c>
    </row>
    <row r="180">
      <c r="A180" s="11">
        <f>Products!A180</f>
        <v/>
      </c>
      <c r="B180" s="11">
        <f>Products!B180</f>
        <v/>
      </c>
      <c r="C180" s="11">
        <f>Products!C180</f>
        <v/>
      </c>
      <c r="D180" s="11">
        <f>IF(A180="","",SUMIFS(StockMovements!$E$2:$E$500,StockMovements!$B$2:$B$500,A180,StockMovements!$D$2:$D$500,"receipt")+SUMIFS(StockMovements!$E$2:$E$500,StockMovements!$B$2:$B$500,A180,StockMovements!$D$2:$D$500,"production_in")+SUMIFS(StockMovements!$E$2:$E$500,StockMovements!$B$2:$B$500,A180,StockMovements!$D$2:$D$500,"adjustment")-SUMIFS(StockMovements!$E$2:$E$500,StockMovements!$B$2:$B$500,A180,StockMovements!$D$2:$D$500,"issue")-SUMIFS(StockMovements!$E$2:$E$500,StockMovements!$B$2:$B$500,A180,StockMovements!$D$2:$D$500,"production_out")-SUMIFS(StockMovements!$E$2:$E$500,StockMovements!$B$2:$B$500,A180,StockMovements!$D$2:$D$500,"transfer")-SUMIFS(StockMovements!$E$2:$E$500,StockMovements!$B$2:$B$500,A180,StockMovements!$D$2:$D$500,"scrap"))</f>
        <v/>
      </c>
      <c r="E180" s="11">
        <f>IF(A180="","",Products!E180)</f>
        <v/>
      </c>
      <c r="F180" s="11">
        <f>IF(A180="","",D180*E180)</f>
        <v/>
      </c>
      <c r="G180" s="11">
        <f>IF(A180="","",Products!F180)</f>
        <v/>
      </c>
      <c r="H180" s="11">
        <f>IF(A180="","",IF(D180&lt;G180,"REORDER","OK"))</f>
        <v/>
      </c>
      <c r="I180" s="14">
        <f>IF(A180="","",IFERROR(_xlfn.MAXIFS(StockMovements!$A$2:$A$500,StockMovements!$B$2:$B$500,A180),0))</f>
        <v/>
      </c>
      <c r="J180" s="11">
        <f>IF(OR(A180="",I180=0),"",TODAY()-I180)</f>
        <v/>
      </c>
      <c r="K180" s="11">
        <f>IF(A180="","",IF(I180=0,"never moved",IF(J180&lt;=30,"0-30",IF(J180&lt;=60,"31-60",IF(J180&lt;=90,"61-90","90+")))))</f>
        <v/>
      </c>
    </row>
    <row r="181">
      <c r="A181" s="11">
        <f>Products!A181</f>
        <v/>
      </c>
      <c r="B181" s="11">
        <f>Products!B181</f>
        <v/>
      </c>
      <c r="C181" s="11">
        <f>Products!C181</f>
        <v/>
      </c>
      <c r="D181" s="11">
        <f>IF(A181="","",SUMIFS(StockMovements!$E$2:$E$500,StockMovements!$B$2:$B$500,A181,StockMovements!$D$2:$D$500,"receipt")+SUMIFS(StockMovements!$E$2:$E$500,StockMovements!$B$2:$B$500,A181,StockMovements!$D$2:$D$500,"production_in")+SUMIFS(StockMovements!$E$2:$E$500,StockMovements!$B$2:$B$500,A181,StockMovements!$D$2:$D$500,"adjustment")-SUMIFS(StockMovements!$E$2:$E$500,StockMovements!$B$2:$B$500,A181,StockMovements!$D$2:$D$500,"issue")-SUMIFS(StockMovements!$E$2:$E$500,StockMovements!$B$2:$B$500,A181,StockMovements!$D$2:$D$500,"production_out")-SUMIFS(StockMovements!$E$2:$E$500,StockMovements!$B$2:$B$500,A181,StockMovements!$D$2:$D$500,"transfer")-SUMIFS(StockMovements!$E$2:$E$500,StockMovements!$B$2:$B$500,A181,StockMovements!$D$2:$D$500,"scrap"))</f>
        <v/>
      </c>
      <c r="E181" s="11">
        <f>IF(A181="","",Products!E181)</f>
        <v/>
      </c>
      <c r="F181" s="11">
        <f>IF(A181="","",D181*E181)</f>
        <v/>
      </c>
      <c r="G181" s="11">
        <f>IF(A181="","",Products!F181)</f>
        <v/>
      </c>
      <c r="H181" s="11">
        <f>IF(A181="","",IF(D181&lt;G181,"REORDER","OK"))</f>
        <v/>
      </c>
      <c r="I181" s="14">
        <f>IF(A181="","",IFERROR(_xlfn.MAXIFS(StockMovements!$A$2:$A$500,StockMovements!$B$2:$B$500,A181),0))</f>
        <v/>
      </c>
      <c r="J181" s="11">
        <f>IF(OR(A181="",I181=0),"",TODAY()-I181)</f>
        <v/>
      </c>
      <c r="K181" s="11">
        <f>IF(A181="","",IF(I181=0,"never moved",IF(J181&lt;=30,"0-30",IF(J181&lt;=60,"31-60",IF(J181&lt;=90,"61-90","90+")))))</f>
        <v/>
      </c>
    </row>
    <row r="182">
      <c r="A182" s="11">
        <f>Products!A182</f>
        <v/>
      </c>
      <c r="B182" s="11">
        <f>Products!B182</f>
        <v/>
      </c>
      <c r="C182" s="11">
        <f>Products!C182</f>
        <v/>
      </c>
      <c r="D182" s="11">
        <f>IF(A182="","",SUMIFS(StockMovements!$E$2:$E$500,StockMovements!$B$2:$B$500,A182,StockMovements!$D$2:$D$500,"receipt")+SUMIFS(StockMovements!$E$2:$E$500,StockMovements!$B$2:$B$500,A182,StockMovements!$D$2:$D$500,"production_in")+SUMIFS(StockMovements!$E$2:$E$500,StockMovements!$B$2:$B$500,A182,StockMovements!$D$2:$D$500,"adjustment")-SUMIFS(StockMovements!$E$2:$E$500,StockMovements!$B$2:$B$500,A182,StockMovements!$D$2:$D$500,"issue")-SUMIFS(StockMovements!$E$2:$E$500,StockMovements!$B$2:$B$500,A182,StockMovements!$D$2:$D$500,"production_out")-SUMIFS(StockMovements!$E$2:$E$500,StockMovements!$B$2:$B$500,A182,StockMovements!$D$2:$D$500,"transfer")-SUMIFS(StockMovements!$E$2:$E$500,StockMovements!$B$2:$B$500,A182,StockMovements!$D$2:$D$500,"scrap"))</f>
        <v/>
      </c>
      <c r="E182" s="11">
        <f>IF(A182="","",Products!E182)</f>
        <v/>
      </c>
      <c r="F182" s="11">
        <f>IF(A182="","",D182*E182)</f>
        <v/>
      </c>
      <c r="G182" s="11">
        <f>IF(A182="","",Products!F182)</f>
        <v/>
      </c>
      <c r="H182" s="11">
        <f>IF(A182="","",IF(D182&lt;G182,"REORDER","OK"))</f>
        <v/>
      </c>
      <c r="I182" s="14">
        <f>IF(A182="","",IFERROR(_xlfn.MAXIFS(StockMovements!$A$2:$A$500,StockMovements!$B$2:$B$500,A182),0))</f>
        <v/>
      </c>
      <c r="J182" s="11">
        <f>IF(OR(A182="",I182=0),"",TODAY()-I182)</f>
        <v/>
      </c>
      <c r="K182" s="11">
        <f>IF(A182="","",IF(I182=0,"never moved",IF(J182&lt;=30,"0-30",IF(J182&lt;=60,"31-60",IF(J182&lt;=90,"61-90","90+")))))</f>
        <v/>
      </c>
    </row>
    <row r="183">
      <c r="A183" s="11">
        <f>Products!A183</f>
        <v/>
      </c>
      <c r="B183" s="11">
        <f>Products!B183</f>
        <v/>
      </c>
      <c r="C183" s="11">
        <f>Products!C183</f>
        <v/>
      </c>
      <c r="D183" s="11">
        <f>IF(A183="","",SUMIFS(StockMovements!$E$2:$E$500,StockMovements!$B$2:$B$500,A183,StockMovements!$D$2:$D$500,"receipt")+SUMIFS(StockMovements!$E$2:$E$500,StockMovements!$B$2:$B$500,A183,StockMovements!$D$2:$D$500,"production_in")+SUMIFS(StockMovements!$E$2:$E$500,StockMovements!$B$2:$B$500,A183,StockMovements!$D$2:$D$500,"adjustment")-SUMIFS(StockMovements!$E$2:$E$500,StockMovements!$B$2:$B$500,A183,StockMovements!$D$2:$D$500,"issue")-SUMIFS(StockMovements!$E$2:$E$500,StockMovements!$B$2:$B$500,A183,StockMovements!$D$2:$D$500,"production_out")-SUMIFS(StockMovements!$E$2:$E$500,StockMovements!$B$2:$B$500,A183,StockMovements!$D$2:$D$500,"transfer")-SUMIFS(StockMovements!$E$2:$E$500,StockMovements!$B$2:$B$500,A183,StockMovements!$D$2:$D$500,"scrap"))</f>
        <v/>
      </c>
      <c r="E183" s="11">
        <f>IF(A183="","",Products!E183)</f>
        <v/>
      </c>
      <c r="F183" s="11">
        <f>IF(A183="","",D183*E183)</f>
        <v/>
      </c>
      <c r="G183" s="11">
        <f>IF(A183="","",Products!F183)</f>
        <v/>
      </c>
      <c r="H183" s="11">
        <f>IF(A183="","",IF(D183&lt;G183,"REORDER","OK"))</f>
        <v/>
      </c>
      <c r="I183" s="14">
        <f>IF(A183="","",IFERROR(_xlfn.MAXIFS(StockMovements!$A$2:$A$500,StockMovements!$B$2:$B$500,A183),0))</f>
        <v/>
      </c>
      <c r="J183" s="11">
        <f>IF(OR(A183="",I183=0),"",TODAY()-I183)</f>
        <v/>
      </c>
      <c r="K183" s="11">
        <f>IF(A183="","",IF(I183=0,"never moved",IF(J183&lt;=30,"0-30",IF(J183&lt;=60,"31-60",IF(J183&lt;=90,"61-90","90+")))))</f>
        <v/>
      </c>
    </row>
    <row r="184">
      <c r="A184" s="11">
        <f>Products!A184</f>
        <v/>
      </c>
      <c r="B184" s="11">
        <f>Products!B184</f>
        <v/>
      </c>
      <c r="C184" s="11">
        <f>Products!C184</f>
        <v/>
      </c>
      <c r="D184" s="11">
        <f>IF(A184="","",SUMIFS(StockMovements!$E$2:$E$500,StockMovements!$B$2:$B$500,A184,StockMovements!$D$2:$D$500,"receipt")+SUMIFS(StockMovements!$E$2:$E$500,StockMovements!$B$2:$B$500,A184,StockMovements!$D$2:$D$500,"production_in")+SUMIFS(StockMovements!$E$2:$E$500,StockMovements!$B$2:$B$500,A184,StockMovements!$D$2:$D$500,"adjustment")-SUMIFS(StockMovements!$E$2:$E$500,StockMovements!$B$2:$B$500,A184,StockMovements!$D$2:$D$500,"issue")-SUMIFS(StockMovements!$E$2:$E$500,StockMovements!$B$2:$B$500,A184,StockMovements!$D$2:$D$500,"production_out")-SUMIFS(StockMovements!$E$2:$E$500,StockMovements!$B$2:$B$500,A184,StockMovements!$D$2:$D$500,"transfer")-SUMIFS(StockMovements!$E$2:$E$500,StockMovements!$B$2:$B$500,A184,StockMovements!$D$2:$D$500,"scrap"))</f>
        <v/>
      </c>
      <c r="E184" s="11">
        <f>IF(A184="","",Products!E184)</f>
        <v/>
      </c>
      <c r="F184" s="11">
        <f>IF(A184="","",D184*E184)</f>
        <v/>
      </c>
      <c r="G184" s="11">
        <f>IF(A184="","",Products!F184)</f>
        <v/>
      </c>
      <c r="H184" s="11">
        <f>IF(A184="","",IF(D184&lt;G184,"REORDER","OK"))</f>
        <v/>
      </c>
      <c r="I184" s="14">
        <f>IF(A184="","",IFERROR(_xlfn.MAXIFS(StockMovements!$A$2:$A$500,StockMovements!$B$2:$B$500,A184),0))</f>
        <v/>
      </c>
      <c r="J184" s="11">
        <f>IF(OR(A184="",I184=0),"",TODAY()-I184)</f>
        <v/>
      </c>
      <c r="K184" s="11">
        <f>IF(A184="","",IF(I184=0,"never moved",IF(J184&lt;=30,"0-30",IF(J184&lt;=60,"31-60",IF(J184&lt;=90,"61-90","90+")))))</f>
        <v/>
      </c>
    </row>
    <row r="185">
      <c r="A185" s="11">
        <f>Products!A185</f>
        <v/>
      </c>
      <c r="B185" s="11">
        <f>Products!B185</f>
        <v/>
      </c>
      <c r="C185" s="11">
        <f>Products!C185</f>
        <v/>
      </c>
      <c r="D185" s="11">
        <f>IF(A185="","",SUMIFS(StockMovements!$E$2:$E$500,StockMovements!$B$2:$B$500,A185,StockMovements!$D$2:$D$500,"receipt")+SUMIFS(StockMovements!$E$2:$E$500,StockMovements!$B$2:$B$500,A185,StockMovements!$D$2:$D$500,"production_in")+SUMIFS(StockMovements!$E$2:$E$500,StockMovements!$B$2:$B$500,A185,StockMovements!$D$2:$D$500,"adjustment")-SUMIFS(StockMovements!$E$2:$E$500,StockMovements!$B$2:$B$500,A185,StockMovements!$D$2:$D$500,"issue")-SUMIFS(StockMovements!$E$2:$E$500,StockMovements!$B$2:$B$500,A185,StockMovements!$D$2:$D$500,"production_out")-SUMIFS(StockMovements!$E$2:$E$500,StockMovements!$B$2:$B$500,A185,StockMovements!$D$2:$D$500,"transfer")-SUMIFS(StockMovements!$E$2:$E$500,StockMovements!$B$2:$B$500,A185,StockMovements!$D$2:$D$500,"scrap"))</f>
        <v/>
      </c>
      <c r="E185" s="11">
        <f>IF(A185="","",Products!E185)</f>
        <v/>
      </c>
      <c r="F185" s="11">
        <f>IF(A185="","",D185*E185)</f>
        <v/>
      </c>
      <c r="G185" s="11">
        <f>IF(A185="","",Products!F185)</f>
        <v/>
      </c>
      <c r="H185" s="11">
        <f>IF(A185="","",IF(D185&lt;G185,"REORDER","OK"))</f>
        <v/>
      </c>
      <c r="I185" s="14">
        <f>IF(A185="","",IFERROR(_xlfn.MAXIFS(StockMovements!$A$2:$A$500,StockMovements!$B$2:$B$500,A185),0))</f>
        <v/>
      </c>
      <c r="J185" s="11">
        <f>IF(OR(A185="",I185=0),"",TODAY()-I185)</f>
        <v/>
      </c>
      <c r="K185" s="11">
        <f>IF(A185="","",IF(I185=0,"never moved",IF(J185&lt;=30,"0-30",IF(J185&lt;=60,"31-60",IF(J185&lt;=90,"61-90","90+")))))</f>
        <v/>
      </c>
    </row>
    <row r="186">
      <c r="A186" s="11">
        <f>Products!A186</f>
        <v/>
      </c>
      <c r="B186" s="11">
        <f>Products!B186</f>
        <v/>
      </c>
      <c r="C186" s="11">
        <f>Products!C186</f>
        <v/>
      </c>
      <c r="D186" s="11">
        <f>IF(A186="","",SUMIFS(StockMovements!$E$2:$E$500,StockMovements!$B$2:$B$500,A186,StockMovements!$D$2:$D$500,"receipt")+SUMIFS(StockMovements!$E$2:$E$500,StockMovements!$B$2:$B$500,A186,StockMovements!$D$2:$D$500,"production_in")+SUMIFS(StockMovements!$E$2:$E$500,StockMovements!$B$2:$B$500,A186,StockMovements!$D$2:$D$500,"adjustment")-SUMIFS(StockMovements!$E$2:$E$500,StockMovements!$B$2:$B$500,A186,StockMovements!$D$2:$D$500,"issue")-SUMIFS(StockMovements!$E$2:$E$500,StockMovements!$B$2:$B$500,A186,StockMovements!$D$2:$D$500,"production_out")-SUMIFS(StockMovements!$E$2:$E$500,StockMovements!$B$2:$B$500,A186,StockMovements!$D$2:$D$500,"transfer")-SUMIFS(StockMovements!$E$2:$E$500,StockMovements!$B$2:$B$500,A186,StockMovements!$D$2:$D$500,"scrap"))</f>
        <v/>
      </c>
      <c r="E186" s="11">
        <f>IF(A186="","",Products!E186)</f>
        <v/>
      </c>
      <c r="F186" s="11">
        <f>IF(A186="","",D186*E186)</f>
        <v/>
      </c>
      <c r="G186" s="11">
        <f>IF(A186="","",Products!F186)</f>
        <v/>
      </c>
      <c r="H186" s="11">
        <f>IF(A186="","",IF(D186&lt;G186,"REORDER","OK"))</f>
        <v/>
      </c>
      <c r="I186" s="14">
        <f>IF(A186="","",IFERROR(_xlfn.MAXIFS(StockMovements!$A$2:$A$500,StockMovements!$B$2:$B$500,A186),0))</f>
        <v/>
      </c>
      <c r="J186" s="11">
        <f>IF(OR(A186="",I186=0),"",TODAY()-I186)</f>
        <v/>
      </c>
      <c r="K186" s="11">
        <f>IF(A186="","",IF(I186=0,"never moved",IF(J186&lt;=30,"0-30",IF(J186&lt;=60,"31-60",IF(J186&lt;=90,"61-90","90+")))))</f>
        <v/>
      </c>
    </row>
    <row r="187">
      <c r="A187" s="11">
        <f>Products!A187</f>
        <v/>
      </c>
      <c r="B187" s="11">
        <f>Products!B187</f>
        <v/>
      </c>
      <c r="C187" s="11">
        <f>Products!C187</f>
        <v/>
      </c>
      <c r="D187" s="11">
        <f>IF(A187="","",SUMIFS(StockMovements!$E$2:$E$500,StockMovements!$B$2:$B$500,A187,StockMovements!$D$2:$D$500,"receipt")+SUMIFS(StockMovements!$E$2:$E$500,StockMovements!$B$2:$B$500,A187,StockMovements!$D$2:$D$500,"production_in")+SUMIFS(StockMovements!$E$2:$E$500,StockMovements!$B$2:$B$500,A187,StockMovements!$D$2:$D$500,"adjustment")-SUMIFS(StockMovements!$E$2:$E$500,StockMovements!$B$2:$B$500,A187,StockMovements!$D$2:$D$500,"issue")-SUMIFS(StockMovements!$E$2:$E$500,StockMovements!$B$2:$B$500,A187,StockMovements!$D$2:$D$500,"production_out")-SUMIFS(StockMovements!$E$2:$E$500,StockMovements!$B$2:$B$500,A187,StockMovements!$D$2:$D$500,"transfer")-SUMIFS(StockMovements!$E$2:$E$500,StockMovements!$B$2:$B$500,A187,StockMovements!$D$2:$D$500,"scrap"))</f>
        <v/>
      </c>
      <c r="E187" s="11">
        <f>IF(A187="","",Products!E187)</f>
        <v/>
      </c>
      <c r="F187" s="11">
        <f>IF(A187="","",D187*E187)</f>
        <v/>
      </c>
      <c r="G187" s="11">
        <f>IF(A187="","",Products!F187)</f>
        <v/>
      </c>
      <c r="H187" s="11">
        <f>IF(A187="","",IF(D187&lt;G187,"REORDER","OK"))</f>
        <v/>
      </c>
      <c r="I187" s="14">
        <f>IF(A187="","",IFERROR(_xlfn.MAXIFS(StockMovements!$A$2:$A$500,StockMovements!$B$2:$B$500,A187),0))</f>
        <v/>
      </c>
      <c r="J187" s="11">
        <f>IF(OR(A187="",I187=0),"",TODAY()-I187)</f>
        <v/>
      </c>
      <c r="K187" s="11">
        <f>IF(A187="","",IF(I187=0,"never moved",IF(J187&lt;=30,"0-30",IF(J187&lt;=60,"31-60",IF(J187&lt;=90,"61-90","90+")))))</f>
        <v/>
      </c>
    </row>
    <row r="188">
      <c r="A188" s="11">
        <f>Products!A188</f>
        <v/>
      </c>
      <c r="B188" s="11">
        <f>Products!B188</f>
        <v/>
      </c>
      <c r="C188" s="11">
        <f>Products!C188</f>
        <v/>
      </c>
      <c r="D188" s="11">
        <f>IF(A188="","",SUMIFS(StockMovements!$E$2:$E$500,StockMovements!$B$2:$B$500,A188,StockMovements!$D$2:$D$500,"receipt")+SUMIFS(StockMovements!$E$2:$E$500,StockMovements!$B$2:$B$500,A188,StockMovements!$D$2:$D$500,"production_in")+SUMIFS(StockMovements!$E$2:$E$500,StockMovements!$B$2:$B$500,A188,StockMovements!$D$2:$D$500,"adjustment")-SUMIFS(StockMovements!$E$2:$E$500,StockMovements!$B$2:$B$500,A188,StockMovements!$D$2:$D$500,"issue")-SUMIFS(StockMovements!$E$2:$E$500,StockMovements!$B$2:$B$500,A188,StockMovements!$D$2:$D$500,"production_out")-SUMIFS(StockMovements!$E$2:$E$500,StockMovements!$B$2:$B$500,A188,StockMovements!$D$2:$D$500,"transfer")-SUMIFS(StockMovements!$E$2:$E$500,StockMovements!$B$2:$B$500,A188,StockMovements!$D$2:$D$500,"scrap"))</f>
        <v/>
      </c>
      <c r="E188" s="11">
        <f>IF(A188="","",Products!E188)</f>
        <v/>
      </c>
      <c r="F188" s="11">
        <f>IF(A188="","",D188*E188)</f>
        <v/>
      </c>
      <c r="G188" s="11">
        <f>IF(A188="","",Products!F188)</f>
        <v/>
      </c>
      <c r="H188" s="11">
        <f>IF(A188="","",IF(D188&lt;G188,"REORDER","OK"))</f>
        <v/>
      </c>
      <c r="I188" s="14">
        <f>IF(A188="","",IFERROR(_xlfn.MAXIFS(StockMovements!$A$2:$A$500,StockMovements!$B$2:$B$500,A188),0))</f>
        <v/>
      </c>
      <c r="J188" s="11">
        <f>IF(OR(A188="",I188=0),"",TODAY()-I188)</f>
        <v/>
      </c>
      <c r="K188" s="11">
        <f>IF(A188="","",IF(I188=0,"never moved",IF(J188&lt;=30,"0-30",IF(J188&lt;=60,"31-60",IF(J188&lt;=90,"61-90","90+")))))</f>
        <v/>
      </c>
    </row>
    <row r="189">
      <c r="A189" s="11">
        <f>Products!A189</f>
        <v/>
      </c>
      <c r="B189" s="11">
        <f>Products!B189</f>
        <v/>
      </c>
      <c r="C189" s="11">
        <f>Products!C189</f>
        <v/>
      </c>
      <c r="D189" s="11">
        <f>IF(A189="","",SUMIFS(StockMovements!$E$2:$E$500,StockMovements!$B$2:$B$500,A189,StockMovements!$D$2:$D$500,"receipt")+SUMIFS(StockMovements!$E$2:$E$500,StockMovements!$B$2:$B$500,A189,StockMovements!$D$2:$D$500,"production_in")+SUMIFS(StockMovements!$E$2:$E$500,StockMovements!$B$2:$B$500,A189,StockMovements!$D$2:$D$500,"adjustment")-SUMIFS(StockMovements!$E$2:$E$500,StockMovements!$B$2:$B$500,A189,StockMovements!$D$2:$D$500,"issue")-SUMIFS(StockMovements!$E$2:$E$500,StockMovements!$B$2:$B$500,A189,StockMovements!$D$2:$D$500,"production_out")-SUMIFS(StockMovements!$E$2:$E$500,StockMovements!$B$2:$B$500,A189,StockMovements!$D$2:$D$500,"transfer")-SUMIFS(StockMovements!$E$2:$E$500,StockMovements!$B$2:$B$500,A189,StockMovements!$D$2:$D$500,"scrap"))</f>
        <v/>
      </c>
      <c r="E189" s="11">
        <f>IF(A189="","",Products!E189)</f>
        <v/>
      </c>
      <c r="F189" s="11">
        <f>IF(A189="","",D189*E189)</f>
        <v/>
      </c>
      <c r="G189" s="11">
        <f>IF(A189="","",Products!F189)</f>
        <v/>
      </c>
      <c r="H189" s="11">
        <f>IF(A189="","",IF(D189&lt;G189,"REORDER","OK"))</f>
        <v/>
      </c>
      <c r="I189" s="14">
        <f>IF(A189="","",IFERROR(_xlfn.MAXIFS(StockMovements!$A$2:$A$500,StockMovements!$B$2:$B$500,A189),0))</f>
        <v/>
      </c>
      <c r="J189" s="11">
        <f>IF(OR(A189="",I189=0),"",TODAY()-I189)</f>
        <v/>
      </c>
      <c r="K189" s="11">
        <f>IF(A189="","",IF(I189=0,"never moved",IF(J189&lt;=30,"0-30",IF(J189&lt;=60,"31-60",IF(J189&lt;=90,"61-90","90+")))))</f>
        <v/>
      </c>
    </row>
    <row r="190">
      <c r="A190" s="11">
        <f>Products!A190</f>
        <v/>
      </c>
      <c r="B190" s="11">
        <f>Products!B190</f>
        <v/>
      </c>
      <c r="C190" s="11">
        <f>Products!C190</f>
        <v/>
      </c>
      <c r="D190" s="11">
        <f>IF(A190="","",SUMIFS(StockMovements!$E$2:$E$500,StockMovements!$B$2:$B$500,A190,StockMovements!$D$2:$D$500,"receipt")+SUMIFS(StockMovements!$E$2:$E$500,StockMovements!$B$2:$B$500,A190,StockMovements!$D$2:$D$500,"production_in")+SUMIFS(StockMovements!$E$2:$E$500,StockMovements!$B$2:$B$500,A190,StockMovements!$D$2:$D$500,"adjustment")-SUMIFS(StockMovements!$E$2:$E$500,StockMovements!$B$2:$B$500,A190,StockMovements!$D$2:$D$500,"issue")-SUMIFS(StockMovements!$E$2:$E$500,StockMovements!$B$2:$B$500,A190,StockMovements!$D$2:$D$500,"production_out")-SUMIFS(StockMovements!$E$2:$E$500,StockMovements!$B$2:$B$500,A190,StockMovements!$D$2:$D$500,"transfer")-SUMIFS(StockMovements!$E$2:$E$500,StockMovements!$B$2:$B$500,A190,StockMovements!$D$2:$D$500,"scrap"))</f>
        <v/>
      </c>
      <c r="E190" s="11">
        <f>IF(A190="","",Products!E190)</f>
        <v/>
      </c>
      <c r="F190" s="11">
        <f>IF(A190="","",D190*E190)</f>
        <v/>
      </c>
      <c r="G190" s="11">
        <f>IF(A190="","",Products!F190)</f>
        <v/>
      </c>
      <c r="H190" s="11">
        <f>IF(A190="","",IF(D190&lt;G190,"REORDER","OK"))</f>
        <v/>
      </c>
      <c r="I190" s="14">
        <f>IF(A190="","",IFERROR(_xlfn.MAXIFS(StockMovements!$A$2:$A$500,StockMovements!$B$2:$B$500,A190),0))</f>
        <v/>
      </c>
      <c r="J190" s="11">
        <f>IF(OR(A190="",I190=0),"",TODAY()-I190)</f>
        <v/>
      </c>
      <c r="K190" s="11">
        <f>IF(A190="","",IF(I190=0,"never moved",IF(J190&lt;=30,"0-30",IF(J190&lt;=60,"31-60",IF(J190&lt;=90,"61-90","90+")))))</f>
        <v/>
      </c>
    </row>
    <row r="191">
      <c r="A191" s="11">
        <f>Products!A191</f>
        <v/>
      </c>
      <c r="B191" s="11">
        <f>Products!B191</f>
        <v/>
      </c>
      <c r="C191" s="11">
        <f>Products!C191</f>
        <v/>
      </c>
      <c r="D191" s="11">
        <f>IF(A191="","",SUMIFS(StockMovements!$E$2:$E$500,StockMovements!$B$2:$B$500,A191,StockMovements!$D$2:$D$500,"receipt")+SUMIFS(StockMovements!$E$2:$E$500,StockMovements!$B$2:$B$500,A191,StockMovements!$D$2:$D$500,"production_in")+SUMIFS(StockMovements!$E$2:$E$500,StockMovements!$B$2:$B$500,A191,StockMovements!$D$2:$D$500,"adjustment")-SUMIFS(StockMovements!$E$2:$E$500,StockMovements!$B$2:$B$500,A191,StockMovements!$D$2:$D$500,"issue")-SUMIFS(StockMovements!$E$2:$E$500,StockMovements!$B$2:$B$500,A191,StockMovements!$D$2:$D$500,"production_out")-SUMIFS(StockMovements!$E$2:$E$500,StockMovements!$B$2:$B$500,A191,StockMovements!$D$2:$D$500,"transfer")-SUMIFS(StockMovements!$E$2:$E$500,StockMovements!$B$2:$B$500,A191,StockMovements!$D$2:$D$500,"scrap"))</f>
        <v/>
      </c>
      <c r="E191" s="11">
        <f>IF(A191="","",Products!E191)</f>
        <v/>
      </c>
      <c r="F191" s="11">
        <f>IF(A191="","",D191*E191)</f>
        <v/>
      </c>
      <c r="G191" s="11">
        <f>IF(A191="","",Products!F191)</f>
        <v/>
      </c>
      <c r="H191" s="11">
        <f>IF(A191="","",IF(D191&lt;G191,"REORDER","OK"))</f>
        <v/>
      </c>
      <c r="I191" s="14">
        <f>IF(A191="","",IFERROR(_xlfn.MAXIFS(StockMovements!$A$2:$A$500,StockMovements!$B$2:$B$500,A191),0))</f>
        <v/>
      </c>
      <c r="J191" s="11">
        <f>IF(OR(A191="",I191=0),"",TODAY()-I191)</f>
        <v/>
      </c>
      <c r="K191" s="11">
        <f>IF(A191="","",IF(I191=0,"never moved",IF(J191&lt;=30,"0-30",IF(J191&lt;=60,"31-60",IF(J191&lt;=90,"61-90","90+")))))</f>
        <v/>
      </c>
    </row>
    <row r="192">
      <c r="A192" s="11">
        <f>Products!A192</f>
        <v/>
      </c>
      <c r="B192" s="11">
        <f>Products!B192</f>
        <v/>
      </c>
      <c r="C192" s="11">
        <f>Products!C192</f>
        <v/>
      </c>
      <c r="D192" s="11">
        <f>IF(A192="","",SUMIFS(StockMovements!$E$2:$E$500,StockMovements!$B$2:$B$500,A192,StockMovements!$D$2:$D$500,"receipt")+SUMIFS(StockMovements!$E$2:$E$500,StockMovements!$B$2:$B$500,A192,StockMovements!$D$2:$D$500,"production_in")+SUMIFS(StockMovements!$E$2:$E$500,StockMovements!$B$2:$B$500,A192,StockMovements!$D$2:$D$500,"adjustment")-SUMIFS(StockMovements!$E$2:$E$500,StockMovements!$B$2:$B$500,A192,StockMovements!$D$2:$D$500,"issue")-SUMIFS(StockMovements!$E$2:$E$500,StockMovements!$B$2:$B$500,A192,StockMovements!$D$2:$D$500,"production_out")-SUMIFS(StockMovements!$E$2:$E$500,StockMovements!$B$2:$B$500,A192,StockMovements!$D$2:$D$500,"transfer")-SUMIFS(StockMovements!$E$2:$E$500,StockMovements!$B$2:$B$500,A192,StockMovements!$D$2:$D$500,"scrap"))</f>
        <v/>
      </c>
      <c r="E192" s="11">
        <f>IF(A192="","",Products!E192)</f>
        <v/>
      </c>
      <c r="F192" s="11">
        <f>IF(A192="","",D192*E192)</f>
        <v/>
      </c>
      <c r="G192" s="11">
        <f>IF(A192="","",Products!F192)</f>
        <v/>
      </c>
      <c r="H192" s="11">
        <f>IF(A192="","",IF(D192&lt;G192,"REORDER","OK"))</f>
        <v/>
      </c>
      <c r="I192" s="14">
        <f>IF(A192="","",IFERROR(_xlfn.MAXIFS(StockMovements!$A$2:$A$500,StockMovements!$B$2:$B$500,A192),0))</f>
        <v/>
      </c>
      <c r="J192" s="11">
        <f>IF(OR(A192="",I192=0),"",TODAY()-I192)</f>
        <v/>
      </c>
      <c r="K192" s="11">
        <f>IF(A192="","",IF(I192=0,"never moved",IF(J192&lt;=30,"0-30",IF(J192&lt;=60,"31-60",IF(J192&lt;=90,"61-90","90+")))))</f>
        <v/>
      </c>
    </row>
    <row r="193">
      <c r="A193" s="11">
        <f>Products!A193</f>
        <v/>
      </c>
      <c r="B193" s="11">
        <f>Products!B193</f>
        <v/>
      </c>
      <c r="C193" s="11">
        <f>Products!C193</f>
        <v/>
      </c>
      <c r="D193" s="11">
        <f>IF(A193="","",SUMIFS(StockMovements!$E$2:$E$500,StockMovements!$B$2:$B$500,A193,StockMovements!$D$2:$D$500,"receipt")+SUMIFS(StockMovements!$E$2:$E$500,StockMovements!$B$2:$B$500,A193,StockMovements!$D$2:$D$500,"production_in")+SUMIFS(StockMovements!$E$2:$E$500,StockMovements!$B$2:$B$500,A193,StockMovements!$D$2:$D$500,"adjustment")-SUMIFS(StockMovements!$E$2:$E$500,StockMovements!$B$2:$B$500,A193,StockMovements!$D$2:$D$500,"issue")-SUMIFS(StockMovements!$E$2:$E$500,StockMovements!$B$2:$B$500,A193,StockMovements!$D$2:$D$500,"production_out")-SUMIFS(StockMovements!$E$2:$E$500,StockMovements!$B$2:$B$500,A193,StockMovements!$D$2:$D$500,"transfer")-SUMIFS(StockMovements!$E$2:$E$500,StockMovements!$B$2:$B$500,A193,StockMovements!$D$2:$D$500,"scrap"))</f>
        <v/>
      </c>
      <c r="E193" s="11">
        <f>IF(A193="","",Products!E193)</f>
        <v/>
      </c>
      <c r="F193" s="11">
        <f>IF(A193="","",D193*E193)</f>
        <v/>
      </c>
      <c r="G193" s="11">
        <f>IF(A193="","",Products!F193)</f>
        <v/>
      </c>
      <c r="H193" s="11">
        <f>IF(A193="","",IF(D193&lt;G193,"REORDER","OK"))</f>
        <v/>
      </c>
      <c r="I193" s="14">
        <f>IF(A193="","",IFERROR(_xlfn.MAXIFS(StockMovements!$A$2:$A$500,StockMovements!$B$2:$B$500,A193),0))</f>
        <v/>
      </c>
      <c r="J193" s="11">
        <f>IF(OR(A193="",I193=0),"",TODAY()-I193)</f>
        <v/>
      </c>
      <c r="K193" s="11">
        <f>IF(A193="","",IF(I193=0,"never moved",IF(J193&lt;=30,"0-30",IF(J193&lt;=60,"31-60",IF(J193&lt;=90,"61-90","90+")))))</f>
        <v/>
      </c>
    </row>
    <row r="194">
      <c r="A194" s="11">
        <f>Products!A194</f>
        <v/>
      </c>
      <c r="B194" s="11">
        <f>Products!B194</f>
        <v/>
      </c>
      <c r="C194" s="11">
        <f>Products!C194</f>
        <v/>
      </c>
      <c r="D194" s="11">
        <f>IF(A194="","",SUMIFS(StockMovements!$E$2:$E$500,StockMovements!$B$2:$B$500,A194,StockMovements!$D$2:$D$500,"receipt")+SUMIFS(StockMovements!$E$2:$E$500,StockMovements!$B$2:$B$500,A194,StockMovements!$D$2:$D$500,"production_in")+SUMIFS(StockMovements!$E$2:$E$500,StockMovements!$B$2:$B$500,A194,StockMovements!$D$2:$D$500,"adjustment")-SUMIFS(StockMovements!$E$2:$E$500,StockMovements!$B$2:$B$500,A194,StockMovements!$D$2:$D$500,"issue")-SUMIFS(StockMovements!$E$2:$E$500,StockMovements!$B$2:$B$500,A194,StockMovements!$D$2:$D$500,"production_out")-SUMIFS(StockMovements!$E$2:$E$500,StockMovements!$B$2:$B$500,A194,StockMovements!$D$2:$D$500,"transfer")-SUMIFS(StockMovements!$E$2:$E$500,StockMovements!$B$2:$B$500,A194,StockMovements!$D$2:$D$500,"scrap"))</f>
        <v/>
      </c>
      <c r="E194" s="11">
        <f>IF(A194="","",Products!E194)</f>
        <v/>
      </c>
      <c r="F194" s="11">
        <f>IF(A194="","",D194*E194)</f>
        <v/>
      </c>
      <c r="G194" s="11">
        <f>IF(A194="","",Products!F194)</f>
        <v/>
      </c>
      <c r="H194" s="11">
        <f>IF(A194="","",IF(D194&lt;G194,"REORDER","OK"))</f>
        <v/>
      </c>
      <c r="I194" s="14">
        <f>IF(A194="","",IFERROR(_xlfn.MAXIFS(StockMovements!$A$2:$A$500,StockMovements!$B$2:$B$500,A194),0))</f>
        <v/>
      </c>
      <c r="J194" s="11">
        <f>IF(OR(A194="",I194=0),"",TODAY()-I194)</f>
        <v/>
      </c>
      <c r="K194" s="11">
        <f>IF(A194="","",IF(I194=0,"never moved",IF(J194&lt;=30,"0-30",IF(J194&lt;=60,"31-60",IF(J194&lt;=90,"61-90","90+")))))</f>
        <v/>
      </c>
    </row>
    <row r="195">
      <c r="A195" s="11">
        <f>Products!A195</f>
        <v/>
      </c>
      <c r="B195" s="11">
        <f>Products!B195</f>
        <v/>
      </c>
      <c r="C195" s="11">
        <f>Products!C195</f>
        <v/>
      </c>
      <c r="D195" s="11">
        <f>IF(A195="","",SUMIFS(StockMovements!$E$2:$E$500,StockMovements!$B$2:$B$500,A195,StockMovements!$D$2:$D$500,"receipt")+SUMIFS(StockMovements!$E$2:$E$500,StockMovements!$B$2:$B$500,A195,StockMovements!$D$2:$D$500,"production_in")+SUMIFS(StockMovements!$E$2:$E$500,StockMovements!$B$2:$B$500,A195,StockMovements!$D$2:$D$500,"adjustment")-SUMIFS(StockMovements!$E$2:$E$500,StockMovements!$B$2:$B$500,A195,StockMovements!$D$2:$D$500,"issue")-SUMIFS(StockMovements!$E$2:$E$500,StockMovements!$B$2:$B$500,A195,StockMovements!$D$2:$D$500,"production_out")-SUMIFS(StockMovements!$E$2:$E$500,StockMovements!$B$2:$B$500,A195,StockMovements!$D$2:$D$500,"transfer")-SUMIFS(StockMovements!$E$2:$E$500,StockMovements!$B$2:$B$500,A195,StockMovements!$D$2:$D$500,"scrap"))</f>
        <v/>
      </c>
      <c r="E195" s="11">
        <f>IF(A195="","",Products!E195)</f>
        <v/>
      </c>
      <c r="F195" s="11">
        <f>IF(A195="","",D195*E195)</f>
        <v/>
      </c>
      <c r="G195" s="11">
        <f>IF(A195="","",Products!F195)</f>
        <v/>
      </c>
      <c r="H195" s="11">
        <f>IF(A195="","",IF(D195&lt;G195,"REORDER","OK"))</f>
        <v/>
      </c>
      <c r="I195" s="14">
        <f>IF(A195="","",IFERROR(_xlfn.MAXIFS(StockMovements!$A$2:$A$500,StockMovements!$B$2:$B$500,A195),0))</f>
        <v/>
      </c>
      <c r="J195" s="11">
        <f>IF(OR(A195="",I195=0),"",TODAY()-I195)</f>
        <v/>
      </c>
      <c r="K195" s="11">
        <f>IF(A195="","",IF(I195=0,"never moved",IF(J195&lt;=30,"0-30",IF(J195&lt;=60,"31-60",IF(J195&lt;=90,"61-90","90+")))))</f>
        <v/>
      </c>
    </row>
    <row r="196">
      <c r="A196" s="11">
        <f>Products!A196</f>
        <v/>
      </c>
      <c r="B196" s="11">
        <f>Products!B196</f>
        <v/>
      </c>
      <c r="C196" s="11">
        <f>Products!C196</f>
        <v/>
      </c>
      <c r="D196" s="11">
        <f>IF(A196="","",SUMIFS(StockMovements!$E$2:$E$500,StockMovements!$B$2:$B$500,A196,StockMovements!$D$2:$D$500,"receipt")+SUMIFS(StockMovements!$E$2:$E$500,StockMovements!$B$2:$B$500,A196,StockMovements!$D$2:$D$500,"production_in")+SUMIFS(StockMovements!$E$2:$E$500,StockMovements!$B$2:$B$500,A196,StockMovements!$D$2:$D$500,"adjustment")-SUMIFS(StockMovements!$E$2:$E$500,StockMovements!$B$2:$B$500,A196,StockMovements!$D$2:$D$500,"issue")-SUMIFS(StockMovements!$E$2:$E$500,StockMovements!$B$2:$B$500,A196,StockMovements!$D$2:$D$500,"production_out")-SUMIFS(StockMovements!$E$2:$E$500,StockMovements!$B$2:$B$500,A196,StockMovements!$D$2:$D$500,"transfer")-SUMIFS(StockMovements!$E$2:$E$500,StockMovements!$B$2:$B$500,A196,StockMovements!$D$2:$D$500,"scrap"))</f>
        <v/>
      </c>
      <c r="E196" s="11">
        <f>IF(A196="","",Products!E196)</f>
        <v/>
      </c>
      <c r="F196" s="11">
        <f>IF(A196="","",D196*E196)</f>
        <v/>
      </c>
      <c r="G196" s="11">
        <f>IF(A196="","",Products!F196)</f>
        <v/>
      </c>
      <c r="H196" s="11">
        <f>IF(A196="","",IF(D196&lt;G196,"REORDER","OK"))</f>
        <v/>
      </c>
      <c r="I196" s="14">
        <f>IF(A196="","",IFERROR(_xlfn.MAXIFS(StockMovements!$A$2:$A$500,StockMovements!$B$2:$B$500,A196),0))</f>
        <v/>
      </c>
      <c r="J196" s="11">
        <f>IF(OR(A196="",I196=0),"",TODAY()-I196)</f>
        <v/>
      </c>
      <c r="K196" s="11">
        <f>IF(A196="","",IF(I196=0,"never moved",IF(J196&lt;=30,"0-30",IF(J196&lt;=60,"31-60",IF(J196&lt;=90,"61-90","90+")))))</f>
        <v/>
      </c>
    </row>
    <row r="197">
      <c r="A197" s="11">
        <f>Products!A197</f>
        <v/>
      </c>
      <c r="B197" s="11">
        <f>Products!B197</f>
        <v/>
      </c>
      <c r="C197" s="11">
        <f>Products!C197</f>
        <v/>
      </c>
      <c r="D197" s="11">
        <f>IF(A197="","",SUMIFS(StockMovements!$E$2:$E$500,StockMovements!$B$2:$B$500,A197,StockMovements!$D$2:$D$500,"receipt")+SUMIFS(StockMovements!$E$2:$E$500,StockMovements!$B$2:$B$500,A197,StockMovements!$D$2:$D$500,"production_in")+SUMIFS(StockMovements!$E$2:$E$500,StockMovements!$B$2:$B$500,A197,StockMovements!$D$2:$D$500,"adjustment")-SUMIFS(StockMovements!$E$2:$E$500,StockMovements!$B$2:$B$500,A197,StockMovements!$D$2:$D$500,"issue")-SUMIFS(StockMovements!$E$2:$E$500,StockMovements!$B$2:$B$500,A197,StockMovements!$D$2:$D$500,"production_out")-SUMIFS(StockMovements!$E$2:$E$500,StockMovements!$B$2:$B$500,A197,StockMovements!$D$2:$D$500,"transfer")-SUMIFS(StockMovements!$E$2:$E$500,StockMovements!$B$2:$B$500,A197,StockMovements!$D$2:$D$500,"scrap"))</f>
        <v/>
      </c>
      <c r="E197" s="11">
        <f>IF(A197="","",Products!E197)</f>
        <v/>
      </c>
      <c r="F197" s="11">
        <f>IF(A197="","",D197*E197)</f>
        <v/>
      </c>
      <c r="G197" s="11">
        <f>IF(A197="","",Products!F197)</f>
        <v/>
      </c>
      <c r="H197" s="11">
        <f>IF(A197="","",IF(D197&lt;G197,"REORDER","OK"))</f>
        <v/>
      </c>
      <c r="I197" s="14">
        <f>IF(A197="","",IFERROR(_xlfn.MAXIFS(StockMovements!$A$2:$A$500,StockMovements!$B$2:$B$500,A197),0))</f>
        <v/>
      </c>
      <c r="J197" s="11">
        <f>IF(OR(A197="",I197=0),"",TODAY()-I197)</f>
        <v/>
      </c>
      <c r="K197" s="11">
        <f>IF(A197="","",IF(I197=0,"never moved",IF(J197&lt;=30,"0-30",IF(J197&lt;=60,"31-60",IF(J197&lt;=90,"61-90","90+")))))</f>
        <v/>
      </c>
    </row>
    <row r="198">
      <c r="A198" s="11">
        <f>Products!A198</f>
        <v/>
      </c>
      <c r="B198" s="11">
        <f>Products!B198</f>
        <v/>
      </c>
      <c r="C198" s="11">
        <f>Products!C198</f>
        <v/>
      </c>
      <c r="D198" s="11">
        <f>IF(A198="","",SUMIFS(StockMovements!$E$2:$E$500,StockMovements!$B$2:$B$500,A198,StockMovements!$D$2:$D$500,"receipt")+SUMIFS(StockMovements!$E$2:$E$500,StockMovements!$B$2:$B$500,A198,StockMovements!$D$2:$D$500,"production_in")+SUMIFS(StockMovements!$E$2:$E$500,StockMovements!$B$2:$B$500,A198,StockMovements!$D$2:$D$500,"adjustment")-SUMIFS(StockMovements!$E$2:$E$500,StockMovements!$B$2:$B$500,A198,StockMovements!$D$2:$D$500,"issue")-SUMIFS(StockMovements!$E$2:$E$500,StockMovements!$B$2:$B$500,A198,StockMovements!$D$2:$D$500,"production_out")-SUMIFS(StockMovements!$E$2:$E$500,StockMovements!$B$2:$B$500,A198,StockMovements!$D$2:$D$500,"transfer")-SUMIFS(StockMovements!$E$2:$E$500,StockMovements!$B$2:$B$500,A198,StockMovements!$D$2:$D$500,"scrap"))</f>
        <v/>
      </c>
      <c r="E198" s="11">
        <f>IF(A198="","",Products!E198)</f>
        <v/>
      </c>
      <c r="F198" s="11">
        <f>IF(A198="","",D198*E198)</f>
        <v/>
      </c>
      <c r="G198" s="11">
        <f>IF(A198="","",Products!F198)</f>
        <v/>
      </c>
      <c r="H198" s="11">
        <f>IF(A198="","",IF(D198&lt;G198,"REORDER","OK"))</f>
        <v/>
      </c>
      <c r="I198" s="14">
        <f>IF(A198="","",IFERROR(_xlfn.MAXIFS(StockMovements!$A$2:$A$500,StockMovements!$B$2:$B$500,A198),0))</f>
        <v/>
      </c>
      <c r="J198" s="11">
        <f>IF(OR(A198="",I198=0),"",TODAY()-I198)</f>
        <v/>
      </c>
      <c r="K198" s="11">
        <f>IF(A198="","",IF(I198=0,"never moved",IF(J198&lt;=30,"0-30",IF(J198&lt;=60,"31-60",IF(J198&lt;=90,"61-90","90+")))))</f>
        <v/>
      </c>
    </row>
    <row r="199">
      <c r="A199" s="11">
        <f>Products!A199</f>
        <v/>
      </c>
      <c r="B199" s="11">
        <f>Products!B199</f>
        <v/>
      </c>
      <c r="C199" s="11">
        <f>Products!C199</f>
        <v/>
      </c>
      <c r="D199" s="11">
        <f>IF(A199="","",SUMIFS(StockMovements!$E$2:$E$500,StockMovements!$B$2:$B$500,A199,StockMovements!$D$2:$D$500,"receipt")+SUMIFS(StockMovements!$E$2:$E$500,StockMovements!$B$2:$B$500,A199,StockMovements!$D$2:$D$500,"production_in")+SUMIFS(StockMovements!$E$2:$E$500,StockMovements!$B$2:$B$500,A199,StockMovements!$D$2:$D$500,"adjustment")-SUMIFS(StockMovements!$E$2:$E$500,StockMovements!$B$2:$B$500,A199,StockMovements!$D$2:$D$500,"issue")-SUMIFS(StockMovements!$E$2:$E$500,StockMovements!$B$2:$B$500,A199,StockMovements!$D$2:$D$500,"production_out")-SUMIFS(StockMovements!$E$2:$E$500,StockMovements!$B$2:$B$500,A199,StockMovements!$D$2:$D$500,"transfer")-SUMIFS(StockMovements!$E$2:$E$500,StockMovements!$B$2:$B$500,A199,StockMovements!$D$2:$D$500,"scrap"))</f>
        <v/>
      </c>
      <c r="E199" s="11">
        <f>IF(A199="","",Products!E199)</f>
        <v/>
      </c>
      <c r="F199" s="11">
        <f>IF(A199="","",D199*E199)</f>
        <v/>
      </c>
      <c r="G199" s="11">
        <f>IF(A199="","",Products!F199)</f>
        <v/>
      </c>
      <c r="H199" s="11">
        <f>IF(A199="","",IF(D199&lt;G199,"REORDER","OK"))</f>
        <v/>
      </c>
      <c r="I199" s="14">
        <f>IF(A199="","",IFERROR(_xlfn.MAXIFS(StockMovements!$A$2:$A$500,StockMovements!$B$2:$B$500,A199),0))</f>
        <v/>
      </c>
      <c r="J199" s="11">
        <f>IF(OR(A199="",I199=0),"",TODAY()-I199)</f>
        <v/>
      </c>
      <c r="K199" s="11">
        <f>IF(A199="","",IF(I199=0,"never moved",IF(J199&lt;=30,"0-30",IF(J199&lt;=60,"31-60",IF(J199&lt;=90,"61-90","90+")))))</f>
        <v/>
      </c>
    </row>
    <row r="200">
      <c r="A200" s="11">
        <f>Products!A200</f>
        <v/>
      </c>
      <c r="B200" s="11">
        <f>Products!B200</f>
        <v/>
      </c>
      <c r="C200" s="11">
        <f>Products!C200</f>
        <v/>
      </c>
      <c r="D200" s="11">
        <f>IF(A200="","",SUMIFS(StockMovements!$E$2:$E$500,StockMovements!$B$2:$B$500,A200,StockMovements!$D$2:$D$500,"receipt")+SUMIFS(StockMovements!$E$2:$E$500,StockMovements!$B$2:$B$500,A200,StockMovements!$D$2:$D$500,"production_in")+SUMIFS(StockMovements!$E$2:$E$500,StockMovements!$B$2:$B$500,A200,StockMovements!$D$2:$D$500,"adjustment")-SUMIFS(StockMovements!$E$2:$E$500,StockMovements!$B$2:$B$500,A200,StockMovements!$D$2:$D$500,"issue")-SUMIFS(StockMovements!$E$2:$E$500,StockMovements!$B$2:$B$500,A200,StockMovements!$D$2:$D$500,"production_out")-SUMIFS(StockMovements!$E$2:$E$500,StockMovements!$B$2:$B$500,A200,StockMovements!$D$2:$D$500,"transfer")-SUMIFS(StockMovements!$E$2:$E$500,StockMovements!$B$2:$B$500,A200,StockMovements!$D$2:$D$500,"scrap"))</f>
        <v/>
      </c>
      <c r="E200" s="11">
        <f>IF(A200="","",Products!E200)</f>
        <v/>
      </c>
      <c r="F200" s="11">
        <f>IF(A200="","",D200*E200)</f>
        <v/>
      </c>
      <c r="G200" s="11">
        <f>IF(A200="","",Products!F200)</f>
        <v/>
      </c>
      <c r="H200" s="11">
        <f>IF(A200="","",IF(D200&lt;G200,"REORDER","OK"))</f>
        <v/>
      </c>
      <c r="I200" s="14">
        <f>IF(A200="","",IFERROR(_xlfn.MAXIFS(StockMovements!$A$2:$A$500,StockMovements!$B$2:$B$500,A200),0))</f>
        <v/>
      </c>
      <c r="J200" s="11">
        <f>IF(OR(A200="",I200=0),"",TODAY()-I200)</f>
        <v/>
      </c>
      <c r="K200" s="11">
        <f>IF(A200="","",IF(I200=0,"never moved",IF(J200&lt;=30,"0-30",IF(J200&lt;=60,"31-60",IF(J200&lt;=90,"61-90","90+")))))</f>
        <v/>
      </c>
    </row>
    <row r="201">
      <c r="A201" s="11">
        <f>Products!A201</f>
        <v/>
      </c>
      <c r="B201" s="11">
        <f>Products!B201</f>
        <v/>
      </c>
      <c r="C201" s="11">
        <f>Products!C201</f>
        <v/>
      </c>
      <c r="D201" s="11">
        <f>IF(A201="","",SUMIFS(StockMovements!$E$2:$E$500,StockMovements!$B$2:$B$500,A201,StockMovements!$D$2:$D$500,"receipt")+SUMIFS(StockMovements!$E$2:$E$500,StockMovements!$B$2:$B$500,A201,StockMovements!$D$2:$D$500,"production_in")+SUMIFS(StockMovements!$E$2:$E$500,StockMovements!$B$2:$B$500,A201,StockMovements!$D$2:$D$500,"adjustment")-SUMIFS(StockMovements!$E$2:$E$500,StockMovements!$B$2:$B$500,A201,StockMovements!$D$2:$D$500,"issue")-SUMIFS(StockMovements!$E$2:$E$500,StockMovements!$B$2:$B$500,A201,StockMovements!$D$2:$D$500,"production_out")-SUMIFS(StockMovements!$E$2:$E$500,StockMovements!$B$2:$B$500,A201,StockMovements!$D$2:$D$500,"transfer")-SUMIFS(StockMovements!$E$2:$E$500,StockMovements!$B$2:$B$500,A201,StockMovements!$D$2:$D$500,"scrap"))</f>
        <v/>
      </c>
      <c r="E201" s="11">
        <f>IF(A201="","",Products!E201)</f>
        <v/>
      </c>
      <c r="F201" s="11">
        <f>IF(A201="","",D201*E201)</f>
        <v/>
      </c>
      <c r="G201" s="11">
        <f>IF(A201="","",Products!F201)</f>
        <v/>
      </c>
      <c r="H201" s="11">
        <f>IF(A201="","",IF(D201&lt;G201,"REORDER","OK"))</f>
        <v/>
      </c>
      <c r="I201" s="14">
        <f>IF(A201="","",IFERROR(_xlfn.MAXIFS(StockMovements!$A$2:$A$500,StockMovements!$B$2:$B$500,A201),0))</f>
        <v/>
      </c>
      <c r="J201" s="11">
        <f>IF(OR(A201="",I201=0),"",TODAY()-I201)</f>
        <v/>
      </c>
      <c r="K201" s="11">
        <f>IF(A201="","",IF(I201=0,"never moved",IF(J201&lt;=30,"0-30",IF(J201&lt;=60,"31-60",IF(J201&lt;=90,"61-90","90+")))))</f>
        <v/>
      </c>
    </row>
    <row r="202">
      <c r="A202" s="11">
        <f>Products!A202</f>
        <v/>
      </c>
      <c r="B202" s="11">
        <f>Products!B202</f>
        <v/>
      </c>
      <c r="C202" s="11">
        <f>Products!C202</f>
        <v/>
      </c>
      <c r="D202" s="11">
        <f>IF(A202="","",SUMIFS(StockMovements!$E$2:$E$500,StockMovements!$B$2:$B$500,A202,StockMovements!$D$2:$D$500,"receipt")+SUMIFS(StockMovements!$E$2:$E$500,StockMovements!$B$2:$B$500,A202,StockMovements!$D$2:$D$500,"production_in")+SUMIFS(StockMovements!$E$2:$E$500,StockMovements!$B$2:$B$500,A202,StockMovements!$D$2:$D$500,"adjustment")-SUMIFS(StockMovements!$E$2:$E$500,StockMovements!$B$2:$B$500,A202,StockMovements!$D$2:$D$500,"issue")-SUMIFS(StockMovements!$E$2:$E$500,StockMovements!$B$2:$B$500,A202,StockMovements!$D$2:$D$500,"production_out")-SUMIFS(StockMovements!$E$2:$E$500,StockMovements!$B$2:$B$500,A202,StockMovements!$D$2:$D$500,"transfer")-SUMIFS(StockMovements!$E$2:$E$500,StockMovements!$B$2:$B$500,A202,StockMovements!$D$2:$D$500,"scrap"))</f>
        <v/>
      </c>
      <c r="E202" s="11">
        <f>IF(A202="","",Products!E202)</f>
        <v/>
      </c>
      <c r="F202" s="11">
        <f>IF(A202="","",D202*E202)</f>
        <v/>
      </c>
      <c r="G202" s="11">
        <f>IF(A202="","",Products!F202)</f>
        <v/>
      </c>
      <c r="H202" s="11">
        <f>IF(A202="","",IF(D202&lt;G202,"REORDER","OK"))</f>
        <v/>
      </c>
      <c r="I202" s="14">
        <f>IF(A202="","",IFERROR(_xlfn.MAXIFS(StockMovements!$A$2:$A$500,StockMovements!$B$2:$B$500,A202),0))</f>
        <v/>
      </c>
      <c r="J202" s="11">
        <f>IF(OR(A202="",I202=0),"",TODAY()-I202)</f>
        <v/>
      </c>
      <c r="K202" s="11">
        <f>IF(A202="","",IF(I202=0,"never moved",IF(J202&lt;=30,"0-30",IF(J202&lt;=60,"31-60",IF(J202&lt;=90,"61-90","90+")))))</f>
        <v/>
      </c>
    </row>
    <row r="203">
      <c r="A203" s="11">
        <f>Products!A203</f>
        <v/>
      </c>
      <c r="B203" s="11">
        <f>Products!B203</f>
        <v/>
      </c>
      <c r="C203" s="11">
        <f>Products!C203</f>
        <v/>
      </c>
      <c r="D203" s="11">
        <f>IF(A203="","",SUMIFS(StockMovements!$E$2:$E$500,StockMovements!$B$2:$B$500,A203,StockMovements!$D$2:$D$500,"receipt")+SUMIFS(StockMovements!$E$2:$E$500,StockMovements!$B$2:$B$500,A203,StockMovements!$D$2:$D$500,"production_in")+SUMIFS(StockMovements!$E$2:$E$500,StockMovements!$B$2:$B$500,A203,StockMovements!$D$2:$D$500,"adjustment")-SUMIFS(StockMovements!$E$2:$E$500,StockMovements!$B$2:$B$500,A203,StockMovements!$D$2:$D$500,"issue")-SUMIFS(StockMovements!$E$2:$E$500,StockMovements!$B$2:$B$500,A203,StockMovements!$D$2:$D$500,"production_out")-SUMIFS(StockMovements!$E$2:$E$500,StockMovements!$B$2:$B$500,A203,StockMovements!$D$2:$D$500,"transfer")-SUMIFS(StockMovements!$E$2:$E$500,StockMovements!$B$2:$B$500,A203,StockMovements!$D$2:$D$500,"scrap"))</f>
        <v/>
      </c>
      <c r="E203" s="11">
        <f>IF(A203="","",Products!E203)</f>
        <v/>
      </c>
      <c r="F203" s="11">
        <f>IF(A203="","",D203*E203)</f>
        <v/>
      </c>
      <c r="G203" s="11">
        <f>IF(A203="","",Products!F203)</f>
        <v/>
      </c>
      <c r="H203" s="11">
        <f>IF(A203="","",IF(D203&lt;G203,"REORDER","OK"))</f>
        <v/>
      </c>
      <c r="I203" s="14">
        <f>IF(A203="","",IFERROR(_xlfn.MAXIFS(StockMovements!$A$2:$A$500,StockMovements!$B$2:$B$500,A203),0))</f>
        <v/>
      </c>
      <c r="J203" s="11">
        <f>IF(OR(A203="",I203=0),"",TODAY()-I203)</f>
        <v/>
      </c>
      <c r="K203" s="11">
        <f>IF(A203="","",IF(I203=0,"never moved",IF(J203&lt;=30,"0-30",IF(J203&lt;=60,"31-60",IF(J203&lt;=90,"61-90","90+")))))</f>
        <v/>
      </c>
    </row>
    <row r="204">
      <c r="A204" s="11">
        <f>Products!A204</f>
        <v/>
      </c>
      <c r="B204" s="11">
        <f>Products!B204</f>
        <v/>
      </c>
      <c r="C204" s="11">
        <f>Products!C204</f>
        <v/>
      </c>
      <c r="D204" s="11">
        <f>IF(A204="","",SUMIFS(StockMovements!$E$2:$E$500,StockMovements!$B$2:$B$500,A204,StockMovements!$D$2:$D$500,"receipt")+SUMIFS(StockMovements!$E$2:$E$500,StockMovements!$B$2:$B$500,A204,StockMovements!$D$2:$D$500,"production_in")+SUMIFS(StockMovements!$E$2:$E$500,StockMovements!$B$2:$B$500,A204,StockMovements!$D$2:$D$500,"adjustment")-SUMIFS(StockMovements!$E$2:$E$500,StockMovements!$B$2:$B$500,A204,StockMovements!$D$2:$D$500,"issue")-SUMIFS(StockMovements!$E$2:$E$500,StockMovements!$B$2:$B$500,A204,StockMovements!$D$2:$D$500,"production_out")-SUMIFS(StockMovements!$E$2:$E$500,StockMovements!$B$2:$B$500,A204,StockMovements!$D$2:$D$500,"transfer")-SUMIFS(StockMovements!$E$2:$E$500,StockMovements!$B$2:$B$500,A204,StockMovements!$D$2:$D$500,"scrap"))</f>
        <v/>
      </c>
      <c r="E204" s="11">
        <f>IF(A204="","",Products!E204)</f>
        <v/>
      </c>
      <c r="F204" s="11">
        <f>IF(A204="","",D204*E204)</f>
        <v/>
      </c>
      <c r="G204" s="11">
        <f>IF(A204="","",Products!F204)</f>
        <v/>
      </c>
      <c r="H204" s="11">
        <f>IF(A204="","",IF(D204&lt;G204,"REORDER","OK"))</f>
        <v/>
      </c>
      <c r="I204" s="14">
        <f>IF(A204="","",IFERROR(_xlfn.MAXIFS(StockMovements!$A$2:$A$500,StockMovements!$B$2:$B$500,A204),0))</f>
        <v/>
      </c>
      <c r="J204" s="11">
        <f>IF(OR(A204="",I204=0),"",TODAY()-I204)</f>
        <v/>
      </c>
      <c r="K204" s="11">
        <f>IF(A204="","",IF(I204=0,"never moved",IF(J204&lt;=30,"0-30",IF(J204&lt;=60,"31-60",IF(J204&lt;=90,"61-90","90+")))))</f>
        <v/>
      </c>
    </row>
    <row r="205">
      <c r="A205" s="11">
        <f>Products!A205</f>
        <v/>
      </c>
      <c r="B205" s="11">
        <f>Products!B205</f>
        <v/>
      </c>
      <c r="C205" s="11">
        <f>Products!C205</f>
        <v/>
      </c>
      <c r="D205" s="11">
        <f>IF(A205="","",SUMIFS(StockMovements!$E$2:$E$500,StockMovements!$B$2:$B$500,A205,StockMovements!$D$2:$D$500,"receipt")+SUMIFS(StockMovements!$E$2:$E$500,StockMovements!$B$2:$B$500,A205,StockMovements!$D$2:$D$500,"production_in")+SUMIFS(StockMovements!$E$2:$E$500,StockMovements!$B$2:$B$500,A205,StockMovements!$D$2:$D$500,"adjustment")-SUMIFS(StockMovements!$E$2:$E$500,StockMovements!$B$2:$B$500,A205,StockMovements!$D$2:$D$500,"issue")-SUMIFS(StockMovements!$E$2:$E$500,StockMovements!$B$2:$B$500,A205,StockMovements!$D$2:$D$500,"production_out")-SUMIFS(StockMovements!$E$2:$E$500,StockMovements!$B$2:$B$500,A205,StockMovements!$D$2:$D$500,"transfer")-SUMIFS(StockMovements!$E$2:$E$500,StockMovements!$B$2:$B$500,A205,StockMovements!$D$2:$D$500,"scrap"))</f>
        <v/>
      </c>
      <c r="E205" s="11">
        <f>IF(A205="","",Products!E205)</f>
        <v/>
      </c>
      <c r="F205" s="11">
        <f>IF(A205="","",D205*E205)</f>
        <v/>
      </c>
      <c r="G205" s="11">
        <f>IF(A205="","",Products!F205)</f>
        <v/>
      </c>
      <c r="H205" s="11">
        <f>IF(A205="","",IF(D205&lt;G205,"REORDER","OK"))</f>
        <v/>
      </c>
      <c r="I205" s="14">
        <f>IF(A205="","",IFERROR(_xlfn.MAXIFS(StockMovements!$A$2:$A$500,StockMovements!$B$2:$B$500,A205),0))</f>
        <v/>
      </c>
      <c r="J205" s="11">
        <f>IF(OR(A205="",I205=0),"",TODAY()-I205)</f>
        <v/>
      </c>
      <c r="K205" s="11">
        <f>IF(A205="","",IF(I205=0,"never moved",IF(J205&lt;=30,"0-30",IF(J205&lt;=60,"31-60",IF(J205&lt;=90,"61-90","90+")))))</f>
        <v/>
      </c>
    </row>
    <row r="206">
      <c r="A206" s="11">
        <f>Products!A206</f>
        <v/>
      </c>
      <c r="B206" s="11">
        <f>Products!B206</f>
        <v/>
      </c>
      <c r="C206" s="11">
        <f>Products!C206</f>
        <v/>
      </c>
      <c r="D206" s="11">
        <f>IF(A206="","",SUMIFS(StockMovements!$E$2:$E$500,StockMovements!$B$2:$B$500,A206,StockMovements!$D$2:$D$500,"receipt")+SUMIFS(StockMovements!$E$2:$E$500,StockMovements!$B$2:$B$500,A206,StockMovements!$D$2:$D$500,"production_in")+SUMIFS(StockMovements!$E$2:$E$500,StockMovements!$B$2:$B$500,A206,StockMovements!$D$2:$D$500,"adjustment")-SUMIFS(StockMovements!$E$2:$E$500,StockMovements!$B$2:$B$500,A206,StockMovements!$D$2:$D$500,"issue")-SUMIFS(StockMovements!$E$2:$E$500,StockMovements!$B$2:$B$500,A206,StockMovements!$D$2:$D$500,"production_out")-SUMIFS(StockMovements!$E$2:$E$500,StockMovements!$B$2:$B$500,A206,StockMovements!$D$2:$D$500,"transfer")-SUMIFS(StockMovements!$E$2:$E$500,StockMovements!$B$2:$B$500,A206,StockMovements!$D$2:$D$500,"scrap"))</f>
        <v/>
      </c>
      <c r="E206" s="11">
        <f>IF(A206="","",Products!E206)</f>
        <v/>
      </c>
      <c r="F206" s="11">
        <f>IF(A206="","",D206*E206)</f>
        <v/>
      </c>
      <c r="G206" s="11">
        <f>IF(A206="","",Products!F206)</f>
        <v/>
      </c>
      <c r="H206" s="11">
        <f>IF(A206="","",IF(D206&lt;G206,"REORDER","OK"))</f>
        <v/>
      </c>
      <c r="I206" s="14">
        <f>IF(A206="","",IFERROR(_xlfn.MAXIFS(StockMovements!$A$2:$A$500,StockMovements!$B$2:$B$500,A206),0))</f>
        <v/>
      </c>
      <c r="J206" s="11">
        <f>IF(OR(A206="",I206=0),"",TODAY()-I206)</f>
        <v/>
      </c>
      <c r="K206" s="11">
        <f>IF(A206="","",IF(I206=0,"never moved",IF(J206&lt;=30,"0-30",IF(J206&lt;=60,"31-60",IF(J206&lt;=90,"61-90","90+")))))</f>
        <v/>
      </c>
    </row>
    <row r="207">
      <c r="A207" s="11">
        <f>Products!A207</f>
        <v/>
      </c>
      <c r="B207" s="11">
        <f>Products!B207</f>
        <v/>
      </c>
      <c r="C207" s="11">
        <f>Products!C207</f>
        <v/>
      </c>
      <c r="D207" s="11">
        <f>IF(A207="","",SUMIFS(StockMovements!$E$2:$E$500,StockMovements!$B$2:$B$500,A207,StockMovements!$D$2:$D$500,"receipt")+SUMIFS(StockMovements!$E$2:$E$500,StockMovements!$B$2:$B$500,A207,StockMovements!$D$2:$D$500,"production_in")+SUMIFS(StockMovements!$E$2:$E$500,StockMovements!$B$2:$B$500,A207,StockMovements!$D$2:$D$500,"adjustment")-SUMIFS(StockMovements!$E$2:$E$500,StockMovements!$B$2:$B$500,A207,StockMovements!$D$2:$D$500,"issue")-SUMIFS(StockMovements!$E$2:$E$500,StockMovements!$B$2:$B$500,A207,StockMovements!$D$2:$D$500,"production_out")-SUMIFS(StockMovements!$E$2:$E$500,StockMovements!$B$2:$B$500,A207,StockMovements!$D$2:$D$500,"transfer")-SUMIFS(StockMovements!$E$2:$E$500,StockMovements!$B$2:$B$500,A207,StockMovements!$D$2:$D$500,"scrap"))</f>
        <v/>
      </c>
      <c r="E207" s="11">
        <f>IF(A207="","",Products!E207)</f>
        <v/>
      </c>
      <c r="F207" s="11">
        <f>IF(A207="","",D207*E207)</f>
        <v/>
      </c>
      <c r="G207" s="11">
        <f>IF(A207="","",Products!F207)</f>
        <v/>
      </c>
      <c r="H207" s="11">
        <f>IF(A207="","",IF(D207&lt;G207,"REORDER","OK"))</f>
        <v/>
      </c>
      <c r="I207" s="14">
        <f>IF(A207="","",IFERROR(_xlfn.MAXIFS(StockMovements!$A$2:$A$500,StockMovements!$B$2:$B$500,A207),0))</f>
        <v/>
      </c>
      <c r="J207" s="11">
        <f>IF(OR(A207="",I207=0),"",TODAY()-I207)</f>
        <v/>
      </c>
      <c r="K207" s="11">
        <f>IF(A207="","",IF(I207=0,"never moved",IF(J207&lt;=30,"0-30",IF(J207&lt;=60,"31-60",IF(J207&lt;=90,"61-90","90+")))))</f>
        <v/>
      </c>
    </row>
    <row r="208">
      <c r="A208" s="11">
        <f>Products!A208</f>
        <v/>
      </c>
      <c r="B208" s="11">
        <f>Products!B208</f>
        <v/>
      </c>
      <c r="C208" s="11">
        <f>Products!C208</f>
        <v/>
      </c>
      <c r="D208" s="11">
        <f>IF(A208="","",SUMIFS(StockMovements!$E$2:$E$500,StockMovements!$B$2:$B$500,A208,StockMovements!$D$2:$D$500,"receipt")+SUMIFS(StockMovements!$E$2:$E$500,StockMovements!$B$2:$B$500,A208,StockMovements!$D$2:$D$500,"production_in")+SUMIFS(StockMovements!$E$2:$E$500,StockMovements!$B$2:$B$500,A208,StockMovements!$D$2:$D$500,"adjustment")-SUMIFS(StockMovements!$E$2:$E$500,StockMovements!$B$2:$B$500,A208,StockMovements!$D$2:$D$500,"issue")-SUMIFS(StockMovements!$E$2:$E$500,StockMovements!$B$2:$B$500,A208,StockMovements!$D$2:$D$500,"production_out")-SUMIFS(StockMovements!$E$2:$E$500,StockMovements!$B$2:$B$500,A208,StockMovements!$D$2:$D$500,"transfer")-SUMIFS(StockMovements!$E$2:$E$500,StockMovements!$B$2:$B$500,A208,StockMovements!$D$2:$D$500,"scrap"))</f>
        <v/>
      </c>
      <c r="E208" s="11">
        <f>IF(A208="","",Products!E208)</f>
        <v/>
      </c>
      <c r="F208" s="11">
        <f>IF(A208="","",D208*E208)</f>
        <v/>
      </c>
      <c r="G208" s="11">
        <f>IF(A208="","",Products!F208)</f>
        <v/>
      </c>
      <c r="H208" s="11">
        <f>IF(A208="","",IF(D208&lt;G208,"REORDER","OK"))</f>
        <v/>
      </c>
      <c r="I208" s="14">
        <f>IF(A208="","",IFERROR(_xlfn.MAXIFS(StockMovements!$A$2:$A$500,StockMovements!$B$2:$B$500,A208),0))</f>
        <v/>
      </c>
      <c r="J208" s="11">
        <f>IF(OR(A208="",I208=0),"",TODAY()-I208)</f>
        <v/>
      </c>
      <c r="K208" s="11">
        <f>IF(A208="","",IF(I208=0,"never moved",IF(J208&lt;=30,"0-30",IF(J208&lt;=60,"31-60",IF(J208&lt;=90,"61-90","90+")))))</f>
        <v/>
      </c>
    </row>
    <row r="209">
      <c r="A209" s="11">
        <f>Products!A209</f>
        <v/>
      </c>
      <c r="B209" s="11">
        <f>Products!B209</f>
        <v/>
      </c>
      <c r="C209" s="11">
        <f>Products!C209</f>
        <v/>
      </c>
      <c r="D209" s="11">
        <f>IF(A209="","",SUMIFS(StockMovements!$E$2:$E$500,StockMovements!$B$2:$B$500,A209,StockMovements!$D$2:$D$500,"receipt")+SUMIFS(StockMovements!$E$2:$E$500,StockMovements!$B$2:$B$500,A209,StockMovements!$D$2:$D$500,"production_in")+SUMIFS(StockMovements!$E$2:$E$500,StockMovements!$B$2:$B$500,A209,StockMovements!$D$2:$D$500,"adjustment")-SUMIFS(StockMovements!$E$2:$E$500,StockMovements!$B$2:$B$500,A209,StockMovements!$D$2:$D$500,"issue")-SUMIFS(StockMovements!$E$2:$E$500,StockMovements!$B$2:$B$500,A209,StockMovements!$D$2:$D$500,"production_out")-SUMIFS(StockMovements!$E$2:$E$500,StockMovements!$B$2:$B$500,A209,StockMovements!$D$2:$D$500,"transfer")-SUMIFS(StockMovements!$E$2:$E$500,StockMovements!$B$2:$B$500,A209,StockMovements!$D$2:$D$500,"scrap"))</f>
        <v/>
      </c>
      <c r="E209" s="11">
        <f>IF(A209="","",Products!E209)</f>
        <v/>
      </c>
      <c r="F209" s="11">
        <f>IF(A209="","",D209*E209)</f>
        <v/>
      </c>
      <c r="G209" s="11">
        <f>IF(A209="","",Products!F209)</f>
        <v/>
      </c>
      <c r="H209" s="11">
        <f>IF(A209="","",IF(D209&lt;G209,"REORDER","OK"))</f>
        <v/>
      </c>
      <c r="I209" s="14">
        <f>IF(A209="","",IFERROR(_xlfn.MAXIFS(StockMovements!$A$2:$A$500,StockMovements!$B$2:$B$500,A209),0))</f>
        <v/>
      </c>
      <c r="J209" s="11">
        <f>IF(OR(A209="",I209=0),"",TODAY()-I209)</f>
        <v/>
      </c>
      <c r="K209" s="11">
        <f>IF(A209="","",IF(I209=0,"never moved",IF(J209&lt;=30,"0-30",IF(J209&lt;=60,"31-60",IF(J209&lt;=90,"61-90","90+")))))</f>
        <v/>
      </c>
    </row>
    <row r="210">
      <c r="A210" s="11">
        <f>Products!A210</f>
        <v/>
      </c>
      <c r="B210" s="11">
        <f>Products!B210</f>
        <v/>
      </c>
      <c r="C210" s="11">
        <f>Products!C210</f>
        <v/>
      </c>
      <c r="D210" s="11">
        <f>IF(A210="","",SUMIFS(StockMovements!$E$2:$E$500,StockMovements!$B$2:$B$500,A210,StockMovements!$D$2:$D$500,"receipt")+SUMIFS(StockMovements!$E$2:$E$500,StockMovements!$B$2:$B$500,A210,StockMovements!$D$2:$D$500,"production_in")+SUMIFS(StockMovements!$E$2:$E$500,StockMovements!$B$2:$B$500,A210,StockMovements!$D$2:$D$500,"adjustment")-SUMIFS(StockMovements!$E$2:$E$500,StockMovements!$B$2:$B$500,A210,StockMovements!$D$2:$D$500,"issue")-SUMIFS(StockMovements!$E$2:$E$500,StockMovements!$B$2:$B$500,A210,StockMovements!$D$2:$D$500,"production_out")-SUMIFS(StockMovements!$E$2:$E$500,StockMovements!$B$2:$B$500,A210,StockMovements!$D$2:$D$500,"transfer")-SUMIFS(StockMovements!$E$2:$E$500,StockMovements!$B$2:$B$500,A210,StockMovements!$D$2:$D$500,"scrap"))</f>
        <v/>
      </c>
      <c r="E210" s="11">
        <f>IF(A210="","",Products!E210)</f>
        <v/>
      </c>
      <c r="F210" s="11">
        <f>IF(A210="","",D210*E210)</f>
        <v/>
      </c>
      <c r="G210" s="11">
        <f>IF(A210="","",Products!F210)</f>
        <v/>
      </c>
      <c r="H210" s="11">
        <f>IF(A210="","",IF(D210&lt;G210,"REORDER","OK"))</f>
        <v/>
      </c>
      <c r="I210" s="14">
        <f>IF(A210="","",IFERROR(_xlfn.MAXIFS(StockMovements!$A$2:$A$500,StockMovements!$B$2:$B$500,A210),0))</f>
        <v/>
      </c>
      <c r="J210" s="11">
        <f>IF(OR(A210="",I210=0),"",TODAY()-I210)</f>
        <v/>
      </c>
      <c r="K210" s="11">
        <f>IF(A210="","",IF(I210=0,"never moved",IF(J210&lt;=30,"0-30",IF(J210&lt;=60,"31-60",IF(J210&lt;=90,"61-90","90+")))))</f>
        <v/>
      </c>
    </row>
    <row r="211">
      <c r="A211" s="11">
        <f>Products!A211</f>
        <v/>
      </c>
      <c r="B211" s="11">
        <f>Products!B211</f>
        <v/>
      </c>
      <c r="C211" s="11">
        <f>Products!C211</f>
        <v/>
      </c>
      <c r="D211" s="11">
        <f>IF(A211="","",SUMIFS(StockMovements!$E$2:$E$500,StockMovements!$B$2:$B$500,A211,StockMovements!$D$2:$D$500,"receipt")+SUMIFS(StockMovements!$E$2:$E$500,StockMovements!$B$2:$B$500,A211,StockMovements!$D$2:$D$500,"production_in")+SUMIFS(StockMovements!$E$2:$E$500,StockMovements!$B$2:$B$500,A211,StockMovements!$D$2:$D$500,"adjustment")-SUMIFS(StockMovements!$E$2:$E$500,StockMovements!$B$2:$B$500,A211,StockMovements!$D$2:$D$500,"issue")-SUMIFS(StockMovements!$E$2:$E$500,StockMovements!$B$2:$B$500,A211,StockMovements!$D$2:$D$500,"production_out")-SUMIFS(StockMovements!$E$2:$E$500,StockMovements!$B$2:$B$500,A211,StockMovements!$D$2:$D$500,"transfer")-SUMIFS(StockMovements!$E$2:$E$500,StockMovements!$B$2:$B$500,A211,StockMovements!$D$2:$D$500,"scrap"))</f>
        <v/>
      </c>
      <c r="E211" s="11">
        <f>IF(A211="","",Products!E211)</f>
        <v/>
      </c>
      <c r="F211" s="11">
        <f>IF(A211="","",D211*E211)</f>
        <v/>
      </c>
      <c r="G211" s="11">
        <f>IF(A211="","",Products!F211)</f>
        <v/>
      </c>
      <c r="H211" s="11">
        <f>IF(A211="","",IF(D211&lt;G211,"REORDER","OK"))</f>
        <v/>
      </c>
      <c r="I211" s="14">
        <f>IF(A211="","",IFERROR(_xlfn.MAXIFS(StockMovements!$A$2:$A$500,StockMovements!$B$2:$B$500,A211),0))</f>
        <v/>
      </c>
      <c r="J211" s="11">
        <f>IF(OR(A211="",I211=0),"",TODAY()-I211)</f>
        <v/>
      </c>
      <c r="K211" s="11">
        <f>IF(A211="","",IF(I211=0,"never moved",IF(J211&lt;=30,"0-30",IF(J211&lt;=60,"31-60",IF(J211&lt;=90,"61-90","90+")))))</f>
        <v/>
      </c>
    </row>
    <row r="212">
      <c r="A212" s="11">
        <f>Products!A212</f>
        <v/>
      </c>
      <c r="B212" s="11">
        <f>Products!B212</f>
        <v/>
      </c>
      <c r="C212" s="11">
        <f>Products!C212</f>
        <v/>
      </c>
      <c r="D212" s="11">
        <f>IF(A212="","",SUMIFS(StockMovements!$E$2:$E$500,StockMovements!$B$2:$B$500,A212,StockMovements!$D$2:$D$500,"receipt")+SUMIFS(StockMovements!$E$2:$E$500,StockMovements!$B$2:$B$500,A212,StockMovements!$D$2:$D$500,"production_in")+SUMIFS(StockMovements!$E$2:$E$500,StockMovements!$B$2:$B$500,A212,StockMovements!$D$2:$D$500,"adjustment")-SUMIFS(StockMovements!$E$2:$E$500,StockMovements!$B$2:$B$500,A212,StockMovements!$D$2:$D$500,"issue")-SUMIFS(StockMovements!$E$2:$E$500,StockMovements!$B$2:$B$500,A212,StockMovements!$D$2:$D$500,"production_out")-SUMIFS(StockMovements!$E$2:$E$500,StockMovements!$B$2:$B$500,A212,StockMovements!$D$2:$D$500,"transfer")-SUMIFS(StockMovements!$E$2:$E$500,StockMovements!$B$2:$B$500,A212,StockMovements!$D$2:$D$500,"scrap"))</f>
        <v/>
      </c>
      <c r="E212" s="11">
        <f>IF(A212="","",Products!E212)</f>
        <v/>
      </c>
      <c r="F212" s="11">
        <f>IF(A212="","",D212*E212)</f>
        <v/>
      </c>
      <c r="G212" s="11">
        <f>IF(A212="","",Products!F212)</f>
        <v/>
      </c>
      <c r="H212" s="11">
        <f>IF(A212="","",IF(D212&lt;G212,"REORDER","OK"))</f>
        <v/>
      </c>
      <c r="I212" s="14">
        <f>IF(A212="","",IFERROR(_xlfn.MAXIFS(StockMovements!$A$2:$A$500,StockMovements!$B$2:$B$500,A212),0))</f>
        <v/>
      </c>
      <c r="J212" s="11">
        <f>IF(OR(A212="",I212=0),"",TODAY()-I212)</f>
        <v/>
      </c>
      <c r="K212" s="11">
        <f>IF(A212="","",IF(I212=0,"never moved",IF(J212&lt;=30,"0-30",IF(J212&lt;=60,"31-60",IF(J212&lt;=90,"61-90","90+")))))</f>
        <v/>
      </c>
    </row>
    <row r="213">
      <c r="A213" s="11">
        <f>Products!A213</f>
        <v/>
      </c>
      <c r="B213" s="11">
        <f>Products!B213</f>
        <v/>
      </c>
      <c r="C213" s="11">
        <f>Products!C213</f>
        <v/>
      </c>
      <c r="D213" s="11">
        <f>IF(A213="","",SUMIFS(StockMovements!$E$2:$E$500,StockMovements!$B$2:$B$500,A213,StockMovements!$D$2:$D$500,"receipt")+SUMIFS(StockMovements!$E$2:$E$500,StockMovements!$B$2:$B$500,A213,StockMovements!$D$2:$D$500,"production_in")+SUMIFS(StockMovements!$E$2:$E$500,StockMovements!$B$2:$B$500,A213,StockMovements!$D$2:$D$500,"adjustment")-SUMIFS(StockMovements!$E$2:$E$500,StockMovements!$B$2:$B$500,A213,StockMovements!$D$2:$D$500,"issue")-SUMIFS(StockMovements!$E$2:$E$500,StockMovements!$B$2:$B$500,A213,StockMovements!$D$2:$D$500,"production_out")-SUMIFS(StockMovements!$E$2:$E$500,StockMovements!$B$2:$B$500,A213,StockMovements!$D$2:$D$500,"transfer")-SUMIFS(StockMovements!$E$2:$E$500,StockMovements!$B$2:$B$500,A213,StockMovements!$D$2:$D$500,"scrap"))</f>
        <v/>
      </c>
      <c r="E213" s="11">
        <f>IF(A213="","",Products!E213)</f>
        <v/>
      </c>
      <c r="F213" s="11">
        <f>IF(A213="","",D213*E213)</f>
        <v/>
      </c>
      <c r="G213" s="11">
        <f>IF(A213="","",Products!F213)</f>
        <v/>
      </c>
      <c r="H213" s="11">
        <f>IF(A213="","",IF(D213&lt;G213,"REORDER","OK"))</f>
        <v/>
      </c>
      <c r="I213" s="14">
        <f>IF(A213="","",IFERROR(_xlfn.MAXIFS(StockMovements!$A$2:$A$500,StockMovements!$B$2:$B$500,A213),0))</f>
        <v/>
      </c>
      <c r="J213" s="11">
        <f>IF(OR(A213="",I213=0),"",TODAY()-I213)</f>
        <v/>
      </c>
      <c r="K213" s="11">
        <f>IF(A213="","",IF(I213=0,"never moved",IF(J213&lt;=30,"0-30",IF(J213&lt;=60,"31-60",IF(J213&lt;=90,"61-90","90+")))))</f>
        <v/>
      </c>
    </row>
    <row r="214">
      <c r="A214" s="11">
        <f>Products!A214</f>
        <v/>
      </c>
      <c r="B214" s="11">
        <f>Products!B214</f>
        <v/>
      </c>
      <c r="C214" s="11">
        <f>Products!C214</f>
        <v/>
      </c>
      <c r="D214" s="11">
        <f>IF(A214="","",SUMIFS(StockMovements!$E$2:$E$500,StockMovements!$B$2:$B$500,A214,StockMovements!$D$2:$D$500,"receipt")+SUMIFS(StockMovements!$E$2:$E$500,StockMovements!$B$2:$B$500,A214,StockMovements!$D$2:$D$500,"production_in")+SUMIFS(StockMovements!$E$2:$E$500,StockMovements!$B$2:$B$500,A214,StockMovements!$D$2:$D$500,"adjustment")-SUMIFS(StockMovements!$E$2:$E$500,StockMovements!$B$2:$B$500,A214,StockMovements!$D$2:$D$500,"issue")-SUMIFS(StockMovements!$E$2:$E$500,StockMovements!$B$2:$B$500,A214,StockMovements!$D$2:$D$500,"production_out")-SUMIFS(StockMovements!$E$2:$E$500,StockMovements!$B$2:$B$500,A214,StockMovements!$D$2:$D$500,"transfer")-SUMIFS(StockMovements!$E$2:$E$500,StockMovements!$B$2:$B$500,A214,StockMovements!$D$2:$D$500,"scrap"))</f>
        <v/>
      </c>
      <c r="E214" s="11">
        <f>IF(A214="","",Products!E214)</f>
        <v/>
      </c>
      <c r="F214" s="11">
        <f>IF(A214="","",D214*E214)</f>
        <v/>
      </c>
      <c r="G214" s="11">
        <f>IF(A214="","",Products!F214)</f>
        <v/>
      </c>
      <c r="H214" s="11">
        <f>IF(A214="","",IF(D214&lt;G214,"REORDER","OK"))</f>
        <v/>
      </c>
      <c r="I214" s="14">
        <f>IF(A214="","",IFERROR(_xlfn.MAXIFS(StockMovements!$A$2:$A$500,StockMovements!$B$2:$B$500,A214),0))</f>
        <v/>
      </c>
      <c r="J214" s="11">
        <f>IF(OR(A214="",I214=0),"",TODAY()-I214)</f>
        <v/>
      </c>
      <c r="K214" s="11">
        <f>IF(A214="","",IF(I214=0,"never moved",IF(J214&lt;=30,"0-30",IF(J214&lt;=60,"31-60",IF(J214&lt;=90,"61-90","90+")))))</f>
        <v/>
      </c>
    </row>
    <row r="215">
      <c r="A215" s="11">
        <f>Products!A215</f>
        <v/>
      </c>
      <c r="B215" s="11">
        <f>Products!B215</f>
        <v/>
      </c>
      <c r="C215" s="11">
        <f>Products!C215</f>
        <v/>
      </c>
      <c r="D215" s="11">
        <f>IF(A215="","",SUMIFS(StockMovements!$E$2:$E$500,StockMovements!$B$2:$B$500,A215,StockMovements!$D$2:$D$500,"receipt")+SUMIFS(StockMovements!$E$2:$E$500,StockMovements!$B$2:$B$500,A215,StockMovements!$D$2:$D$500,"production_in")+SUMIFS(StockMovements!$E$2:$E$500,StockMovements!$B$2:$B$500,A215,StockMovements!$D$2:$D$500,"adjustment")-SUMIFS(StockMovements!$E$2:$E$500,StockMovements!$B$2:$B$500,A215,StockMovements!$D$2:$D$500,"issue")-SUMIFS(StockMovements!$E$2:$E$500,StockMovements!$B$2:$B$500,A215,StockMovements!$D$2:$D$500,"production_out")-SUMIFS(StockMovements!$E$2:$E$500,StockMovements!$B$2:$B$500,A215,StockMovements!$D$2:$D$500,"transfer")-SUMIFS(StockMovements!$E$2:$E$500,StockMovements!$B$2:$B$500,A215,StockMovements!$D$2:$D$500,"scrap"))</f>
        <v/>
      </c>
      <c r="E215" s="11">
        <f>IF(A215="","",Products!E215)</f>
        <v/>
      </c>
      <c r="F215" s="11">
        <f>IF(A215="","",D215*E215)</f>
        <v/>
      </c>
      <c r="G215" s="11">
        <f>IF(A215="","",Products!F215)</f>
        <v/>
      </c>
      <c r="H215" s="11">
        <f>IF(A215="","",IF(D215&lt;G215,"REORDER","OK"))</f>
        <v/>
      </c>
      <c r="I215" s="14">
        <f>IF(A215="","",IFERROR(_xlfn.MAXIFS(StockMovements!$A$2:$A$500,StockMovements!$B$2:$B$500,A215),0))</f>
        <v/>
      </c>
      <c r="J215" s="11">
        <f>IF(OR(A215="",I215=0),"",TODAY()-I215)</f>
        <v/>
      </c>
      <c r="K215" s="11">
        <f>IF(A215="","",IF(I215=0,"never moved",IF(J215&lt;=30,"0-30",IF(J215&lt;=60,"31-60",IF(J215&lt;=90,"61-90","90+")))))</f>
        <v/>
      </c>
    </row>
    <row r="216">
      <c r="A216" s="11">
        <f>Products!A216</f>
        <v/>
      </c>
      <c r="B216" s="11">
        <f>Products!B216</f>
        <v/>
      </c>
      <c r="C216" s="11">
        <f>Products!C216</f>
        <v/>
      </c>
      <c r="D216" s="11">
        <f>IF(A216="","",SUMIFS(StockMovements!$E$2:$E$500,StockMovements!$B$2:$B$500,A216,StockMovements!$D$2:$D$500,"receipt")+SUMIFS(StockMovements!$E$2:$E$500,StockMovements!$B$2:$B$500,A216,StockMovements!$D$2:$D$500,"production_in")+SUMIFS(StockMovements!$E$2:$E$500,StockMovements!$B$2:$B$500,A216,StockMovements!$D$2:$D$500,"adjustment")-SUMIFS(StockMovements!$E$2:$E$500,StockMovements!$B$2:$B$500,A216,StockMovements!$D$2:$D$500,"issue")-SUMIFS(StockMovements!$E$2:$E$500,StockMovements!$B$2:$B$500,A216,StockMovements!$D$2:$D$500,"production_out")-SUMIFS(StockMovements!$E$2:$E$500,StockMovements!$B$2:$B$500,A216,StockMovements!$D$2:$D$500,"transfer")-SUMIFS(StockMovements!$E$2:$E$500,StockMovements!$B$2:$B$500,A216,StockMovements!$D$2:$D$500,"scrap"))</f>
        <v/>
      </c>
      <c r="E216" s="11">
        <f>IF(A216="","",Products!E216)</f>
        <v/>
      </c>
      <c r="F216" s="11">
        <f>IF(A216="","",D216*E216)</f>
        <v/>
      </c>
      <c r="G216" s="11">
        <f>IF(A216="","",Products!F216)</f>
        <v/>
      </c>
      <c r="H216" s="11">
        <f>IF(A216="","",IF(D216&lt;G216,"REORDER","OK"))</f>
        <v/>
      </c>
      <c r="I216" s="14">
        <f>IF(A216="","",IFERROR(_xlfn.MAXIFS(StockMovements!$A$2:$A$500,StockMovements!$B$2:$B$500,A216),0))</f>
        <v/>
      </c>
      <c r="J216" s="11">
        <f>IF(OR(A216="",I216=0),"",TODAY()-I216)</f>
        <v/>
      </c>
      <c r="K216" s="11">
        <f>IF(A216="","",IF(I216=0,"never moved",IF(J216&lt;=30,"0-30",IF(J216&lt;=60,"31-60",IF(J216&lt;=90,"61-90","90+")))))</f>
        <v/>
      </c>
    </row>
    <row r="217">
      <c r="A217" s="11">
        <f>Products!A217</f>
        <v/>
      </c>
      <c r="B217" s="11">
        <f>Products!B217</f>
        <v/>
      </c>
      <c r="C217" s="11">
        <f>Products!C217</f>
        <v/>
      </c>
      <c r="D217" s="11">
        <f>IF(A217="","",SUMIFS(StockMovements!$E$2:$E$500,StockMovements!$B$2:$B$500,A217,StockMovements!$D$2:$D$500,"receipt")+SUMIFS(StockMovements!$E$2:$E$500,StockMovements!$B$2:$B$500,A217,StockMovements!$D$2:$D$500,"production_in")+SUMIFS(StockMovements!$E$2:$E$500,StockMovements!$B$2:$B$500,A217,StockMovements!$D$2:$D$500,"adjustment")-SUMIFS(StockMovements!$E$2:$E$500,StockMovements!$B$2:$B$500,A217,StockMovements!$D$2:$D$500,"issue")-SUMIFS(StockMovements!$E$2:$E$500,StockMovements!$B$2:$B$500,A217,StockMovements!$D$2:$D$500,"production_out")-SUMIFS(StockMovements!$E$2:$E$500,StockMovements!$B$2:$B$500,A217,StockMovements!$D$2:$D$500,"transfer")-SUMIFS(StockMovements!$E$2:$E$500,StockMovements!$B$2:$B$500,A217,StockMovements!$D$2:$D$500,"scrap"))</f>
        <v/>
      </c>
      <c r="E217" s="11">
        <f>IF(A217="","",Products!E217)</f>
        <v/>
      </c>
      <c r="F217" s="11">
        <f>IF(A217="","",D217*E217)</f>
        <v/>
      </c>
      <c r="G217" s="11">
        <f>IF(A217="","",Products!F217)</f>
        <v/>
      </c>
      <c r="H217" s="11">
        <f>IF(A217="","",IF(D217&lt;G217,"REORDER","OK"))</f>
        <v/>
      </c>
      <c r="I217" s="14">
        <f>IF(A217="","",IFERROR(_xlfn.MAXIFS(StockMovements!$A$2:$A$500,StockMovements!$B$2:$B$500,A217),0))</f>
        <v/>
      </c>
      <c r="J217" s="11">
        <f>IF(OR(A217="",I217=0),"",TODAY()-I217)</f>
        <v/>
      </c>
      <c r="K217" s="11">
        <f>IF(A217="","",IF(I217=0,"never moved",IF(J217&lt;=30,"0-30",IF(J217&lt;=60,"31-60",IF(J217&lt;=90,"61-90","90+")))))</f>
        <v/>
      </c>
    </row>
    <row r="218">
      <c r="A218" s="11">
        <f>Products!A218</f>
        <v/>
      </c>
      <c r="B218" s="11">
        <f>Products!B218</f>
        <v/>
      </c>
      <c r="C218" s="11">
        <f>Products!C218</f>
        <v/>
      </c>
      <c r="D218" s="11">
        <f>IF(A218="","",SUMIFS(StockMovements!$E$2:$E$500,StockMovements!$B$2:$B$500,A218,StockMovements!$D$2:$D$500,"receipt")+SUMIFS(StockMovements!$E$2:$E$500,StockMovements!$B$2:$B$500,A218,StockMovements!$D$2:$D$500,"production_in")+SUMIFS(StockMovements!$E$2:$E$500,StockMovements!$B$2:$B$500,A218,StockMovements!$D$2:$D$500,"adjustment")-SUMIFS(StockMovements!$E$2:$E$500,StockMovements!$B$2:$B$500,A218,StockMovements!$D$2:$D$500,"issue")-SUMIFS(StockMovements!$E$2:$E$500,StockMovements!$B$2:$B$500,A218,StockMovements!$D$2:$D$500,"production_out")-SUMIFS(StockMovements!$E$2:$E$500,StockMovements!$B$2:$B$500,A218,StockMovements!$D$2:$D$500,"transfer")-SUMIFS(StockMovements!$E$2:$E$500,StockMovements!$B$2:$B$500,A218,StockMovements!$D$2:$D$500,"scrap"))</f>
        <v/>
      </c>
      <c r="E218" s="11">
        <f>IF(A218="","",Products!E218)</f>
        <v/>
      </c>
      <c r="F218" s="11">
        <f>IF(A218="","",D218*E218)</f>
        <v/>
      </c>
      <c r="G218" s="11">
        <f>IF(A218="","",Products!F218)</f>
        <v/>
      </c>
      <c r="H218" s="11">
        <f>IF(A218="","",IF(D218&lt;G218,"REORDER","OK"))</f>
        <v/>
      </c>
      <c r="I218" s="14">
        <f>IF(A218="","",IFERROR(_xlfn.MAXIFS(StockMovements!$A$2:$A$500,StockMovements!$B$2:$B$500,A218),0))</f>
        <v/>
      </c>
      <c r="J218" s="11">
        <f>IF(OR(A218="",I218=0),"",TODAY()-I218)</f>
        <v/>
      </c>
      <c r="K218" s="11">
        <f>IF(A218="","",IF(I218=0,"never moved",IF(J218&lt;=30,"0-30",IF(J218&lt;=60,"31-60",IF(J218&lt;=90,"61-90","90+")))))</f>
        <v/>
      </c>
    </row>
    <row r="219">
      <c r="A219" s="11">
        <f>Products!A219</f>
        <v/>
      </c>
      <c r="B219" s="11">
        <f>Products!B219</f>
        <v/>
      </c>
      <c r="C219" s="11">
        <f>Products!C219</f>
        <v/>
      </c>
      <c r="D219" s="11">
        <f>IF(A219="","",SUMIFS(StockMovements!$E$2:$E$500,StockMovements!$B$2:$B$500,A219,StockMovements!$D$2:$D$500,"receipt")+SUMIFS(StockMovements!$E$2:$E$500,StockMovements!$B$2:$B$500,A219,StockMovements!$D$2:$D$500,"production_in")+SUMIFS(StockMovements!$E$2:$E$500,StockMovements!$B$2:$B$500,A219,StockMovements!$D$2:$D$500,"adjustment")-SUMIFS(StockMovements!$E$2:$E$500,StockMovements!$B$2:$B$500,A219,StockMovements!$D$2:$D$500,"issue")-SUMIFS(StockMovements!$E$2:$E$500,StockMovements!$B$2:$B$500,A219,StockMovements!$D$2:$D$500,"production_out")-SUMIFS(StockMovements!$E$2:$E$500,StockMovements!$B$2:$B$500,A219,StockMovements!$D$2:$D$500,"transfer")-SUMIFS(StockMovements!$E$2:$E$500,StockMovements!$B$2:$B$500,A219,StockMovements!$D$2:$D$500,"scrap"))</f>
        <v/>
      </c>
      <c r="E219" s="11">
        <f>IF(A219="","",Products!E219)</f>
        <v/>
      </c>
      <c r="F219" s="11">
        <f>IF(A219="","",D219*E219)</f>
        <v/>
      </c>
      <c r="G219" s="11">
        <f>IF(A219="","",Products!F219)</f>
        <v/>
      </c>
      <c r="H219" s="11">
        <f>IF(A219="","",IF(D219&lt;G219,"REORDER","OK"))</f>
        <v/>
      </c>
      <c r="I219" s="14">
        <f>IF(A219="","",IFERROR(_xlfn.MAXIFS(StockMovements!$A$2:$A$500,StockMovements!$B$2:$B$500,A219),0))</f>
        <v/>
      </c>
      <c r="J219" s="11">
        <f>IF(OR(A219="",I219=0),"",TODAY()-I219)</f>
        <v/>
      </c>
      <c r="K219" s="11">
        <f>IF(A219="","",IF(I219=0,"never moved",IF(J219&lt;=30,"0-30",IF(J219&lt;=60,"31-60",IF(J219&lt;=90,"61-90","90+")))))</f>
        <v/>
      </c>
    </row>
    <row r="220">
      <c r="A220" s="11">
        <f>Products!A220</f>
        <v/>
      </c>
      <c r="B220" s="11">
        <f>Products!B220</f>
        <v/>
      </c>
      <c r="C220" s="11">
        <f>Products!C220</f>
        <v/>
      </c>
      <c r="D220" s="11">
        <f>IF(A220="","",SUMIFS(StockMovements!$E$2:$E$500,StockMovements!$B$2:$B$500,A220,StockMovements!$D$2:$D$500,"receipt")+SUMIFS(StockMovements!$E$2:$E$500,StockMovements!$B$2:$B$500,A220,StockMovements!$D$2:$D$500,"production_in")+SUMIFS(StockMovements!$E$2:$E$500,StockMovements!$B$2:$B$500,A220,StockMovements!$D$2:$D$500,"adjustment")-SUMIFS(StockMovements!$E$2:$E$500,StockMovements!$B$2:$B$500,A220,StockMovements!$D$2:$D$500,"issue")-SUMIFS(StockMovements!$E$2:$E$500,StockMovements!$B$2:$B$500,A220,StockMovements!$D$2:$D$500,"production_out")-SUMIFS(StockMovements!$E$2:$E$500,StockMovements!$B$2:$B$500,A220,StockMovements!$D$2:$D$500,"transfer")-SUMIFS(StockMovements!$E$2:$E$500,StockMovements!$B$2:$B$500,A220,StockMovements!$D$2:$D$500,"scrap"))</f>
        <v/>
      </c>
      <c r="E220" s="11">
        <f>IF(A220="","",Products!E220)</f>
        <v/>
      </c>
      <c r="F220" s="11">
        <f>IF(A220="","",D220*E220)</f>
        <v/>
      </c>
      <c r="G220" s="11">
        <f>IF(A220="","",Products!F220)</f>
        <v/>
      </c>
      <c r="H220" s="11">
        <f>IF(A220="","",IF(D220&lt;G220,"REORDER","OK"))</f>
        <v/>
      </c>
      <c r="I220" s="14">
        <f>IF(A220="","",IFERROR(_xlfn.MAXIFS(StockMovements!$A$2:$A$500,StockMovements!$B$2:$B$500,A220),0))</f>
        <v/>
      </c>
      <c r="J220" s="11">
        <f>IF(OR(A220="",I220=0),"",TODAY()-I220)</f>
        <v/>
      </c>
      <c r="K220" s="11">
        <f>IF(A220="","",IF(I220=0,"never moved",IF(J220&lt;=30,"0-30",IF(J220&lt;=60,"31-60",IF(J220&lt;=90,"61-90","90+")))))</f>
        <v/>
      </c>
    </row>
    <row r="221">
      <c r="A221" s="11">
        <f>Products!A221</f>
        <v/>
      </c>
      <c r="B221" s="11">
        <f>Products!B221</f>
        <v/>
      </c>
      <c r="C221" s="11">
        <f>Products!C221</f>
        <v/>
      </c>
      <c r="D221" s="11">
        <f>IF(A221="","",SUMIFS(StockMovements!$E$2:$E$500,StockMovements!$B$2:$B$500,A221,StockMovements!$D$2:$D$500,"receipt")+SUMIFS(StockMovements!$E$2:$E$500,StockMovements!$B$2:$B$500,A221,StockMovements!$D$2:$D$500,"production_in")+SUMIFS(StockMovements!$E$2:$E$500,StockMovements!$B$2:$B$500,A221,StockMovements!$D$2:$D$500,"adjustment")-SUMIFS(StockMovements!$E$2:$E$500,StockMovements!$B$2:$B$500,A221,StockMovements!$D$2:$D$500,"issue")-SUMIFS(StockMovements!$E$2:$E$500,StockMovements!$B$2:$B$500,A221,StockMovements!$D$2:$D$500,"production_out")-SUMIFS(StockMovements!$E$2:$E$500,StockMovements!$B$2:$B$500,A221,StockMovements!$D$2:$D$500,"transfer")-SUMIFS(StockMovements!$E$2:$E$500,StockMovements!$B$2:$B$500,A221,StockMovements!$D$2:$D$500,"scrap"))</f>
        <v/>
      </c>
      <c r="E221" s="11">
        <f>IF(A221="","",Products!E221)</f>
        <v/>
      </c>
      <c r="F221" s="11">
        <f>IF(A221="","",D221*E221)</f>
        <v/>
      </c>
      <c r="G221" s="11">
        <f>IF(A221="","",Products!F221)</f>
        <v/>
      </c>
      <c r="H221" s="11">
        <f>IF(A221="","",IF(D221&lt;G221,"REORDER","OK"))</f>
        <v/>
      </c>
      <c r="I221" s="14">
        <f>IF(A221="","",IFERROR(_xlfn.MAXIFS(StockMovements!$A$2:$A$500,StockMovements!$B$2:$B$500,A221),0))</f>
        <v/>
      </c>
      <c r="J221" s="11">
        <f>IF(OR(A221="",I221=0),"",TODAY()-I221)</f>
        <v/>
      </c>
      <c r="K221" s="11">
        <f>IF(A221="","",IF(I221=0,"never moved",IF(J221&lt;=30,"0-30",IF(J221&lt;=60,"31-60",IF(J221&lt;=90,"61-90","90+")))))</f>
        <v/>
      </c>
    </row>
    <row r="222">
      <c r="A222" s="11">
        <f>Products!A222</f>
        <v/>
      </c>
      <c r="B222" s="11">
        <f>Products!B222</f>
        <v/>
      </c>
      <c r="C222" s="11">
        <f>Products!C222</f>
        <v/>
      </c>
      <c r="D222" s="11">
        <f>IF(A222="","",SUMIFS(StockMovements!$E$2:$E$500,StockMovements!$B$2:$B$500,A222,StockMovements!$D$2:$D$500,"receipt")+SUMIFS(StockMovements!$E$2:$E$500,StockMovements!$B$2:$B$500,A222,StockMovements!$D$2:$D$500,"production_in")+SUMIFS(StockMovements!$E$2:$E$500,StockMovements!$B$2:$B$500,A222,StockMovements!$D$2:$D$500,"adjustment")-SUMIFS(StockMovements!$E$2:$E$500,StockMovements!$B$2:$B$500,A222,StockMovements!$D$2:$D$500,"issue")-SUMIFS(StockMovements!$E$2:$E$500,StockMovements!$B$2:$B$500,A222,StockMovements!$D$2:$D$500,"production_out")-SUMIFS(StockMovements!$E$2:$E$500,StockMovements!$B$2:$B$500,A222,StockMovements!$D$2:$D$500,"transfer")-SUMIFS(StockMovements!$E$2:$E$500,StockMovements!$B$2:$B$500,A222,StockMovements!$D$2:$D$500,"scrap"))</f>
        <v/>
      </c>
      <c r="E222" s="11">
        <f>IF(A222="","",Products!E222)</f>
        <v/>
      </c>
      <c r="F222" s="11">
        <f>IF(A222="","",D222*E222)</f>
        <v/>
      </c>
      <c r="G222" s="11">
        <f>IF(A222="","",Products!F222)</f>
        <v/>
      </c>
      <c r="H222" s="11">
        <f>IF(A222="","",IF(D222&lt;G222,"REORDER","OK"))</f>
        <v/>
      </c>
      <c r="I222" s="14">
        <f>IF(A222="","",IFERROR(_xlfn.MAXIFS(StockMovements!$A$2:$A$500,StockMovements!$B$2:$B$500,A222),0))</f>
        <v/>
      </c>
      <c r="J222" s="11">
        <f>IF(OR(A222="",I222=0),"",TODAY()-I222)</f>
        <v/>
      </c>
      <c r="K222" s="11">
        <f>IF(A222="","",IF(I222=0,"never moved",IF(J222&lt;=30,"0-30",IF(J222&lt;=60,"31-60",IF(J222&lt;=90,"61-90","90+")))))</f>
        <v/>
      </c>
    </row>
    <row r="223">
      <c r="A223" s="11">
        <f>Products!A223</f>
        <v/>
      </c>
      <c r="B223" s="11">
        <f>Products!B223</f>
        <v/>
      </c>
      <c r="C223" s="11">
        <f>Products!C223</f>
        <v/>
      </c>
      <c r="D223" s="11">
        <f>IF(A223="","",SUMIFS(StockMovements!$E$2:$E$500,StockMovements!$B$2:$B$500,A223,StockMovements!$D$2:$D$500,"receipt")+SUMIFS(StockMovements!$E$2:$E$500,StockMovements!$B$2:$B$500,A223,StockMovements!$D$2:$D$500,"production_in")+SUMIFS(StockMovements!$E$2:$E$500,StockMovements!$B$2:$B$500,A223,StockMovements!$D$2:$D$500,"adjustment")-SUMIFS(StockMovements!$E$2:$E$500,StockMovements!$B$2:$B$500,A223,StockMovements!$D$2:$D$500,"issue")-SUMIFS(StockMovements!$E$2:$E$500,StockMovements!$B$2:$B$500,A223,StockMovements!$D$2:$D$500,"production_out")-SUMIFS(StockMovements!$E$2:$E$500,StockMovements!$B$2:$B$500,A223,StockMovements!$D$2:$D$500,"transfer")-SUMIFS(StockMovements!$E$2:$E$500,StockMovements!$B$2:$B$500,A223,StockMovements!$D$2:$D$500,"scrap"))</f>
        <v/>
      </c>
      <c r="E223" s="11">
        <f>IF(A223="","",Products!E223)</f>
        <v/>
      </c>
      <c r="F223" s="11">
        <f>IF(A223="","",D223*E223)</f>
        <v/>
      </c>
      <c r="G223" s="11">
        <f>IF(A223="","",Products!F223)</f>
        <v/>
      </c>
      <c r="H223" s="11">
        <f>IF(A223="","",IF(D223&lt;G223,"REORDER","OK"))</f>
        <v/>
      </c>
      <c r="I223" s="14">
        <f>IF(A223="","",IFERROR(_xlfn.MAXIFS(StockMovements!$A$2:$A$500,StockMovements!$B$2:$B$500,A223),0))</f>
        <v/>
      </c>
      <c r="J223" s="11">
        <f>IF(OR(A223="",I223=0),"",TODAY()-I223)</f>
        <v/>
      </c>
      <c r="K223" s="11">
        <f>IF(A223="","",IF(I223=0,"never moved",IF(J223&lt;=30,"0-30",IF(J223&lt;=60,"31-60",IF(J223&lt;=90,"61-90","90+")))))</f>
        <v/>
      </c>
    </row>
    <row r="224">
      <c r="A224" s="11">
        <f>Products!A224</f>
        <v/>
      </c>
      <c r="B224" s="11">
        <f>Products!B224</f>
        <v/>
      </c>
      <c r="C224" s="11">
        <f>Products!C224</f>
        <v/>
      </c>
      <c r="D224" s="11">
        <f>IF(A224="","",SUMIFS(StockMovements!$E$2:$E$500,StockMovements!$B$2:$B$500,A224,StockMovements!$D$2:$D$500,"receipt")+SUMIFS(StockMovements!$E$2:$E$500,StockMovements!$B$2:$B$500,A224,StockMovements!$D$2:$D$500,"production_in")+SUMIFS(StockMovements!$E$2:$E$500,StockMovements!$B$2:$B$500,A224,StockMovements!$D$2:$D$500,"adjustment")-SUMIFS(StockMovements!$E$2:$E$500,StockMovements!$B$2:$B$500,A224,StockMovements!$D$2:$D$500,"issue")-SUMIFS(StockMovements!$E$2:$E$500,StockMovements!$B$2:$B$500,A224,StockMovements!$D$2:$D$500,"production_out")-SUMIFS(StockMovements!$E$2:$E$500,StockMovements!$B$2:$B$500,A224,StockMovements!$D$2:$D$500,"transfer")-SUMIFS(StockMovements!$E$2:$E$500,StockMovements!$B$2:$B$500,A224,StockMovements!$D$2:$D$500,"scrap"))</f>
        <v/>
      </c>
      <c r="E224" s="11">
        <f>IF(A224="","",Products!E224)</f>
        <v/>
      </c>
      <c r="F224" s="11">
        <f>IF(A224="","",D224*E224)</f>
        <v/>
      </c>
      <c r="G224" s="11">
        <f>IF(A224="","",Products!F224)</f>
        <v/>
      </c>
      <c r="H224" s="11">
        <f>IF(A224="","",IF(D224&lt;G224,"REORDER","OK"))</f>
        <v/>
      </c>
      <c r="I224" s="14">
        <f>IF(A224="","",IFERROR(_xlfn.MAXIFS(StockMovements!$A$2:$A$500,StockMovements!$B$2:$B$500,A224),0))</f>
        <v/>
      </c>
      <c r="J224" s="11">
        <f>IF(OR(A224="",I224=0),"",TODAY()-I224)</f>
        <v/>
      </c>
      <c r="K224" s="11">
        <f>IF(A224="","",IF(I224=0,"never moved",IF(J224&lt;=30,"0-30",IF(J224&lt;=60,"31-60",IF(J224&lt;=90,"61-90","90+")))))</f>
        <v/>
      </c>
    </row>
    <row r="225">
      <c r="A225" s="11">
        <f>Products!A225</f>
        <v/>
      </c>
      <c r="B225" s="11">
        <f>Products!B225</f>
        <v/>
      </c>
      <c r="C225" s="11">
        <f>Products!C225</f>
        <v/>
      </c>
      <c r="D225" s="11">
        <f>IF(A225="","",SUMIFS(StockMovements!$E$2:$E$500,StockMovements!$B$2:$B$500,A225,StockMovements!$D$2:$D$500,"receipt")+SUMIFS(StockMovements!$E$2:$E$500,StockMovements!$B$2:$B$500,A225,StockMovements!$D$2:$D$500,"production_in")+SUMIFS(StockMovements!$E$2:$E$500,StockMovements!$B$2:$B$500,A225,StockMovements!$D$2:$D$500,"adjustment")-SUMIFS(StockMovements!$E$2:$E$500,StockMovements!$B$2:$B$500,A225,StockMovements!$D$2:$D$500,"issue")-SUMIFS(StockMovements!$E$2:$E$500,StockMovements!$B$2:$B$500,A225,StockMovements!$D$2:$D$500,"production_out")-SUMIFS(StockMovements!$E$2:$E$500,StockMovements!$B$2:$B$500,A225,StockMovements!$D$2:$D$500,"transfer")-SUMIFS(StockMovements!$E$2:$E$500,StockMovements!$B$2:$B$500,A225,StockMovements!$D$2:$D$500,"scrap"))</f>
        <v/>
      </c>
      <c r="E225" s="11">
        <f>IF(A225="","",Products!E225)</f>
        <v/>
      </c>
      <c r="F225" s="11">
        <f>IF(A225="","",D225*E225)</f>
        <v/>
      </c>
      <c r="G225" s="11">
        <f>IF(A225="","",Products!F225)</f>
        <v/>
      </c>
      <c r="H225" s="11">
        <f>IF(A225="","",IF(D225&lt;G225,"REORDER","OK"))</f>
        <v/>
      </c>
      <c r="I225" s="14">
        <f>IF(A225="","",IFERROR(_xlfn.MAXIFS(StockMovements!$A$2:$A$500,StockMovements!$B$2:$B$500,A225),0))</f>
        <v/>
      </c>
      <c r="J225" s="11">
        <f>IF(OR(A225="",I225=0),"",TODAY()-I225)</f>
        <v/>
      </c>
      <c r="K225" s="11">
        <f>IF(A225="","",IF(I225=0,"never moved",IF(J225&lt;=30,"0-30",IF(J225&lt;=60,"31-60",IF(J225&lt;=90,"61-90","90+")))))</f>
        <v/>
      </c>
    </row>
    <row r="226">
      <c r="A226" s="11">
        <f>Products!A226</f>
        <v/>
      </c>
      <c r="B226" s="11">
        <f>Products!B226</f>
        <v/>
      </c>
      <c r="C226" s="11">
        <f>Products!C226</f>
        <v/>
      </c>
      <c r="D226" s="11">
        <f>IF(A226="","",SUMIFS(StockMovements!$E$2:$E$500,StockMovements!$B$2:$B$500,A226,StockMovements!$D$2:$D$500,"receipt")+SUMIFS(StockMovements!$E$2:$E$500,StockMovements!$B$2:$B$500,A226,StockMovements!$D$2:$D$500,"production_in")+SUMIFS(StockMovements!$E$2:$E$500,StockMovements!$B$2:$B$500,A226,StockMovements!$D$2:$D$500,"adjustment")-SUMIFS(StockMovements!$E$2:$E$500,StockMovements!$B$2:$B$500,A226,StockMovements!$D$2:$D$500,"issue")-SUMIFS(StockMovements!$E$2:$E$500,StockMovements!$B$2:$B$500,A226,StockMovements!$D$2:$D$500,"production_out")-SUMIFS(StockMovements!$E$2:$E$500,StockMovements!$B$2:$B$500,A226,StockMovements!$D$2:$D$500,"transfer")-SUMIFS(StockMovements!$E$2:$E$500,StockMovements!$B$2:$B$500,A226,StockMovements!$D$2:$D$500,"scrap"))</f>
        <v/>
      </c>
      <c r="E226" s="11">
        <f>IF(A226="","",Products!E226)</f>
        <v/>
      </c>
      <c r="F226" s="11">
        <f>IF(A226="","",D226*E226)</f>
        <v/>
      </c>
      <c r="G226" s="11">
        <f>IF(A226="","",Products!F226)</f>
        <v/>
      </c>
      <c r="H226" s="11">
        <f>IF(A226="","",IF(D226&lt;G226,"REORDER","OK"))</f>
        <v/>
      </c>
      <c r="I226" s="14">
        <f>IF(A226="","",IFERROR(_xlfn.MAXIFS(StockMovements!$A$2:$A$500,StockMovements!$B$2:$B$500,A226),0))</f>
        <v/>
      </c>
      <c r="J226" s="11">
        <f>IF(OR(A226="",I226=0),"",TODAY()-I226)</f>
        <v/>
      </c>
      <c r="K226" s="11">
        <f>IF(A226="","",IF(I226=0,"never moved",IF(J226&lt;=30,"0-30",IF(J226&lt;=60,"31-60",IF(J226&lt;=90,"61-90","90+")))))</f>
        <v/>
      </c>
    </row>
    <row r="227">
      <c r="A227" s="11">
        <f>Products!A227</f>
        <v/>
      </c>
      <c r="B227" s="11">
        <f>Products!B227</f>
        <v/>
      </c>
      <c r="C227" s="11">
        <f>Products!C227</f>
        <v/>
      </c>
      <c r="D227" s="11">
        <f>IF(A227="","",SUMIFS(StockMovements!$E$2:$E$500,StockMovements!$B$2:$B$500,A227,StockMovements!$D$2:$D$500,"receipt")+SUMIFS(StockMovements!$E$2:$E$500,StockMovements!$B$2:$B$500,A227,StockMovements!$D$2:$D$500,"production_in")+SUMIFS(StockMovements!$E$2:$E$500,StockMovements!$B$2:$B$500,A227,StockMovements!$D$2:$D$500,"adjustment")-SUMIFS(StockMovements!$E$2:$E$500,StockMovements!$B$2:$B$500,A227,StockMovements!$D$2:$D$500,"issue")-SUMIFS(StockMovements!$E$2:$E$500,StockMovements!$B$2:$B$500,A227,StockMovements!$D$2:$D$500,"production_out")-SUMIFS(StockMovements!$E$2:$E$500,StockMovements!$B$2:$B$500,A227,StockMovements!$D$2:$D$500,"transfer")-SUMIFS(StockMovements!$E$2:$E$500,StockMovements!$B$2:$B$500,A227,StockMovements!$D$2:$D$500,"scrap"))</f>
        <v/>
      </c>
      <c r="E227" s="11">
        <f>IF(A227="","",Products!E227)</f>
        <v/>
      </c>
      <c r="F227" s="11">
        <f>IF(A227="","",D227*E227)</f>
        <v/>
      </c>
      <c r="G227" s="11">
        <f>IF(A227="","",Products!F227)</f>
        <v/>
      </c>
      <c r="H227" s="11">
        <f>IF(A227="","",IF(D227&lt;G227,"REORDER","OK"))</f>
        <v/>
      </c>
      <c r="I227" s="14">
        <f>IF(A227="","",IFERROR(_xlfn.MAXIFS(StockMovements!$A$2:$A$500,StockMovements!$B$2:$B$500,A227),0))</f>
        <v/>
      </c>
      <c r="J227" s="11">
        <f>IF(OR(A227="",I227=0),"",TODAY()-I227)</f>
        <v/>
      </c>
      <c r="K227" s="11">
        <f>IF(A227="","",IF(I227=0,"never moved",IF(J227&lt;=30,"0-30",IF(J227&lt;=60,"31-60",IF(J227&lt;=90,"61-90","90+")))))</f>
        <v/>
      </c>
    </row>
    <row r="228">
      <c r="A228" s="11">
        <f>Products!A228</f>
        <v/>
      </c>
      <c r="B228" s="11">
        <f>Products!B228</f>
        <v/>
      </c>
      <c r="C228" s="11">
        <f>Products!C228</f>
        <v/>
      </c>
      <c r="D228" s="11">
        <f>IF(A228="","",SUMIFS(StockMovements!$E$2:$E$500,StockMovements!$B$2:$B$500,A228,StockMovements!$D$2:$D$500,"receipt")+SUMIFS(StockMovements!$E$2:$E$500,StockMovements!$B$2:$B$500,A228,StockMovements!$D$2:$D$500,"production_in")+SUMIFS(StockMovements!$E$2:$E$500,StockMovements!$B$2:$B$500,A228,StockMovements!$D$2:$D$500,"adjustment")-SUMIFS(StockMovements!$E$2:$E$500,StockMovements!$B$2:$B$500,A228,StockMovements!$D$2:$D$500,"issue")-SUMIFS(StockMovements!$E$2:$E$500,StockMovements!$B$2:$B$500,A228,StockMovements!$D$2:$D$500,"production_out")-SUMIFS(StockMovements!$E$2:$E$500,StockMovements!$B$2:$B$500,A228,StockMovements!$D$2:$D$500,"transfer")-SUMIFS(StockMovements!$E$2:$E$500,StockMovements!$B$2:$B$500,A228,StockMovements!$D$2:$D$500,"scrap"))</f>
        <v/>
      </c>
      <c r="E228" s="11">
        <f>IF(A228="","",Products!E228)</f>
        <v/>
      </c>
      <c r="F228" s="11">
        <f>IF(A228="","",D228*E228)</f>
        <v/>
      </c>
      <c r="G228" s="11">
        <f>IF(A228="","",Products!F228)</f>
        <v/>
      </c>
      <c r="H228" s="11">
        <f>IF(A228="","",IF(D228&lt;G228,"REORDER","OK"))</f>
        <v/>
      </c>
      <c r="I228" s="14">
        <f>IF(A228="","",IFERROR(_xlfn.MAXIFS(StockMovements!$A$2:$A$500,StockMovements!$B$2:$B$500,A228),0))</f>
        <v/>
      </c>
      <c r="J228" s="11">
        <f>IF(OR(A228="",I228=0),"",TODAY()-I228)</f>
        <v/>
      </c>
      <c r="K228" s="11">
        <f>IF(A228="","",IF(I228=0,"never moved",IF(J228&lt;=30,"0-30",IF(J228&lt;=60,"31-60",IF(J228&lt;=90,"61-90","90+")))))</f>
        <v/>
      </c>
    </row>
    <row r="229">
      <c r="A229" s="11">
        <f>Products!A229</f>
        <v/>
      </c>
      <c r="B229" s="11">
        <f>Products!B229</f>
        <v/>
      </c>
      <c r="C229" s="11">
        <f>Products!C229</f>
        <v/>
      </c>
      <c r="D229" s="11">
        <f>IF(A229="","",SUMIFS(StockMovements!$E$2:$E$500,StockMovements!$B$2:$B$500,A229,StockMovements!$D$2:$D$500,"receipt")+SUMIFS(StockMovements!$E$2:$E$500,StockMovements!$B$2:$B$500,A229,StockMovements!$D$2:$D$500,"production_in")+SUMIFS(StockMovements!$E$2:$E$500,StockMovements!$B$2:$B$500,A229,StockMovements!$D$2:$D$500,"adjustment")-SUMIFS(StockMovements!$E$2:$E$500,StockMovements!$B$2:$B$500,A229,StockMovements!$D$2:$D$500,"issue")-SUMIFS(StockMovements!$E$2:$E$500,StockMovements!$B$2:$B$500,A229,StockMovements!$D$2:$D$500,"production_out")-SUMIFS(StockMovements!$E$2:$E$500,StockMovements!$B$2:$B$500,A229,StockMovements!$D$2:$D$500,"transfer")-SUMIFS(StockMovements!$E$2:$E$500,StockMovements!$B$2:$B$500,A229,StockMovements!$D$2:$D$500,"scrap"))</f>
        <v/>
      </c>
      <c r="E229" s="11">
        <f>IF(A229="","",Products!E229)</f>
        <v/>
      </c>
      <c r="F229" s="11">
        <f>IF(A229="","",D229*E229)</f>
        <v/>
      </c>
      <c r="G229" s="11">
        <f>IF(A229="","",Products!F229)</f>
        <v/>
      </c>
      <c r="H229" s="11">
        <f>IF(A229="","",IF(D229&lt;G229,"REORDER","OK"))</f>
        <v/>
      </c>
      <c r="I229" s="14">
        <f>IF(A229="","",IFERROR(_xlfn.MAXIFS(StockMovements!$A$2:$A$500,StockMovements!$B$2:$B$500,A229),0))</f>
        <v/>
      </c>
      <c r="J229" s="11">
        <f>IF(OR(A229="",I229=0),"",TODAY()-I229)</f>
        <v/>
      </c>
      <c r="K229" s="11">
        <f>IF(A229="","",IF(I229=0,"never moved",IF(J229&lt;=30,"0-30",IF(J229&lt;=60,"31-60",IF(J229&lt;=90,"61-90","90+")))))</f>
        <v/>
      </c>
    </row>
    <row r="230">
      <c r="A230" s="11">
        <f>Products!A230</f>
        <v/>
      </c>
      <c r="B230" s="11">
        <f>Products!B230</f>
        <v/>
      </c>
      <c r="C230" s="11">
        <f>Products!C230</f>
        <v/>
      </c>
      <c r="D230" s="11">
        <f>IF(A230="","",SUMIFS(StockMovements!$E$2:$E$500,StockMovements!$B$2:$B$500,A230,StockMovements!$D$2:$D$500,"receipt")+SUMIFS(StockMovements!$E$2:$E$500,StockMovements!$B$2:$B$500,A230,StockMovements!$D$2:$D$500,"production_in")+SUMIFS(StockMovements!$E$2:$E$500,StockMovements!$B$2:$B$500,A230,StockMovements!$D$2:$D$500,"adjustment")-SUMIFS(StockMovements!$E$2:$E$500,StockMovements!$B$2:$B$500,A230,StockMovements!$D$2:$D$500,"issue")-SUMIFS(StockMovements!$E$2:$E$500,StockMovements!$B$2:$B$500,A230,StockMovements!$D$2:$D$500,"production_out")-SUMIFS(StockMovements!$E$2:$E$500,StockMovements!$B$2:$B$500,A230,StockMovements!$D$2:$D$500,"transfer")-SUMIFS(StockMovements!$E$2:$E$500,StockMovements!$B$2:$B$500,A230,StockMovements!$D$2:$D$500,"scrap"))</f>
        <v/>
      </c>
      <c r="E230" s="11">
        <f>IF(A230="","",Products!E230)</f>
        <v/>
      </c>
      <c r="F230" s="11">
        <f>IF(A230="","",D230*E230)</f>
        <v/>
      </c>
      <c r="G230" s="11">
        <f>IF(A230="","",Products!F230)</f>
        <v/>
      </c>
      <c r="H230" s="11">
        <f>IF(A230="","",IF(D230&lt;G230,"REORDER","OK"))</f>
        <v/>
      </c>
      <c r="I230" s="14">
        <f>IF(A230="","",IFERROR(_xlfn.MAXIFS(StockMovements!$A$2:$A$500,StockMovements!$B$2:$B$500,A230),0))</f>
        <v/>
      </c>
      <c r="J230" s="11">
        <f>IF(OR(A230="",I230=0),"",TODAY()-I230)</f>
        <v/>
      </c>
      <c r="K230" s="11">
        <f>IF(A230="","",IF(I230=0,"never moved",IF(J230&lt;=30,"0-30",IF(J230&lt;=60,"31-60",IF(J230&lt;=90,"61-90","90+")))))</f>
        <v/>
      </c>
    </row>
    <row r="231">
      <c r="A231" s="11">
        <f>Products!A231</f>
        <v/>
      </c>
      <c r="B231" s="11">
        <f>Products!B231</f>
        <v/>
      </c>
      <c r="C231" s="11">
        <f>Products!C231</f>
        <v/>
      </c>
      <c r="D231" s="11">
        <f>IF(A231="","",SUMIFS(StockMovements!$E$2:$E$500,StockMovements!$B$2:$B$500,A231,StockMovements!$D$2:$D$500,"receipt")+SUMIFS(StockMovements!$E$2:$E$500,StockMovements!$B$2:$B$500,A231,StockMovements!$D$2:$D$500,"production_in")+SUMIFS(StockMovements!$E$2:$E$500,StockMovements!$B$2:$B$500,A231,StockMovements!$D$2:$D$500,"adjustment")-SUMIFS(StockMovements!$E$2:$E$500,StockMovements!$B$2:$B$500,A231,StockMovements!$D$2:$D$500,"issue")-SUMIFS(StockMovements!$E$2:$E$500,StockMovements!$B$2:$B$500,A231,StockMovements!$D$2:$D$500,"production_out")-SUMIFS(StockMovements!$E$2:$E$500,StockMovements!$B$2:$B$500,A231,StockMovements!$D$2:$D$500,"transfer")-SUMIFS(StockMovements!$E$2:$E$500,StockMovements!$B$2:$B$500,A231,StockMovements!$D$2:$D$500,"scrap"))</f>
        <v/>
      </c>
      <c r="E231" s="11">
        <f>IF(A231="","",Products!E231)</f>
        <v/>
      </c>
      <c r="F231" s="11">
        <f>IF(A231="","",D231*E231)</f>
        <v/>
      </c>
      <c r="G231" s="11">
        <f>IF(A231="","",Products!F231)</f>
        <v/>
      </c>
      <c r="H231" s="11">
        <f>IF(A231="","",IF(D231&lt;G231,"REORDER","OK"))</f>
        <v/>
      </c>
      <c r="I231" s="14">
        <f>IF(A231="","",IFERROR(_xlfn.MAXIFS(StockMovements!$A$2:$A$500,StockMovements!$B$2:$B$500,A231),0))</f>
        <v/>
      </c>
      <c r="J231" s="11">
        <f>IF(OR(A231="",I231=0),"",TODAY()-I231)</f>
        <v/>
      </c>
      <c r="K231" s="11">
        <f>IF(A231="","",IF(I231=0,"never moved",IF(J231&lt;=30,"0-30",IF(J231&lt;=60,"31-60",IF(J231&lt;=90,"61-90","90+")))))</f>
        <v/>
      </c>
    </row>
    <row r="232">
      <c r="A232" s="11">
        <f>Products!A232</f>
        <v/>
      </c>
      <c r="B232" s="11">
        <f>Products!B232</f>
        <v/>
      </c>
      <c r="C232" s="11">
        <f>Products!C232</f>
        <v/>
      </c>
      <c r="D232" s="11">
        <f>IF(A232="","",SUMIFS(StockMovements!$E$2:$E$500,StockMovements!$B$2:$B$500,A232,StockMovements!$D$2:$D$500,"receipt")+SUMIFS(StockMovements!$E$2:$E$500,StockMovements!$B$2:$B$500,A232,StockMovements!$D$2:$D$500,"production_in")+SUMIFS(StockMovements!$E$2:$E$500,StockMovements!$B$2:$B$500,A232,StockMovements!$D$2:$D$500,"adjustment")-SUMIFS(StockMovements!$E$2:$E$500,StockMovements!$B$2:$B$500,A232,StockMovements!$D$2:$D$500,"issue")-SUMIFS(StockMovements!$E$2:$E$500,StockMovements!$B$2:$B$500,A232,StockMovements!$D$2:$D$500,"production_out")-SUMIFS(StockMovements!$E$2:$E$500,StockMovements!$B$2:$B$500,A232,StockMovements!$D$2:$D$500,"transfer")-SUMIFS(StockMovements!$E$2:$E$500,StockMovements!$B$2:$B$500,A232,StockMovements!$D$2:$D$500,"scrap"))</f>
        <v/>
      </c>
      <c r="E232" s="11">
        <f>IF(A232="","",Products!E232)</f>
        <v/>
      </c>
      <c r="F232" s="11">
        <f>IF(A232="","",D232*E232)</f>
        <v/>
      </c>
      <c r="G232" s="11">
        <f>IF(A232="","",Products!F232)</f>
        <v/>
      </c>
      <c r="H232" s="11">
        <f>IF(A232="","",IF(D232&lt;G232,"REORDER","OK"))</f>
        <v/>
      </c>
      <c r="I232" s="14">
        <f>IF(A232="","",IFERROR(_xlfn.MAXIFS(StockMovements!$A$2:$A$500,StockMovements!$B$2:$B$500,A232),0))</f>
        <v/>
      </c>
      <c r="J232" s="11">
        <f>IF(OR(A232="",I232=0),"",TODAY()-I232)</f>
        <v/>
      </c>
      <c r="K232" s="11">
        <f>IF(A232="","",IF(I232=0,"never moved",IF(J232&lt;=30,"0-30",IF(J232&lt;=60,"31-60",IF(J232&lt;=90,"61-90","90+")))))</f>
        <v/>
      </c>
    </row>
    <row r="233">
      <c r="A233" s="11">
        <f>Products!A233</f>
        <v/>
      </c>
      <c r="B233" s="11">
        <f>Products!B233</f>
        <v/>
      </c>
      <c r="C233" s="11">
        <f>Products!C233</f>
        <v/>
      </c>
      <c r="D233" s="11">
        <f>IF(A233="","",SUMIFS(StockMovements!$E$2:$E$500,StockMovements!$B$2:$B$500,A233,StockMovements!$D$2:$D$500,"receipt")+SUMIFS(StockMovements!$E$2:$E$500,StockMovements!$B$2:$B$500,A233,StockMovements!$D$2:$D$500,"production_in")+SUMIFS(StockMovements!$E$2:$E$500,StockMovements!$B$2:$B$500,A233,StockMovements!$D$2:$D$500,"adjustment")-SUMIFS(StockMovements!$E$2:$E$500,StockMovements!$B$2:$B$500,A233,StockMovements!$D$2:$D$500,"issue")-SUMIFS(StockMovements!$E$2:$E$500,StockMovements!$B$2:$B$500,A233,StockMovements!$D$2:$D$500,"production_out")-SUMIFS(StockMovements!$E$2:$E$500,StockMovements!$B$2:$B$500,A233,StockMovements!$D$2:$D$500,"transfer")-SUMIFS(StockMovements!$E$2:$E$500,StockMovements!$B$2:$B$500,A233,StockMovements!$D$2:$D$500,"scrap"))</f>
        <v/>
      </c>
      <c r="E233" s="11">
        <f>IF(A233="","",Products!E233)</f>
        <v/>
      </c>
      <c r="F233" s="11">
        <f>IF(A233="","",D233*E233)</f>
        <v/>
      </c>
      <c r="G233" s="11">
        <f>IF(A233="","",Products!F233)</f>
        <v/>
      </c>
      <c r="H233" s="11">
        <f>IF(A233="","",IF(D233&lt;G233,"REORDER","OK"))</f>
        <v/>
      </c>
      <c r="I233" s="14">
        <f>IF(A233="","",IFERROR(_xlfn.MAXIFS(StockMovements!$A$2:$A$500,StockMovements!$B$2:$B$500,A233),0))</f>
        <v/>
      </c>
      <c r="J233" s="11">
        <f>IF(OR(A233="",I233=0),"",TODAY()-I233)</f>
        <v/>
      </c>
      <c r="K233" s="11">
        <f>IF(A233="","",IF(I233=0,"never moved",IF(J233&lt;=30,"0-30",IF(J233&lt;=60,"31-60",IF(J233&lt;=90,"61-90","90+")))))</f>
        <v/>
      </c>
    </row>
    <row r="234">
      <c r="A234" s="11">
        <f>Products!A234</f>
        <v/>
      </c>
      <c r="B234" s="11">
        <f>Products!B234</f>
        <v/>
      </c>
      <c r="C234" s="11">
        <f>Products!C234</f>
        <v/>
      </c>
      <c r="D234" s="11">
        <f>IF(A234="","",SUMIFS(StockMovements!$E$2:$E$500,StockMovements!$B$2:$B$500,A234,StockMovements!$D$2:$D$500,"receipt")+SUMIFS(StockMovements!$E$2:$E$500,StockMovements!$B$2:$B$500,A234,StockMovements!$D$2:$D$500,"production_in")+SUMIFS(StockMovements!$E$2:$E$500,StockMovements!$B$2:$B$500,A234,StockMovements!$D$2:$D$500,"adjustment")-SUMIFS(StockMovements!$E$2:$E$500,StockMovements!$B$2:$B$500,A234,StockMovements!$D$2:$D$500,"issue")-SUMIFS(StockMovements!$E$2:$E$500,StockMovements!$B$2:$B$500,A234,StockMovements!$D$2:$D$500,"production_out")-SUMIFS(StockMovements!$E$2:$E$500,StockMovements!$B$2:$B$500,A234,StockMovements!$D$2:$D$500,"transfer")-SUMIFS(StockMovements!$E$2:$E$500,StockMovements!$B$2:$B$500,A234,StockMovements!$D$2:$D$500,"scrap"))</f>
        <v/>
      </c>
      <c r="E234" s="11">
        <f>IF(A234="","",Products!E234)</f>
        <v/>
      </c>
      <c r="F234" s="11">
        <f>IF(A234="","",D234*E234)</f>
        <v/>
      </c>
      <c r="G234" s="11">
        <f>IF(A234="","",Products!F234)</f>
        <v/>
      </c>
      <c r="H234" s="11">
        <f>IF(A234="","",IF(D234&lt;G234,"REORDER","OK"))</f>
        <v/>
      </c>
      <c r="I234" s="14">
        <f>IF(A234="","",IFERROR(_xlfn.MAXIFS(StockMovements!$A$2:$A$500,StockMovements!$B$2:$B$500,A234),0))</f>
        <v/>
      </c>
      <c r="J234" s="11">
        <f>IF(OR(A234="",I234=0),"",TODAY()-I234)</f>
        <v/>
      </c>
      <c r="K234" s="11">
        <f>IF(A234="","",IF(I234=0,"never moved",IF(J234&lt;=30,"0-30",IF(J234&lt;=60,"31-60",IF(J234&lt;=90,"61-90","90+")))))</f>
        <v/>
      </c>
    </row>
    <row r="235">
      <c r="A235" s="11">
        <f>Products!A235</f>
        <v/>
      </c>
      <c r="B235" s="11">
        <f>Products!B235</f>
        <v/>
      </c>
      <c r="C235" s="11">
        <f>Products!C235</f>
        <v/>
      </c>
      <c r="D235" s="11">
        <f>IF(A235="","",SUMIFS(StockMovements!$E$2:$E$500,StockMovements!$B$2:$B$500,A235,StockMovements!$D$2:$D$500,"receipt")+SUMIFS(StockMovements!$E$2:$E$500,StockMovements!$B$2:$B$500,A235,StockMovements!$D$2:$D$500,"production_in")+SUMIFS(StockMovements!$E$2:$E$500,StockMovements!$B$2:$B$500,A235,StockMovements!$D$2:$D$500,"adjustment")-SUMIFS(StockMovements!$E$2:$E$500,StockMovements!$B$2:$B$500,A235,StockMovements!$D$2:$D$500,"issue")-SUMIFS(StockMovements!$E$2:$E$500,StockMovements!$B$2:$B$500,A235,StockMovements!$D$2:$D$500,"production_out")-SUMIFS(StockMovements!$E$2:$E$500,StockMovements!$B$2:$B$500,A235,StockMovements!$D$2:$D$500,"transfer")-SUMIFS(StockMovements!$E$2:$E$500,StockMovements!$B$2:$B$500,A235,StockMovements!$D$2:$D$500,"scrap"))</f>
        <v/>
      </c>
      <c r="E235" s="11">
        <f>IF(A235="","",Products!E235)</f>
        <v/>
      </c>
      <c r="F235" s="11">
        <f>IF(A235="","",D235*E235)</f>
        <v/>
      </c>
      <c r="G235" s="11">
        <f>IF(A235="","",Products!F235)</f>
        <v/>
      </c>
      <c r="H235" s="11">
        <f>IF(A235="","",IF(D235&lt;G235,"REORDER","OK"))</f>
        <v/>
      </c>
      <c r="I235" s="14">
        <f>IF(A235="","",IFERROR(_xlfn.MAXIFS(StockMovements!$A$2:$A$500,StockMovements!$B$2:$B$500,A235),0))</f>
        <v/>
      </c>
      <c r="J235" s="11">
        <f>IF(OR(A235="",I235=0),"",TODAY()-I235)</f>
        <v/>
      </c>
      <c r="K235" s="11">
        <f>IF(A235="","",IF(I235=0,"never moved",IF(J235&lt;=30,"0-30",IF(J235&lt;=60,"31-60",IF(J235&lt;=90,"61-90","90+")))))</f>
        <v/>
      </c>
    </row>
    <row r="236">
      <c r="A236" s="11">
        <f>Products!A236</f>
        <v/>
      </c>
      <c r="B236" s="11">
        <f>Products!B236</f>
        <v/>
      </c>
      <c r="C236" s="11">
        <f>Products!C236</f>
        <v/>
      </c>
      <c r="D236" s="11">
        <f>IF(A236="","",SUMIFS(StockMovements!$E$2:$E$500,StockMovements!$B$2:$B$500,A236,StockMovements!$D$2:$D$500,"receipt")+SUMIFS(StockMovements!$E$2:$E$500,StockMovements!$B$2:$B$500,A236,StockMovements!$D$2:$D$500,"production_in")+SUMIFS(StockMovements!$E$2:$E$500,StockMovements!$B$2:$B$500,A236,StockMovements!$D$2:$D$500,"adjustment")-SUMIFS(StockMovements!$E$2:$E$500,StockMovements!$B$2:$B$500,A236,StockMovements!$D$2:$D$500,"issue")-SUMIFS(StockMovements!$E$2:$E$500,StockMovements!$B$2:$B$500,A236,StockMovements!$D$2:$D$500,"production_out")-SUMIFS(StockMovements!$E$2:$E$500,StockMovements!$B$2:$B$500,A236,StockMovements!$D$2:$D$500,"transfer")-SUMIFS(StockMovements!$E$2:$E$500,StockMovements!$B$2:$B$500,A236,StockMovements!$D$2:$D$500,"scrap"))</f>
        <v/>
      </c>
      <c r="E236" s="11">
        <f>IF(A236="","",Products!E236)</f>
        <v/>
      </c>
      <c r="F236" s="11">
        <f>IF(A236="","",D236*E236)</f>
        <v/>
      </c>
      <c r="G236" s="11">
        <f>IF(A236="","",Products!F236)</f>
        <v/>
      </c>
      <c r="H236" s="11">
        <f>IF(A236="","",IF(D236&lt;G236,"REORDER","OK"))</f>
        <v/>
      </c>
      <c r="I236" s="14">
        <f>IF(A236="","",IFERROR(_xlfn.MAXIFS(StockMovements!$A$2:$A$500,StockMovements!$B$2:$B$500,A236),0))</f>
        <v/>
      </c>
      <c r="J236" s="11">
        <f>IF(OR(A236="",I236=0),"",TODAY()-I236)</f>
        <v/>
      </c>
      <c r="K236" s="11">
        <f>IF(A236="","",IF(I236=0,"never moved",IF(J236&lt;=30,"0-30",IF(J236&lt;=60,"31-60",IF(J236&lt;=90,"61-90","90+")))))</f>
        <v/>
      </c>
    </row>
    <row r="237">
      <c r="A237" s="11">
        <f>Products!A237</f>
        <v/>
      </c>
      <c r="B237" s="11">
        <f>Products!B237</f>
        <v/>
      </c>
      <c r="C237" s="11">
        <f>Products!C237</f>
        <v/>
      </c>
      <c r="D237" s="11">
        <f>IF(A237="","",SUMIFS(StockMovements!$E$2:$E$500,StockMovements!$B$2:$B$500,A237,StockMovements!$D$2:$D$500,"receipt")+SUMIFS(StockMovements!$E$2:$E$500,StockMovements!$B$2:$B$500,A237,StockMovements!$D$2:$D$500,"production_in")+SUMIFS(StockMovements!$E$2:$E$500,StockMovements!$B$2:$B$500,A237,StockMovements!$D$2:$D$500,"adjustment")-SUMIFS(StockMovements!$E$2:$E$500,StockMovements!$B$2:$B$500,A237,StockMovements!$D$2:$D$500,"issue")-SUMIFS(StockMovements!$E$2:$E$500,StockMovements!$B$2:$B$500,A237,StockMovements!$D$2:$D$500,"production_out")-SUMIFS(StockMovements!$E$2:$E$500,StockMovements!$B$2:$B$500,A237,StockMovements!$D$2:$D$500,"transfer")-SUMIFS(StockMovements!$E$2:$E$500,StockMovements!$B$2:$B$500,A237,StockMovements!$D$2:$D$500,"scrap"))</f>
        <v/>
      </c>
      <c r="E237" s="11">
        <f>IF(A237="","",Products!E237)</f>
        <v/>
      </c>
      <c r="F237" s="11">
        <f>IF(A237="","",D237*E237)</f>
        <v/>
      </c>
      <c r="G237" s="11">
        <f>IF(A237="","",Products!F237)</f>
        <v/>
      </c>
      <c r="H237" s="11">
        <f>IF(A237="","",IF(D237&lt;G237,"REORDER","OK"))</f>
        <v/>
      </c>
      <c r="I237" s="14">
        <f>IF(A237="","",IFERROR(_xlfn.MAXIFS(StockMovements!$A$2:$A$500,StockMovements!$B$2:$B$500,A237),0))</f>
        <v/>
      </c>
      <c r="J237" s="11">
        <f>IF(OR(A237="",I237=0),"",TODAY()-I237)</f>
        <v/>
      </c>
      <c r="K237" s="11">
        <f>IF(A237="","",IF(I237=0,"never moved",IF(J237&lt;=30,"0-30",IF(J237&lt;=60,"31-60",IF(J237&lt;=90,"61-90","90+")))))</f>
        <v/>
      </c>
    </row>
    <row r="238">
      <c r="A238" s="11">
        <f>Products!A238</f>
        <v/>
      </c>
      <c r="B238" s="11">
        <f>Products!B238</f>
        <v/>
      </c>
      <c r="C238" s="11">
        <f>Products!C238</f>
        <v/>
      </c>
      <c r="D238" s="11">
        <f>IF(A238="","",SUMIFS(StockMovements!$E$2:$E$500,StockMovements!$B$2:$B$500,A238,StockMovements!$D$2:$D$500,"receipt")+SUMIFS(StockMovements!$E$2:$E$500,StockMovements!$B$2:$B$500,A238,StockMovements!$D$2:$D$500,"production_in")+SUMIFS(StockMovements!$E$2:$E$500,StockMovements!$B$2:$B$500,A238,StockMovements!$D$2:$D$500,"adjustment")-SUMIFS(StockMovements!$E$2:$E$500,StockMovements!$B$2:$B$500,A238,StockMovements!$D$2:$D$500,"issue")-SUMIFS(StockMovements!$E$2:$E$500,StockMovements!$B$2:$B$500,A238,StockMovements!$D$2:$D$500,"production_out")-SUMIFS(StockMovements!$E$2:$E$500,StockMovements!$B$2:$B$500,A238,StockMovements!$D$2:$D$500,"transfer")-SUMIFS(StockMovements!$E$2:$E$500,StockMovements!$B$2:$B$500,A238,StockMovements!$D$2:$D$500,"scrap"))</f>
        <v/>
      </c>
      <c r="E238" s="11">
        <f>IF(A238="","",Products!E238)</f>
        <v/>
      </c>
      <c r="F238" s="11">
        <f>IF(A238="","",D238*E238)</f>
        <v/>
      </c>
      <c r="G238" s="11">
        <f>IF(A238="","",Products!F238)</f>
        <v/>
      </c>
      <c r="H238" s="11">
        <f>IF(A238="","",IF(D238&lt;G238,"REORDER","OK"))</f>
        <v/>
      </c>
      <c r="I238" s="14">
        <f>IF(A238="","",IFERROR(_xlfn.MAXIFS(StockMovements!$A$2:$A$500,StockMovements!$B$2:$B$500,A238),0))</f>
        <v/>
      </c>
      <c r="J238" s="11">
        <f>IF(OR(A238="",I238=0),"",TODAY()-I238)</f>
        <v/>
      </c>
      <c r="K238" s="11">
        <f>IF(A238="","",IF(I238=0,"never moved",IF(J238&lt;=30,"0-30",IF(J238&lt;=60,"31-60",IF(J238&lt;=90,"61-90","90+")))))</f>
        <v/>
      </c>
    </row>
    <row r="239">
      <c r="A239" s="11">
        <f>Products!A239</f>
        <v/>
      </c>
      <c r="B239" s="11">
        <f>Products!B239</f>
        <v/>
      </c>
      <c r="C239" s="11">
        <f>Products!C239</f>
        <v/>
      </c>
      <c r="D239" s="11">
        <f>IF(A239="","",SUMIFS(StockMovements!$E$2:$E$500,StockMovements!$B$2:$B$500,A239,StockMovements!$D$2:$D$500,"receipt")+SUMIFS(StockMovements!$E$2:$E$500,StockMovements!$B$2:$B$500,A239,StockMovements!$D$2:$D$500,"production_in")+SUMIFS(StockMovements!$E$2:$E$500,StockMovements!$B$2:$B$500,A239,StockMovements!$D$2:$D$500,"adjustment")-SUMIFS(StockMovements!$E$2:$E$500,StockMovements!$B$2:$B$500,A239,StockMovements!$D$2:$D$500,"issue")-SUMIFS(StockMovements!$E$2:$E$500,StockMovements!$B$2:$B$500,A239,StockMovements!$D$2:$D$500,"production_out")-SUMIFS(StockMovements!$E$2:$E$500,StockMovements!$B$2:$B$500,A239,StockMovements!$D$2:$D$500,"transfer")-SUMIFS(StockMovements!$E$2:$E$500,StockMovements!$B$2:$B$500,A239,StockMovements!$D$2:$D$500,"scrap"))</f>
        <v/>
      </c>
      <c r="E239" s="11">
        <f>IF(A239="","",Products!E239)</f>
        <v/>
      </c>
      <c r="F239" s="11">
        <f>IF(A239="","",D239*E239)</f>
        <v/>
      </c>
      <c r="G239" s="11">
        <f>IF(A239="","",Products!F239)</f>
        <v/>
      </c>
      <c r="H239" s="11">
        <f>IF(A239="","",IF(D239&lt;G239,"REORDER","OK"))</f>
        <v/>
      </c>
      <c r="I239" s="14">
        <f>IF(A239="","",IFERROR(_xlfn.MAXIFS(StockMovements!$A$2:$A$500,StockMovements!$B$2:$B$500,A239),0))</f>
        <v/>
      </c>
      <c r="J239" s="11">
        <f>IF(OR(A239="",I239=0),"",TODAY()-I239)</f>
        <v/>
      </c>
      <c r="K239" s="11">
        <f>IF(A239="","",IF(I239=0,"never moved",IF(J239&lt;=30,"0-30",IF(J239&lt;=60,"31-60",IF(J239&lt;=90,"61-90","90+")))))</f>
        <v/>
      </c>
    </row>
    <row r="240">
      <c r="A240" s="11">
        <f>Products!A240</f>
        <v/>
      </c>
      <c r="B240" s="11">
        <f>Products!B240</f>
        <v/>
      </c>
      <c r="C240" s="11">
        <f>Products!C240</f>
        <v/>
      </c>
      <c r="D240" s="11">
        <f>IF(A240="","",SUMIFS(StockMovements!$E$2:$E$500,StockMovements!$B$2:$B$500,A240,StockMovements!$D$2:$D$500,"receipt")+SUMIFS(StockMovements!$E$2:$E$500,StockMovements!$B$2:$B$500,A240,StockMovements!$D$2:$D$500,"production_in")+SUMIFS(StockMovements!$E$2:$E$500,StockMovements!$B$2:$B$500,A240,StockMovements!$D$2:$D$500,"adjustment")-SUMIFS(StockMovements!$E$2:$E$500,StockMovements!$B$2:$B$500,A240,StockMovements!$D$2:$D$500,"issue")-SUMIFS(StockMovements!$E$2:$E$500,StockMovements!$B$2:$B$500,A240,StockMovements!$D$2:$D$500,"production_out")-SUMIFS(StockMovements!$E$2:$E$500,StockMovements!$B$2:$B$500,A240,StockMovements!$D$2:$D$500,"transfer")-SUMIFS(StockMovements!$E$2:$E$500,StockMovements!$B$2:$B$500,A240,StockMovements!$D$2:$D$500,"scrap"))</f>
        <v/>
      </c>
      <c r="E240" s="11">
        <f>IF(A240="","",Products!E240)</f>
        <v/>
      </c>
      <c r="F240" s="11">
        <f>IF(A240="","",D240*E240)</f>
        <v/>
      </c>
      <c r="G240" s="11">
        <f>IF(A240="","",Products!F240)</f>
        <v/>
      </c>
      <c r="H240" s="11">
        <f>IF(A240="","",IF(D240&lt;G240,"REORDER","OK"))</f>
        <v/>
      </c>
      <c r="I240" s="14">
        <f>IF(A240="","",IFERROR(_xlfn.MAXIFS(StockMovements!$A$2:$A$500,StockMovements!$B$2:$B$500,A240),0))</f>
        <v/>
      </c>
      <c r="J240" s="11">
        <f>IF(OR(A240="",I240=0),"",TODAY()-I240)</f>
        <v/>
      </c>
      <c r="K240" s="11">
        <f>IF(A240="","",IF(I240=0,"never moved",IF(J240&lt;=30,"0-30",IF(J240&lt;=60,"31-60",IF(J240&lt;=90,"61-90","90+")))))</f>
        <v/>
      </c>
    </row>
    <row r="241">
      <c r="A241" s="11">
        <f>Products!A241</f>
        <v/>
      </c>
      <c r="B241" s="11">
        <f>Products!B241</f>
        <v/>
      </c>
      <c r="C241" s="11">
        <f>Products!C241</f>
        <v/>
      </c>
      <c r="D241" s="11">
        <f>IF(A241="","",SUMIFS(StockMovements!$E$2:$E$500,StockMovements!$B$2:$B$500,A241,StockMovements!$D$2:$D$500,"receipt")+SUMIFS(StockMovements!$E$2:$E$500,StockMovements!$B$2:$B$500,A241,StockMovements!$D$2:$D$500,"production_in")+SUMIFS(StockMovements!$E$2:$E$500,StockMovements!$B$2:$B$500,A241,StockMovements!$D$2:$D$500,"adjustment")-SUMIFS(StockMovements!$E$2:$E$500,StockMovements!$B$2:$B$500,A241,StockMovements!$D$2:$D$500,"issue")-SUMIFS(StockMovements!$E$2:$E$500,StockMovements!$B$2:$B$500,A241,StockMovements!$D$2:$D$500,"production_out")-SUMIFS(StockMovements!$E$2:$E$500,StockMovements!$B$2:$B$500,A241,StockMovements!$D$2:$D$500,"transfer")-SUMIFS(StockMovements!$E$2:$E$500,StockMovements!$B$2:$B$500,A241,StockMovements!$D$2:$D$500,"scrap"))</f>
        <v/>
      </c>
      <c r="E241" s="11">
        <f>IF(A241="","",Products!E241)</f>
        <v/>
      </c>
      <c r="F241" s="11">
        <f>IF(A241="","",D241*E241)</f>
        <v/>
      </c>
      <c r="G241" s="11">
        <f>IF(A241="","",Products!F241)</f>
        <v/>
      </c>
      <c r="H241" s="11">
        <f>IF(A241="","",IF(D241&lt;G241,"REORDER","OK"))</f>
        <v/>
      </c>
      <c r="I241" s="14">
        <f>IF(A241="","",IFERROR(_xlfn.MAXIFS(StockMovements!$A$2:$A$500,StockMovements!$B$2:$B$500,A241),0))</f>
        <v/>
      </c>
      <c r="J241" s="11">
        <f>IF(OR(A241="",I241=0),"",TODAY()-I241)</f>
        <v/>
      </c>
      <c r="K241" s="11">
        <f>IF(A241="","",IF(I241=0,"never moved",IF(J241&lt;=30,"0-30",IF(J241&lt;=60,"31-60",IF(J241&lt;=90,"61-90","90+")))))</f>
        <v/>
      </c>
    </row>
    <row r="242">
      <c r="A242" s="11">
        <f>Products!A242</f>
        <v/>
      </c>
      <c r="B242" s="11">
        <f>Products!B242</f>
        <v/>
      </c>
      <c r="C242" s="11">
        <f>Products!C242</f>
        <v/>
      </c>
      <c r="D242" s="11">
        <f>IF(A242="","",SUMIFS(StockMovements!$E$2:$E$500,StockMovements!$B$2:$B$500,A242,StockMovements!$D$2:$D$500,"receipt")+SUMIFS(StockMovements!$E$2:$E$500,StockMovements!$B$2:$B$500,A242,StockMovements!$D$2:$D$500,"production_in")+SUMIFS(StockMovements!$E$2:$E$500,StockMovements!$B$2:$B$500,A242,StockMovements!$D$2:$D$500,"adjustment")-SUMIFS(StockMovements!$E$2:$E$500,StockMovements!$B$2:$B$500,A242,StockMovements!$D$2:$D$500,"issue")-SUMIFS(StockMovements!$E$2:$E$500,StockMovements!$B$2:$B$500,A242,StockMovements!$D$2:$D$500,"production_out")-SUMIFS(StockMovements!$E$2:$E$500,StockMovements!$B$2:$B$500,A242,StockMovements!$D$2:$D$500,"transfer")-SUMIFS(StockMovements!$E$2:$E$500,StockMovements!$B$2:$B$500,A242,StockMovements!$D$2:$D$500,"scrap"))</f>
        <v/>
      </c>
      <c r="E242" s="11">
        <f>IF(A242="","",Products!E242)</f>
        <v/>
      </c>
      <c r="F242" s="11">
        <f>IF(A242="","",D242*E242)</f>
        <v/>
      </c>
      <c r="G242" s="11">
        <f>IF(A242="","",Products!F242)</f>
        <v/>
      </c>
      <c r="H242" s="11">
        <f>IF(A242="","",IF(D242&lt;G242,"REORDER","OK"))</f>
        <v/>
      </c>
      <c r="I242" s="14">
        <f>IF(A242="","",IFERROR(_xlfn.MAXIFS(StockMovements!$A$2:$A$500,StockMovements!$B$2:$B$500,A242),0))</f>
        <v/>
      </c>
      <c r="J242" s="11">
        <f>IF(OR(A242="",I242=0),"",TODAY()-I242)</f>
        <v/>
      </c>
      <c r="K242" s="11">
        <f>IF(A242="","",IF(I242=0,"never moved",IF(J242&lt;=30,"0-30",IF(J242&lt;=60,"31-60",IF(J242&lt;=90,"61-90","90+")))))</f>
        <v/>
      </c>
    </row>
    <row r="243">
      <c r="A243" s="11">
        <f>Products!A243</f>
        <v/>
      </c>
      <c r="B243" s="11">
        <f>Products!B243</f>
        <v/>
      </c>
      <c r="C243" s="11">
        <f>Products!C243</f>
        <v/>
      </c>
      <c r="D243" s="11">
        <f>IF(A243="","",SUMIFS(StockMovements!$E$2:$E$500,StockMovements!$B$2:$B$500,A243,StockMovements!$D$2:$D$500,"receipt")+SUMIFS(StockMovements!$E$2:$E$500,StockMovements!$B$2:$B$500,A243,StockMovements!$D$2:$D$500,"production_in")+SUMIFS(StockMovements!$E$2:$E$500,StockMovements!$B$2:$B$500,A243,StockMovements!$D$2:$D$500,"adjustment")-SUMIFS(StockMovements!$E$2:$E$500,StockMovements!$B$2:$B$500,A243,StockMovements!$D$2:$D$500,"issue")-SUMIFS(StockMovements!$E$2:$E$500,StockMovements!$B$2:$B$500,A243,StockMovements!$D$2:$D$500,"production_out")-SUMIFS(StockMovements!$E$2:$E$500,StockMovements!$B$2:$B$500,A243,StockMovements!$D$2:$D$500,"transfer")-SUMIFS(StockMovements!$E$2:$E$500,StockMovements!$B$2:$B$500,A243,StockMovements!$D$2:$D$500,"scrap"))</f>
        <v/>
      </c>
      <c r="E243" s="11">
        <f>IF(A243="","",Products!E243)</f>
        <v/>
      </c>
      <c r="F243" s="11">
        <f>IF(A243="","",D243*E243)</f>
        <v/>
      </c>
      <c r="G243" s="11">
        <f>IF(A243="","",Products!F243)</f>
        <v/>
      </c>
      <c r="H243" s="11">
        <f>IF(A243="","",IF(D243&lt;G243,"REORDER","OK"))</f>
        <v/>
      </c>
      <c r="I243" s="14">
        <f>IF(A243="","",IFERROR(_xlfn.MAXIFS(StockMovements!$A$2:$A$500,StockMovements!$B$2:$B$500,A243),0))</f>
        <v/>
      </c>
      <c r="J243" s="11">
        <f>IF(OR(A243="",I243=0),"",TODAY()-I243)</f>
        <v/>
      </c>
      <c r="K243" s="11">
        <f>IF(A243="","",IF(I243=0,"never moved",IF(J243&lt;=30,"0-30",IF(J243&lt;=60,"31-60",IF(J243&lt;=90,"61-90","90+")))))</f>
        <v/>
      </c>
    </row>
    <row r="244">
      <c r="A244" s="11">
        <f>Products!A244</f>
        <v/>
      </c>
      <c r="B244" s="11">
        <f>Products!B244</f>
        <v/>
      </c>
      <c r="C244" s="11">
        <f>Products!C244</f>
        <v/>
      </c>
      <c r="D244" s="11">
        <f>IF(A244="","",SUMIFS(StockMovements!$E$2:$E$500,StockMovements!$B$2:$B$500,A244,StockMovements!$D$2:$D$500,"receipt")+SUMIFS(StockMovements!$E$2:$E$500,StockMovements!$B$2:$B$500,A244,StockMovements!$D$2:$D$500,"production_in")+SUMIFS(StockMovements!$E$2:$E$500,StockMovements!$B$2:$B$500,A244,StockMovements!$D$2:$D$500,"adjustment")-SUMIFS(StockMovements!$E$2:$E$500,StockMovements!$B$2:$B$500,A244,StockMovements!$D$2:$D$500,"issue")-SUMIFS(StockMovements!$E$2:$E$500,StockMovements!$B$2:$B$500,A244,StockMovements!$D$2:$D$500,"production_out")-SUMIFS(StockMovements!$E$2:$E$500,StockMovements!$B$2:$B$500,A244,StockMovements!$D$2:$D$500,"transfer")-SUMIFS(StockMovements!$E$2:$E$500,StockMovements!$B$2:$B$500,A244,StockMovements!$D$2:$D$500,"scrap"))</f>
        <v/>
      </c>
      <c r="E244" s="11">
        <f>IF(A244="","",Products!E244)</f>
        <v/>
      </c>
      <c r="F244" s="11">
        <f>IF(A244="","",D244*E244)</f>
        <v/>
      </c>
      <c r="G244" s="11">
        <f>IF(A244="","",Products!F244)</f>
        <v/>
      </c>
      <c r="H244" s="11">
        <f>IF(A244="","",IF(D244&lt;G244,"REORDER","OK"))</f>
        <v/>
      </c>
      <c r="I244" s="14">
        <f>IF(A244="","",IFERROR(_xlfn.MAXIFS(StockMovements!$A$2:$A$500,StockMovements!$B$2:$B$500,A244),0))</f>
        <v/>
      </c>
      <c r="J244" s="11">
        <f>IF(OR(A244="",I244=0),"",TODAY()-I244)</f>
        <v/>
      </c>
      <c r="K244" s="11">
        <f>IF(A244="","",IF(I244=0,"never moved",IF(J244&lt;=30,"0-30",IF(J244&lt;=60,"31-60",IF(J244&lt;=90,"61-90","90+")))))</f>
        <v/>
      </c>
    </row>
    <row r="245">
      <c r="A245" s="11">
        <f>Products!A245</f>
        <v/>
      </c>
      <c r="B245" s="11">
        <f>Products!B245</f>
        <v/>
      </c>
      <c r="C245" s="11">
        <f>Products!C245</f>
        <v/>
      </c>
      <c r="D245" s="11">
        <f>IF(A245="","",SUMIFS(StockMovements!$E$2:$E$500,StockMovements!$B$2:$B$500,A245,StockMovements!$D$2:$D$500,"receipt")+SUMIFS(StockMovements!$E$2:$E$500,StockMovements!$B$2:$B$500,A245,StockMovements!$D$2:$D$500,"production_in")+SUMIFS(StockMovements!$E$2:$E$500,StockMovements!$B$2:$B$500,A245,StockMovements!$D$2:$D$500,"adjustment")-SUMIFS(StockMovements!$E$2:$E$500,StockMovements!$B$2:$B$500,A245,StockMovements!$D$2:$D$500,"issue")-SUMIFS(StockMovements!$E$2:$E$500,StockMovements!$B$2:$B$500,A245,StockMovements!$D$2:$D$500,"production_out")-SUMIFS(StockMovements!$E$2:$E$500,StockMovements!$B$2:$B$500,A245,StockMovements!$D$2:$D$500,"transfer")-SUMIFS(StockMovements!$E$2:$E$500,StockMovements!$B$2:$B$500,A245,StockMovements!$D$2:$D$500,"scrap"))</f>
        <v/>
      </c>
      <c r="E245" s="11">
        <f>IF(A245="","",Products!E245)</f>
        <v/>
      </c>
      <c r="F245" s="11">
        <f>IF(A245="","",D245*E245)</f>
        <v/>
      </c>
      <c r="G245" s="11">
        <f>IF(A245="","",Products!F245)</f>
        <v/>
      </c>
      <c r="H245" s="11">
        <f>IF(A245="","",IF(D245&lt;G245,"REORDER","OK"))</f>
        <v/>
      </c>
      <c r="I245" s="14">
        <f>IF(A245="","",IFERROR(_xlfn.MAXIFS(StockMovements!$A$2:$A$500,StockMovements!$B$2:$B$500,A245),0))</f>
        <v/>
      </c>
      <c r="J245" s="11">
        <f>IF(OR(A245="",I245=0),"",TODAY()-I245)</f>
        <v/>
      </c>
      <c r="K245" s="11">
        <f>IF(A245="","",IF(I245=0,"never moved",IF(J245&lt;=30,"0-30",IF(J245&lt;=60,"31-60",IF(J245&lt;=90,"61-90","90+")))))</f>
        <v/>
      </c>
    </row>
    <row r="246">
      <c r="A246" s="11">
        <f>Products!A246</f>
        <v/>
      </c>
      <c r="B246" s="11">
        <f>Products!B246</f>
        <v/>
      </c>
      <c r="C246" s="11">
        <f>Products!C246</f>
        <v/>
      </c>
      <c r="D246" s="11">
        <f>IF(A246="","",SUMIFS(StockMovements!$E$2:$E$500,StockMovements!$B$2:$B$500,A246,StockMovements!$D$2:$D$500,"receipt")+SUMIFS(StockMovements!$E$2:$E$500,StockMovements!$B$2:$B$500,A246,StockMovements!$D$2:$D$500,"production_in")+SUMIFS(StockMovements!$E$2:$E$500,StockMovements!$B$2:$B$500,A246,StockMovements!$D$2:$D$500,"adjustment")-SUMIFS(StockMovements!$E$2:$E$500,StockMovements!$B$2:$B$500,A246,StockMovements!$D$2:$D$500,"issue")-SUMIFS(StockMovements!$E$2:$E$500,StockMovements!$B$2:$B$500,A246,StockMovements!$D$2:$D$500,"production_out")-SUMIFS(StockMovements!$E$2:$E$500,StockMovements!$B$2:$B$500,A246,StockMovements!$D$2:$D$500,"transfer")-SUMIFS(StockMovements!$E$2:$E$500,StockMovements!$B$2:$B$500,A246,StockMovements!$D$2:$D$500,"scrap"))</f>
        <v/>
      </c>
      <c r="E246" s="11">
        <f>IF(A246="","",Products!E246)</f>
        <v/>
      </c>
      <c r="F246" s="11">
        <f>IF(A246="","",D246*E246)</f>
        <v/>
      </c>
      <c r="G246" s="11">
        <f>IF(A246="","",Products!F246)</f>
        <v/>
      </c>
      <c r="H246" s="11">
        <f>IF(A246="","",IF(D246&lt;G246,"REORDER","OK"))</f>
        <v/>
      </c>
      <c r="I246" s="14">
        <f>IF(A246="","",IFERROR(_xlfn.MAXIFS(StockMovements!$A$2:$A$500,StockMovements!$B$2:$B$500,A246),0))</f>
        <v/>
      </c>
      <c r="J246" s="11">
        <f>IF(OR(A246="",I246=0),"",TODAY()-I246)</f>
        <v/>
      </c>
      <c r="K246" s="11">
        <f>IF(A246="","",IF(I246=0,"never moved",IF(J246&lt;=30,"0-30",IF(J246&lt;=60,"31-60",IF(J246&lt;=90,"61-90","90+")))))</f>
        <v/>
      </c>
    </row>
    <row r="247">
      <c r="A247" s="11">
        <f>Products!A247</f>
        <v/>
      </c>
      <c r="B247" s="11">
        <f>Products!B247</f>
        <v/>
      </c>
      <c r="C247" s="11">
        <f>Products!C247</f>
        <v/>
      </c>
      <c r="D247" s="11">
        <f>IF(A247="","",SUMIFS(StockMovements!$E$2:$E$500,StockMovements!$B$2:$B$500,A247,StockMovements!$D$2:$D$500,"receipt")+SUMIFS(StockMovements!$E$2:$E$500,StockMovements!$B$2:$B$500,A247,StockMovements!$D$2:$D$500,"production_in")+SUMIFS(StockMovements!$E$2:$E$500,StockMovements!$B$2:$B$500,A247,StockMovements!$D$2:$D$500,"adjustment")-SUMIFS(StockMovements!$E$2:$E$500,StockMovements!$B$2:$B$500,A247,StockMovements!$D$2:$D$500,"issue")-SUMIFS(StockMovements!$E$2:$E$500,StockMovements!$B$2:$B$500,A247,StockMovements!$D$2:$D$500,"production_out")-SUMIFS(StockMovements!$E$2:$E$500,StockMovements!$B$2:$B$500,A247,StockMovements!$D$2:$D$500,"transfer")-SUMIFS(StockMovements!$E$2:$E$500,StockMovements!$B$2:$B$500,A247,StockMovements!$D$2:$D$500,"scrap"))</f>
        <v/>
      </c>
      <c r="E247" s="11">
        <f>IF(A247="","",Products!E247)</f>
        <v/>
      </c>
      <c r="F247" s="11">
        <f>IF(A247="","",D247*E247)</f>
        <v/>
      </c>
      <c r="G247" s="11">
        <f>IF(A247="","",Products!F247)</f>
        <v/>
      </c>
      <c r="H247" s="11">
        <f>IF(A247="","",IF(D247&lt;G247,"REORDER","OK"))</f>
        <v/>
      </c>
      <c r="I247" s="14">
        <f>IF(A247="","",IFERROR(_xlfn.MAXIFS(StockMovements!$A$2:$A$500,StockMovements!$B$2:$B$500,A247),0))</f>
        <v/>
      </c>
      <c r="J247" s="11">
        <f>IF(OR(A247="",I247=0),"",TODAY()-I247)</f>
        <v/>
      </c>
      <c r="K247" s="11">
        <f>IF(A247="","",IF(I247=0,"never moved",IF(J247&lt;=30,"0-30",IF(J247&lt;=60,"31-60",IF(J247&lt;=90,"61-90","90+")))))</f>
        <v/>
      </c>
    </row>
    <row r="248">
      <c r="A248" s="11">
        <f>Products!A248</f>
        <v/>
      </c>
      <c r="B248" s="11">
        <f>Products!B248</f>
        <v/>
      </c>
      <c r="C248" s="11">
        <f>Products!C248</f>
        <v/>
      </c>
      <c r="D248" s="11">
        <f>IF(A248="","",SUMIFS(StockMovements!$E$2:$E$500,StockMovements!$B$2:$B$500,A248,StockMovements!$D$2:$D$500,"receipt")+SUMIFS(StockMovements!$E$2:$E$500,StockMovements!$B$2:$B$500,A248,StockMovements!$D$2:$D$500,"production_in")+SUMIFS(StockMovements!$E$2:$E$500,StockMovements!$B$2:$B$500,A248,StockMovements!$D$2:$D$500,"adjustment")-SUMIFS(StockMovements!$E$2:$E$500,StockMovements!$B$2:$B$500,A248,StockMovements!$D$2:$D$500,"issue")-SUMIFS(StockMovements!$E$2:$E$500,StockMovements!$B$2:$B$500,A248,StockMovements!$D$2:$D$500,"production_out")-SUMIFS(StockMovements!$E$2:$E$500,StockMovements!$B$2:$B$500,A248,StockMovements!$D$2:$D$500,"transfer")-SUMIFS(StockMovements!$E$2:$E$500,StockMovements!$B$2:$B$500,A248,StockMovements!$D$2:$D$500,"scrap"))</f>
        <v/>
      </c>
      <c r="E248" s="11">
        <f>IF(A248="","",Products!E248)</f>
        <v/>
      </c>
      <c r="F248" s="11">
        <f>IF(A248="","",D248*E248)</f>
        <v/>
      </c>
      <c r="G248" s="11">
        <f>IF(A248="","",Products!F248)</f>
        <v/>
      </c>
      <c r="H248" s="11">
        <f>IF(A248="","",IF(D248&lt;G248,"REORDER","OK"))</f>
        <v/>
      </c>
      <c r="I248" s="14">
        <f>IF(A248="","",IFERROR(_xlfn.MAXIFS(StockMovements!$A$2:$A$500,StockMovements!$B$2:$B$500,A248),0))</f>
        <v/>
      </c>
      <c r="J248" s="11">
        <f>IF(OR(A248="",I248=0),"",TODAY()-I248)</f>
        <v/>
      </c>
      <c r="K248" s="11">
        <f>IF(A248="","",IF(I248=0,"never moved",IF(J248&lt;=30,"0-30",IF(J248&lt;=60,"31-60",IF(J248&lt;=90,"61-90","90+")))))</f>
        <v/>
      </c>
    </row>
    <row r="249">
      <c r="A249" s="11">
        <f>Products!A249</f>
        <v/>
      </c>
      <c r="B249" s="11">
        <f>Products!B249</f>
        <v/>
      </c>
      <c r="C249" s="11">
        <f>Products!C249</f>
        <v/>
      </c>
      <c r="D249" s="11">
        <f>IF(A249="","",SUMIFS(StockMovements!$E$2:$E$500,StockMovements!$B$2:$B$500,A249,StockMovements!$D$2:$D$500,"receipt")+SUMIFS(StockMovements!$E$2:$E$500,StockMovements!$B$2:$B$500,A249,StockMovements!$D$2:$D$500,"production_in")+SUMIFS(StockMovements!$E$2:$E$500,StockMovements!$B$2:$B$500,A249,StockMovements!$D$2:$D$500,"adjustment")-SUMIFS(StockMovements!$E$2:$E$500,StockMovements!$B$2:$B$500,A249,StockMovements!$D$2:$D$500,"issue")-SUMIFS(StockMovements!$E$2:$E$500,StockMovements!$B$2:$B$500,A249,StockMovements!$D$2:$D$500,"production_out")-SUMIFS(StockMovements!$E$2:$E$500,StockMovements!$B$2:$B$500,A249,StockMovements!$D$2:$D$500,"transfer")-SUMIFS(StockMovements!$E$2:$E$500,StockMovements!$B$2:$B$500,A249,StockMovements!$D$2:$D$500,"scrap"))</f>
        <v/>
      </c>
      <c r="E249" s="11">
        <f>IF(A249="","",Products!E249)</f>
        <v/>
      </c>
      <c r="F249" s="11">
        <f>IF(A249="","",D249*E249)</f>
        <v/>
      </c>
      <c r="G249" s="11">
        <f>IF(A249="","",Products!F249)</f>
        <v/>
      </c>
      <c r="H249" s="11">
        <f>IF(A249="","",IF(D249&lt;G249,"REORDER","OK"))</f>
        <v/>
      </c>
      <c r="I249" s="14">
        <f>IF(A249="","",IFERROR(_xlfn.MAXIFS(StockMovements!$A$2:$A$500,StockMovements!$B$2:$B$500,A249),0))</f>
        <v/>
      </c>
      <c r="J249" s="11">
        <f>IF(OR(A249="",I249=0),"",TODAY()-I249)</f>
        <v/>
      </c>
      <c r="K249" s="11">
        <f>IF(A249="","",IF(I249=0,"never moved",IF(J249&lt;=30,"0-30",IF(J249&lt;=60,"31-60",IF(J249&lt;=90,"61-90","90+")))))</f>
        <v/>
      </c>
    </row>
    <row r="250">
      <c r="A250" s="11">
        <f>Products!A250</f>
        <v/>
      </c>
      <c r="B250" s="11">
        <f>Products!B250</f>
        <v/>
      </c>
      <c r="C250" s="11">
        <f>Products!C250</f>
        <v/>
      </c>
      <c r="D250" s="11">
        <f>IF(A250="","",SUMIFS(StockMovements!$E$2:$E$500,StockMovements!$B$2:$B$500,A250,StockMovements!$D$2:$D$500,"receipt")+SUMIFS(StockMovements!$E$2:$E$500,StockMovements!$B$2:$B$500,A250,StockMovements!$D$2:$D$500,"production_in")+SUMIFS(StockMovements!$E$2:$E$500,StockMovements!$B$2:$B$500,A250,StockMovements!$D$2:$D$500,"adjustment")-SUMIFS(StockMovements!$E$2:$E$500,StockMovements!$B$2:$B$500,A250,StockMovements!$D$2:$D$500,"issue")-SUMIFS(StockMovements!$E$2:$E$500,StockMovements!$B$2:$B$500,A250,StockMovements!$D$2:$D$500,"production_out")-SUMIFS(StockMovements!$E$2:$E$500,StockMovements!$B$2:$B$500,A250,StockMovements!$D$2:$D$500,"transfer")-SUMIFS(StockMovements!$E$2:$E$500,StockMovements!$B$2:$B$500,A250,StockMovements!$D$2:$D$500,"scrap"))</f>
        <v/>
      </c>
      <c r="E250" s="11">
        <f>IF(A250="","",Products!E250)</f>
        <v/>
      </c>
      <c r="F250" s="11">
        <f>IF(A250="","",D250*E250)</f>
        <v/>
      </c>
      <c r="G250" s="11">
        <f>IF(A250="","",Products!F250)</f>
        <v/>
      </c>
      <c r="H250" s="11">
        <f>IF(A250="","",IF(D250&lt;G250,"REORDER","OK"))</f>
        <v/>
      </c>
      <c r="I250" s="14">
        <f>IF(A250="","",IFERROR(_xlfn.MAXIFS(StockMovements!$A$2:$A$500,StockMovements!$B$2:$B$500,A250),0))</f>
        <v/>
      </c>
      <c r="J250" s="11">
        <f>IF(OR(A250="",I250=0),"",TODAY()-I250)</f>
        <v/>
      </c>
      <c r="K250" s="11">
        <f>IF(A250="","",IF(I250=0,"never moved",IF(J250&lt;=30,"0-30",IF(J250&lt;=60,"31-60",IF(J250&lt;=90,"61-90","90+")))))</f>
        <v/>
      </c>
    </row>
    <row r="251">
      <c r="A251" s="11">
        <f>Products!A251</f>
        <v/>
      </c>
      <c r="B251" s="11">
        <f>Products!B251</f>
        <v/>
      </c>
      <c r="C251" s="11">
        <f>Products!C251</f>
        <v/>
      </c>
      <c r="D251" s="11">
        <f>IF(A251="","",SUMIFS(StockMovements!$E$2:$E$500,StockMovements!$B$2:$B$500,A251,StockMovements!$D$2:$D$500,"receipt")+SUMIFS(StockMovements!$E$2:$E$500,StockMovements!$B$2:$B$500,A251,StockMovements!$D$2:$D$500,"production_in")+SUMIFS(StockMovements!$E$2:$E$500,StockMovements!$B$2:$B$500,A251,StockMovements!$D$2:$D$500,"adjustment")-SUMIFS(StockMovements!$E$2:$E$500,StockMovements!$B$2:$B$500,A251,StockMovements!$D$2:$D$500,"issue")-SUMIFS(StockMovements!$E$2:$E$500,StockMovements!$B$2:$B$500,A251,StockMovements!$D$2:$D$500,"production_out")-SUMIFS(StockMovements!$E$2:$E$500,StockMovements!$B$2:$B$500,A251,StockMovements!$D$2:$D$500,"transfer")-SUMIFS(StockMovements!$E$2:$E$500,StockMovements!$B$2:$B$500,A251,StockMovements!$D$2:$D$500,"scrap"))</f>
        <v/>
      </c>
      <c r="E251" s="11">
        <f>IF(A251="","",Products!E251)</f>
        <v/>
      </c>
      <c r="F251" s="11">
        <f>IF(A251="","",D251*E251)</f>
        <v/>
      </c>
      <c r="G251" s="11">
        <f>IF(A251="","",Products!F251)</f>
        <v/>
      </c>
      <c r="H251" s="11">
        <f>IF(A251="","",IF(D251&lt;G251,"REORDER","OK"))</f>
        <v/>
      </c>
      <c r="I251" s="14">
        <f>IF(A251="","",IFERROR(_xlfn.MAXIFS(StockMovements!$A$2:$A$500,StockMovements!$B$2:$B$500,A251),0))</f>
        <v/>
      </c>
      <c r="J251" s="11">
        <f>IF(OR(A251="",I251=0),"",TODAY()-I251)</f>
        <v/>
      </c>
      <c r="K251" s="11">
        <f>IF(A251="","",IF(I251=0,"never moved",IF(J251&lt;=30,"0-30",IF(J251&lt;=60,"31-60",IF(J251&lt;=90,"61-90","90+")))))</f>
        <v/>
      </c>
    </row>
    <row r="252">
      <c r="A252" s="11">
        <f>Products!A252</f>
        <v/>
      </c>
      <c r="B252" s="11">
        <f>Products!B252</f>
        <v/>
      </c>
      <c r="C252" s="11">
        <f>Products!C252</f>
        <v/>
      </c>
      <c r="D252" s="11">
        <f>IF(A252="","",SUMIFS(StockMovements!$E$2:$E$500,StockMovements!$B$2:$B$500,A252,StockMovements!$D$2:$D$500,"receipt")+SUMIFS(StockMovements!$E$2:$E$500,StockMovements!$B$2:$B$500,A252,StockMovements!$D$2:$D$500,"production_in")+SUMIFS(StockMovements!$E$2:$E$500,StockMovements!$B$2:$B$500,A252,StockMovements!$D$2:$D$500,"adjustment")-SUMIFS(StockMovements!$E$2:$E$500,StockMovements!$B$2:$B$500,A252,StockMovements!$D$2:$D$500,"issue")-SUMIFS(StockMovements!$E$2:$E$500,StockMovements!$B$2:$B$500,A252,StockMovements!$D$2:$D$500,"production_out")-SUMIFS(StockMovements!$E$2:$E$500,StockMovements!$B$2:$B$500,A252,StockMovements!$D$2:$D$500,"transfer")-SUMIFS(StockMovements!$E$2:$E$500,StockMovements!$B$2:$B$500,A252,StockMovements!$D$2:$D$500,"scrap"))</f>
        <v/>
      </c>
      <c r="E252" s="11">
        <f>IF(A252="","",Products!E252)</f>
        <v/>
      </c>
      <c r="F252" s="11">
        <f>IF(A252="","",D252*E252)</f>
        <v/>
      </c>
      <c r="G252" s="11">
        <f>IF(A252="","",Products!F252)</f>
        <v/>
      </c>
      <c r="H252" s="11">
        <f>IF(A252="","",IF(D252&lt;G252,"REORDER","OK"))</f>
        <v/>
      </c>
      <c r="I252" s="14">
        <f>IF(A252="","",IFERROR(_xlfn.MAXIFS(StockMovements!$A$2:$A$500,StockMovements!$B$2:$B$500,A252),0))</f>
        <v/>
      </c>
      <c r="J252" s="11">
        <f>IF(OR(A252="",I252=0),"",TODAY()-I252)</f>
        <v/>
      </c>
      <c r="K252" s="11">
        <f>IF(A252="","",IF(I252=0,"never moved",IF(J252&lt;=30,"0-30",IF(J252&lt;=60,"31-60",IF(J252&lt;=90,"61-90","90+")))))</f>
        <v/>
      </c>
    </row>
    <row r="253">
      <c r="A253" s="11">
        <f>Products!A253</f>
        <v/>
      </c>
      <c r="B253" s="11">
        <f>Products!B253</f>
        <v/>
      </c>
      <c r="C253" s="11">
        <f>Products!C253</f>
        <v/>
      </c>
      <c r="D253" s="11">
        <f>IF(A253="","",SUMIFS(StockMovements!$E$2:$E$500,StockMovements!$B$2:$B$500,A253,StockMovements!$D$2:$D$500,"receipt")+SUMIFS(StockMovements!$E$2:$E$500,StockMovements!$B$2:$B$500,A253,StockMovements!$D$2:$D$500,"production_in")+SUMIFS(StockMovements!$E$2:$E$500,StockMovements!$B$2:$B$500,A253,StockMovements!$D$2:$D$500,"adjustment")-SUMIFS(StockMovements!$E$2:$E$500,StockMovements!$B$2:$B$500,A253,StockMovements!$D$2:$D$500,"issue")-SUMIFS(StockMovements!$E$2:$E$500,StockMovements!$B$2:$B$500,A253,StockMovements!$D$2:$D$500,"production_out")-SUMIFS(StockMovements!$E$2:$E$500,StockMovements!$B$2:$B$500,A253,StockMovements!$D$2:$D$500,"transfer")-SUMIFS(StockMovements!$E$2:$E$500,StockMovements!$B$2:$B$500,A253,StockMovements!$D$2:$D$500,"scrap"))</f>
        <v/>
      </c>
      <c r="E253" s="11">
        <f>IF(A253="","",Products!E253)</f>
        <v/>
      </c>
      <c r="F253" s="11">
        <f>IF(A253="","",D253*E253)</f>
        <v/>
      </c>
      <c r="G253" s="11">
        <f>IF(A253="","",Products!F253)</f>
        <v/>
      </c>
      <c r="H253" s="11">
        <f>IF(A253="","",IF(D253&lt;G253,"REORDER","OK"))</f>
        <v/>
      </c>
      <c r="I253" s="14">
        <f>IF(A253="","",IFERROR(_xlfn.MAXIFS(StockMovements!$A$2:$A$500,StockMovements!$B$2:$B$500,A253),0))</f>
        <v/>
      </c>
      <c r="J253" s="11">
        <f>IF(OR(A253="",I253=0),"",TODAY()-I253)</f>
        <v/>
      </c>
      <c r="K253" s="11">
        <f>IF(A253="","",IF(I253=0,"never moved",IF(J253&lt;=30,"0-30",IF(J253&lt;=60,"31-60",IF(J253&lt;=90,"61-90","90+")))))</f>
        <v/>
      </c>
    </row>
    <row r="254">
      <c r="A254" s="11">
        <f>Products!A254</f>
        <v/>
      </c>
      <c r="B254" s="11">
        <f>Products!B254</f>
        <v/>
      </c>
      <c r="C254" s="11">
        <f>Products!C254</f>
        <v/>
      </c>
      <c r="D254" s="11">
        <f>IF(A254="","",SUMIFS(StockMovements!$E$2:$E$500,StockMovements!$B$2:$B$500,A254,StockMovements!$D$2:$D$500,"receipt")+SUMIFS(StockMovements!$E$2:$E$500,StockMovements!$B$2:$B$500,A254,StockMovements!$D$2:$D$500,"production_in")+SUMIFS(StockMovements!$E$2:$E$500,StockMovements!$B$2:$B$500,A254,StockMovements!$D$2:$D$500,"adjustment")-SUMIFS(StockMovements!$E$2:$E$500,StockMovements!$B$2:$B$500,A254,StockMovements!$D$2:$D$500,"issue")-SUMIFS(StockMovements!$E$2:$E$500,StockMovements!$B$2:$B$500,A254,StockMovements!$D$2:$D$500,"production_out")-SUMIFS(StockMovements!$E$2:$E$500,StockMovements!$B$2:$B$500,A254,StockMovements!$D$2:$D$500,"transfer")-SUMIFS(StockMovements!$E$2:$E$500,StockMovements!$B$2:$B$500,A254,StockMovements!$D$2:$D$500,"scrap"))</f>
        <v/>
      </c>
      <c r="E254" s="11">
        <f>IF(A254="","",Products!E254)</f>
        <v/>
      </c>
      <c r="F254" s="11">
        <f>IF(A254="","",D254*E254)</f>
        <v/>
      </c>
      <c r="G254" s="11">
        <f>IF(A254="","",Products!F254)</f>
        <v/>
      </c>
      <c r="H254" s="11">
        <f>IF(A254="","",IF(D254&lt;G254,"REORDER","OK"))</f>
        <v/>
      </c>
      <c r="I254" s="14">
        <f>IF(A254="","",IFERROR(_xlfn.MAXIFS(StockMovements!$A$2:$A$500,StockMovements!$B$2:$B$500,A254),0))</f>
        <v/>
      </c>
      <c r="J254" s="11">
        <f>IF(OR(A254="",I254=0),"",TODAY()-I254)</f>
        <v/>
      </c>
      <c r="K254" s="11">
        <f>IF(A254="","",IF(I254=0,"never moved",IF(J254&lt;=30,"0-30",IF(J254&lt;=60,"31-60",IF(J254&lt;=90,"61-90","90+")))))</f>
        <v/>
      </c>
    </row>
    <row r="255">
      <c r="A255" s="11">
        <f>Products!A255</f>
        <v/>
      </c>
      <c r="B255" s="11">
        <f>Products!B255</f>
        <v/>
      </c>
      <c r="C255" s="11">
        <f>Products!C255</f>
        <v/>
      </c>
      <c r="D255" s="11">
        <f>IF(A255="","",SUMIFS(StockMovements!$E$2:$E$500,StockMovements!$B$2:$B$500,A255,StockMovements!$D$2:$D$500,"receipt")+SUMIFS(StockMovements!$E$2:$E$500,StockMovements!$B$2:$B$500,A255,StockMovements!$D$2:$D$500,"production_in")+SUMIFS(StockMovements!$E$2:$E$500,StockMovements!$B$2:$B$500,A255,StockMovements!$D$2:$D$500,"adjustment")-SUMIFS(StockMovements!$E$2:$E$500,StockMovements!$B$2:$B$500,A255,StockMovements!$D$2:$D$500,"issue")-SUMIFS(StockMovements!$E$2:$E$500,StockMovements!$B$2:$B$500,A255,StockMovements!$D$2:$D$500,"production_out")-SUMIFS(StockMovements!$E$2:$E$500,StockMovements!$B$2:$B$500,A255,StockMovements!$D$2:$D$500,"transfer")-SUMIFS(StockMovements!$E$2:$E$500,StockMovements!$B$2:$B$500,A255,StockMovements!$D$2:$D$500,"scrap"))</f>
        <v/>
      </c>
      <c r="E255" s="11">
        <f>IF(A255="","",Products!E255)</f>
        <v/>
      </c>
      <c r="F255" s="11">
        <f>IF(A255="","",D255*E255)</f>
        <v/>
      </c>
      <c r="G255" s="11">
        <f>IF(A255="","",Products!F255)</f>
        <v/>
      </c>
      <c r="H255" s="11">
        <f>IF(A255="","",IF(D255&lt;G255,"REORDER","OK"))</f>
        <v/>
      </c>
      <c r="I255" s="14">
        <f>IF(A255="","",IFERROR(_xlfn.MAXIFS(StockMovements!$A$2:$A$500,StockMovements!$B$2:$B$500,A255),0))</f>
        <v/>
      </c>
      <c r="J255" s="11">
        <f>IF(OR(A255="",I255=0),"",TODAY()-I255)</f>
        <v/>
      </c>
      <c r="K255" s="11">
        <f>IF(A255="","",IF(I255=0,"never moved",IF(J255&lt;=30,"0-30",IF(J255&lt;=60,"31-60",IF(J255&lt;=90,"61-90","90+")))))</f>
        <v/>
      </c>
    </row>
    <row r="256">
      <c r="A256" s="11">
        <f>Products!A256</f>
        <v/>
      </c>
      <c r="B256" s="11">
        <f>Products!B256</f>
        <v/>
      </c>
      <c r="C256" s="11">
        <f>Products!C256</f>
        <v/>
      </c>
      <c r="D256" s="11">
        <f>IF(A256="","",SUMIFS(StockMovements!$E$2:$E$500,StockMovements!$B$2:$B$500,A256,StockMovements!$D$2:$D$500,"receipt")+SUMIFS(StockMovements!$E$2:$E$500,StockMovements!$B$2:$B$500,A256,StockMovements!$D$2:$D$500,"production_in")+SUMIFS(StockMovements!$E$2:$E$500,StockMovements!$B$2:$B$500,A256,StockMovements!$D$2:$D$500,"adjustment")-SUMIFS(StockMovements!$E$2:$E$500,StockMovements!$B$2:$B$500,A256,StockMovements!$D$2:$D$500,"issue")-SUMIFS(StockMovements!$E$2:$E$500,StockMovements!$B$2:$B$500,A256,StockMovements!$D$2:$D$500,"production_out")-SUMIFS(StockMovements!$E$2:$E$500,StockMovements!$B$2:$B$500,A256,StockMovements!$D$2:$D$500,"transfer")-SUMIFS(StockMovements!$E$2:$E$500,StockMovements!$B$2:$B$500,A256,StockMovements!$D$2:$D$500,"scrap"))</f>
        <v/>
      </c>
      <c r="E256" s="11">
        <f>IF(A256="","",Products!E256)</f>
        <v/>
      </c>
      <c r="F256" s="11">
        <f>IF(A256="","",D256*E256)</f>
        <v/>
      </c>
      <c r="G256" s="11">
        <f>IF(A256="","",Products!F256)</f>
        <v/>
      </c>
      <c r="H256" s="11">
        <f>IF(A256="","",IF(D256&lt;G256,"REORDER","OK"))</f>
        <v/>
      </c>
      <c r="I256" s="14">
        <f>IF(A256="","",IFERROR(_xlfn.MAXIFS(StockMovements!$A$2:$A$500,StockMovements!$B$2:$B$500,A256),0))</f>
        <v/>
      </c>
      <c r="J256" s="11">
        <f>IF(OR(A256="",I256=0),"",TODAY()-I256)</f>
        <v/>
      </c>
      <c r="K256" s="11">
        <f>IF(A256="","",IF(I256=0,"never moved",IF(J256&lt;=30,"0-30",IF(J256&lt;=60,"31-60",IF(J256&lt;=90,"61-90","90+")))))</f>
        <v/>
      </c>
    </row>
    <row r="257">
      <c r="A257" s="11">
        <f>Products!A257</f>
        <v/>
      </c>
      <c r="B257" s="11">
        <f>Products!B257</f>
        <v/>
      </c>
      <c r="C257" s="11">
        <f>Products!C257</f>
        <v/>
      </c>
      <c r="D257" s="11">
        <f>IF(A257="","",SUMIFS(StockMovements!$E$2:$E$500,StockMovements!$B$2:$B$500,A257,StockMovements!$D$2:$D$500,"receipt")+SUMIFS(StockMovements!$E$2:$E$500,StockMovements!$B$2:$B$500,A257,StockMovements!$D$2:$D$500,"production_in")+SUMIFS(StockMovements!$E$2:$E$500,StockMovements!$B$2:$B$500,A257,StockMovements!$D$2:$D$500,"adjustment")-SUMIFS(StockMovements!$E$2:$E$500,StockMovements!$B$2:$B$500,A257,StockMovements!$D$2:$D$500,"issue")-SUMIFS(StockMovements!$E$2:$E$500,StockMovements!$B$2:$B$500,A257,StockMovements!$D$2:$D$500,"production_out")-SUMIFS(StockMovements!$E$2:$E$500,StockMovements!$B$2:$B$500,A257,StockMovements!$D$2:$D$500,"transfer")-SUMIFS(StockMovements!$E$2:$E$500,StockMovements!$B$2:$B$500,A257,StockMovements!$D$2:$D$500,"scrap"))</f>
        <v/>
      </c>
      <c r="E257" s="11">
        <f>IF(A257="","",Products!E257)</f>
        <v/>
      </c>
      <c r="F257" s="11">
        <f>IF(A257="","",D257*E257)</f>
        <v/>
      </c>
      <c r="G257" s="11">
        <f>IF(A257="","",Products!F257)</f>
        <v/>
      </c>
      <c r="H257" s="11">
        <f>IF(A257="","",IF(D257&lt;G257,"REORDER","OK"))</f>
        <v/>
      </c>
      <c r="I257" s="14">
        <f>IF(A257="","",IFERROR(_xlfn.MAXIFS(StockMovements!$A$2:$A$500,StockMovements!$B$2:$B$500,A257),0))</f>
        <v/>
      </c>
      <c r="J257" s="11">
        <f>IF(OR(A257="",I257=0),"",TODAY()-I257)</f>
        <v/>
      </c>
      <c r="K257" s="11">
        <f>IF(A257="","",IF(I257=0,"never moved",IF(J257&lt;=30,"0-30",IF(J257&lt;=60,"31-60",IF(J257&lt;=90,"61-90","90+")))))</f>
        <v/>
      </c>
    </row>
    <row r="258">
      <c r="A258" s="11">
        <f>Products!A258</f>
        <v/>
      </c>
      <c r="B258" s="11">
        <f>Products!B258</f>
        <v/>
      </c>
      <c r="C258" s="11">
        <f>Products!C258</f>
        <v/>
      </c>
      <c r="D258" s="11">
        <f>IF(A258="","",SUMIFS(StockMovements!$E$2:$E$500,StockMovements!$B$2:$B$500,A258,StockMovements!$D$2:$D$500,"receipt")+SUMIFS(StockMovements!$E$2:$E$500,StockMovements!$B$2:$B$500,A258,StockMovements!$D$2:$D$500,"production_in")+SUMIFS(StockMovements!$E$2:$E$500,StockMovements!$B$2:$B$500,A258,StockMovements!$D$2:$D$500,"adjustment")-SUMIFS(StockMovements!$E$2:$E$500,StockMovements!$B$2:$B$500,A258,StockMovements!$D$2:$D$500,"issue")-SUMIFS(StockMovements!$E$2:$E$500,StockMovements!$B$2:$B$500,A258,StockMovements!$D$2:$D$500,"production_out")-SUMIFS(StockMovements!$E$2:$E$500,StockMovements!$B$2:$B$500,A258,StockMovements!$D$2:$D$500,"transfer")-SUMIFS(StockMovements!$E$2:$E$500,StockMovements!$B$2:$B$500,A258,StockMovements!$D$2:$D$500,"scrap"))</f>
        <v/>
      </c>
      <c r="E258" s="11">
        <f>IF(A258="","",Products!E258)</f>
        <v/>
      </c>
      <c r="F258" s="11">
        <f>IF(A258="","",D258*E258)</f>
        <v/>
      </c>
      <c r="G258" s="11">
        <f>IF(A258="","",Products!F258)</f>
        <v/>
      </c>
      <c r="H258" s="11">
        <f>IF(A258="","",IF(D258&lt;G258,"REORDER","OK"))</f>
        <v/>
      </c>
      <c r="I258" s="14">
        <f>IF(A258="","",IFERROR(_xlfn.MAXIFS(StockMovements!$A$2:$A$500,StockMovements!$B$2:$B$500,A258),0))</f>
        <v/>
      </c>
      <c r="J258" s="11">
        <f>IF(OR(A258="",I258=0),"",TODAY()-I258)</f>
        <v/>
      </c>
      <c r="K258" s="11">
        <f>IF(A258="","",IF(I258=0,"never moved",IF(J258&lt;=30,"0-30",IF(J258&lt;=60,"31-60",IF(J258&lt;=90,"61-90","90+")))))</f>
        <v/>
      </c>
    </row>
    <row r="259">
      <c r="A259" s="11">
        <f>Products!A259</f>
        <v/>
      </c>
      <c r="B259" s="11">
        <f>Products!B259</f>
        <v/>
      </c>
      <c r="C259" s="11">
        <f>Products!C259</f>
        <v/>
      </c>
      <c r="D259" s="11">
        <f>IF(A259="","",SUMIFS(StockMovements!$E$2:$E$500,StockMovements!$B$2:$B$500,A259,StockMovements!$D$2:$D$500,"receipt")+SUMIFS(StockMovements!$E$2:$E$500,StockMovements!$B$2:$B$500,A259,StockMovements!$D$2:$D$500,"production_in")+SUMIFS(StockMovements!$E$2:$E$500,StockMovements!$B$2:$B$500,A259,StockMovements!$D$2:$D$500,"adjustment")-SUMIFS(StockMovements!$E$2:$E$500,StockMovements!$B$2:$B$500,A259,StockMovements!$D$2:$D$500,"issue")-SUMIFS(StockMovements!$E$2:$E$500,StockMovements!$B$2:$B$500,A259,StockMovements!$D$2:$D$500,"production_out")-SUMIFS(StockMovements!$E$2:$E$500,StockMovements!$B$2:$B$500,A259,StockMovements!$D$2:$D$500,"transfer")-SUMIFS(StockMovements!$E$2:$E$500,StockMovements!$B$2:$B$500,A259,StockMovements!$D$2:$D$500,"scrap"))</f>
        <v/>
      </c>
      <c r="E259" s="11">
        <f>IF(A259="","",Products!E259)</f>
        <v/>
      </c>
      <c r="F259" s="11">
        <f>IF(A259="","",D259*E259)</f>
        <v/>
      </c>
      <c r="G259" s="11">
        <f>IF(A259="","",Products!F259)</f>
        <v/>
      </c>
      <c r="H259" s="11">
        <f>IF(A259="","",IF(D259&lt;G259,"REORDER","OK"))</f>
        <v/>
      </c>
      <c r="I259" s="14">
        <f>IF(A259="","",IFERROR(_xlfn.MAXIFS(StockMovements!$A$2:$A$500,StockMovements!$B$2:$B$500,A259),0))</f>
        <v/>
      </c>
      <c r="J259" s="11">
        <f>IF(OR(A259="",I259=0),"",TODAY()-I259)</f>
        <v/>
      </c>
      <c r="K259" s="11">
        <f>IF(A259="","",IF(I259=0,"never moved",IF(J259&lt;=30,"0-30",IF(J259&lt;=60,"31-60",IF(J259&lt;=90,"61-90","90+")))))</f>
        <v/>
      </c>
    </row>
    <row r="260">
      <c r="A260" s="11">
        <f>Products!A260</f>
        <v/>
      </c>
      <c r="B260" s="11">
        <f>Products!B260</f>
        <v/>
      </c>
      <c r="C260" s="11">
        <f>Products!C260</f>
        <v/>
      </c>
      <c r="D260" s="11">
        <f>IF(A260="","",SUMIFS(StockMovements!$E$2:$E$500,StockMovements!$B$2:$B$500,A260,StockMovements!$D$2:$D$500,"receipt")+SUMIFS(StockMovements!$E$2:$E$500,StockMovements!$B$2:$B$500,A260,StockMovements!$D$2:$D$500,"production_in")+SUMIFS(StockMovements!$E$2:$E$500,StockMovements!$B$2:$B$500,A260,StockMovements!$D$2:$D$500,"adjustment")-SUMIFS(StockMovements!$E$2:$E$500,StockMovements!$B$2:$B$500,A260,StockMovements!$D$2:$D$500,"issue")-SUMIFS(StockMovements!$E$2:$E$500,StockMovements!$B$2:$B$500,A260,StockMovements!$D$2:$D$500,"production_out")-SUMIFS(StockMovements!$E$2:$E$500,StockMovements!$B$2:$B$500,A260,StockMovements!$D$2:$D$500,"transfer")-SUMIFS(StockMovements!$E$2:$E$500,StockMovements!$B$2:$B$500,A260,StockMovements!$D$2:$D$500,"scrap"))</f>
        <v/>
      </c>
      <c r="E260" s="11">
        <f>IF(A260="","",Products!E260)</f>
        <v/>
      </c>
      <c r="F260" s="11">
        <f>IF(A260="","",D260*E260)</f>
        <v/>
      </c>
      <c r="G260" s="11">
        <f>IF(A260="","",Products!F260)</f>
        <v/>
      </c>
      <c r="H260" s="11">
        <f>IF(A260="","",IF(D260&lt;G260,"REORDER","OK"))</f>
        <v/>
      </c>
      <c r="I260" s="14">
        <f>IF(A260="","",IFERROR(_xlfn.MAXIFS(StockMovements!$A$2:$A$500,StockMovements!$B$2:$B$500,A260),0))</f>
        <v/>
      </c>
      <c r="J260" s="11">
        <f>IF(OR(A260="",I260=0),"",TODAY()-I260)</f>
        <v/>
      </c>
      <c r="K260" s="11">
        <f>IF(A260="","",IF(I260=0,"never moved",IF(J260&lt;=30,"0-30",IF(J260&lt;=60,"31-60",IF(J260&lt;=90,"61-90","90+")))))</f>
        <v/>
      </c>
    </row>
    <row r="261">
      <c r="A261" s="11">
        <f>Products!A261</f>
        <v/>
      </c>
      <c r="B261" s="11">
        <f>Products!B261</f>
        <v/>
      </c>
      <c r="C261" s="11">
        <f>Products!C261</f>
        <v/>
      </c>
      <c r="D261" s="11">
        <f>IF(A261="","",SUMIFS(StockMovements!$E$2:$E$500,StockMovements!$B$2:$B$500,A261,StockMovements!$D$2:$D$500,"receipt")+SUMIFS(StockMovements!$E$2:$E$500,StockMovements!$B$2:$B$500,A261,StockMovements!$D$2:$D$500,"production_in")+SUMIFS(StockMovements!$E$2:$E$500,StockMovements!$B$2:$B$500,A261,StockMovements!$D$2:$D$500,"adjustment")-SUMIFS(StockMovements!$E$2:$E$500,StockMovements!$B$2:$B$500,A261,StockMovements!$D$2:$D$500,"issue")-SUMIFS(StockMovements!$E$2:$E$500,StockMovements!$B$2:$B$500,A261,StockMovements!$D$2:$D$500,"production_out")-SUMIFS(StockMovements!$E$2:$E$500,StockMovements!$B$2:$B$500,A261,StockMovements!$D$2:$D$500,"transfer")-SUMIFS(StockMovements!$E$2:$E$500,StockMovements!$B$2:$B$500,A261,StockMovements!$D$2:$D$500,"scrap"))</f>
        <v/>
      </c>
      <c r="E261" s="11">
        <f>IF(A261="","",Products!E261)</f>
        <v/>
      </c>
      <c r="F261" s="11">
        <f>IF(A261="","",D261*E261)</f>
        <v/>
      </c>
      <c r="G261" s="11">
        <f>IF(A261="","",Products!F261)</f>
        <v/>
      </c>
      <c r="H261" s="11">
        <f>IF(A261="","",IF(D261&lt;G261,"REORDER","OK"))</f>
        <v/>
      </c>
      <c r="I261" s="14">
        <f>IF(A261="","",IFERROR(_xlfn.MAXIFS(StockMovements!$A$2:$A$500,StockMovements!$B$2:$B$500,A261),0))</f>
        <v/>
      </c>
      <c r="J261" s="11">
        <f>IF(OR(A261="",I261=0),"",TODAY()-I261)</f>
        <v/>
      </c>
      <c r="K261" s="11">
        <f>IF(A261="","",IF(I261=0,"never moved",IF(J261&lt;=30,"0-30",IF(J261&lt;=60,"31-60",IF(J261&lt;=90,"61-90","90+")))))</f>
        <v/>
      </c>
    </row>
    <row r="262">
      <c r="A262" s="11">
        <f>Products!A262</f>
        <v/>
      </c>
      <c r="B262" s="11">
        <f>Products!B262</f>
        <v/>
      </c>
      <c r="C262" s="11">
        <f>Products!C262</f>
        <v/>
      </c>
      <c r="D262" s="11">
        <f>IF(A262="","",SUMIFS(StockMovements!$E$2:$E$500,StockMovements!$B$2:$B$500,A262,StockMovements!$D$2:$D$500,"receipt")+SUMIFS(StockMovements!$E$2:$E$500,StockMovements!$B$2:$B$500,A262,StockMovements!$D$2:$D$500,"production_in")+SUMIFS(StockMovements!$E$2:$E$500,StockMovements!$B$2:$B$500,A262,StockMovements!$D$2:$D$500,"adjustment")-SUMIFS(StockMovements!$E$2:$E$500,StockMovements!$B$2:$B$500,A262,StockMovements!$D$2:$D$500,"issue")-SUMIFS(StockMovements!$E$2:$E$500,StockMovements!$B$2:$B$500,A262,StockMovements!$D$2:$D$500,"production_out")-SUMIFS(StockMovements!$E$2:$E$500,StockMovements!$B$2:$B$500,A262,StockMovements!$D$2:$D$500,"transfer")-SUMIFS(StockMovements!$E$2:$E$500,StockMovements!$B$2:$B$500,A262,StockMovements!$D$2:$D$500,"scrap"))</f>
        <v/>
      </c>
      <c r="E262" s="11">
        <f>IF(A262="","",Products!E262)</f>
        <v/>
      </c>
      <c r="F262" s="11">
        <f>IF(A262="","",D262*E262)</f>
        <v/>
      </c>
      <c r="G262" s="11">
        <f>IF(A262="","",Products!F262)</f>
        <v/>
      </c>
      <c r="H262" s="11">
        <f>IF(A262="","",IF(D262&lt;G262,"REORDER","OK"))</f>
        <v/>
      </c>
      <c r="I262" s="14">
        <f>IF(A262="","",IFERROR(_xlfn.MAXIFS(StockMovements!$A$2:$A$500,StockMovements!$B$2:$B$500,A262),0))</f>
        <v/>
      </c>
      <c r="J262" s="11">
        <f>IF(OR(A262="",I262=0),"",TODAY()-I262)</f>
        <v/>
      </c>
      <c r="K262" s="11">
        <f>IF(A262="","",IF(I262=0,"never moved",IF(J262&lt;=30,"0-30",IF(J262&lt;=60,"31-60",IF(J262&lt;=90,"61-90","90+")))))</f>
        <v/>
      </c>
    </row>
    <row r="263">
      <c r="A263" s="11">
        <f>Products!A263</f>
        <v/>
      </c>
      <c r="B263" s="11">
        <f>Products!B263</f>
        <v/>
      </c>
      <c r="C263" s="11">
        <f>Products!C263</f>
        <v/>
      </c>
      <c r="D263" s="11">
        <f>IF(A263="","",SUMIFS(StockMovements!$E$2:$E$500,StockMovements!$B$2:$B$500,A263,StockMovements!$D$2:$D$500,"receipt")+SUMIFS(StockMovements!$E$2:$E$500,StockMovements!$B$2:$B$500,A263,StockMovements!$D$2:$D$500,"production_in")+SUMIFS(StockMovements!$E$2:$E$500,StockMovements!$B$2:$B$500,A263,StockMovements!$D$2:$D$500,"adjustment")-SUMIFS(StockMovements!$E$2:$E$500,StockMovements!$B$2:$B$500,A263,StockMovements!$D$2:$D$500,"issue")-SUMIFS(StockMovements!$E$2:$E$500,StockMovements!$B$2:$B$500,A263,StockMovements!$D$2:$D$500,"production_out")-SUMIFS(StockMovements!$E$2:$E$500,StockMovements!$B$2:$B$500,A263,StockMovements!$D$2:$D$500,"transfer")-SUMIFS(StockMovements!$E$2:$E$500,StockMovements!$B$2:$B$500,A263,StockMovements!$D$2:$D$500,"scrap"))</f>
        <v/>
      </c>
      <c r="E263" s="11">
        <f>IF(A263="","",Products!E263)</f>
        <v/>
      </c>
      <c r="F263" s="11">
        <f>IF(A263="","",D263*E263)</f>
        <v/>
      </c>
      <c r="G263" s="11">
        <f>IF(A263="","",Products!F263)</f>
        <v/>
      </c>
      <c r="H263" s="11">
        <f>IF(A263="","",IF(D263&lt;G263,"REORDER","OK"))</f>
        <v/>
      </c>
      <c r="I263" s="14">
        <f>IF(A263="","",IFERROR(_xlfn.MAXIFS(StockMovements!$A$2:$A$500,StockMovements!$B$2:$B$500,A263),0))</f>
        <v/>
      </c>
      <c r="J263" s="11">
        <f>IF(OR(A263="",I263=0),"",TODAY()-I263)</f>
        <v/>
      </c>
      <c r="K263" s="11">
        <f>IF(A263="","",IF(I263=0,"never moved",IF(J263&lt;=30,"0-30",IF(J263&lt;=60,"31-60",IF(J263&lt;=90,"61-90","90+")))))</f>
        <v/>
      </c>
    </row>
    <row r="264">
      <c r="A264" s="11">
        <f>Products!A264</f>
        <v/>
      </c>
      <c r="B264" s="11">
        <f>Products!B264</f>
        <v/>
      </c>
      <c r="C264" s="11">
        <f>Products!C264</f>
        <v/>
      </c>
      <c r="D264" s="11">
        <f>IF(A264="","",SUMIFS(StockMovements!$E$2:$E$500,StockMovements!$B$2:$B$500,A264,StockMovements!$D$2:$D$500,"receipt")+SUMIFS(StockMovements!$E$2:$E$500,StockMovements!$B$2:$B$500,A264,StockMovements!$D$2:$D$500,"production_in")+SUMIFS(StockMovements!$E$2:$E$500,StockMovements!$B$2:$B$500,A264,StockMovements!$D$2:$D$500,"adjustment")-SUMIFS(StockMovements!$E$2:$E$500,StockMovements!$B$2:$B$500,A264,StockMovements!$D$2:$D$500,"issue")-SUMIFS(StockMovements!$E$2:$E$500,StockMovements!$B$2:$B$500,A264,StockMovements!$D$2:$D$500,"production_out")-SUMIFS(StockMovements!$E$2:$E$500,StockMovements!$B$2:$B$500,A264,StockMovements!$D$2:$D$500,"transfer")-SUMIFS(StockMovements!$E$2:$E$500,StockMovements!$B$2:$B$500,A264,StockMovements!$D$2:$D$500,"scrap"))</f>
        <v/>
      </c>
      <c r="E264" s="11">
        <f>IF(A264="","",Products!E264)</f>
        <v/>
      </c>
      <c r="F264" s="11">
        <f>IF(A264="","",D264*E264)</f>
        <v/>
      </c>
      <c r="G264" s="11">
        <f>IF(A264="","",Products!F264)</f>
        <v/>
      </c>
      <c r="H264" s="11">
        <f>IF(A264="","",IF(D264&lt;G264,"REORDER","OK"))</f>
        <v/>
      </c>
      <c r="I264" s="14">
        <f>IF(A264="","",IFERROR(_xlfn.MAXIFS(StockMovements!$A$2:$A$500,StockMovements!$B$2:$B$500,A264),0))</f>
        <v/>
      </c>
      <c r="J264" s="11">
        <f>IF(OR(A264="",I264=0),"",TODAY()-I264)</f>
        <v/>
      </c>
      <c r="K264" s="11">
        <f>IF(A264="","",IF(I264=0,"never moved",IF(J264&lt;=30,"0-30",IF(J264&lt;=60,"31-60",IF(J264&lt;=90,"61-90","90+")))))</f>
        <v/>
      </c>
    </row>
    <row r="265">
      <c r="A265" s="11">
        <f>Products!A265</f>
        <v/>
      </c>
      <c r="B265" s="11">
        <f>Products!B265</f>
        <v/>
      </c>
      <c r="C265" s="11">
        <f>Products!C265</f>
        <v/>
      </c>
      <c r="D265" s="11">
        <f>IF(A265="","",SUMIFS(StockMovements!$E$2:$E$500,StockMovements!$B$2:$B$500,A265,StockMovements!$D$2:$D$500,"receipt")+SUMIFS(StockMovements!$E$2:$E$500,StockMovements!$B$2:$B$500,A265,StockMovements!$D$2:$D$500,"production_in")+SUMIFS(StockMovements!$E$2:$E$500,StockMovements!$B$2:$B$500,A265,StockMovements!$D$2:$D$500,"adjustment")-SUMIFS(StockMovements!$E$2:$E$500,StockMovements!$B$2:$B$500,A265,StockMovements!$D$2:$D$500,"issue")-SUMIFS(StockMovements!$E$2:$E$500,StockMovements!$B$2:$B$500,A265,StockMovements!$D$2:$D$500,"production_out")-SUMIFS(StockMovements!$E$2:$E$500,StockMovements!$B$2:$B$500,A265,StockMovements!$D$2:$D$500,"transfer")-SUMIFS(StockMovements!$E$2:$E$500,StockMovements!$B$2:$B$500,A265,StockMovements!$D$2:$D$500,"scrap"))</f>
        <v/>
      </c>
      <c r="E265" s="11">
        <f>IF(A265="","",Products!E265)</f>
        <v/>
      </c>
      <c r="F265" s="11">
        <f>IF(A265="","",D265*E265)</f>
        <v/>
      </c>
      <c r="G265" s="11">
        <f>IF(A265="","",Products!F265)</f>
        <v/>
      </c>
      <c r="H265" s="11">
        <f>IF(A265="","",IF(D265&lt;G265,"REORDER","OK"))</f>
        <v/>
      </c>
      <c r="I265" s="14">
        <f>IF(A265="","",IFERROR(_xlfn.MAXIFS(StockMovements!$A$2:$A$500,StockMovements!$B$2:$B$500,A265),0))</f>
        <v/>
      </c>
      <c r="J265" s="11">
        <f>IF(OR(A265="",I265=0),"",TODAY()-I265)</f>
        <v/>
      </c>
      <c r="K265" s="11">
        <f>IF(A265="","",IF(I265=0,"never moved",IF(J265&lt;=30,"0-30",IF(J265&lt;=60,"31-60",IF(J265&lt;=90,"61-90","90+")))))</f>
        <v/>
      </c>
    </row>
    <row r="266">
      <c r="A266" s="11">
        <f>Products!A266</f>
        <v/>
      </c>
      <c r="B266" s="11">
        <f>Products!B266</f>
        <v/>
      </c>
      <c r="C266" s="11">
        <f>Products!C266</f>
        <v/>
      </c>
      <c r="D266" s="11">
        <f>IF(A266="","",SUMIFS(StockMovements!$E$2:$E$500,StockMovements!$B$2:$B$500,A266,StockMovements!$D$2:$D$500,"receipt")+SUMIFS(StockMovements!$E$2:$E$500,StockMovements!$B$2:$B$500,A266,StockMovements!$D$2:$D$500,"production_in")+SUMIFS(StockMovements!$E$2:$E$500,StockMovements!$B$2:$B$500,A266,StockMovements!$D$2:$D$500,"adjustment")-SUMIFS(StockMovements!$E$2:$E$500,StockMovements!$B$2:$B$500,A266,StockMovements!$D$2:$D$500,"issue")-SUMIFS(StockMovements!$E$2:$E$500,StockMovements!$B$2:$B$500,A266,StockMovements!$D$2:$D$500,"production_out")-SUMIFS(StockMovements!$E$2:$E$500,StockMovements!$B$2:$B$500,A266,StockMovements!$D$2:$D$500,"transfer")-SUMIFS(StockMovements!$E$2:$E$500,StockMovements!$B$2:$B$500,A266,StockMovements!$D$2:$D$500,"scrap"))</f>
        <v/>
      </c>
      <c r="E266" s="11">
        <f>IF(A266="","",Products!E266)</f>
        <v/>
      </c>
      <c r="F266" s="11">
        <f>IF(A266="","",D266*E266)</f>
        <v/>
      </c>
      <c r="G266" s="11">
        <f>IF(A266="","",Products!F266)</f>
        <v/>
      </c>
      <c r="H266" s="11">
        <f>IF(A266="","",IF(D266&lt;G266,"REORDER","OK"))</f>
        <v/>
      </c>
      <c r="I266" s="14">
        <f>IF(A266="","",IFERROR(_xlfn.MAXIFS(StockMovements!$A$2:$A$500,StockMovements!$B$2:$B$500,A266),0))</f>
        <v/>
      </c>
      <c r="J266" s="11">
        <f>IF(OR(A266="",I266=0),"",TODAY()-I266)</f>
        <v/>
      </c>
      <c r="K266" s="11">
        <f>IF(A266="","",IF(I266=0,"never moved",IF(J266&lt;=30,"0-30",IF(J266&lt;=60,"31-60",IF(J266&lt;=90,"61-90","90+")))))</f>
        <v/>
      </c>
    </row>
    <row r="267">
      <c r="A267" s="11">
        <f>Products!A267</f>
        <v/>
      </c>
      <c r="B267" s="11">
        <f>Products!B267</f>
        <v/>
      </c>
      <c r="C267" s="11">
        <f>Products!C267</f>
        <v/>
      </c>
      <c r="D267" s="11">
        <f>IF(A267="","",SUMIFS(StockMovements!$E$2:$E$500,StockMovements!$B$2:$B$500,A267,StockMovements!$D$2:$D$500,"receipt")+SUMIFS(StockMovements!$E$2:$E$500,StockMovements!$B$2:$B$500,A267,StockMovements!$D$2:$D$500,"production_in")+SUMIFS(StockMovements!$E$2:$E$500,StockMovements!$B$2:$B$500,A267,StockMovements!$D$2:$D$500,"adjustment")-SUMIFS(StockMovements!$E$2:$E$500,StockMovements!$B$2:$B$500,A267,StockMovements!$D$2:$D$500,"issue")-SUMIFS(StockMovements!$E$2:$E$500,StockMovements!$B$2:$B$500,A267,StockMovements!$D$2:$D$500,"production_out")-SUMIFS(StockMovements!$E$2:$E$500,StockMovements!$B$2:$B$500,A267,StockMovements!$D$2:$D$500,"transfer")-SUMIFS(StockMovements!$E$2:$E$500,StockMovements!$B$2:$B$500,A267,StockMovements!$D$2:$D$500,"scrap"))</f>
        <v/>
      </c>
      <c r="E267" s="11">
        <f>IF(A267="","",Products!E267)</f>
        <v/>
      </c>
      <c r="F267" s="11">
        <f>IF(A267="","",D267*E267)</f>
        <v/>
      </c>
      <c r="G267" s="11">
        <f>IF(A267="","",Products!F267)</f>
        <v/>
      </c>
      <c r="H267" s="11">
        <f>IF(A267="","",IF(D267&lt;G267,"REORDER","OK"))</f>
        <v/>
      </c>
      <c r="I267" s="14">
        <f>IF(A267="","",IFERROR(_xlfn.MAXIFS(StockMovements!$A$2:$A$500,StockMovements!$B$2:$B$500,A267),0))</f>
        <v/>
      </c>
      <c r="J267" s="11">
        <f>IF(OR(A267="",I267=0),"",TODAY()-I267)</f>
        <v/>
      </c>
      <c r="K267" s="11">
        <f>IF(A267="","",IF(I267=0,"never moved",IF(J267&lt;=30,"0-30",IF(J267&lt;=60,"31-60",IF(J267&lt;=90,"61-90","90+")))))</f>
        <v/>
      </c>
    </row>
    <row r="268">
      <c r="A268" s="11">
        <f>Products!A268</f>
        <v/>
      </c>
      <c r="B268" s="11">
        <f>Products!B268</f>
        <v/>
      </c>
      <c r="C268" s="11">
        <f>Products!C268</f>
        <v/>
      </c>
      <c r="D268" s="11">
        <f>IF(A268="","",SUMIFS(StockMovements!$E$2:$E$500,StockMovements!$B$2:$B$500,A268,StockMovements!$D$2:$D$500,"receipt")+SUMIFS(StockMovements!$E$2:$E$500,StockMovements!$B$2:$B$500,A268,StockMovements!$D$2:$D$500,"production_in")+SUMIFS(StockMovements!$E$2:$E$500,StockMovements!$B$2:$B$500,A268,StockMovements!$D$2:$D$500,"adjustment")-SUMIFS(StockMovements!$E$2:$E$500,StockMovements!$B$2:$B$500,A268,StockMovements!$D$2:$D$500,"issue")-SUMIFS(StockMovements!$E$2:$E$500,StockMovements!$B$2:$B$500,A268,StockMovements!$D$2:$D$500,"production_out")-SUMIFS(StockMovements!$E$2:$E$500,StockMovements!$B$2:$B$500,A268,StockMovements!$D$2:$D$500,"transfer")-SUMIFS(StockMovements!$E$2:$E$500,StockMovements!$B$2:$B$500,A268,StockMovements!$D$2:$D$500,"scrap"))</f>
        <v/>
      </c>
      <c r="E268" s="11">
        <f>IF(A268="","",Products!E268)</f>
        <v/>
      </c>
      <c r="F268" s="11">
        <f>IF(A268="","",D268*E268)</f>
        <v/>
      </c>
      <c r="G268" s="11">
        <f>IF(A268="","",Products!F268)</f>
        <v/>
      </c>
      <c r="H268" s="11">
        <f>IF(A268="","",IF(D268&lt;G268,"REORDER","OK"))</f>
        <v/>
      </c>
      <c r="I268" s="14">
        <f>IF(A268="","",IFERROR(_xlfn.MAXIFS(StockMovements!$A$2:$A$500,StockMovements!$B$2:$B$500,A268),0))</f>
        <v/>
      </c>
      <c r="J268" s="11">
        <f>IF(OR(A268="",I268=0),"",TODAY()-I268)</f>
        <v/>
      </c>
      <c r="K268" s="11">
        <f>IF(A268="","",IF(I268=0,"never moved",IF(J268&lt;=30,"0-30",IF(J268&lt;=60,"31-60",IF(J268&lt;=90,"61-90","90+")))))</f>
        <v/>
      </c>
    </row>
    <row r="269">
      <c r="A269" s="11">
        <f>Products!A269</f>
        <v/>
      </c>
      <c r="B269" s="11">
        <f>Products!B269</f>
        <v/>
      </c>
      <c r="C269" s="11">
        <f>Products!C269</f>
        <v/>
      </c>
      <c r="D269" s="11">
        <f>IF(A269="","",SUMIFS(StockMovements!$E$2:$E$500,StockMovements!$B$2:$B$500,A269,StockMovements!$D$2:$D$500,"receipt")+SUMIFS(StockMovements!$E$2:$E$500,StockMovements!$B$2:$B$500,A269,StockMovements!$D$2:$D$500,"production_in")+SUMIFS(StockMovements!$E$2:$E$500,StockMovements!$B$2:$B$500,A269,StockMovements!$D$2:$D$500,"adjustment")-SUMIFS(StockMovements!$E$2:$E$500,StockMovements!$B$2:$B$500,A269,StockMovements!$D$2:$D$500,"issue")-SUMIFS(StockMovements!$E$2:$E$500,StockMovements!$B$2:$B$500,A269,StockMovements!$D$2:$D$500,"production_out")-SUMIFS(StockMovements!$E$2:$E$500,StockMovements!$B$2:$B$500,A269,StockMovements!$D$2:$D$500,"transfer")-SUMIFS(StockMovements!$E$2:$E$500,StockMovements!$B$2:$B$500,A269,StockMovements!$D$2:$D$500,"scrap"))</f>
        <v/>
      </c>
      <c r="E269" s="11">
        <f>IF(A269="","",Products!E269)</f>
        <v/>
      </c>
      <c r="F269" s="11">
        <f>IF(A269="","",D269*E269)</f>
        <v/>
      </c>
      <c r="G269" s="11">
        <f>IF(A269="","",Products!F269)</f>
        <v/>
      </c>
      <c r="H269" s="11">
        <f>IF(A269="","",IF(D269&lt;G269,"REORDER","OK"))</f>
        <v/>
      </c>
      <c r="I269" s="14">
        <f>IF(A269="","",IFERROR(_xlfn.MAXIFS(StockMovements!$A$2:$A$500,StockMovements!$B$2:$B$500,A269),0))</f>
        <v/>
      </c>
      <c r="J269" s="11">
        <f>IF(OR(A269="",I269=0),"",TODAY()-I269)</f>
        <v/>
      </c>
      <c r="K269" s="11">
        <f>IF(A269="","",IF(I269=0,"never moved",IF(J269&lt;=30,"0-30",IF(J269&lt;=60,"31-60",IF(J269&lt;=90,"61-90","90+")))))</f>
        <v/>
      </c>
    </row>
    <row r="270">
      <c r="A270" s="11">
        <f>Products!A270</f>
        <v/>
      </c>
      <c r="B270" s="11">
        <f>Products!B270</f>
        <v/>
      </c>
      <c r="C270" s="11">
        <f>Products!C270</f>
        <v/>
      </c>
      <c r="D270" s="11">
        <f>IF(A270="","",SUMIFS(StockMovements!$E$2:$E$500,StockMovements!$B$2:$B$500,A270,StockMovements!$D$2:$D$500,"receipt")+SUMIFS(StockMovements!$E$2:$E$500,StockMovements!$B$2:$B$500,A270,StockMovements!$D$2:$D$500,"production_in")+SUMIFS(StockMovements!$E$2:$E$500,StockMovements!$B$2:$B$500,A270,StockMovements!$D$2:$D$500,"adjustment")-SUMIFS(StockMovements!$E$2:$E$500,StockMovements!$B$2:$B$500,A270,StockMovements!$D$2:$D$500,"issue")-SUMIFS(StockMovements!$E$2:$E$500,StockMovements!$B$2:$B$500,A270,StockMovements!$D$2:$D$500,"production_out")-SUMIFS(StockMovements!$E$2:$E$500,StockMovements!$B$2:$B$500,A270,StockMovements!$D$2:$D$500,"transfer")-SUMIFS(StockMovements!$E$2:$E$500,StockMovements!$B$2:$B$500,A270,StockMovements!$D$2:$D$500,"scrap"))</f>
        <v/>
      </c>
      <c r="E270" s="11">
        <f>IF(A270="","",Products!E270)</f>
        <v/>
      </c>
      <c r="F270" s="11">
        <f>IF(A270="","",D270*E270)</f>
        <v/>
      </c>
      <c r="G270" s="11">
        <f>IF(A270="","",Products!F270)</f>
        <v/>
      </c>
      <c r="H270" s="11">
        <f>IF(A270="","",IF(D270&lt;G270,"REORDER","OK"))</f>
        <v/>
      </c>
      <c r="I270" s="14">
        <f>IF(A270="","",IFERROR(_xlfn.MAXIFS(StockMovements!$A$2:$A$500,StockMovements!$B$2:$B$500,A270),0))</f>
        <v/>
      </c>
      <c r="J270" s="11">
        <f>IF(OR(A270="",I270=0),"",TODAY()-I270)</f>
        <v/>
      </c>
      <c r="K270" s="11">
        <f>IF(A270="","",IF(I270=0,"never moved",IF(J270&lt;=30,"0-30",IF(J270&lt;=60,"31-60",IF(J270&lt;=90,"61-90","90+")))))</f>
        <v/>
      </c>
    </row>
    <row r="271">
      <c r="A271" s="11">
        <f>Products!A271</f>
        <v/>
      </c>
      <c r="B271" s="11">
        <f>Products!B271</f>
        <v/>
      </c>
      <c r="C271" s="11">
        <f>Products!C271</f>
        <v/>
      </c>
      <c r="D271" s="11">
        <f>IF(A271="","",SUMIFS(StockMovements!$E$2:$E$500,StockMovements!$B$2:$B$500,A271,StockMovements!$D$2:$D$500,"receipt")+SUMIFS(StockMovements!$E$2:$E$500,StockMovements!$B$2:$B$500,A271,StockMovements!$D$2:$D$500,"production_in")+SUMIFS(StockMovements!$E$2:$E$500,StockMovements!$B$2:$B$500,A271,StockMovements!$D$2:$D$500,"adjustment")-SUMIFS(StockMovements!$E$2:$E$500,StockMovements!$B$2:$B$500,A271,StockMovements!$D$2:$D$500,"issue")-SUMIFS(StockMovements!$E$2:$E$500,StockMovements!$B$2:$B$500,A271,StockMovements!$D$2:$D$500,"production_out")-SUMIFS(StockMovements!$E$2:$E$500,StockMovements!$B$2:$B$500,A271,StockMovements!$D$2:$D$500,"transfer")-SUMIFS(StockMovements!$E$2:$E$500,StockMovements!$B$2:$B$500,A271,StockMovements!$D$2:$D$500,"scrap"))</f>
        <v/>
      </c>
      <c r="E271" s="11">
        <f>IF(A271="","",Products!E271)</f>
        <v/>
      </c>
      <c r="F271" s="11">
        <f>IF(A271="","",D271*E271)</f>
        <v/>
      </c>
      <c r="G271" s="11">
        <f>IF(A271="","",Products!F271)</f>
        <v/>
      </c>
      <c r="H271" s="11">
        <f>IF(A271="","",IF(D271&lt;G271,"REORDER","OK"))</f>
        <v/>
      </c>
      <c r="I271" s="14">
        <f>IF(A271="","",IFERROR(_xlfn.MAXIFS(StockMovements!$A$2:$A$500,StockMovements!$B$2:$B$500,A271),0))</f>
        <v/>
      </c>
      <c r="J271" s="11">
        <f>IF(OR(A271="",I271=0),"",TODAY()-I271)</f>
        <v/>
      </c>
      <c r="K271" s="11">
        <f>IF(A271="","",IF(I271=0,"never moved",IF(J271&lt;=30,"0-30",IF(J271&lt;=60,"31-60",IF(J271&lt;=90,"61-90","90+")))))</f>
        <v/>
      </c>
    </row>
    <row r="272">
      <c r="A272" s="11">
        <f>Products!A272</f>
        <v/>
      </c>
      <c r="B272" s="11">
        <f>Products!B272</f>
        <v/>
      </c>
      <c r="C272" s="11">
        <f>Products!C272</f>
        <v/>
      </c>
      <c r="D272" s="11">
        <f>IF(A272="","",SUMIFS(StockMovements!$E$2:$E$500,StockMovements!$B$2:$B$500,A272,StockMovements!$D$2:$D$500,"receipt")+SUMIFS(StockMovements!$E$2:$E$500,StockMovements!$B$2:$B$500,A272,StockMovements!$D$2:$D$500,"production_in")+SUMIFS(StockMovements!$E$2:$E$500,StockMovements!$B$2:$B$500,A272,StockMovements!$D$2:$D$500,"adjustment")-SUMIFS(StockMovements!$E$2:$E$500,StockMovements!$B$2:$B$500,A272,StockMovements!$D$2:$D$500,"issue")-SUMIFS(StockMovements!$E$2:$E$500,StockMovements!$B$2:$B$500,A272,StockMovements!$D$2:$D$500,"production_out")-SUMIFS(StockMovements!$E$2:$E$500,StockMovements!$B$2:$B$500,A272,StockMovements!$D$2:$D$500,"transfer")-SUMIFS(StockMovements!$E$2:$E$500,StockMovements!$B$2:$B$500,A272,StockMovements!$D$2:$D$500,"scrap"))</f>
        <v/>
      </c>
      <c r="E272" s="11">
        <f>IF(A272="","",Products!E272)</f>
        <v/>
      </c>
      <c r="F272" s="11">
        <f>IF(A272="","",D272*E272)</f>
        <v/>
      </c>
      <c r="G272" s="11">
        <f>IF(A272="","",Products!F272)</f>
        <v/>
      </c>
      <c r="H272" s="11">
        <f>IF(A272="","",IF(D272&lt;G272,"REORDER","OK"))</f>
        <v/>
      </c>
      <c r="I272" s="14">
        <f>IF(A272="","",IFERROR(_xlfn.MAXIFS(StockMovements!$A$2:$A$500,StockMovements!$B$2:$B$500,A272),0))</f>
        <v/>
      </c>
      <c r="J272" s="11">
        <f>IF(OR(A272="",I272=0),"",TODAY()-I272)</f>
        <v/>
      </c>
      <c r="K272" s="11">
        <f>IF(A272="","",IF(I272=0,"never moved",IF(J272&lt;=30,"0-30",IF(J272&lt;=60,"31-60",IF(J272&lt;=90,"61-90","90+")))))</f>
        <v/>
      </c>
    </row>
    <row r="273">
      <c r="A273" s="11">
        <f>Products!A273</f>
        <v/>
      </c>
      <c r="B273" s="11">
        <f>Products!B273</f>
        <v/>
      </c>
      <c r="C273" s="11">
        <f>Products!C273</f>
        <v/>
      </c>
      <c r="D273" s="11">
        <f>IF(A273="","",SUMIFS(StockMovements!$E$2:$E$500,StockMovements!$B$2:$B$500,A273,StockMovements!$D$2:$D$500,"receipt")+SUMIFS(StockMovements!$E$2:$E$500,StockMovements!$B$2:$B$500,A273,StockMovements!$D$2:$D$500,"production_in")+SUMIFS(StockMovements!$E$2:$E$500,StockMovements!$B$2:$B$500,A273,StockMovements!$D$2:$D$500,"adjustment")-SUMIFS(StockMovements!$E$2:$E$500,StockMovements!$B$2:$B$500,A273,StockMovements!$D$2:$D$500,"issue")-SUMIFS(StockMovements!$E$2:$E$500,StockMovements!$B$2:$B$500,A273,StockMovements!$D$2:$D$500,"production_out")-SUMIFS(StockMovements!$E$2:$E$500,StockMovements!$B$2:$B$500,A273,StockMovements!$D$2:$D$500,"transfer")-SUMIFS(StockMovements!$E$2:$E$500,StockMovements!$B$2:$B$500,A273,StockMovements!$D$2:$D$500,"scrap"))</f>
        <v/>
      </c>
      <c r="E273" s="11">
        <f>IF(A273="","",Products!E273)</f>
        <v/>
      </c>
      <c r="F273" s="11">
        <f>IF(A273="","",D273*E273)</f>
        <v/>
      </c>
      <c r="G273" s="11">
        <f>IF(A273="","",Products!F273)</f>
        <v/>
      </c>
      <c r="H273" s="11">
        <f>IF(A273="","",IF(D273&lt;G273,"REORDER","OK"))</f>
        <v/>
      </c>
      <c r="I273" s="14">
        <f>IF(A273="","",IFERROR(_xlfn.MAXIFS(StockMovements!$A$2:$A$500,StockMovements!$B$2:$B$500,A273),0))</f>
        <v/>
      </c>
      <c r="J273" s="11">
        <f>IF(OR(A273="",I273=0),"",TODAY()-I273)</f>
        <v/>
      </c>
      <c r="K273" s="11">
        <f>IF(A273="","",IF(I273=0,"never moved",IF(J273&lt;=30,"0-30",IF(J273&lt;=60,"31-60",IF(J273&lt;=90,"61-90","90+")))))</f>
        <v/>
      </c>
    </row>
    <row r="274">
      <c r="A274" s="11">
        <f>Products!A274</f>
        <v/>
      </c>
      <c r="B274" s="11">
        <f>Products!B274</f>
        <v/>
      </c>
      <c r="C274" s="11">
        <f>Products!C274</f>
        <v/>
      </c>
      <c r="D274" s="11">
        <f>IF(A274="","",SUMIFS(StockMovements!$E$2:$E$500,StockMovements!$B$2:$B$500,A274,StockMovements!$D$2:$D$500,"receipt")+SUMIFS(StockMovements!$E$2:$E$500,StockMovements!$B$2:$B$500,A274,StockMovements!$D$2:$D$500,"production_in")+SUMIFS(StockMovements!$E$2:$E$500,StockMovements!$B$2:$B$500,A274,StockMovements!$D$2:$D$500,"adjustment")-SUMIFS(StockMovements!$E$2:$E$500,StockMovements!$B$2:$B$500,A274,StockMovements!$D$2:$D$500,"issue")-SUMIFS(StockMovements!$E$2:$E$500,StockMovements!$B$2:$B$500,A274,StockMovements!$D$2:$D$500,"production_out")-SUMIFS(StockMovements!$E$2:$E$500,StockMovements!$B$2:$B$500,A274,StockMovements!$D$2:$D$500,"transfer")-SUMIFS(StockMovements!$E$2:$E$500,StockMovements!$B$2:$B$500,A274,StockMovements!$D$2:$D$500,"scrap"))</f>
        <v/>
      </c>
      <c r="E274" s="11">
        <f>IF(A274="","",Products!E274)</f>
        <v/>
      </c>
      <c r="F274" s="11">
        <f>IF(A274="","",D274*E274)</f>
        <v/>
      </c>
      <c r="G274" s="11">
        <f>IF(A274="","",Products!F274)</f>
        <v/>
      </c>
      <c r="H274" s="11">
        <f>IF(A274="","",IF(D274&lt;G274,"REORDER","OK"))</f>
        <v/>
      </c>
      <c r="I274" s="14">
        <f>IF(A274="","",IFERROR(_xlfn.MAXIFS(StockMovements!$A$2:$A$500,StockMovements!$B$2:$B$500,A274),0))</f>
        <v/>
      </c>
      <c r="J274" s="11">
        <f>IF(OR(A274="",I274=0),"",TODAY()-I274)</f>
        <v/>
      </c>
      <c r="K274" s="11">
        <f>IF(A274="","",IF(I274=0,"never moved",IF(J274&lt;=30,"0-30",IF(J274&lt;=60,"31-60",IF(J274&lt;=90,"61-90","90+")))))</f>
        <v/>
      </c>
    </row>
    <row r="275">
      <c r="A275" s="11">
        <f>Products!A275</f>
        <v/>
      </c>
      <c r="B275" s="11">
        <f>Products!B275</f>
        <v/>
      </c>
      <c r="C275" s="11">
        <f>Products!C275</f>
        <v/>
      </c>
      <c r="D275" s="11">
        <f>IF(A275="","",SUMIFS(StockMovements!$E$2:$E$500,StockMovements!$B$2:$B$500,A275,StockMovements!$D$2:$D$500,"receipt")+SUMIFS(StockMovements!$E$2:$E$500,StockMovements!$B$2:$B$500,A275,StockMovements!$D$2:$D$500,"production_in")+SUMIFS(StockMovements!$E$2:$E$500,StockMovements!$B$2:$B$500,A275,StockMovements!$D$2:$D$500,"adjustment")-SUMIFS(StockMovements!$E$2:$E$500,StockMovements!$B$2:$B$500,A275,StockMovements!$D$2:$D$500,"issue")-SUMIFS(StockMovements!$E$2:$E$500,StockMovements!$B$2:$B$500,A275,StockMovements!$D$2:$D$500,"production_out")-SUMIFS(StockMovements!$E$2:$E$500,StockMovements!$B$2:$B$500,A275,StockMovements!$D$2:$D$500,"transfer")-SUMIFS(StockMovements!$E$2:$E$500,StockMovements!$B$2:$B$500,A275,StockMovements!$D$2:$D$500,"scrap"))</f>
        <v/>
      </c>
      <c r="E275" s="11">
        <f>IF(A275="","",Products!E275)</f>
        <v/>
      </c>
      <c r="F275" s="11">
        <f>IF(A275="","",D275*E275)</f>
        <v/>
      </c>
      <c r="G275" s="11">
        <f>IF(A275="","",Products!F275)</f>
        <v/>
      </c>
      <c r="H275" s="11">
        <f>IF(A275="","",IF(D275&lt;G275,"REORDER","OK"))</f>
        <v/>
      </c>
      <c r="I275" s="14">
        <f>IF(A275="","",IFERROR(_xlfn.MAXIFS(StockMovements!$A$2:$A$500,StockMovements!$B$2:$B$500,A275),0))</f>
        <v/>
      </c>
      <c r="J275" s="11">
        <f>IF(OR(A275="",I275=0),"",TODAY()-I275)</f>
        <v/>
      </c>
      <c r="K275" s="11">
        <f>IF(A275="","",IF(I275=0,"never moved",IF(J275&lt;=30,"0-30",IF(J275&lt;=60,"31-60",IF(J275&lt;=90,"61-90","90+")))))</f>
        <v/>
      </c>
    </row>
    <row r="276">
      <c r="A276" s="11">
        <f>Products!A276</f>
        <v/>
      </c>
      <c r="B276" s="11">
        <f>Products!B276</f>
        <v/>
      </c>
      <c r="C276" s="11">
        <f>Products!C276</f>
        <v/>
      </c>
      <c r="D276" s="11">
        <f>IF(A276="","",SUMIFS(StockMovements!$E$2:$E$500,StockMovements!$B$2:$B$500,A276,StockMovements!$D$2:$D$500,"receipt")+SUMIFS(StockMovements!$E$2:$E$500,StockMovements!$B$2:$B$500,A276,StockMovements!$D$2:$D$500,"production_in")+SUMIFS(StockMovements!$E$2:$E$500,StockMovements!$B$2:$B$500,A276,StockMovements!$D$2:$D$500,"adjustment")-SUMIFS(StockMovements!$E$2:$E$500,StockMovements!$B$2:$B$500,A276,StockMovements!$D$2:$D$500,"issue")-SUMIFS(StockMovements!$E$2:$E$500,StockMovements!$B$2:$B$500,A276,StockMovements!$D$2:$D$500,"production_out")-SUMIFS(StockMovements!$E$2:$E$500,StockMovements!$B$2:$B$500,A276,StockMovements!$D$2:$D$500,"transfer")-SUMIFS(StockMovements!$E$2:$E$500,StockMovements!$B$2:$B$500,A276,StockMovements!$D$2:$D$500,"scrap"))</f>
        <v/>
      </c>
      <c r="E276" s="11">
        <f>IF(A276="","",Products!E276)</f>
        <v/>
      </c>
      <c r="F276" s="11">
        <f>IF(A276="","",D276*E276)</f>
        <v/>
      </c>
      <c r="G276" s="11">
        <f>IF(A276="","",Products!F276)</f>
        <v/>
      </c>
      <c r="H276" s="11">
        <f>IF(A276="","",IF(D276&lt;G276,"REORDER","OK"))</f>
        <v/>
      </c>
      <c r="I276" s="14">
        <f>IF(A276="","",IFERROR(_xlfn.MAXIFS(StockMovements!$A$2:$A$500,StockMovements!$B$2:$B$500,A276),0))</f>
        <v/>
      </c>
      <c r="J276" s="11">
        <f>IF(OR(A276="",I276=0),"",TODAY()-I276)</f>
        <v/>
      </c>
      <c r="K276" s="11">
        <f>IF(A276="","",IF(I276=0,"never moved",IF(J276&lt;=30,"0-30",IF(J276&lt;=60,"31-60",IF(J276&lt;=90,"61-90","90+")))))</f>
        <v/>
      </c>
    </row>
    <row r="277">
      <c r="A277" s="11">
        <f>Products!A277</f>
        <v/>
      </c>
      <c r="B277" s="11">
        <f>Products!B277</f>
        <v/>
      </c>
      <c r="C277" s="11">
        <f>Products!C277</f>
        <v/>
      </c>
      <c r="D277" s="11">
        <f>IF(A277="","",SUMIFS(StockMovements!$E$2:$E$500,StockMovements!$B$2:$B$500,A277,StockMovements!$D$2:$D$500,"receipt")+SUMIFS(StockMovements!$E$2:$E$500,StockMovements!$B$2:$B$500,A277,StockMovements!$D$2:$D$500,"production_in")+SUMIFS(StockMovements!$E$2:$E$500,StockMovements!$B$2:$B$500,A277,StockMovements!$D$2:$D$500,"adjustment")-SUMIFS(StockMovements!$E$2:$E$500,StockMovements!$B$2:$B$500,A277,StockMovements!$D$2:$D$500,"issue")-SUMIFS(StockMovements!$E$2:$E$500,StockMovements!$B$2:$B$500,A277,StockMovements!$D$2:$D$500,"production_out")-SUMIFS(StockMovements!$E$2:$E$500,StockMovements!$B$2:$B$500,A277,StockMovements!$D$2:$D$500,"transfer")-SUMIFS(StockMovements!$E$2:$E$500,StockMovements!$B$2:$B$500,A277,StockMovements!$D$2:$D$500,"scrap"))</f>
        <v/>
      </c>
      <c r="E277" s="11">
        <f>IF(A277="","",Products!E277)</f>
        <v/>
      </c>
      <c r="F277" s="11">
        <f>IF(A277="","",D277*E277)</f>
        <v/>
      </c>
      <c r="G277" s="11">
        <f>IF(A277="","",Products!F277)</f>
        <v/>
      </c>
      <c r="H277" s="11">
        <f>IF(A277="","",IF(D277&lt;G277,"REORDER","OK"))</f>
        <v/>
      </c>
      <c r="I277" s="14">
        <f>IF(A277="","",IFERROR(_xlfn.MAXIFS(StockMovements!$A$2:$A$500,StockMovements!$B$2:$B$500,A277),0))</f>
        <v/>
      </c>
      <c r="J277" s="11">
        <f>IF(OR(A277="",I277=0),"",TODAY()-I277)</f>
        <v/>
      </c>
      <c r="K277" s="11">
        <f>IF(A277="","",IF(I277=0,"never moved",IF(J277&lt;=30,"0-30",IF(J277&lt;=60,"31-60",IF(J277&lt;=90,"61-90","90+")))))</f>
        <v/>
      </c>
    </row>
    <row r="278">
      <c r="A278" s="11">
        <f>Products!A278</f>
        <v/>
      </c>
      <c r="B278" s="11">
        <f>Products!B278</f>
        <v/>
      </c>
      <c r="C278" s="11">
        <f>Products!C278</f>
        <v/>
      </c>
      <c r="D278" s="11">
        <f>IF(A278="","",SUMIFS(StockMovements!$E$2:$E$500,StockMovements!$B$2:$B$500,A278,StockMovements!$D$2:$D$500,"receipt")+SUMIFS(StockMovements!$E$2:$E$500,StockMovements!$B$2:$B$500,A278,StockMovements!$D$2:$D$500,"production_in")+SUMIFS(StockMovements!$E$2:$E$500,StockMovements!$B$2:$B$500,A278,StockMovements!$D$2:$D$500,"adjustment")-SUMIFS(StockMovements!$E$2:$E$500,StockMovements!$B$2:$B$500,A278,StockMovements!$D$2:$D$500,"issue")-SUMIFS(StockMovements!$E$2:$E$500,StockMovements!$B$2:$B$500,A278,StockMovements!$D$2:$D$500,"production_out")-SUMIFS(StockMovements!$E$2:$E$500,StockMovements!$B$2:$B$500,A278,StockMovements!$D$2:$D$500,"transfer")-SUMIFS(StockMovements!$E$2:$E$500,StockMovements!$B$2:$B$500,A278,StockMovements!$D$2:$D$500,"scrap"))</f>
        <v/>
      </c>
      <c r="E278" s="11">
        <f>IF(A278="","",Products!E278)</f>
        <v/>
      </c>
      <c r="F278" s="11">
        <f>IF(A278="","",D278*E278)</f>
        <v/>
      </c>
      <c r="G278" s="11">
        <f>IF(A278="","",Products!F278)</f>
        <v/>
      </c>
      <c r="H278" s="11">
        <f>IF(A278="","",IF(D278&lt;G278,"REORDER","OK"))</f>
        <v/>
      </c>
      <c r="I278" s="14">
        <f>IF(A278="","",IFERROR(_xlfn.MAXIFS(StockMovements!$A$2:$A$500,StockMovements!$B$2:$B$500,A278),0))</f>
        <v/>
      </c>
      <c r="J278" s="11">
        <f>IF(OR(A278="",I278=0),"",TODAY()-I278)</f>
        <v/>
      </c>
      <c r="K278" s="11">
        <f>IF(A278="","",IF(I278=0,"never moved",IF(J278&lt;=30,"0-30",IF(J278&lt;=60,"31-60",IF(J278&lt;=90,"61-90","90+")))))</f>
        <v/>
      </c>
    </row>
    <row r="279">
      <c r="A279" s="11">
        <f>Products!A279</f>
        <v/>
      </c>
      <c r="B279" s="11">
        <f>Products!B279</f>
        <v/>
      </c>
      <c r="C279" s="11">
        <f>Products!C279</f>
        <v/>
      </c>
      <c r="D279" s="11">
        <f>IF(A279="","",SUMIFS(StockMovements!$E$2:$E$500,StockMovements!$B$2:$B$500,A279,StockMovements!$D$2:$D$500,"receipt")+SUMIFS(StockMovements!$E$2:$E$500,StockMovements!$B$2:$B$500,A279,StockMovements!$D$2:$D$500,"production_in")+SUMIFS(StockMovements!$E$2:$E$500,StockMovements!$B$2:$B$500,A279,StockMovements!$D$2:$D$500,"adjustment")-SUMIFS(StockMovements!$E$2:$E$500,StockMovements!$B$2:$B$500,A279,StockMovements!$D$2:$D$500,"issue")-SUMIFS(StockMovements!$E$2:$E$500,StockMovements!$B$2:$B$500,A279,StockMovements!$D$2:$D$500,"production_out")-SUMIFS(StockMovements!$E$2:$E$500,StockMovements!$B$2:$B$500,A279,StockMovements!$D$2:$D$500,"transfer")-SUMIFS(StockMovements!$E$2:$E$500,StockMovements!$B$2:$B$500,A279,StockMovements!$D$2:$D$500,"scrap"))</f>
        <v/>
      </c>
      <c r="E279" s="11">
        <f>IF(A279="","",Products!E279)</f>
        <v/>
      </c>
      <c r="F279" s="11">
        <f>IF(A279="","",D279*E279)</f>
        <v/>
      </c>
      <c r="G279" s="11">
        <f>IF(A279="","",Products!F279)</f>
        <v/>
      </c>
      <c r="H279" s="11">
        <f>IF(A279="","",IF(D279&lt;G279,"REORDER","OK"))</f>
        <v/>
      </c>
      <c r="I279" s="14">
        <f>IF(A279="","",IFERROR(_xlfn.MAXIFS(StockMovements!$A$2:$A$500,StockMovements!$B$2:$B$500,A279),0))</f>
        <v/>
      </c>
      <c r="J279" s="11">
        <f>IF(OR(A279="",I279=0),"",TODAY()-I279)</f>
        <v/>
      </c>
      <c r="K279" s="11">
        <f>IF(A279="","",IF(I279=0,"never moved",IF(J279&lt;=30,"0-30",IF(J279&lt;=60,"31-60",IF(J279&lt;=90,"61-90","90+")))))</f>
        <v/>
      </c>
    </row>
    <row r="280">
      <c r="A280" s="11">
        <f>Products!A280</f>
        <v/>
      </c>
      <c r="B280" s="11">
        <f>Products!B280</f>
        <v/>
      </c>
      <c r="C280" s="11">
        <f>Products!C280</f>
        <v/>
      </c>
      <c r="D280" s="11">
        <f>IF(A280="","",SUMIFS(StockMovements!$E$2:$E$500,StockMovements!$B$2:$B$500,A280,StockMovements!$D$2:$D$500,"receipt")+SUMIFS(StockMovements!$E$2:$E$500,StockMovements!$B$2:$B$500,A280,StockMovements!$D$2:$D$500,"production_in")+SUMIFS(StockMovements!$E$2:$E$500,StockMovements!$B$2:$B$500,A280,StockMovements!$D$2:$D$500,"adjustment")-SUMIFS(StockMovements!$E$2:$E$500,StockMovements!$B$2:$B$500,A280,StockMovements!$D$2:$D$500,"issue")-SUMIFS(StockMovements!$E$2:$E$500,StockMovements!$B$2:$B$500,A280,StockMovements!$D$2:$D$500,"production_out")-SUMIFS(StockMovements!$E$2:$E$500,StockMovements!$B$2:$B$500,A280,StockMovements!$D$2:$D$500,"transfer")-SUMIFS(StockMovements!$E$2:$E$500,StockMovements!$B$2:$B$500,A280,StockMovements!$D$2:$D$500,"scrap"))</f>
        <v/>
      </c>
      <c r="E280" s="11">
        <f>IF(A280="","",Products!E280)</f>
        <v/>
      </c>
      <c r="F280" s="11">
        <f>IF(A280="","",D280*E280)</f>
        <v/>
      </c>
      <c r="G280" s="11">
        <f>IF(A280="","",Products!F280)</f>
        <v/>
      </c>
      <c r="H280" s="11">
        <f>IF(A280="","",IF(D280&lt;G280,"REORDER","OK"))</f>
        <v/>
      </c>
      <c r="I280" s="14">
        <f>IF(A280="","",IFERROR(_xlfn.MAXIFS(StockMovements!$A$2:$A$500,StockMovements!$B$2:$B$500,A280),0))</f>
        <v/>
      </c>
      <c r="J280" s="11">
        <f>IF(OR(A280="",I280=0),"",TODAY()-I280)</f>
        <v/>
      </c>
      <c r="K280" s="11">
        <f>IF(A280="","",IF(I280=0,"never moved",IF(J280&lt;=30,"0-30",IF(J280&lt;=60,"31-60",IF(J280&lt;=90,"61-90","90+")))))</f>
        <v/>
      </c>
    </row>
    <row r="281">
      <c r="A281" s="11">
        <f>Products!A281</f>
        <v/>
      </c>
      <c r="B281" s="11">
        <f>Products!B281</f>
        <v/>
      </c>
      <c r="C281" s="11">
        <f>Products!C281</f>
        <v/>
      </c>
      <c r="D281" s="11">
        <f>IF(A281="","",SUMIFS(StockMovements!$E$2:$E$500,StockMovements!$B$2:$B$500,A281,StockMovements!$D$2:$D$500,"receipt")+SUMIFS(StockMovements!$E$2:$E$500,StockMovements!$B$2:$B$500,A281,StockMovements!$D$2:$D$500,"production_in")+SUMIFS(StockMovements!$E$2:$E$500,StockMovements!$B$2:$B$500,A281,StockMovements!$D$2:$D$500,"adjustment")-SUMIFS(StockMovements!$E$2:$E$500,StockMovements!$B$2:$B$500,A281,StockMovements!$D$2:$D$500,"issue")-SUMIFS(StockMovements!$E$2:$E$500,StockMovements!$B$2:$B$500,A281,StockMovements!$D$2:$D$500,"production_out")-SUMIFS(StockMovements!$E$2:$E$500,StockMovements!$B$2:$B$500,A281,StockMovements!$D$2:$D$500,"transfer")-SUMIFS(StockMovements!$E$2:$E$500,StockMovements!$B$2:$B$500,A281,StockMovements!$D$2:$D$500,"scrap"))</f>
        <v/>
      </c>
      <c r="E281" s="11">
        <f>IF(A281="","",Products!E281)</f>
        <v/>
      </c>
      <c r="F281" s="11">
        <f>IF(A281="","",D281*E281)</f>
        <v/>
      </c>
      <c r="G281" s="11">
        <f>IF(A281="","",Products!F281)</f>
        <v/>
      </c>
      <c r="H281" s="11">
        <f>IF(A281="","",IF(D281&lt;G281,"REORDER","OK"))</f>
        <v/>
      </c>
      <c r="I281" s="14">
        <f>IF(A281="","",IFERROR(_xlfn.MAXIFS(StockMovements!$A$2:$A$500,StockMovements!$B$2:$B$500,A281),0))</f>
        <v/>
      </c>
      <c r="J281" s="11">
        <f>IF(OR(A281="",I281=0),"",TODAY()-I281)</f>
        <v/>
      </c>
      <c r="K281" s="11">
        <f>IF(A281="","",IF(I281=0,"never moved",IF(J281&lt;=30,"0-30",IF(J281&lt;=60,"31-60",IF(J281&lt;=90,"61-90","90+")))))</f>
        <v/>
      </c>
    </row>
    <row r="282">
      <c r="A282" s="11">
        <f>Products!A282</f>
        <v/>
      </c>
      <c r="B282" s="11">
        <f>Products!B282</f>
        <v/>
      </c>
      <c r="C282" s="11">
        <f>Products!C282</f>
        <v/>
      </c>
      <c r="D282" s="11">
        <f>IF(A282="","",SUMIFS(StockMovements!$E$2:$E$500,StockMovements!$B$2:$B$500,A282,StockMovements!$D$2:$D$500,"receipt")+SUMIFS(StockMovements!$E$2:$E$500,StockMovements!$B$2:$B$500,A282,StockMovements!$D$2:$D$500,"production_in")+SUMIFS(StockMovements!$E$2:$E$500,StockMovements!$B$2:$B$500,A282,StockMovements!$D$2:$D$500,"adjustment")-SUMIFS(StockMovements!$E$2:$E$500,StockMovements!$B$2:$B$500,A282,StockMovements!$D$2:$D$500,"issue")-SUMIFS(StockMovements!$E$2:$E$500,StockMovements!$B$2:$B$500,A282,StockMovements!$D$2:$D$500,"production_out")-SUMIFS(StockMovements!$E$2:$E$500,StockMovements!$B$2:$B$500,A282,StockMovements!$D$2:$D$500,"transfer")-SUMIFS(StockMovements!$E$2:$E$500,StockMovements!$B$2:$B$500,A282,StockMovements!$D$2:$D$500,"scrap"))</f>
        <v/>
      </c>
      <c r="E282" s="11">
        <f>IF(A282="","",Products!E282)</f>
        <v/>
      </c>
      <c r="F282" s="11">
        <f>IF(A282="","",D282*E282)</f>
        <v/>
      </c>
      <c r="G282" s="11">
        <f>IF(A282="","",Products!F282)</f>
        <v/>
      </c>
      <c r="H282" s="11">
        <f>IF(A282="","",IF(D282&lt;G282,"REORDER","OK"))</f>
        <v/>
      </c>
      <c r="I282" s="14">
        <f>IF(A282="","",IFERROR(_xlfn.MAXIFS(StockMovements!$A$2:$A$500,StockMovements!$B$2:$B$500,A282),0))</f>
        <v/>
      </c>
      <c r="J282" s="11">
        <f>IF(OR(A282="",I282=0),"",TODAY()-I282)</f>
        <v/>
      </c>
      <c r="K282" s="11">
        <f>IF(A282="","",IF(I282=0,"never moved",IF(J282&lt;=30,"0-30",IF(J282&lt;=60,"31-60",IF(J282&lt;=90,"61-90","90+")))))</f>
        <v/>
      </c>
    </row>
    <row r="283">
      <c r="A283" s="11">
        <f>Products!A283</f>
        <v/>
      </c>
      <c r="B283" s="11">
        <f>Products!B283</f>
        <v/>
      </c>
      <c r="C283" s="11">
        <f>Products!C283</f>
        <v/>
      </c>
      <c r="D283" s="11">
        <f>IF(A283="","",SUMIFS(StockMovements!$E$2:$E$500,StockMovements!$B$2:$B$500,A283,StockMovements!$D$2:$D$500,"receipt")+SUMIFS(StockMovements!$E$2:$E$500,StockMovements!$B$2:$B$500,A283,StockMovements!$D$2:$D$500,"production_in")+SUMIFS(StockMovements!$E$2:$E$500,StockMovements!$B$2:$B$500,A283,StockMovements!$D$2:$D$500,"adjustment")-SUMIFS(StockMovements!$E$2:$E$500,StockMovements!$B$2:$B$500,A283,StockMovements!$D$2:$D$500,"issue")-SUMIFS(StockMovements!$E$2:$E$500,StockMovements!$B$2:$B$500,A283,StockMovements!$D$2:$D$500,"production_out")-SUMIFS(StockMovements!$E$2:$E$500,StockMovements!$B$2:$B$500,A283,StockMovements!$D$2:$D$500,"transfer")-SUMIFS(StockMovements!$E$2:$E$500,StockMovements!$B$2:$B$500,A283,StockMovements!$D$2:$D$500,"scrap"))</f>
        <v/>
      </c>
      <c r="E283" s="11">
        <f>IF(A283="","",Products!E283)</f>
        <v/>
      </c>
      <c r="F283" s="11">
        <f>IF(A283="","",D283*E283)</f>
        <v/>
      </c>
      <c r="G283" s="11">
        <f>IF(A283="","",Products!F283)</f>
        <v/>
      </c>
      <c r="H283" s="11">
        <f>IF(A283="","",IF(D283&lt;G283,"REORDER","OK"))</f>
        <v/>
      </c>
      <c r="I283" s="14">
        <f>IF(A283="","",IFERROR(_xlfn.MAXIFS(StockMovements!$A$2:$A$500,StockMovements!$B$2:$B$500,A283),0))</f>
        <v/>
      </c>
      <c r="J283" s="11">
        <f>IF(OR(A283="",I283=0),"",TODAY()-I283)</f>
        <v/>
      </c>
      <c r="K283" s="11">
        <f>IF(A283="","",IF(I283=0,"never moved",IF(J283&lt;=30,"0-30",IF(J283&lt;=60,"31-60",IF(J283&lt;=90,"61-90","90+")))))</f>
        <v/>
      </c>
    </row>
    <row r="284">
      <c r="A284" s="11">
        <f>Products!A284</f>
        <v/>
      </c>
      <c r="B284" s="11">
        <f>Products!B284</f>
        <v/>
      </c>
      <c r="C284" s="11">
        <f>Products!C284</f>
        <v/>
      </c>
      <c r="D284" s="11">
        <f>IF(A284="","",SUMIFS(StockMovements!$E$2:$E$500,StockMovements!$B$2:$B$500,A284,StockMovements!$D$2:$D$500,"receipt")+SUMIFS(StockMovements!$E$2:$E$500,StockMovements!$B$2:$B$500,A284,StockMovements!$D$2:$D$500,"production_in")+SUMIFS(StockMovements!$E$2:$E$500,StockMovements!$B$2:$B$500,A284,StockMovements!$D$2:$D$500,"adjustment")-SUMIFS(StockMovements!$E$2:$E$500,StockMovements!$B$2:$B$500,A284,StockMovements!$D$2:$D$500,"issue")-SUMIFS(StockMovements!$E$2:$E$500,StockMovements!$B$2:$B$500,A284,StockMovements!$D$2:$D$500,"production_out")-SUMIFS(StockMovements!$E$2:$E$500,StockMovements!$B$2:$B$500,A284,StockMovements!$D$2:$D$500,"transfer")-SUMIFS(StockMovements!$E$2:$E$500,StockMovements!$B$2:$B$500,A284,StockMovements!$D$2:$D$500,"scrap"))</f>
        <v/>
      </c>
      <c r="E284" s="11">
        <f>IF(A284="","",Products!E284)</f>
        <v/>
      </c>
      <c r="F284" s="11">
        <f>IF(A284="","",D284*E284)</f>
        <v/>
      </c>
      <c r="G284" s="11">
        <f>IF(A284="","",Products!F284)</f>
        <v/>
      </c>
      <c r="H284" s="11">
        <f>IF(A284="","",IF(D284&lt;G284,"REORDER","OK"))</f>
        <v/>
      </c>
      <c r="I284" s="14">
        <f>IF(A284="","",IFERROR(_xlfn.MAXIFS(StockMovements!$A$2:$A$500,StockMovements!$B$2:$B$500,A284),0))</f>
        <v/>
      </c>
      <c r="J284" s="11">
        <f>IF(OR(A284="",I284=0),"",TODAY()-I284)</f>
        <v/>
      </c>
      <c r="K284" s="11">
        <f>IF(A284="","",IF(I284=0,"never moved",IF(J284&lt;=30,"0-30",IF(J284&lt;=60,"31-60",IF(J284&lt;=90,"61-90","90+")))))</f>
        <v/>
      </c>
    </row>
    <row r="285">
      <c r="A285" s="11">
        <f>Products!A285</f>
        <v/>
      </c>
      <c r="B285" s="11">
        <f>Products!B285</f>
        <v/>
      </c>
      <c r="C285" s="11">
        <f>Products!C285</f>
        <v/>
      </c>
      <c r="D285" s="11">
        <f>IF(A285="","",SUMIFS(StockMovements!$E$2:$E$500,StockMovements!$B$2:$B$500,A285,StockMovements!$D$2:$D$500,"receipt")+SUMIFS(StockMovements!$E$2:$E$500,StockMovements!$B$2:$B$500,A285,StockMovements!$D$2:$D$500,"production_in")+SUMIFS(StockMovements!$E$2:$E$500,StockMovements!$B$2:$B$500,A285,StockMovements!$D$2:$D$500,"adjustment")-SUMIFS(StockMovements!$E$2:$E$500,StockMovements!$B$2:$B$500,A285,StockMovements!$D$2:$D$500,"issue")-SUMIFS(StockMovements!$E$2:$E$500,StockMovements!$B$2:$B$500,A285,StockMovements!$D$2:$D$500,"production_out")-SUMIFS(StockMovements!$E$2:$E$500,StockMovements!$B$2:$B$500,A285,StockMovements!$D$2:$D$500,"transfer")-SUMIFS(StockMovements!$E$2:$E$500,StockMovements!$B$2:$B$500,A285,StockMovements!$D$2:$D$500,"scrap"))</f>
        <v/>
      </c>
      <c r="E285" s="11">
        <f>IF(A285="","",Products!E285)</f>
        <v/>
      </c>
      <c r="F285" s="11">
        <f>IF(A285="","",D285*E285)</f>
        <v/>
      </c>
      <c r="G285" s="11">
        <f>IF(A285="","",Products!F285)</f>
        <v/>
      </c>
      <c r="H285" s="11">
        <f>IF(A285="","",IF(D285&lt;G285,"REORDER","OK"))</f>
        <v/>
      </c>
      <c r="I285" s="14">
        <f>IF(A285="","",IFERROR(_xlfn.MAXIFS(StockMovements!$A$2:$A$500,StockMovements!$B$2:$B$500,A285),0))</f>
        <v/>
      </c>
      <c r="J285" s="11">
        <f>IF(OR(A285="",I285=0),"",TODAY()-I285)</f>
        <v/>
      </c>
      <c r="K285" s="11">
        <f>IF(A285="","",IF(I285=0,"never moved",IF(J285&lt;=30,"0-30",IF(J285&lt;=60,"31-60",IF(J285&lt;=90,"61-90","90+")))))</f>
        <v/>
      </c>
    </row>
    <row r="286">
      <c r="A286" s="11">
        <f>Products!A286</f>
        <v/>
      </c>
      <c r="B286" s="11">
        <f>Products!B286</f>
        <v/>
      </c>
      <c r="C286" s="11">
        <f>Products!C286</f>
        <v/>
      </c>
      <c r="D286" s="11">
        <f>IF(A286="","",SUMIFS(StockMovements!$E$2:$E$500,StockMovements!$B$2:$B$500,A286,StockMovements!$D$2:$D$500,"receipt")+SUMIFS(StockMovements!$E$2:$E$500,StockMovements!$B$2:$B$500,A286,StockMovements!$D$2:$D$500,"production_in")+SUMIFS(StockMovements!$E$2:$E$500,StockMovements!$B$2:$B$500,A286,StockMovements!$D$2:$D$500,"adjustment")-SUMIFS(StockMovements!$E$2:$E$500,StockMovements!$B$2:$B$500,A286,StockMovements!$D$2:$D$500,"issue")-SUMIFS(StockMovements!$E$2:$E$500,StockMovements!$B$2:$B$500,A286,StockMovements!$D$2:$D$500,"production_out")-SUMIFS(StockMovements!$E$2:$E$500,StockMovements!$B$2:$B$500,A286,StockMovements!$D$2:$D$500,"transfer")-SUMIFS(StockMovements!$E$2:$E$500,StockMovements!$B$2:$B$500,A286,StockMovements!$D$2:$D$500,"scrap"))</f>
        <v/>
      </c>
      <c r="E286" s="11">
        <f>IF(A286="","",Products!E286)</f>
        <v/>
      </c>
      <c r="F286" s="11">
        <f>IF(A286="","",D286*E286)</f>
        <v/>
      </c>
      <c r="G286" s="11">
        <f>IF(A286="","",Products!F286)</f>
        <v/>
      </c>
      <c r="H286" s="11">
        <f>IF(A286="","",IF(D286&lt;G286,"REORDER","OK"))</f>
        <v/>
      </c>
      <c r="I286" s="14">
        <f>IF(A286="","",IFERROR(_xlfn.MAXIFS(StockMovements!$A$2:$A$500,StockMovements!$B$2:$B$500,A286),0))</f>
        <v/>
      </c>
      <c r="J286" s="11">
        <f>IF(OR(A286="",I286=0),"",TODAY()-I286)</f>
        <v/>
      </c>
      <c r="K286" s="11">
        <f>IF(A286="","",IF(I286=0,"never moved",IF(J286&lt;=30,"0-30",IF(J286&lt;=60,"31-60",IF(J286&lt;=90,"61-90","90+")))))</f>
        <v/>
      </c>
    </row>
    <row r="287">
      <c r="A287" s="11">
        <f>Products!A287</f>
        <v/>
      </c>
      <c r="B287" s="11">
        <f>Products!B287</f>
        <v/>
      </c>
      <c r="C287" s="11">
        <f>Products!C287</f>
        <v/>
      </c>
      <c r="D287" s="11">
        <f>IF(A287="","",SUMIFS(StockMovements!$E$2:$E$500,StockMovements!$B$2:$B$500,A287,StockMovements!$D$2:$D$500,"receipt")+SUMIFS(StockMovements!$E$2:$E$500,StockMovements!$B$2:$B$500,A287,StockMovements!$D$2:$D$500,"production_in")+SUMIFS(StockMovements!$E$2:$E$500,StockMovements!$B$2:$B$500,A287,StockMovements!$D$2:$D$500,"adjustment")-SUMIFS(StockMovements!$E$2:$E$500,StockMovements!$B$2:$B$500,A287,StockMovements!$D$2:$D$500,"issue")-SUMIFS(StockMovements!$E$2:$E$500,StockMovements!$B$2:$B$500,A287,StockMovements!$D$2:$D$500,"production_out")-SUMIFS(StockMovements!$E$2:$E$500,StockMovements!$B$2:$B$500,A287,StockMovements!$D$2:$D$500,"transfer")-SUMIFS(StockMovements!$E$2:$E$500,StockMovements!$B$2:$B$500,A287,StockMovements!$D$2:$D$500,"scrap"))</f>
        <v/>
      </c>
      <c r="E287" s="11">
        <f>IF(A287="","",Products!E287)</f>
        <v/>
      </c>
      <c r="F287" s="11">
        <f>IF(A287="","",D287*E287)</f>
        <v/>
      </c>
      <c r="G287" s="11">
        <f>IF(A287="","",Products!F287)</f>
        <v/>
      </c>
      <c r="H287" s="11">
        <f>IF(A287="","",IF(D287&lt;G287,"REORDER","OK"))</f>
        <v/>
      </c>
      <c r="I287" s="14">
        <f>IF(A287="","",IFERROR(_xlfn.MAXIFS(StockMovements!$A$2:$A$500,StockMovements!$B$2:$B$500,A287),0))</f>
        <v/>
      </c>
      <c r="J287" s="11">
        <f>IF(OR(A287="",I287=0),"",TODAY()-I287)</f>
        <v/>
      </c>
      <c r="K287" s="11">
        <f>IF(A287="","",IF(I287=0,"never moved",IF(J287&lt;=30,"0-30",IF(J287&lt;=60,"31-60",IF(J287&lt;=90,"61-90","90+")))))</f>
        <v/>
      </c>
    </row>
    <row r="288">
      <c r="A288" s="11">
        <f>Products!A288</f>
        <v/>
      </c>
      <c r="B288" s="11">
        <f>Products!B288</f>
        <v/>
      </c>
      <c r="C288" s="11">
        <f>Products!C288</f>
        <v/>
      </c>
      <c r="D288" s="11">
        <f>IF(A288="","",SUMIFS(StockMovements!$E$2:$E$500,StockMovements!$B$2:$B$500,A288,StockMovements!$D$2:$D$500,"receipt")+SUMIFS(StockMovements!$E$2:$E$500,StockMovements!$B$2:$B$500,A288,StockMovements!$D$2:$D$500,"production_in")+SUMIFS(StockMovements!$E$2:$E$500,StockMovements!$B$2:$B$500,A288,StockMovements!$D$2:$D$500,"adjustment")-SUMIFS(StockMovements!$E$2:$E$500,StockMovements!$B$2:$B$500,A288,StockMovements!$D$2:$D$500,"issue")-SUMIFS(StockMovements!$E$2:$E$500,StockMovements!$B$2:$B$500,A288,StockMovements!$D$2:$D$500,"production_out")-SUMIFS(StockMovements!$E$2:$E$500,StockMovements!$B$2:$B$500,A288,StockMovements!$D$2:$D$500,"transfer")-SUMIFS(StockMovements!$E$2:$E$500,StockMovements!$B$2:$B$500,A288,StockMovements!$D$2:$D$500,"scrap"))</f>
        <v/>
      </c>
      <c r="E288" s="11">
        <f>IF(A288="","",Products!E288)</f>
        <v/>
      </c>
      <c r="F288" s="11">
        <f>IF(A288="","",D288*E288)</f>
        <v/>
      </c>
      <c r="G288" s="11">
        <f>IF(A288="","",Products!F288)</f>
        <v/>
      </c>
      <c r="H288" s="11">
        <f>IF(A288="","",IF(D288&lt;G288,"REORDER","OK"))</f>
        <v/>
      </c>
      <c r="I288" s="14">
        <f>IF(A288="","",IFERROR(_xlfn.MAXIFS(StockMovements!$A$2:$A$500,StockMovements!$B$2:$B$500,A288),0))</f>
        <v/>
      </c>
      <c r="J288" s="11">
        <f>IF(OR(A288="",I288=0),"",TODAY()-I288)</f>
        <v/>
      </c>
      <c r="K288" s="11">
        <f>IF(A288="","",IF(I288=0,"never moved",IF(J288&lt;=30,"0-30",IF(J288&lt;=60,"31-60",IF(J288&lt;=90,"61-90","90+")))))</f>
        <v/>
      </c>
    </row>
    <row r="289">
      <c r="A289" s="11">
        <f>Products!A289</f>
        <v/>
      </c>
      <c r="B289" s="11">
        <f>Products!B289</f>
        <v/>
      </c>
      <c r="C289" s="11">
        <f>Products!C289</f>
        <v/>
      </c>
      <c r="D289" s="11">
        <f>IF(A289="","",SUMIFS(StockMovements!$E$2:$E$500,StockMovements!$B$2:$B$500,A289,StockMovements!$D$2:$D$500,"receipt")+SUMIFS(StockMovements!$E$2:$E$500,StockMovements!$B$2:$B$500,A289,StockMovements!$D$2:$D$500,"production_in")+SUMIFS(StockMovements!$E$2:$E$500,StockMovements!$B$2:$B$500,A289,StockMovements!$D$2:$D$500,"adjustment")-SUMIFS(StockMovements!$E$2:$E$500,StockMovements!$B$2:$B$500,A289,StockMovements!$D$2:$D$500,"issue")-SUMIFS(StockMovements!$E$2:$E$500,StockMovements!$B$2:$B$500,A289,StockMovements!$D$2:$D$500,"production_out")-SUMIFS(StockMovements!$E$2:$E$500,StockMovements!$B$2:$B$500,A289,StockMovements!$D$2:$D$500,"transfer")-SUMIFS(StockMovements!$E$2:$E$500,StockMovements!$B$2:$B$500,A289,StockMovements!$D$2:$D$500,"scrap"))</f>
        <v/>
      </c>
      <c r="E289" s="11">
        <f>IF(A289="","",Products!E289)</f>
        <v/>
      </c>
      <c r="F289" s="11">
        <f>IF(A289="","",D289*E289)</f>
        <v/>
      </c>
      <c r="G289" s="11">
        <f>IF(A289="","",Products!F289)</f>
        <v/>
      </c>
      <c r="H289" s="11">
        <f>IF(A289="","",IF(D289&lt;G289,"REORDER","OK"))</f>
        <v/>
      </c>
      <c r="I289" s="14">
        <f>IF(A289="","",IFERROR(_xlfn.MAXIFS(StockMovements!$A$2:$A$500,StockMovements!$B$2:$B$500,A289),0))</f>
        <v/>
      </c>
      <c r="J289" s="11">
        <f>IF(OR(A289="",I289=0),"",TODAY()-I289)</f>
        <v/>
      </c>
      <c r="K289" s="11">
        <f>IF(A289="","",IF(I289=0,"never moved",IF(J289&lt;=30,"0-30",IF(J289&lt;=60,"31-60",IF(J289&lt;=90,"61-90","90+")))))</f>
        <v/>
      </c>
    </row>
    <row r="290">
      <c r="A290" s="11">
        <f>Products!A290</f>
        <v/>
      </c>
      <c r="B290" s="11">
        <f>Products!B290</f>
        <v/>
      </c>
      <c r="C290" s="11">
        <f>Products!C290</f>
        <v/>
      </c>
      <c r="D290" s="11">
        <f>IF(A290="","",SUMIFS(StockMovements!$E$2:$E$500,StockMovements!$B$2:$B$500,A290,StockMovements!$D$2:$D$500,"receipt")+SUMIFS(StockMovements!$E$2:$E$500,StockMovements!$B$2:$B$500,A290,StockMovements!$D$2:$D$500,"production_in")+SUMIFS(StockMovements!$E$2:$E$500,StockMovements!$B$2:$B$500,A290,StockMovements!$D$2:$D$500,"adjustment")-SUMIFS(StockMovements!$E$2:$E$500,StockMovements!$B$2:$B$500,A290,StockMovements!$D$2:$D$500,"issue")-SUMIFS(StockMovements!$E$2:$E$500,StockMovements!$B$2:$B$500,A290,StockMovements!$D$2:$D$500,"production_out")-SUMIFS(StockMovements!$E$2:$E$500,StockMovements!$B$2:$B$500,A290,StockMovements!$D$2:$D$500,"transfer")-SUMIFS(StockMovements!$E$2:$E$500,StockMovements!$B$2:$B$500,A290,StockMovements!$D$2:$D$500,"scrap"))</f>
        <v/>
      </c>
      <c r="E290" s="11">
        <f>IF(A290="","",Products!E290)</f>
        <v/>
      </c>
      <c r="F290" s="11">
        <f>IF(A290="","",D290*E290)</f>
        <v/>
      </c>
      <c r="G290" s="11">
        <f>IF(A290="","",Products!F290)</f>
        <v/>
      </c>
      <c r="H290" s="11">
        <f>IF(A290="","",IF(D290&lt;G290,"REORDER","OK"))</f>
        <v/>
      </c>
      <c r="I290" s="14">
        <f>IF(A290="","",IFERROR(_xlfn.MAXIFS(StockMovements!$A$2:$A$500,StockMovements!$B$2:$B$500,A290),0))</f>
        <v/>
      </c>
      <c r="J290" s="11">
        <f>IF(OR(A290="",I290=0),"",TODAY()-I290)</f>
        <v/>
      </c>
      <c r="K290" s="11">
        <f>IF(A290="","",IF(I290=0,"never moved",IF(J290&lt;=30,"0-30",IF(J290&lt;=60,"31-60",IF(J290&lt;=90,"61-90","90+")))))</f>
        <v/>
      </c>
    </row>
    <row r="291">
      <c r="A291" s="11">
        <f>Products!A291</f>
        <v/>
      </c>
      <c r="B291" s="11">
        <f>Products!B291</f>
        <v/>
      </c>
      <c r="C291" s="11">
        <f>Products!C291</f>
        <v/>
      </c>
      <c r="D291" s="11">
        <f>IF(A291="","",SUMIFS(StockMovements!$E$2:$E$500,StockMovements!$B$2:$B$500,A291,StockMovements!$D$2:$D$500,"receipt")+SUMIFS(StockMovements!$E$2:$E$500,StockMovements!$B$2:$B$500,A291,StockMovements!$D$2:$D$500,"production_in")+SUMIFS(StockMovements!$E$2:$E$500,StockMovements!$B$2:$B$500,A291,StockMovements!$D$2:$D$500,"adjustment")-SUMIFS(StockMovements!$E$2:$E$500,StockMovements!$B$2:$B$500,A291,StockMovements!$D$2:$D$500,"issue")-SUMIFS(StockMovements!$E$2:$E$500,StockMovements!$B$2:$B$500,A291,StockMovements!$D$2:$D$500,"production_out")-SUMIFS(StockMovements!$E$2:$E$500,StockMovements!$B$2:$B$500,A291,StockMovements!$D$2:$D$500,"transfer")-SUMIFS(StockMovements!$E$2:$E$500,StockMovements!$B$2:$B$500,A291,StockMovements!$D$2:$D$500,"scrap"))</f>
        <v/>
      </c>
      <c r="E291" s="11">
        <f>IF(A291="","",Products!E291)</f>
        <v/>
      </c>
      <c r="F291" s="11">
        <f>IF(A291="","",D291*E291)</f>
        <v/>
      </c>
      <c r="G291" s="11">
        <f>IF(A291="","",Products!F291)</f>
        <v/>
      </c>
      <c r="H291" s="11">
        <f>IF(A291="","",IF(D291&lt;G291,"REORDER","OK"))</f>
        <v/>
      </c>
      <c r="I291" s="14">
        <f>IF(A291="","",IFERROR(_xlfn.MAXIFS(StockMovements!$A$2:$A$500,StockMovements!$B$2:$B$500,A291),0))</f>
        <v/>
      </c>
      <c r="J291" s="11">
        <f>IF(OR(A291="",I291=0),"",TODAY()-I291)</f>
        <v/>
      </c>
      <c r="K291" s="11">
        <f>IF(A291="","",IF(I291=0,"never moved",IF(J291&lt;=30,"0-30",IF(J291&lt;=60,"31-60",IF(J291&lt;=90,"61-90","90+")))))</f>
        <v/>
      </c>
    </row>
    <row r="292">
      <c r="A292" s="11">
        <f>Products!A292</f>
        <v/>
      </c>
      <c r="B292" s="11">
        <f>Products!B292</f>
        <v/>
      </c>
      <c r="C292" s="11">
        <f>Products!C292</f>
        <v/>
      </c>
      <c r="D292" s="11">
        <f>IF(A292="","",SUMIFS(StockMovements!$E$2:$E$500,StockMovements!$B$2:$B$500,A292,StockMovements!$D$2:$D$500,"receipt")+SUMIFS(StockMovements!$E$2:$E$500,StockMovements!$B$2:$B$500,A292,StockMovements!$D$2:$D$500,"production_in")+SUMIFS(StockMovements!$E$2:$E$500,StockMovements!$B$2:$B$500,A292,StockMovements!$D$2:$D$500,"adjustment")-SUMIFS(StockMovements!$E$2:$E$500,StockMovements!$B$2:$B$500,A292,StockMovements!$D$2:$D$500,"issue")-SUMIFS(StockMovements!$E$2:$E$500,StockMovements!$B$2:$B$500,A292,StockMovements!$D$2:$D$500,"production_out")-SUMIFS(StockMovements!$E$2:$E$500,StockMovements!$B$2:$B$500,A292,StockMovements!$D$2:$D$500,"transfer")-SUMIFS(StockMovements!$E$2:$E$500,StockMovements!$B$2:$B$500,A292,StockMovements!$D$2:$D$500,"scrap"))</f>
        <v/>
      </c>
      <c r="E292" s="11">
        <f>IF(A292="","",Products!E292)</f>
        <v/>
      </c>
      <c r="F292" s="11">
        <f>IF(A292="","",D292*E292)</f>
        <v/>
      </c>
      <c r="G292" s="11">
        <f>IF(A292="","",Products!F292)</f>
        <v/>
      </c>
      <c r="H292" s="11">
        <f>IF(A292="","",IF(D292&lt;G292,"REORDER","OK"))</f>
        <v/>
      </c>
      <c r="I292" s="14">
        <f>IF(A292="","",IFERROR(_xlfn.MAXIFS(StockMovements!$A$2:$A$500,StockMovements!$B$2:$B$500,A292),0))</f>
        <v/>
      </c>
      <c r="J292" s="11">
        <f>IF(OR(A292="",I292=0),"",TODAY()-I292)</f>
        <v/>
      </c>
      <c r="K292" s="11">
        <f>IF(A292="","",IF(I292=0,"never moved",IF(J292&lt;=30,"0-30",IF(J292&lt;=60,"31-60",IF(J292&lt;=90,"61-90","90+")))))</f>
        <v/>
      </c>
    </row>
    <row r="293">
      <c r="A293" s="11">
        <f>Products!A293</f>
        <v/>
      </c>
      <c r="B293" s="11">
        <f>Products!B293</f>
        <v/>
      </c>
      <c r="C293" s="11">
        <f>Products!C293</f>
        <v/>
      </c>
      <c r="D293" s="11">
        <f>IF(A293="","",SUMIFS(StockMovements!$E$2:$E$500,StockMovements!$B$2:$B$500,A293,StockMovements!$D$2:$D$500,"receipt")+SUMIFS(StockMovements!$E$2:$E$500,StockMovements!$B$2:$B$500,A293,StockMovements!$D$2:$D$500,"production_in")+SUMIFS(StockMovements!$E$2:$E$500,StockMovements!$B$2:$B$500,A293,StockMovements!$D$2:$D$500,"adjustment")-SUMIFS(StockMovements!$E$2:$E$500,StockMovements!$B$2:$B$500,A293,StockMovements!$D$2:$D$500,"issue")-SUMIFS(StockMovements!$E$2:$E$500,StockMovements!$B$2:$B$500,A293,StockMovements!$D$2:$D$500,"production_out")-SUMIFS(StockMovements!$E$2:$E$500,StockMovements!$B$2:$B$500,A293,StockMovements!$D$2:$D$500,"transfer")-SUMIFS(StockMovements!$E$2:$E$500,StockMovements!$B$2:$B$500,A293,StockMovements!$D$2:$D$500,"scrap"))</f>
        <v/>
      </c>
      <c r="E293" s="11">
        <f>IF(A293="","",Products!E293)</f>
        <v/>
      </c>
      <c r="F293" s="11">
        <f>IF(A293="","",D293*E293)</f>
        <v/>
      </c>
      <c r="G293" s="11">
        <f>IF(A293="","",Products!F293)</f>
        <v/>
      </c>
      <c r="H293" s="11">
        <f>IF(A293="","",IF(D293&lt;G293,"REORDER","OK"))</f>
        <v/>
      </c>
      <c r="I293" s="14">
        <f>IF(A293="","",IFERROR(_xlfn.MAXIFS(StockMovements!$A$2:$A$500,StockMovements!$B$2:$B$500,A293),0))</f>
        <v/>
      </c>
      <c r="J293" s="11">
        <f>IF(OR(A293="",I293=0),"",TODAY()-I293)</f>
        <v/>
      </c>
      <c r="K293" s="11">
        <f>IF(A293="","",IF(I293=0,"never moved",IF(J293&lt;=30,"0-30",IF(J293&lt;=60,"31-60",IF(J293&lt;=90,"61-90","90+")))))</f>
        <v/>
      </c>
    </row>
    <row r="294">
      <c r="A294" s="11">
        <f>Products!A294</f>
        <v/>
      </c>
      <c r="B294" s="11">
        <f>Products!B294</f>
        <v/>
      </c>
      <c r="C294" s="11">
        <f>Products!C294</f>
        <v/>
      </c>
      <c r="D294" s="11">
        <f>IF(A294="","",SUMIFS(StockMovements!$E$2:$E$500,StockMovements!$B$2:$B$500,A294,StockMovements!$D$2:$D$500,"receipt")+SUMIFS(StockMovements!$E$2:$E$500,StockMovements!$B$2:$B$500,A294,StockMovements!$D$2:$D$500,"production_in")+SUMIFS(StockMovements!$E$2:$E$500,StockMovements!$B$2:$B$500,A294,StockMovements!$D$2:$D$500,"adjustment")-SUMIFS(StockMovements!$E$2:$E$500,StockMovements!$B$2:$B$500,A294,StockMovements!$D$2:$D$500,"issue")-SUMIFS(StockMovements!$E$2:$E$500,StockMovements!$B$2:$B$500,A294,StockMovements!$D$2:$D$500,"production_out")-SUMIFS(StockMovements!$E$2:$E$500,StockMovements!$B$2:$B$500,A294,StockMovements!$D$2:$D$500,"transfer")-SUMIFS(StockMovements!$E$2:$E$500,StockMovements!$B$2:$B$500,A294,StockMovements!$D$2:$D$500,"scrap"))</f>
        <v/>
      </c>
      <c r="E294" s="11">
        <f>IF(A294="","",Products!E294)</f>
        <v/>
      </c>
      <c r="F294" s="11">
        <f>IF(A294="","",D294*E294)</f>
        <v/>
      </c>
      <c r="G294" s="11">
        <f>IF(A294="","",Products!F294)</f>
        <v/>
      </c>
      <c r="H294" s="11">
        <f>IF(A294="","",IF(D294&lt;G294,"REORDER","OK"))</f>
        <v/>
      </c>
      <c r="I294" s="14">
        <f>IF(A294="","",IFERROR(_xlfn.MAXIFS(StockMovements!$A$2:$A$500,StockMovements!$B$2:$B$500,A294),0))</f>
        <v/>
      </c>
      <c r="J294" s="11">
        <f>IF(OR(A294="",I294=0),"",TODAY()-I294)</f>
        <v/>
      </c>
      <c r="K294" s="11">
        <f>IF(A294="","",IF(I294=0,"never moved",IF(J294&lt;=30,"0-30",IF(J294&lt;=60,"31-60",IF(J294&lt;=90,"61-90","90+")))))</f>
        <v/>
      </c>
    </row>
    <row r="295">
      <c r="A295" s="11">
        <f>Products!A295</f>
        <v/>
      </c>
      <c r="B295" s="11">
        <f>Products!B295</f>
        <v/>
      </c>
      <c r="C295" s="11">
        <f>Products!C295</f>
        <v/>
      </c>
      <c r="D295" s="11">
        <f>IF(A295="","",SUMIFS(StockMovements!$E$2:$E$500,StockMovements!$B$2:$B$500,A295,StockMovements!$D$2:$D$500,"receipt")+SUMIFS(StockMovements!$E$2:$E$500,StockMovements!$B$2:$B$500,A295,StockMovements!$D$2:$D$500,"production_in")+SUMIFS(StockMovements!$E$2:$E$500,StockMovements!$B$2:$B$500,A295,StockMovements!$D$2:$D$500,"adjustment")-SUMIFS(StockMovements!$E$2:$E$500,StockMovements!$B$2:$B$500,A295,StockMovements!$D$2:$D$500,"issue")-SUMIFS(StockMovements!$E$2:$E$500,StockMovements!$B$2:$B$500,A295,StockMovements!$D$2:$D$500,"production_out")-SUMIFS(StockMovements!$E$2:$E$500,StockMovements!$B$2:$B$500,A295,StockMovements!$D$2:$D$500,"transfer")-SUMIFS(StockMovements!$E$2:$E$500,StockMovements!$B$2:$B$500,A295,StockMovements!$D$2:$D$500,"scrap"))</f>
        <v/>
      </c>
      <c r="E295" s="11">
        <f>IF(A295="","",Products!E295)</f>
        <v/>
      </c>
      <c r="F295" s="11">
        <f>IF(A295="","",D295*E295)</f>
        <v/>
      </c>
      <c r="G295" s="11">
        <f>IF(A295="","",Products!F295)</f>
        <v/>
      </c>
      <c r="H295" s="11">
        <f>IF(A295="","",IF(D295&lt;G295,"REORDER","OK"))</f>
        <v/>
      </c>
      <c r="I295" s="14">
        <f>IF(A295="","",IFERROR(_xlfn.MAXIFS(StockMovements!$A$2:$A$500,StockMovements!$B$2:$B$500,A295),0))</f>
        <v/>
      </c>
      <c r="J295" s="11">
        <f>IF(OR(A295="",I295=0),"",TODAY()-I295)</f>
        <v/>
      </c>
      <c r="K295" s="11">
        <f>IF(A295="","",IF(I295=0,"never moved",IF(J295&lt;=30,"0-30",IF(J295&lt;=60,"31-60",IF(J295&lt;=90,"61-90","90+")))))</f>
        <v/>
      </c>
    </row>
    <row r="296">
      <c r="A296" s="11">
        <f>Products!A296</f>
        <v/>
      </c>
      <c r="B296" s="11">
        <f>Products!B296</f>
        <v/>
      </c>
      <c r="C296" s="11">
        <f>Products!C296</f>
        <v/>
      </c>
      <c r="D296" s="11">
        <f>IF(A296="","",SUMIFS(StockMovements!$E$2:$E$500,StockMovements!$B$2:$B$500,A296,StockMovements!$D$2:$D$500,"receipt")+SUMIFS(StockMovements!$E$2:$E$500,StockMovements!$B$2:$B$500,A296,StockMovements!$D$2:$D$500,"production_in")+SUMIFS(StockMovements!$E$2:$E$500,StockMovements!$B$2:$B$500,A296,StockMovements!$D$2:$D$500,"adjustment")-SUMIFS(StockMovements!$E$2:$E$500,StockMovements!$B$2:$B$500,A296,StockMovements!$D$2:$D$500,"issue")-SUMIFS(StockMovements!$E$2:$E$500,StockMovements!$B$2:$B$500,A296,StockMovements!$D$2:$D$500,"production_out")-SUMIFS(StockMovements!$E$2:$E$500,StockMovements!$B$2:$B$500,A296,StockMovements!$D$2:$D$500,"transfer")-SUMIFS(StockMovements!$E$2:$E$500,StockMovements!$B$2:$B$500,A296,StockMovements!$D$2:$D$500,"scrap"))</f>
        <v/>
      </c>
      <c r="E296" s="11">
        <f>IF(A296="","",Products!E296)</f>
        <v/>
      </c>
      <c r="F296" s="11">
        <f>IF(A296="","",D296*E296)</f>
        <v/>
      </c>
      <c r="G296" s="11">
        <f>IF(A296="","",Products!F296)</f>
        <v/>
      </c>
      <c r="H296" s="11">
        <f>IF(A296="","",IF(D296&lt;G296,"REORDER","OK"))</f>
        <v/>
      </c>
      <c r="I296" s="14">
        <f>IF(A296="","",IFERROR(_xlfn.MAXIFS(StockMovements!$A$2:$A$500,StockMovements!$B$2:$B$500,A296),0))</f>
        <v/>
      </c>
      <c r="J296" s="11">
        <f>IF(OR(A296="",I296=0),"",TODAY()-I296)</f>
        <v/>
      </c>
      <c r="K296" s="11">
        <f>IF(A296="","",IF(I296=0,"never moved",IF(J296&lt;=30,"0-30",IF(J296&lt;=60,"31-60",IF(J296&lt;=90,"61-90","90+")))))</f>
        <v/>
      </c>
    </row>
    <row r="297">
      <c r="A297" s="11">
        <f>Products!A297</f>
        <v/>
      </c>
      <c r="B297" s="11">
        <f>Products!B297</f>
        <v/>
      </c>
      <c r="C297" s="11">
        <f>Products!C297</f>
        <v/>
      </c>
      <c r="D297" s="11">
        <f>IF(A297="","",SUMIFS(StockMovements!$E$2:$E$500,StockMovements!$B$2:$B$500,A297,StockMovements!$D$2:$D$500,"receipt")+SUMIFS(StockMovements!$E$2:$E$500,StockMovements!$B$2:$B$500,A297,StockMovements!$D$2:$D$500,"production_in")+SUMIFS(StockMovements!$E$2:$E$500,StockMovements!$B$2:$B$500,A297,StockMovements!$D$2:$D$500,"adjustment")-SUMIFS(StockMovements!$E$2:$E$500,StockMovements!$B$2:$B$500,A297,StockMovements!$D$2:$D$500,"issue")-SUMIFS(StockMovements!$E$2:$E$500,StockMovements!$B$2:$B$500,A297,StockMovements!$D$2:$D$500,"production_out")-SUMIFS(StockMovements!$E$2:$E$500,StockMovements!$B$2:$B$500,A297,StockMovements!$D$2:$D$500,"transfer")-SUMIFS(StockMovements!$E$2:$E$500,StockMovements!$B$2:$B$500,A297,StockMovements!$D$2:$D$500,"scrap"))</f>
        <v/>
      </c>
      <c r="E297" s="11">
        <f>IF(A297="","",Products!E297)</f>
        <v/>
      </c>
      <c r="F297" s="11">
        <f>IF(A297="","",D297*E297)</f>
        <v/>
      </c>
      <c r="G297" s="11">
        <f>IF(A297="","",Products!F297)</f>
        <v/>
      </c>
      <c r="H297" s="11">
        <f>IF(A297="","",IF(D297&lt;G297,"REORDER","OK"))</f>
        <v/>
      </c>
      <c r="I297" s="14">
        <f>IF(A297="","",IFERROR(_xlfn.MAXIFS(StockMovements!$A$2:$A$500,StockMovements!$B$2:$B$500,A297),0))</f>
        <v/>
      </c>
      <c r="J297" s="11">
        <f>IF(OR(A297="",I297=0),"",TODAY()-I297)</f>
        <v/>
      </c>
      <c r="K297" s="11">
        <f>IF(A297="","",IF(I297=0,"never moved",IF(J297&lt;=30,"0-30",IF(J297&lt;=60,"31-60",IF(J297&lt;=90,"61-90","90+")))))</f>
        <v/>
      </c>
    </row>
    <row r="298">
      <c r="A298" s="11">
        <f>Products!A298</f>
        <v/>
      </c>
      <c r="B298" s="11">
        <f>Products!B298</f>
        <v/>
      </c>
      <c r="C298" s="11">
        <f>Products!C298</f>
        <v/>
      </c>
      <c r="D298" s="11">
        <f>IF(A298="","",SUMIFS(StockMovements!$E$2:$E$500,StockMovements!$B$2:$B$500,A298,StockMovements!$D$2:$D$500,"receipt")+SUMIFS(StockMovements!$E$2:$E$500,StockMovements!$B$2:$B$500,A298,StockMovements!$D$2:$D$500,"production_in")+SUMIFS(StockMovements!$E$2:$E$500,StockMovements!$B$2:$B$500,A298,StockMovements!$D$2:$D$500,"adjustment")-SUMIFS(StockMovements!$E$2:$E$500,StockMovements!$B$2:$B$500,A298,StockMovements!$D$2:$D$500,"issue")-SUMIFS(StockMovements!$E$2:$E$500,StockMovements!$B$2:$B$500,A298,StockMovements!$D$2:$D$500,"production_out")-SUMIFS(StockMovements!$E$2:$E$500,StockMovements!$B$2:$B$500,A298,StockMovements!$D$2:$D$500,"transfer")-SUMIFS(StockMovements!$E$2:$E$500,StockMovements!$B$2:$B$500,A298,StockMovements!$D$2:$D$500,"scrap"))</f>
        <v/>
      </c>
      <c r="E298" s="11">
        <f>IF(A298="","",Products!E298)</f>
        <v/>
      </c>
      <c r="F298" s="11">
        <f>IF(A298="","",D298*E298)</f>
        <v/>
      </c>
      <c r="G298" s="11">
        <f>IF(A298="","",Products!F298)</f>
        <v/>
      </c>
      <c r="H298" s="11">
        <f>IF(A298="","",IF(D298&lt;G298,"REORDER","OK"))</f>
        <v/>
      </c>
      <c r="I298" s="14">
        <f>IF(A298="","",IFERROR(_xlfn.MAXIFS(StockMovements!$A$2:$A$500,StockMovements!$B$2:$B$500,A298),0))</f>
        <v/>
      </c>
      <c r="J298" s="11">
        <f>IF(OR(A298="",I298=0),"",TODAY()-I298)</f>
        <v/>
      </c>
      <c r="K298" s="11">
        <f>IF(A298="","",IF(I298=0,"never moved",IF(J298&lt;=30,"0-30",IF(J298&lt;=60,"31-60",IF(J298&lt;=90,"61-90","90+")))))</f>
        <v/>
      </c>
    </row>
    <row r="299">
      <c r="A299" s="11">
        <f>Products!A299</f>
        <v/>
      </c>
      <c r="B299" s="11">
        <f>Products!B299</f>
        <v/>
      </c>
      <c r="C299" s="11">
        <f>Products!C299</f>
        <v/>
      </c>
      <c r="D299" s="11">
        <f>IF(A299="","",SUMIFS(StockMovements!$E$2:$E$500,StockMovements!$B$2:$B$500,A299,StockMovements!$D$2:$D$500,"receipt")+SUMIFS(StockMovements!$E$2:$E$500,StockMovements!$B$2:$B$500,A299,StockMovements!$D$2:$D$500,"production_in")+SUMIFS(StockMovements!$E$2:$E$500,StockMovements!$B$2:$B$500,A299,StockMovements!$D$2:$D$500,"adjustment")-SUMIFS(StockMovements!$E$2:$E$500,StockMovements!$B$2:$B$500,A299,StockMovements!$D$2:$D$500,"issue")-SUMIFS(StockMovements!$E$2:$E$500,StockMovements!$B$2:$B$500,A299,StockMovements!$D$2:$D$500,"production_out")-SUMIFS(StockMovements!$E$2:$E$500,StockMovements!$B$2:$B$500,A299,StockMovements!$D$2:$D$500,"transfer")-SUMIFS(StockMovements!$E$2:$E$500,StockMovements!$B$2:$B$500,A299,StockMovements!$D$2:$D$500,"scrap"))</f>
        <v/>
      </c>
      <c r="E299" s="11">
        <f>IF(A299="","",Products!E299)</f>
        <v/>
      </c>
      <c r="F299" s="11">
        <f>IF(A299="","",D299*E299)</f>
        <v/>
      </c>
      <c r="G299" s="11">
        <f>IF(A299="","",Products!F299)</f>
        <v/>
      </c>
      <c r="H299" s="11">
        <f>IF(A299="","",IF(D299&lt;G299,"REORDER","OK"))</f>
        <v/>
      </c>
      <c r="I299" s="14">
        <f>IF(A299="","",IFERROR(_xlfn.MAXIFS(StockMovements!$A$2:$A$500,StockMovements!$B$2:$B$500,A299),0))</f>
        <v/>
      </c>
      <c r="J299" s="11">
        <f>IF(OR(A299="",I299=0),"",TODAY()-I299)</f>
        <v/>
      </c>
      <c r="K299" s="11">
        <f>IF(A299="","",IF(I299=0,"never moved",IF(J299&lt;=30,"0-30",IF(J299&lt;=60,"31-60",IF(J299&lt;=90,"61-90","90+")))))</f>
        <v/>
      </c>
    </row>
    <row r="300">
      <c r="A300" s="11">
        <f>Products!A300</f>
        <v/>
      </c>
      <c r="B300" s="11">
        <f>Products!B300</f>
        <v/>
      </c>
      <c r="C300" s="11">
        <f>Products!C300</f>
        <v/>
      </c>
      <c r="D300" s="11">
        <f>IF(A300="","",SUMIFS(StockMovements!$E$2:$E$500,StockMovements!$B$2:$B$500,A300,StockMovements!$D$2:$D$500,"receipt")+SUMIFS(StockMovements!$E$2:$E$500,StockMovements!$B$2:$B$500,A300,StockMovements!$D$2:$D$500,"production_in")+SUMIFS(StockMovements!$E$2:$E$500,StockMovements!$B$2:$B$500,A300,StockMovements!$D$2:$D$500,"adjustment")-SUMIFS(StockMovements!$E$2:$E$500,StockMovements!$B$2:$B$500,A300,StockMovements!$D$2:$D$500,"issue")-SUMIFS(StockMovements!$E$2:$E$500,StockMovements!$B$2:$B$500,A300,StockMovements!$D$2:$D$500,"production_out")-SUMIFS(StockMovements!$E$2:$E$500,StockMovements!$B$2:$B$500,A300,StockMovements!$D$2:$D$500,"transfer")-SUMIFS(StockMovements!$E$2:$E$500,StockMovements!$B$2:$B$500,A300,StockMovements!$D$2:$D$500,"scrap"))</f>
        <v/>
      </c>
      <c r="E300" s="11">
        <f>IF(A300="","",Products!E300)</f>
        <v/>
      </c>
      <c r="F300" s="11">
        <f>IF(A300="","",D300*E300)</f>
        <v/>
      </c>
      <c r="G300" s="11">
        <f>IF(A300="","",Products!F300)</f>
        <v/>
      </c>
      <c r="H300" s="11">
        <f>IF(A300="","",IF(D300&lt;G300,"REORDER","OK"))</f>
        <v/>
      </c>
      <c r="I300" s="14">
        <f>IF(A300="","",IFERROR(_xlfn.MAXIFS(StockMovements!$A$2:$A$500,StockMovements!$B$2:$B$500,A300),0))</f>
        <v/>
      </c>
      <c r="J300" s="11">
        <f>IF(OR(A300="",I300=0),"",TODAY()-I300)</f>
        <v/>
      </c>
      <c r="K300" s="11">
        <f>IF(A300="","",IF(I300=0,"never moved",IF(J300&lt;=30,"0-30",IF(J300&lt;=60,"31-60",IF(J300&lt;=90,"61-90","90+")))))</f>
        <v/>
      </c>
    </row>
    <row r="301">
      <c r="A301" s="11">
        <f>Products!A301</f>
        <v/>
      </c>
      <c r="B301" s="11">
        <f>Products!B301</f>
        <v/>
      </c>
      <c r="C301" s="11">
        <f>Products!C301</f>
        <v/>
      </c>
      <c r="D301" s="11">
        <f>IF(A301="","",SUMIFS(StockMovements!$E$2:$E$500,StockMovements!$B$2:$B$500,A301,StockMovements!$D$2:$D$500,"receipt")+SUMIFS(StockMovements!$E$2:$E$500,StockMovements!$B$2:$B$500,A301,StockMovements!$D$2:$D$500,"production_in")+SUMIFS(StockMovements!$E$2:$E$500,StockMovements!$B$2:$B$500,A301,StockMovements!$D$2:$D$500,"adjustment")-SUMIFS(StockMovements!$E$2:$E$500,StockMovements!$B$2:$B$500,A301,StockMovements!$D$2:$D$500,"issue")-SUMIFS(StockMovements!$E$2:$E$500,StockMovements!$B$2:$B$500,A301,StockMovements!$D$2:$D$500,"production_out")-SUMIFS(StockMovements!$E$2:$E$500,StockMovements!$B$2:$B$500,A301,StockMovements!$D$2:$D$500,"transfer")-SUMIFS(StockMovements!$E$2:$E$500,StockMovements!$B$2:$B$500,A301,StockMovements!$D$2:$D$500,"scrap"))</f>
        <v/>
      </c>
      <c r="E301" s="11">
        <f>IF(A301="","",Products!E301)</f>
        <v/>
      </c>
      <c r="F301" s="11">
        <f>IF(A301="","",D301*E301)</f>
        <v/>
      </c>
      <c r="G301" s="11">
        <f>IF(A301="","",Products!F301)</f>
        <v/>
      </c>
      <c r="H301" s="11">
        <f>IF(A301="","",IF(D301&lt;G301,"REORDER","OK"))</f>
        <v/>
      </c>
      <c r="I301" s="14">
        <f>IF(A301="","",IFERROR(_xlfn.MAXIFS(StockMovements!$A$2:$A$500,StockMovements!$B$2:$B$500,A301),0))</f>
        <v/>
      </c>
      <c r="J301" s="11">
        <f>IF(OR(A301="",I301=0),"",TODAY()-I301)</f>
        <v/>
      </c>
      <c r="K301" s="11">
        <f>IF(A301="","",IF(I301=0,"never moved",IF(J301&lt;=30,"0-30",IF(J301&lt;=60,"31-60",IF(J301&lt;=90,"61-90","90+")))))</f>
        <v/>
      </c>
    </row>
    <row r="302">
      <c r="A302" s="11">
        <f>Products!A302</f>
        <v/>
      </c>
      <c r="B302" s="11">
        <f>Products!B302</f>
        <v/>
      </c>
      <c r="C302" s="11">
        <f>Products!C302</f>
        <v/>
      </c>
      <c r="D302" s="11">
        <f>IF(A302="","",SUMIFS(StockMovements!$E$2:$E$500,StockMovements!$B$2:$B$500,A302,StockMovements!$D$2:$D$500,"receipt")+SUMIFS(StockMovements!$E$2:$E$500,StockMovements!$B$2:$B$500,A302,StockMovements!$D$2:$D$500,"production_in")+SUMIFS(StockMovements!$E$2:$E$500,StockMovements!$B$2:$B$500,A302,StockMovements!$D$2:$D$500,"adjustment")-SUMIFS(StockMovements!$E$2:$E$500,StockMovements!$B$2:$B$500,A302,StockMovements!$D$2:$D$500,"issue")-SUMIFS(StockMovements!$E$2:$E$500,StockMovements!$B$2:$B$500,A302,StockMovements!$D$2:$D$500,"production_out")-SUMIFS(StockMovements!$E$2:$E$500,StockMovements!$B$2:$B$500,A302,StockMovements!$D$2:$D$500,"transfer")-SUMIFS(StockMovements!$E$2:$E$500,StockMovements!$B$2:$B$500,A302,StockMovements!$D$2:$D$500,"scrap"))</f>
        <v/>
      </c>
      <c r="E302" s="11">
        <f>IF(A302="","",Products!E302)</f>
        <v/>
      </c>
      <c r="F302" s="11">
        <f>IF(A302="","",D302*E302)</f>
        <v/>
      </c>
      <c r="G302" s="11">
        <f>IF(A302="","",Products!F302)</f>
        <v/>
      </c>
      <c r="H302" s="11">
        <f>IF(A302="","",IF(D302&lt;G302,"REORDER","OK"))</f>
        <v/>
      </c>
      <c r="I302" s="14">
        <f>IF(A302="","",IFERROR(_xlfn.MAXIFS(StockMovements!$A$2:$A$500,StockMovements!$B$2:$B$500,A302),0))</f>
        <v/>
      </c>
      <c r="J302" s="11">
        <f>IF(OR(A302="",I302=0),"",TODAY()-I302)</f>
        <v/>
      </c>
      <c r="K302" s="11">
        <f>IF(A302="","",IF(I302=0,"never moved",IF(J302&lt;=30,"0-30",IF(J302&lt;=60,"31-60",IF(J302&lt;=90,"61-90","90+")))))</f>
        <v/>
      </c>
    </row>
    <row r="303">
      <c r="A303" s="11">
        <f>Products!A303</f>
        <v/>
      </c>
      <c r="B303" s="11">
        <f>Products!B303</f>
        <v/>
      </c>
      <c r="C303" s="11">
        <f>Products!C303</f>
        <v/>
      </c>
      <c r="D303" s="11">
        <f>IF(A303="","",SUMIFS(StockMovements!$E$2:$E$500,StockMovements!$B$2:$B$500,A303,StockMovements!$D$2:$D$500,"receipt")+SUMIFS(StockMovements!$E$2:$E$500,StockMovements!$B$2:$B$500,A303,StockMovements!$D$2:$D$500,"production_in")+SUMIFS(StockMovements!$E$2:$E$500,StockMovements!$B$2:$B$500,A303,StockMovements!$D$2:$D$500,"adjustment")-SUMIFS(StockMovements!$E$2:$E$500,StockMovements!$B$2:$B$500,A303,StockMovements!$D$2:$D$500,"issue")-SUMIFS(StockMovements!$E$2:$E$500,StockMovements!$B$2:$B$500,A303,StockMovements!$D$2:$D$500,"production_out")-SUMIFS(StockMovements!$E$2:$E$500,StockMovements!$B$2:$B$500,A303,StockMovements!$D$2:$D$500,"transfer")-SUMIFS(StockMovements!$E$2:$E$500,StockMovements!$B$2:$B$500,A303,StockMovements!$D$2:$D$500,"scrap"))</f>
        <v/>
      </c>
      <c r="E303" s="11">
        <f>IF(A303="","",Products!E303)</f>
        <v/>
      </c>
      <c r="F303" s="11">
        <f>IF(A303="","",D303*E303)</f>
        <v/>
      </c>
      <c r="G303" s="11">
        <f>IF(A303="","",Products!F303)</f>
        <v/>
      </c>
      <c r="H303" s="11">
        <f>IF(A303="","",IF(D303&lt;G303,"REORDER","OK"))</f>
        <v/>
      </c>
      <c r="I303" s="14">
        <f>IF(A303="","",IFERROR(_xlfn.MAXIFS(StockMovements!$A$2:$A$500,StockMovements!$B$2:$B$500,A303),0))</f>
        <v/>
      </c>
      <c r="J303" s="11">
        <f>IF(OR(A303="",I303=0),"",TODAY()-I303)</f>
        <v/>
      </c>
      <c r="K303" s="11">
        <f>IF(A303="","",IF(I303=0,"never moved",IF(J303&lt;=30,"0-30",IF(J303&lt;=60,"31-60",IF(J303&lt;=90,"61-90","90+")))))</f>
        <v/>
      </c>
    </row>
    <row r="304">
      <c r="A304" s="11">
        <f>Products!A304</f>
        <v/>
      </c>
      <c r="B304" s="11">
        <f>Products!B304</f>
        <v/>
      </c>
      <c r="C304" s="11">
        <f>Products!C304</f>
        <v/>
      </c>
      <c r="D304" s="11">
        <f>IF(A304="","",SUMIFS(StockMovements!$E$2:$E$500,StockMovements!$B$2:$B$500,A304,StockMovements!$D$2:$D$500,"receipt")+SUMIFS(StockMovements!$E$2:$E$500,StockMovements!$B$2:$B$500,A304,StockMovements!$D$2:$D$500,"production_in")+SUMIFS(StockMovements!$E$2:$E$500,StockMovements!$B$2:$B$500,A304,StockMovements!$D$2:$D$500,"adjustment")-SUMIFS(StockMovements!$E$2:$E$500,StockMovements!$B$2:$B$500,A304,StockMovements!$D$2:$D$500,"issue")-SUMIFS(StockMovements!$E$2:$E$500,StockMovements!$B$2:$B$500,A304,StockMovements!$D$2:$D$500,"production_out")-SUMIFS(StockMovements!$E$2:$E$500,StockMovements!$B$2:$B$500,A304,StockMovements!$D$2:$D$500,"transfer")-SUMIFS(StockMovements!$E$2:$E$500,StockMovements!$B$2:$B$500,A304,StockMovements!$D$2:$D$500,"scrap"))</f>
        <v/>
      </c>
      <c r="E304" s="11">
        <f>IF(A304="","",Products!E304)</f>
        <v/>
      </c>
      <c r="F304" s="11">
        <f>IF(A304="","",D304*E304)</f>
        <v/>
      </c>
      <c r="G304" s="11">
        <f>IF(A304="","",Products!F304)</f>
        <v/>
      </c>
      <c r="H304" s="11">
        <f>IF(A304="","",IF(D304&lt;G304,"REORDER","OK"))</f>
        <v/>
      </c>
      <c r="I304" s="14">
        <f>IF(A304="","",IFERROR(_xlfn.MAXIFS(StockMovements!$A$2:$A$500,StockMovements!$B$2:$B$500,A304),0))</f>
        <v/>
      </c>
      <c r="J304" s="11">
        <f>IF(OR(A304="",I304=0),"",TODAY()-I304)</f>
        <v/>
      </c>
      <c r="K304" s="11">
        <f>IF(A304="","",IF(I304=0,"never moved",IF(J304&lt;=30,"0-30",IF(J304&lt;=60,"31-60",IF(J304&lt;=90,"61-90","90+")))))</f>
        <v/>
      </c>
    </row>
    <row r="305">
      <c r="A305" s="11">
        <f>Products!A305</f>
        <v/>
      </c>
      <c r="B305" s="11">
        <f>Products!B305</f>
        <v/>
      </c>
      <c r="C305" s="11">
        <f>Products!C305</f>
        <v/>
      </c>
      <c r="D305" s="11">
        <f>IF(A305="","",SUMIFS(StockMovements!$E$2:$E$500,StockMovements!$B$2:$B$500,A305,StockMovements!$D$2:$D$500,"receipt")+SUMIFS(StockMovements!$E$2:$E$500,StockMovements!$B$2:$B$500,A305,StockMovements!$D$2:$D$500,"production_in")+SUMIFS(StockMovements!$E$2:$E$500,StockMovements!$B$2:$B$500,A305,StockMovements!$D$2:$D$500,"adjustment")-SUMIFS(StockMovements!$E$2:$E$500,StockMovements!$B$2:$B$500,A305,StockMovements!$D$2:$D$500,"issue")-SUMIFS(StockMovements!$E$2:$E$500,StockMovements!$B$2:$B$500,A305,StockMovements!$D$2:$D$500,"production_out")-SUMIFS(StockMovements!$E$2:$E$500,StockMovements!$B$2:$B$500,A305,StockMovements!$D$2:$D$500,"transfer")-SUMIFS(StockMovements!$E$2:$E$500,StockMovements!$B$2:$B$500,A305,StockMovements!$D$2:$D$500,"scrap"))</f>
        <v/>
      </c>
      <c r="E305" s="11">
        <f>IF(A305="","",Products!E305)</f>
        <v/>
      </c>
      <c r="F305" s="11">
        <f>IF(A305="","",D305*E305)</f>
        <v/>
      </c>
      <c r="G305" s="11">
        <f>IF(A305="","",Products!F305)</f>
        <v/>
      </c>
      <c r="H305" s="11">
        <f>IF(A305="","",IF(D305&lt;G305,"REORDER","OK"))</f>
        <v/>
      </c>
      <c r="I305" s="14">
        <f>IF(A305="","",IFERROR(_xlfn.MAXIFS(StockMovements!$A$2:$A$500,StockMovements!$B$2:$B$500,A305),0))</f>
        <v/>
      </c>
      <c r="J305" s="11">
        <f>IF(OR(A305="",I305=0),"",TODAY()-I305)</f>
        <v/>
      </c>
      <c r="K305" s="11">
        <f>IF(A305="","",IF(I305=0,"never moved",IF(J305&lt;=30,"0-30",IF(J305&lt;=60,"31-60",IF(J305&lt;=90,"61-90","90+")))))</f>
        <v/>
      </c>
    </row>
    <row r="306">
      <c r="A306" s="11">
        <f>Products!A306</f>
        <v/>
      </c>
      <c r="B306" s="11">
        <f>Products!B306</f>
        <v/>
      </c>
      <c r="C306" s="11">
        <f>Products!C306</f>
        <v/>
      </c>
      <c r="D306" s="11">
        <f>IF(A306="","",SUMIFS(StockMovements!$E$2:$E$500,StockMovements!$B$2:$B$500,A306,StockMovements!$D$2:$D$500,"receipt")+SUMIFS(StockMovements!$E$2:$E$500,StockMovements!$B$2:$B$500,A306,StockMovements!$D$2:$D$500,"production_in")+SUMIFS(StockMovements!$E$2:$E$500,StockMovements!$B$2:$B$500,A306,StockMovements!$D$2:$D$500,"adjustment")-SUMIFS(StockMovements!$E$2:$E$500,StockMovements!$B$2:$B$500,A306,StockMovements!$D$2:$D$500,"issue")-SUMIFS(StockMovements!$E$2:$E$500,StockMovements!$B$2:$B$500,A306,StockMovements!$D$2:$D$500,"production_out")-SUMIFS(StockMovements!$E$2:$E$500,StockMovements!$B$2:$B$500,A306,StockMovements!$D$2:$D$500,"transfer")-SUMIFS(StockMovements!$E$2:$E$500,StockMovements!$B$2:$B$500,A306,StockMovements!$D$2:$D$500,"scrap"))</f>
        <v/>
      </c>
      <c r="E306" s="11">
        <f>IF(A306="","",Products!E306)</f>
        <v/>
      </c>
      <c r="F306" s="11">
        <f>IF(A306="","",D306*E306)</f>
        <v/>
      </c>
      <c r="G306" s="11">
        <f>IF(A306="","",Products!F306)</f>
        <v/>
      </c>
      <c r="H306" s="11">
        <f>IF(A306="","",IF(D306&lt;G306,"REORDER","OK"))</f>
        <v/>
      </c>
      <c r="I306" s="14">
        <f>IF(A306="","",IFERROR(_xlfn.MAXIFS(StockMovements!$A$2:$A$500,StockMovements!$B$2:$B$500,A306),0))</f>
        <v/>
      </c>
      <c r="J306" s="11">
        <f>IF(OR(A306="",I306=0),"",TODAY()-I306)</f>
        <v/>
      </c>
      <c r="K306" s="11">
        <f>IF(A306="","",IF(I306=0,"never moved",IF(J306&lt;=30,"0-30",IF(J306&lt;=60,"31-60",IF(J306&lt;=90,"61-90","90+")))))</f>
        <v/>
      </c>
    </row>
    <row r="307">
      <c r="A307" s="11">
        <f>Products!A307</f>
        <v/>
      </c>
      <c r="B307" s="11">
        <f>Products!B307</f>
        <v/>
      </c>
      <c r="C307" s="11">
        <f>Products!C307</f>
        <v/>
      </c>
      <c r="D307" s="11">
        <f>IF(A307="","",SUMIFS(StockMovements!$E$2:$E$500,StockMovements!$B$2:$B$500,A307,StockMovements!$D$2:$D$500,"receipt")+SUMIFS(StockMovements!$E$2:$E$500,StockMovements!$B$2:$B$500,A307,StockMovements!$D$2:$D$500,"production_in")+SUMIFS(StockMovements!$E$2:$E$500,StockMovements!$B$2:$B$500,A307,StockMovements!$D$2:$D$500,"adjustment")-SUMIFS(StockMovements!$E$2:$E$500,StockMovements!$B$2:$B$500,A307,StockMovements!$D$2:$D$500,"issue")-SUMIFS(StockMovements!$E$2:$E$500,StockMovements!$B$2:$B$500,A307,StockMovements!$D$2:$D$500,"production_out")-SUMIFS(StockMovements!$E$2:$E$500,StockMovements!$B$2:$B$500,A307,StockMovements!$D$2:$D$500,"transfer")-SUMIFS(StockMovements!$E$2:$E$500,StockMovements!$B$2:$B$500,A307,StockMovements!$D$2:$D$500,"scrap"))</f>
        <v/>
      </c>
      <c r="E307" s="11">
        <f>IF(A307="","",Products!E307)</f>
        <v/>
      </c>
      <c r="F307" s="11">
        <f>IF(A307="","",D307*E307)</f>
        <v/>
      </c>
      <c r="G307" s="11">
        <f>IF(A307="","",Products!F307)</f>
        <v/>
      </c>
      <c r="H307" s="11">
        <f>IF(A307="","",IF(D307&lt;G307,"REORDER","OK"))</f>
        <v/>
      </c>
      <c r="I307" s="14">
        <f>IF(A307="","",IFERROR(_xlfn.MAXIFS(StockMovements!$A$2:$A$500,StockMovements!$B$2:$B$500,A307),0))</f>
        <v/>
      </c>
      <c r="J307" s="11">
        <f>IF(OR(A307="",I307=0),"",TODAY()-I307)</f>
        <v/>
      </c>
      <c r="K307" s="11">
        <f>IF(A307="","",IF(I307=0,"never moved",IF(J307&lt;=30,"0-30",IF(J307&lt;=60,"31-60",IF(J307&lt;=90,"61-90","90+")))))</f>
        <v/>
      </c>
    </row>
    <row r="308">
      <c r="A308" s="11">
        <f>Products!A308</f>
        <v/>
      </c>
      <c r="B308" s="11">
        <f>Products!B308</f>
        <v/>
      </c>
      <c r="C308" s="11">
        <f>Products!C308</f>
        <v/>
      </c>
      <c r="D308" s="11">
        <f>IF(A308="","",SUMIFS(StockMovements!$E$2:$E$500,StockMovements!$B$2:$B$500,A308,StockMovements!$D$2:$D$500,"receipt")+SUMIFS(StockMovements!$E$2:$E$500,StockMovements!$B$2:$B$500,A308,StockMovements!$D$2:$D$500,"production_in")+SUMIFS(StockMovements!$E$2:$E$500,StockMovements!$B$2:$B$500,A308,StockMovements!$D$2:$D$500,"adjustment")-SUMIFS(StockMovements!$E$2:$E$500,StockMovements!$B$2:$B$500,A308,StockMovements!$D$2:$D$500,"issue")-SUMIFS(StockMovements!$E$2:$E$500,StockMovements!$B$2:$B$500,A308,StockMovements!$D$2:$D$500,"production_out")-SUMIFS(StockMovements!$E$2:$E$500,StockMovements!$B$2:$B$500,A308,StockMovements!$D$2:$D$500,"transfer")-SUMIFS(StockMovements!$E$2:$E$500,StockMovements!$B$2:$B$500,A308,StockMovements!$D$2:$D$500,"scrap"))</f>
        <v/>
      </c>
      <c r="E308" s="11">
        <f>IF(A308="","",Products!E308)</f>
        <v/>
      </c>
      <c r="F308" s="11">
        <f>IF(A308="","",D308*E308)</f>
        <v/>
      </c>
      <c r="G308" s="11">
        <f>IF(A308="","",Products!F308)</f>
        <v/>
      </c>
      <c r="H308" s="11">
        <f>IF(A308="","",IF(D308&lt;G308,"REORDER","OK"))</f>
        <v/>
      </c>
      <c r="I308" s="14">
        <f>IF(A308="","",IFERROR(_xlfn.MAXIFS(StockMovements!$A$2:$A$500,StockMovements!$B$2:$B$500,A308),0))</f>
        <v/>
      </c>
      <c r="J308" s="11">
        <f>IF(OR(A308="",I308=0),"",TODAY()-I308)</f>
        <v/>
      </c>
      <c r="K308" s="11">
        <f>IF(A308="","",IF(I308=0,"never moved",IF(J308&lt;=30,"0-30",IF(J308&lt;=60,"31-60",IF(J308&lt;=90,"61-90","90+")))))</f>
        <v/>
      </c>
    </row>
    <row r="309">
      <c r="A309" s="11">
        <f>Products!A309</f>
        <v/>
      </c>
      <c r="B309" s="11">
        <f>Products!B309</f>
        <v/>
      </c>
      <c r="C309" s="11">
        <f>Products!C309</f>
        <v/>
      </c>
      <c r="D309" s="11">
        <f>IF(A309="","",SUMIFS(StockMovements!$E$2:$E$500,StockMovements!$B$2:$B$500,A309,StockMovements!$D$2:$D$500,"receipt")+SUMIFS(StockMovements!$E$2:$E$500,StockMovements!$B$2:$B$500,A309,StockMovements!$D$2:$D$500,"production_in")+SUMIFS(StockMovements!$E$2:$E$500,StockMovements!$B$2:$B$500,A309,StockMovements!$D$2:$D$500,"adjustment")-SUMIFS(StockMovements!$E$2:$E$500,StockMovements!$B$2:$B$500,A309,StockMovements!$D$2:$D$500,"issue")-SUMIFS(StockMovements!$E$2:$E$500,StockMovements!$B$2:$B$500,A309,StockMovements!$D$2:$D$500,"production_out")-SUMIFS(StockMovements!$E$2:$E$500,StockMovements!$B$2:$B$500,A309,StockMovements!$D$2:$D$500,"transfer")-SUMIFS(StockMovements!$E$2:$E$500,StockMovements!$B$2:$B$500,A309,StockMovements!$D$2:$D$500,"scrap"))</f>
        <v/>
      </c>
      <c r="E309" s="11">
        <f>IF(A309="","",Products!E309)</f>
        <v/>
      </c>
      <c r="F309" s="11">
        <f>IF(A309="","",D309*E309)</f>
        <v/>
      </c>
      <c r="G309" s="11">
        <f>IF(A309="","",Products!F309)</f>
        <v/>
      </c>
      <c r="H309" s="11">
        <f>IF(A309="","",IF(D309&lt;G309,"REORDER","OK"))</f>
        <v/>
      </c>
      <c r="I309" s="14">
        <f>IF(A309="","",IFERROR(_xlfn.MAXIFS(StockMovements!$A$2:$A$500,StockMovements!$B$2:$B$500,A309),0))</f>
        <v/>
      </c>
      <c r="J309" s="11">
        <f>IF(OR(A309="",I309=0),"",TODAY()-I309)</f>
        <v/>
      </c>
      <c r="K309" s="11">
        <f>IF(A309="","",IF(I309=0,"never moved",IF(J309&lt;=30,"0-30",IF(J309&lt;=60,"31-60",IF(J309&lt;=90,"61-90","90+")))))</f>
        <v/>
      </c>
    </row>
    <row r="310">
      <c r="A310" s="11">
        <f>Products!A310</f>
        <v/>
      </c>
      <c r="B310" s="11">
        <f>Products!B310</f>
        <v/>
      </c>
      <c r="C310" s="11">
        <f>Products!C310</f>
        <v/>
      </c>
      <c r="D310" s="11">
        <f>IF(A310="","",SUMIFS(StockMovements!$E$2:$E$500,StockMovements!$B$2:$B$500,A310,StockMovements!$D$2:$D$500,"receipt")+SUMIFS(StockMovements!$E$2:$E$500,StockMovements!$B$2:$B$500,A310,StockMovements!$D$2:$D$500,"production_in")+SUMIFS(StockMovements!$E$2:$E$500,StockMovements!$B$2:$B$500,A310,StockMovements!$D$2:$D$500,"adjustment")-SUMIFS(StockMovements!$E$2:$E$500,StockMovements!$B$2:$B$500,A310,StockMovements!$D$2:$D$500,"issue")-SUMIFS(StockMovements!$E$2:$E$500,StockMovements!$B$2:$B$500,A310,StockMovements!$D$2:$D$500,"production_out")-SUMIFS(StockMovements!$E$2:$E$500,StockMovements!$B$2:$B$500,A310,StockMovements!$D$2:$D$500,"transfer")-SUMIFS(StockMovements!$E$2:$E$500,StockMovements!$B$2:$B$500,A310,StockMovements!$D$2:$D$500,"scrap"))</f>
        <v/>
      </c>
      <c r="E310" s="11">
        <f>IF(A310="","",Products!E310)</f>
        <v/>
      </c>
      <c r="F310" s="11">
        <f>IF(A310="","",D310*E310)</f>
        <v/>
      </c>
      <c r="G310" s="11">
        <f>IF(A310="","",Products!F310)</f>
        <v/>
      </c>
      <c r="H310" s="11">
        <f>IF(A310="","",IF(D310&lt;G310,"REORDER","OK"))</f>
        <v/>
      </c>
      <c r="I310" s="14">
        <f>IF(A310="","",IFERROR(_xlfn.MAXIFS(StockMovements!$A$2:$A$500,StockMovements!$B$2:$B$500,A310),0))</f>
        <v/>
      </c>
      <c r="J310" s="11">
        <f>IF(OR(A310="",I310=0),"",TODAY()-I310)</f>
        <v/>
      </c>
      <c r="K310" s="11">
        <f>IF(A310="","",IF(I310=0,"never moved",IF(J310&lt;=30,"0-30",IF(J310&lt;=60,"31-60",IF(J310&lt;=90,"61-90","90+")))))</f>
        <v/>
      </c>
    </row>
    <row r="311">
      <c r="A311" s="11">
        <f>Products!A311</f>
        <v/>
      </c>
      <c r="B311" s="11">
        <f>Products!B311</f>
        <v/>
      </c>
      <c r="C311" s="11">
        <f>Products!C311</f>
        <v/>
      </c>
      <c r="D311" s="11">
        <f>IF(A311="","",SUMIFS(StockMovements!$E$2:$E$500,StockMovements!$B$2:$B$500,A311,StockMovements!$D$2:$D$500,"receipt")+SUMIFS(StockMovements!$E$2:$E$500,StockMovements!$B$2:$B$500,A311,StockMovements!$D$2:$D$500,"production_in")+SUMIFS(StockMovements!$E$2:$E$500,StockMovements!$B$2:$B$500,A311,StockMovements!$D$2:$D$500,"adjustment")-SUMIFS(StockMovements!$E$2:$E$500,StockMovements!$B$2:$B$500,A311,StockMovements!$D$2:$D$500,"issue")-SUMIFS(StockMovements!$E$2:$E$500,StockMovements!$B$2:$B$500,A311,StockMovements!$D$2:$D$500,"production_out")-SUMIFS(StockMovements!$E$2:$E$500,StockMovements!$B$2:$B$500,A311,StockMovements!$D$2:$D$500,"transfer")-SUMIFS(StockMovements!$E$2:$E$500,StockMovements!$B$2:$B$500,A311,StockMovements!$D$2:$D$500,"scrap"))</f>
        <v/>
      </c>
      <c r="E311" s="11">
        <f>IF(A311="","",Products!E311)</f>
        <v/>
      </c>
      <c r="F311" s="11">
        <f>IF(A311="","",D311*E311)</f>
        <v/>
      </c>
      <c r="G311" s="11">
        <f>IF(A311="","",Products!F311)</f>
        <v/>
      </c>
      <c r="H311" s="11">
        <f>IF(A311="","",IF(D311&lt;G311,"REORDER","OK"))</f>
        <v/>
      </c>
      <c r="I311" s="14">
        <f>IF(A311="","",IFERROR(_xlfn.MAXIFS(StockMovements!$A$2:$A$500,StockMovements!$B$2:$B$500,A311),0))</f>
        <v/>
      </c>
      <c r="J311" s="11">
        <f>IF(OR(A311="",I311=0),"",TODAY()-I311)</f>
        <v/>
      </c>
      <c r="K311" s="11">
        <f>IF(A311="","",IF(I311=0,"never moved",IF(J311&lt;=30,"0-30",IF(J311&lt;=60,"31-60",IF(J311&lt;=90,"61-90","90+")))))</f>
        <v/>
      </c>
    </row>
    <row r="312">
      <c r="A312" s="11">
        <f>Products!A312</f>
        <v/>
      </c>
      <c r="B312" s="11">
        <f>Products!B312</f>
        <v/>
      </c>
      <c r="C312" s="11">
        <f>Products!C312</f>
        <v/>
      </c>
      <c r="D312" s="11">
        <f>IF(A312="","",SUMIFS(StockMovements!$E$2:$E$500,StockMovements!$B$2:$B$500,A312,StockMovements!$D$2:$D$500,"receipt")+SUMIFS(StockMovements!$E$2:$E$500,StockMovements!$B$2:$B$500,A312,StockMovements!$D$2:$D$500,"production_in")+SUMIFS(StockMovements!$E$2:$E$500,StockMovements!$B$2:$B$500,A312,StockMovements!$D$2:$D$500,"adjustment")-SUMIFS(StockMovements!$E$2:$E$500,StockMovements!$B$2:$B$500,A312,StockMovements!$D$2:$D$500,"issue")-SUMIFS(StockMovements!$E$2:$E$500,StockMovements!$B$2:$B$500,A312,StockMovements!$D$2:$D$500,"production_out")-SUMIFS(StockMovements!$E$2:$E$500,StockMovements!$B$2:$B$500,A312,StockMovements!$D$2:$D$500,"transfer")-SUMIFS(StockMovements!$E$2:$E$500,StockMovements!$B$2:$B$500,A312,StockMovements!$D$2:$D$500,"scrap"))</f>
        <v/>
      </c>
      <c r="E312" s="11">
        <f>IF(A312="","",Products!E312)</f>
        <v/>
      </c>
      <c r="F312" s="11">
        <f>IF(A312="","",D312*E312)</f>
        <v/>
      </c>
      <c r="G312" s="11">
        <f>IF(A312="","",Products!F312)</f>
        <v/>
      </c>
      <c r="H312" s="11">
        <f>IF(A312="","",IF(D312&lt;G312,"REORDER","OK"))</f>
        <v/>
      </c>
      <c r="I312" s="14">
        <f>IF(A312="","",IFERROR(_xlfn.MAXIFS(StockMovements!$A$2:$A$500,StockMovements!$B$2:$B$500,A312),0))</f>
        <v/>
      </c>
      <c r="J312" s="11">
        <f>IF(OR(A312="",I312=0),"",TODAY()-I312)</f>
        <v/>
      </c>
      <c r="K312" s="11">
        <f>IF(A312="","",IF(I312=0,"never moved",IF(J312&lt;=30,"0-30",IF(J312&lt;=60,"31-60",IF(J312&lt;=90,"61-90","90+")))))</f>
        <v/>
      </c>
    </row>
    <row r="313">
      <c r="A313" s="11">
        <f>Products!A313</f>
        <v/>
      </c>
      <c r="B313" s="11">
        <f>Products!B313</f>
        <v/>
      </c>
      <c r="C313" s="11">
        <f>Products!C313</f>
        <v/>
      </c>
      <c r="D313" s="11">
        <f>IF(A313="","",SUMIFS(StockMovements!$E$2:$E$500,StockMovements!$B$2:$B$500,A313,StockMovements!$D$2:$D$500,"receipt")+SUMIFS(StockMovements!$E$2:$E$500,StockMovements!$B$2:$B$500,A313,StockMovements!$D$2:$D$500,"production_in")+SUMIFS(StockMovements!$E$2:$E$500,StockMovements!$B$2:$B$500,A313,StockMovements!$D$2:$D$500,"adjustment")-SUMIFS(StockMovements!$E$2:$E$500,StockMovements!$B$2:$B$500,A313,StockMovements!$D$2:$D$500,"issue")-SUMIFS(StockMovements!$E$2:$E$500,StockMovements!$B$2:$B$500,A313,StockMovements!$D$2:$D$500,"production_out")-SUMIFS(StockMovements!$E$2:$E$500,StockMovements!$B$2:$B$500,A313,StockMovements!$D$2:$D$500,"transfer")-SUMIFS(StockMovements!$E$2:$E$500,StockMovements!$B$2:$B$500,A313,StockMovements!$D$2:$D$500,"scrap"))</f>
        <v/>
      </c>
      <c r="E313" s="11">
        <f>IF(A313="","",Products!E313)</f>
        <v/>
      </c>
      <c r="F313" s="11">
        <f>IF(A313="","",D313*E313)</f>
        <v/>
      </c>
      <c r="G313" s="11">
        <f>IF(A313="","",Products!F313)</f>
        <v/>
      </c>
      <c r="H313" s="11">
        <f>IF(A313="","",IF(D313&lt;G313,"REORDER","OK"))</f>
        <v/>
      </c>
      <c r="I313" s="14">
        <f>IF(A313="","",IFERROR(_xlfn.MAXIFS(StockMovements!$A$2:$A$500,StockMovements!$B$2:$B$500,A313),0))</f>
        <v/>
      </c>
      <c r="J313" s="11">
        <f>IF(OR(A313="",I313=0),"",TODAY()-I313)</f>
        <v/>
      </c>
      <c r="K313" s="11">
        <f>IF(A313="","",IF(I313=0,"never moved",IF(J313&lt;=30,"0-30",IF(J313&lt;=60,"31-60",IF(J313&lt;=90,"61-90","90+")))))</f>
        <v/>
      </c>
    </row>
    <row r="314">
      <c r="A314" s="11">
        <f>Products!A314</f>
        <v/>
      </c>
      <c r="B314" s="11">
        <f>Products!B314</f>
        <v/>
      </c>
      <c r="C314" s="11">
        <f>Products!C314</f>
        <v/>
      </c>
      <c r="D314" s="11">
        <f>IF(A314="","",SUMIFS(StockMovements!$E$2:$E$500,StockMovements!$B$2:$B$500,A314,StockMovements!$D$2:$D$500,"receipt")+SUMIFS(StockMovements!$E$2:$E$500,StockMovements!$B$2:$B$500,A314,StockMovements!$D$2:$D$500,"production_in")+SUMIFS(StockMovements!$E$2:$E$500,StockMovements!$B$2:$B$500,A314,StockMovements!$D$2:$D$500,"adjustment")-SUMIFS(StockMovements!$E$2:$E$500,StockMovements!$B$2:$B$500,A314,StockMovements!$D$2:$D$500,"issue")-SUMIFS(StockMovements!$E$2:$E$500,StockMovements!$B$2:$B$500,A314,StockMovements!$D$2:$D$500,"production_out")-SUMIFS(StockMovements!$E$2:$E$500,StockMovements!$B$2:$B$500,A314,StockMovements!$D$2:$D$500,"transfer")-SUMIFS(StockMovements!$E$2:$E$500,StockMovements!$B$2:$B$500,A314,StockMovements!$D$2:$D$500,"scrap"))</f>
        <v/>
      </c>
      <c r="E314" s="11">
        <f>IF(A314="","",Products!E314)</f>
        <v/>
      </c>
      <c r="F314" s="11">
        <f>IF(A314="","",D314*E314)</f>
        <v/>
      </c>
      <c r="G314" s="11">
        <f>IF(A314="","",Products!F314)</f>
        <v/>
      </c>
      <c r="H314" s="11">
        <f>IF(A314="","",IF(D314&lt;G314,"REORDER","OK"))</f>
        <v/>
      </c>
      <c r="I314" s="14">
        <f>IF(A314="","",IFERROR(_xlfn.MAXIFS(StockMovements!$A$2:$A$500,StockMovements!$B$2:$B$500,A314),0))</f>
        <v/>
      </c>
      <c r="J314" s="11">
        <f>IF(OR(A314="",I314=0),"",TODAY()-I314)</f>
        <v/>
      </c>
      <c r="K314" s="11">
        <f>IF(A314="","",IF(I314=0,"never moved",IF(J314&lt;=30,"0-30",IF(J314&lt;=60,"31-60",IF(J314&lt;=90,"61-90","90+")))))</f>
        <v/>
      </c>
    </row>
    <row r="315">
      <c r="A315" s="11">
        <f>Products!A315</f>
        <v/>
      </c>
      <c r="B315" s="11">
        <f>Products!B315</f>
        <v/>
      </c>
      <c r="C315" s="11">
        <f>Products!C315</f>
        <v/>
      </c>
      <c r="D315" s="11">
        <f>IF(A315="","",SUMIFS(StockMovements!$E$2:$E$500,StockMovements!$B$2:$B$500,A315,StockMovements!$D$2:$D$500,"receipt")+SUMIFS(StockMovements!$E$2:$E$500,StockMovements!$B$2:$B$500,A315,StockMovements!$D$2:$D$500,"production_in")+SUMIFS(StockMovements!$E$2:$E$500,StockMovements!$B$2:$B$500,A315,StockMovements!$D$2:$D$500,"adjustment")-SUMIFS(StockMovements!$E$2:$E$500,StockMovements!$B$2:$B$500,A315,StockMovements!$D$2:$D$500,"issue")-SUMIFS(StockMovements!$E$2:$E$500,StockMovements!$B$2:$B$500,A315,StockMovements!$D$2:$D$500,"production_out")-SUMIFS(StockMovements!$E$2:$E$500,StockMovements!$B$2:$B$500,A315,StockMovements!$D$2:$D$500,"transfer")-SUMIFS(StockMovements!$E$2:$E$500,StockMovements!$B$2:$B$500,A315,StockMovements!$D$2:$D$500,"scrap"))</f>
        <v/>
      </c>
      <c r="E315" s="11">
        <f>IF(A315="","",Products!E315)</f>
        <v/>
      </c>
      <c r="F315" s="11">
        <f>IF(A315="","",D315*E315)</f>
        <v/>
      </c>
      <c r="G315" s="11">
        <f>IF(A315="","",Products!F315)</f>
        <v/>
      </c>
      <c r="H315" s="11">
        <f>IF(A315="","",IF(D315&lt;G315,"REORDER","OK"))</f>
        <v/>
      </c>
      <c r="I315" s="14">
        <f>IF(A315="","",IFERROR(_xlfn.MAXIFS(StockMovements!$A$2:$A$500,StockMovements!$B$2:$B$500,A315),0))</f>
        <v/>
      </c>
      <c r="J315" s="11">
        <f>IF(OR(A315="",I315=0),"",TODAY()-I315)</f>
        <v/>
      </c>
      <c r="K315" s="11">
        <f>IF(A315="","",IF(I315=0,"never moved",IF(J315&lt;=30,"0-30",IF(J315&lt;=60,"31-60",IF(J315&lt;=90,"61-90","90+")))))</f>
        <v/>
      </c>
    </row>
    <row r="316">
      <c r="A316" s="11">
        <f>Products!A316</f>
        <v/>
      </c>
      <c r="B316" s="11">
        <f>Products!B316</f>
        <v/>
      </c>
      <c r="C316" s="11">
        <f>Products!C316</f>
        <v/>
      </c>
      <c r="D316" s="11">
        <f>IF(A316="","",SUMIFS(StockMovements!$E$2:$E$500,StockMovements!$B$2:$B$500,A316,StockMovements!$D$2:$D$500,"receipt")+SUMIFS(StockMovements!$E$2:$E$500,StockMovements!$B$2:$B$500,A316,StockMovements!$D$2:$D$500,"production_in")+SUMIFS(StockMovements!$E$2:$E$500,StockMovements!$B$2:$B$500,A316,StockMovements!$D$2:$D$500,"adjustment")-SUMIFS(StockMovements!$E$2:$E$500,StockMovements!$B$2:$B$500,A316,StockMovements!$D$2:$D$500,"issue")-SUMIFS(StockMovements!$E$2:$E$500,StockMovements!$B$2:$B$500,A316,StockMovements!$D$2:$D$500,"production_out")-SUMIFS(StockMovements!$E$2:$E$500,StockMovements!$B$2:$B$500,A316,StockMovements!$D$2:$D$500,"transfer")-SUMIFS(StockMovements!$E$2:$E$500,StockMovements!$B$2:$B$500,A316,StockMovements!$D$2:$D$500,"scrap"))</f>
        <v/>
      </c>
      <c r="E316" s="11">
        <f>IF(A316="","",Products!E316)</f>
        <v/>
      </c>
      <c r="F316" s="11">
        <f>IF(A316="","",D316*E316)</f>
        <v/>
      </c>
      <c r="G316" s="11">
        <f>IF(A316="","",Products!F316)</f>
        <v/>
      </c>
      <c r="H316" s="11">
        <f>IF(A316="","",IF(D316&lt;G316,"REORDER","OK"))</f>
        <v/>
      </c>
      <c r="I316" s="14">
        <f>IF(A316="","",IFERROR(_xlfn.MAXIFS(StockMovements!$A$2:$A$500,StockMovements!$B$2:$B$500,A316),0))</f>
        <v/>
      </c>
      <c r="J316" s="11">
        <f>IF(OR(A316="",I316=0),"",TODAY()-I316)</f>
        <v/>
      </c>
      <c r="K316" s="11">
        <f>IF(A316="","",IF(I316=0,"never moved",IF(J316&lt;=30,"0-30",IF(J316&lt;=60,"31-60",IF(J316&lt;=90,"61-90","90+")))))</f>
        <v/>
      </c>
    </row>
    <row r="317">
      <c r="A317" s="11">
        <f>Products!A317</f>
        <v/>
      </c>
      <c r="B317" s="11">
        <f>Products!B317</f>
        <v/>
      </c>
      <c r="C317" s="11">
        <f>Products!C317</f>
        <v/>
      </c>
      <c r="D317" s="11">
        <f>IF(A317="","",SUMIFS(StockMovements!$E$2:$E$500,StockMovements!$B$2:$B$500,A317,StockMovements!$D$2:$D$500,"receipt")+SUMIFS(StockMovements!$E$2:$E$500,StockMovements!$B$2:$B$500,A317,StockMovements!$D$2:$D$500,"production_in")+SUMIFS(StockMovements!$E$2:$E$500,StockMovements!$B$2:$B$500,A317,StockMovements!$D$2:$D$500,"adjustment")-SUMIFS(StockMovements!$E$2:$E$500,StockMovements!$B$2:$B$500,A317,StockMovements!$D$2:$D$500,"issue")-SUMIFS(StockMovements!$E$2:$E$500,StockMovements!$B$2:$B$500,A317,StockMovements!$D$2:$D$500,"production_out")-SUMIFS(StockMovements!$E$2:$E$500,StockMovements!$B$2:$B$500,A317,StockMovements!$D$2:$D$500,"transfer")-SUMIFS(StockMovements!$E$2:$E$500,StockMovements!$B$2:$B$500,A317,StockMovements!$D$2:$D$500,"scrap"))</f>
        <v/>
      </c>
      <c r="E317" s="11">
        <f>IF(A317="","",Products!E317)</f>
        <v/>
      </c>
      <c r="F317" s="11">
        <f>IF(A317="","",D317*E317)</f>
        <v/>
      </c>
      <c r="G317" s="11">
        <f>IF(A317="","",Products!F317)</f>
        <v/>
      </c>
      <c r="H317" s="11">
        <f>IF(A317="","",IF(D317&lt;G317,"REORDER","OK"))</f>
        <v/>
      </c>
      <c r="I317" s="14">
        <f>IF(A317="","",IFERROR(_xlfn.MAXIFS(StockMovements!$A$2:$A$500,StockMovements!$B$2:$B$500,A317),0))</f>
        <v/>
      </c>
      <c r="J317" s="11">
        <f>IF(OR(A317="",I317=0),"",TODAY()-I317)</f>
        <v/>
      </c>
      <c r="K317" s="11">
        <f>IF(A317="","",IF(I317=0,"never moved",IF(J317&lt;=30,"0-30",IF(J317&lt;=60,"31-60",IF(J317&lt;=90,"61-90","90+")))))</f>
        <v/>
      </c>
    </row>
    <row r="318">
      <c r="A318" s="11">
        <f>Products!A318</f>
        <v/>
      </c>
      <c r="B318" s="11">
        <f>Products!B318</f>
        <v/>
      </c>
      <c r="C318" s="11">
        <f>Products!C318</f>
        <v/>
      </c>
      <c r="D318" s="11">
        <f>IF(A318="","",SUMIFS(StockMovements!$E$2:$E$500,StockMovements!$B$2:$B$500,A318,StockMovements!$D$2:$D$500,"receipt")+SUMIFS(StockMovements!$E$2:$E$500,StockMovements!$B$2:$B$500,A318,StockMovements!$D$2:$D$500,"production_in")+SUMIFS(StockMovements!$E$2:$E$500,StockMovements!$B$2:$B$500,A318,StockMovements!$D$2:$D$500,"adjustment")-SUMIFS(StockMovements!$E$2:$E$500,StockMovements!$B$2:$B$500,A318,StockMovements!$D$2:$D$500,"issue")-SUMIFS(StockMovements!$E$2:$E$500,StockMovements!$B$2:$B$500,A318,StockMovements!$D$2:$D$500,"production_out")-SUMIFS(StockMovements!$E$2:$E$500,StockMovements!$B$2:$B$500,A318,StockMovements!$D$2:$D$500,"transfer")-SUMIFS(StockMovements!$E$2:$E$500,StockMovements!$B$2:$B$500,A318,StockMovements!$D$2:$D$500,"scrap"))</f>
        <v/>
      </c>
      <c r="E318" s="11">
        <f>IF(A318="","",Products!E318)</f>
        <v/>
      </c>
      <c r="F318" s="11">
        <f>IF(A318="","",D318*E318)</f>
        <v/>
      </c>
      <c r="G318" s="11">
        <f>IF(A318="","",Products!F318)</f>
        <v/>
      </c>
      <c r="H318" s="11">
        <f>IF(A318="","",IF(D318&lt;G318,"REORDER","OK"))</f>
        <v/>
      </c>
      <c r="I318" s="14">
        <f>IF(A318="","",IFERROR(_xlfn.MAXIFS(StockMovements!$A$2:$A$500,StockMovements!$B$2:$B$500,A318),0))</f>
        <v/>
      </c>
      <c r="J318" s="11">
        <f>IF(OR(A318="",I318=0),"",TODAY()-I318)</f>
        <v/>
      </c>
      <c r="K318" s="11">
        <f>IF(A318="","",IF(I318=0,"never moved",IF(J318&lt;=30,"0-30",IF(J318&lt;=60,"31-60",IF(J318&lt;=90,"61-90","90+")))))</f>
        <v/>
      </c>
    </row>
    <row r="319">
      <c r="A319" s="11">
        <f>Products!A319</f>
        <v/>
      </c>
      <c r="B319" s="11">
        <f>Products!B319</f>
        <v/>
      </c>
      <c r="C319" s="11">
        <f>Products!C319</f>
        <v/>
      </c>
      <c r="D319" s="11">
        <f>IF(A319="","",SUMIFS(StockMovements!$E$2:$E$500,StockMovements!$B$2:$B$500,A319,StockMovements!$D$2:$D$500,"receipt")+SUMIFS(StockMovements!$E$2:$E$500,StockMovements!$B$2:$B$500,A319,StockMovements!$D$2:$D$500,"production_in")+SUMIFS(StockMovements!$E$2:$E$500,StockMovements!$B$2:$B$500,A319,StockMovements!$D$2:$D$500,"adjustment")-SUMIFS(StockMovements!$E$2:$E$500,StockMovements!$B$2:$B$500,A319,StockMovements!$D$2:$D$500,"issue")-SUMIFS(StockMovements!$E$2:$E$500,StockMovements!$B$2:$B$500,A319,StockMovements!$D$2:$D$500,"production_out")-SUMIFS(StockMovements!$E$2:$E$500,StockMovements!$B$2:$B$500,A319,StockMovements!$D$2:$D$500,"transfer")-SUMIFS(StockMovements!$E$2:$E$500,StockMovements!$B$2:$B$500,A319,StockMovements!$D$2:$D$500,"scrap"))</f>
        <v/>
      </c>
      <c r="E319" s="11">
        <f>IF(A319="","",Products!E319)</f>
        <v/>
      </c>
      <c r="F319" s="11">
        <f>IF(A319="","",D319*E319)</f>
        <v/>
      </c>
      <c r="G319" s="11">
        <f>IF(A319="","",Products!F319)</f>
        <v/>
      </c>
      <c r="H319" s="11">
        <f>IF(A319="","",IF(D319&lt;G319,"REORDER","OK"))</f>
        <v/>
      </c>
      <c r="I319" s="14">
        <f>IF(A319="","",IFERROR(_xlfn.MAXIFS(StockMovements!$A$2:$A$500,StockMovements!$B$2:$B$500,A319),0))</f>
        <v/>
      </c>
      <c r="J319" s="11">
        <f>IF(OR(A319="",I319=0),"",TODAY()-I319)</f>
        <v/>
      </c>
      <c r="K319" s="11">
        <f>IF(A319="","",IF(I319=0,"never moved",IF(J319&lt;=30,"0-30",IF(J319&lt;=60,"31-60",IF(J319&lt;=90,"61-90","90+")))))</f>
        <v/>
      </c>
    </row>
    <row r="320">
      <c r="A320" s="11">
        <f>Products!A320</f>
        <v/>
      </c>
      <c r="B320" s="11">
        <f>Products!B320</f>
        <v/>
      </c>
      <c r="C320" s="11">
        <f>Products!C320</f>
        <v/>
      </c>
      <c r="D320" s="11">
        <f>IF(A320="","",SUMIFS(StockMovements!$E$2:$E$500,StockMovements!$B$2:$B$500,A320,StockMovements!$D$2:$D$500,"receipt")+SUMIFS(StockMovements!$E$2:$E$500,StockMovements!$B$2:$B$500,A320,StockMovements!$D$2:$D$500,"production_in")+SUMIFS(StockMovements!$E$2:$E$500,StockMovements!$B$2:$B$500,A320,StockMovements!$D$2:$D$500,"adjustment")-SUMIFS(StockMovements!$E$2:$E$500,StockMovements!$B$2:$B$500,A320,StockMovements!$D$2:$D$500,"issue")-SUMIFS(StockMovements!$E$2:$E$500,StockMovements!$B$2:$B$500,A320,StockMovements!$D$2:$D$500,"production_out")-SUMIFS(StockMovements!$E$2:$E$500,StockMovements!$B$2:$B$500,A320,StockMovements!$D$2:$D$500,"transfer")-SUMIFS(StockMovements!$E$2:$E$500,StockMovements!$B$2:$B$500,A320,StockMovements!$D$2:$D$500,"scrap"))</f>
        <v/>
      </c>
      <c r="E320" s="11">
        <f>IF(A320="","",Products!E320)</f>
        <v/>
      </c>
      <c r="F320" s="11">
        <f>IF(A320="","",D320*E320)</f>
        <v/>
      </c>
      <c r="G320" s="11">
        <f>IF(A320="","",Products!F320)</f>
        <v/>
      </c>
      <c r="H320" s="11">
        <f>IF(A320="","",IF(D320&lt;G320,"REORDER","OK"))</f>
        <v/>
      </c>
      <c r="I320" s="14">
        <f>IF(A320="","",IFERROR(_xlfn.MAXIFS(StockMovements!$A$2:$A$500,StockMovements!$B$2:$B$500,A320),0))</f>
        <v/>
      </c>
      <c r="J320" s="11">
        <f>IF(OR(A320="",I320=0),"",TODAY()-I320)</f>
        <v/>
      </c>
      <c r="K320" s="11">
        <f>IF(A320="","",IF(I320=0,"never moved",IF(J320&lt;=30,"0-30",IF(J320&lt;=60,"31-60",IF(J320&lt;=90,"61-90","90+")))))</f>
        <v/>
      </c>
    </row>
    <row r="321">
      <c r="A321" s="11">
        <f>Products!A321</f>
        <v/>
      </c>
      <c r="B321" s="11">
        <f>Products!B321</f>
        <v/>
      </c>
      <c r="C321" s="11">
        <f>Products!C321</f>
        <v/>
      </c>
      <c r="D321" s="11">
        <f>IF(A321="","",SUMIFS(StockMovements!$E$2:$E$500,StockMovements!$B$2:$B$500,A321,StockMovements!$D$2:$D$500,"receipt")+SUMIFS(StockMovements!$E$2:$E$500,StockMovements!$B$2:$B$500,A321,StockMovements!$D$2:$D$500,"production_in")+SUMIFS(StockMovements!$E$2:$E$500,StockMovements!$B$2:$B$500,A321,StockMovements!$D$2:$D$500,"adjustment")-SUMIFS(StockMovements!$E$2:$E$500,StockMovements!$B$2:$B$500,A321,StockMovements!$D$2:$D$500,"issue")-SUMIFS(StockMovements!$E$2:$E$500,StockMovements!$B$2:$B$500,A321,StockMovements!$D$2:$D$500,"production_out")-SUMIFS(StockMovements!$E$2:$E$500,StockMovements!$B$2:$B$500,A321,StockMovements!$D$2:$D$500,"transfer")-SUMIFS(StockMovements!$E$2:$E$500,StockMovements!$B$2:$B$500,A321,StockMovements!$D$2:$D$500,"scrap"))</f>
        <v/>
      </c>
      <c r="E321" s="11">
        <f>IF(A321="","",Products!E321)</f>
        <v/>
      </c>
      <c r="F321" s="11">
        <f>IF(A321="","",D321*E321)</f>
        <v/>
      </c>
      <c r="G321" s="11">
        <f>IF(A321="","",Products!F321)</f>
        <v/>
      </c>
      <c r="H321" s="11">
        <f>IF(A321="","",IF(D321&lt;G321,"REORDER","OK"))</f>
        <v/>
      </c>
      <c r="I321" s="14">
        <f>IF(A321="","",IFERROR(_xlfn.MAXIFS(StockMovements!$A$2:$A$500,StockMovements!$B$2:$B$500,A321),0))</f>
        <v/>
      </c>
      <c r="J321" s="11">
        <f>IF(OR(A321="",I321=0),"",TODAY()-I321)</f>
        <v/>
      </c>
      <c r="K321" s="11">
        <f>IF(A321="","",IF(I321=0,"never moved",IF(J321&lt;=30,"0-30",IF(J321&lt;=60,"31-60",IF(J321&lt;=90,"61-90","90+")))))</f>
        <v/>
      </c>
    </row>
    <row r="322">
      <c r="A322" s="11">
        <f>Products!A322</f>
        <v/>
      </c>
      <c r="B322" s="11">
        <f>Products!B322</f>
        <v/>
      </c>
      <c r="C322" s="11">
        <f>Products!C322</f>
        <v/>
      </c>
      <c r="D322" s="11">
        <f>IF(A322="","",SUMIFS(StockMovements!$E$2:$E$500,StockMovements!$B$2:$B$500,A322,StockMovements!$D$2:$D$500,"receipt")+SUMIFS(StockMovements!$E$2:$E$500,StockMovements!$B$2:$B$500,A322,StockMovements!$D$2:$D$500,"production_in")+SUMIFS(StockMovements!$E$2:$E$500,StockMovements!$B$2:$B$500,A322,StockMovements!$D$2:$D$500,"adjustment")-SUMIFS(StockMovements!$E$2:$E$500,StockMovements!$B$2:$B$500,A322,StockMovements!$D$2:$D$500,"issue")-SUMIFS(StockMovements!$E$2:$E$500,StockMovements!$B$2:$B$500,A322,StockMovements!$D$2:$D$500,"production_out")-SUMIFS(StockMovements!$E$2:$E$500,StockMovements!$B$2:$B$500,A322,StockMovements!$D$2:$D$500,"transfer")-SUMIFS(StockMovements!$E$2:$E$500,StockMovements!$B$2:$B$500,A322,StockMovements!$D$2:$D$500,"scrap"))</f>
        <v/>
      </c>
      <c r="E322" s="11">
        <f>IF(A322="","",Products!E322)</f>
        <v/>
      </c>
      <c r="F322" s="11">
        <f>IF(A322="","",D322*E322)</f>
        <v/>
      </c>
      <c r="G322" s="11">
        <f>IF(A322="","",Products!F322)</f>
        <v/>
      </c>
      <c r="H322" s="11">
        <f>IF(A322="","",IF(D322&lt;G322,"REORDER","OK"))</f>
        <v/>
      </c>
      <c r="I322" s="14">
        <f>IF(A322="","",IFERROR(_xlfn.MAXIFS(StockMovements!$A$2:$A$500,StockMovements!$B$2:$B$500,A322),0))</f>
        <v/>
      </c>
      <c r="J322" s="11">
        <f>IF(OR(A322="",I322=0),"",TODAY()-I322)</f>
        <v/>
      </c>
      <c r="K322" s="11">
        <f>IF(A322="","",IF(I322=0,"never moved",IF(J322&lt;=30,"0-30",IF(J322&lt;=60,"31-60",IF(J322&lt;=90,"61-90","90+")))))</f>
        <v/>
      </c>
    </row>
    <row r="323">
      <c r="A323" s="11">
        <f>Products!A323</f>
        <v/>
      </c>
      <c r="B323" s="11">
        <f>Products!B323</f>
        <v/>
      </c>
      <c r="C323" s="11">
        <f>Products!C323</f>
        <v/>
      </c>
      <c r="D323" s="11">
        <f>IF(A323="","",SUMIFS(StockMovements!$E$2:$E$500,StockMovements!$B$2:$B$500,A323,StockMovements!$D$2:$D$500,"receipt")+SUMIFS(StockMovements!$E$2:$E$500,StockMovements!$B$2:$B$500,A323,StockMovements!$D$2:$D$500,"production_in")+SUMIFS(StockMovements!$E$2:$E$500,StockMovements!$B$2:$B$500,A323,StockMovements!$D$2:$D$500,"adjustment")-SUMIFS(StockMovements!$E$2:$E$500,StockMovements!$B$2:$B$500,A323,StockMovements!$D$2:$D$500,"issue")-SUMIFS(StockMovements!$E$2:$E$500,StockMovements!$B$2:$B$500,A323,StockMovements!$D$2:$D$500,"production_out")-SUMIFS(StockMovements!$E$2:$E$500,StockMovements!$B$2:$B$500,A323,StockMovements!$D$2:$D$500,"transfer")-SUMIFS(StockMovements!$E$2:$E$500,StockMovements!$B$2:$B$500,A323,StockMovements!$D$2:$D$500,"scrap"))</f>
        <v/>
      </c>
      <c r="E323" s="11">
        <f>IF(A323="","",Products!E323)</f>
        <v/>
      </c>
      <c r="F323" s="11">
        <f>IF(A323="","",D323*E323)</f>
        <v/>
      </c>
      <c r="G323" s="11">
        <f>IF(A323="","",Products!F323)</f>
        <v/>
      </c>
      <c r="H323" s="11">
        <f>IF(A323="","",IF(D323&lt;G323,"REORDER","OK"))</f>
        <v/>
      </c>
      <c r="I323" s="14">
        <f>IF(A323="","",IFERROR(_xlfn.MAXIFS(StockMovements!$A$2:$A$500,StockMovements!$B$2:$B$500,A323),0))</f>
        <v/>
      </c>
      <c r="J323" s="11">
        <f>IF(OR(A323="",I323=0),"",TODAY()-I323)</f>
        <v/>
      </c>
      <c r="K323" s="11">
        <f>IF(A323="","",IF(I323=0,"never moved",IF(J323&lt;=30,"0-30",IF(J323&lt;=60,"31-60",IF(J323&lt;=90,"61-90","90+")))))</f>
        <v/>
      </c>
    </row>
    <row r="324">
      <c r="A324" s="11">
        <f>Products!A324</f>
        <v/>
      </c>
      <c r="B324" s="11">
        <f>Products!B324</f>
        <v/>
      </c>
      <c r="C324" s="11">
        <f>Products!C324</f>
        <v/>
      </c>
      <c r="D324" s="11">
        <f>IF(A324="","",SUMIFS(StockMovements!$E$2:$E$500,StockMovements!$B$2:$B$500,A324,StockMovements!$D$2:$D$500,"receipt")+SUMIFS(StockMovements!$E$2:$E$500,StockMovements!$B$2:$B$500,A324,StockMovements!$D$2:$D$500,"production_in")+SUMIFS(StockMovements!$E$2:$E$500,StockMovements!$B$2:$B$500,A324,StockMovements!$D$2:$D$500,"adjustment")-SUMIFS(StockMovements!$E$2:$E$500,StockMovements!$B$2:$B$500,A324,StockMovements!$D$2:$D$500,"issue")-SUMIFS(StockMovements!$E$2:$E$500,StockMovements!$B$2:$B$500,A324,StockMovements!$D$2:$D$500,"production_out")-SUMIFS(StockMovements!$E$2:$E$500,StockMovements!$B$2:$B$500,A324,StockMovements!$D$2:$D$500,"transfer")-SUMIFS(StockMovements!$E$2:$E$500,StockMovements!$B$2:$B$500,A324,StockMovements!$D$2:$D$500,"scrap"))</f>
        <v/>
      </c>
      <c r="E324" s="11">
        <f>IF(A324="","",Products!E324)</f>
        <v/>
      </c>
      <c r="F324" s="11">
        <f>IF(A324="","",D324*E324)</f>
        <v/>
      </c>
      <c r="G324" s="11">
        <f>IF(A324="","",Products!F324)</f>
        <v/>
      </c>
      <c r="H324" s="11">
        <f>IF(A324="","",IF(D324&lt;G324,"REORDER","OK"))</f>
        <v/>
      </c>
      <c r="I324" s="14">
        <f>IF(A324="","",IFERROR(_xlfn.MAXIFS(StockMovements!$A$2:$A$500,StockMovements!$B$2:$B$500,A324),0))</f>
        <v/>
      </c>
      <c r="J324" s="11">
        <f>IF(OR(A324="",I324=0),"",TODAY()-I324)</f>
        <v/>
      </c>
      <c r="K324" s="11">
        <f>IF(A324="","",IF(I324=0,"never moved",IF(J324&lt;=30,"0-30",IF(J324&lt;=60,"31-60",IF(J324&lt;=90,"61-90","90+")))))</f>
        <v/>
      </c>
    </row>
    <row r="325">
      <c r="A325" s="11">
        <f>Products!A325</f>
        <v/>
      </c>
      <c r="B325" s="11">
        <f>Products!B325</f>
        <v/>
      </c>
      <c r="C325" s="11">
        <f>Products!C325</f>
        <v/>
      </c>
      <c r="D325" s="11">
        <f>IF(A325="","",SUMIFS(StockMovements!$E$2:$E$500,StockMovements!$B$2:$B$500,A325,StockMovements!$D$2:$D$500,"receipt")+SUMIFS(StockMovements!$E$2:$E$500,StockMovements!$B$2:$B$500,A325,StockMovements!$D$2:$D$500,"production_in")+SUMIFS(StockMovements!$E$2:$E$500,StockMovements!$B$2:$B$500,A325,StockMovements!$D$2:$D$500,"adjustment")-SUMIFS(StockMovements!$E$2:$E$500,StockMovements!$B$2:$B$500,A325,StockMovements!$D$2:$D$500,"issue")-SUMIFS(StockMovements!$E$2:$E$500,StockMovements!$B$2:$B$500,A325,StockMovements!$D$2:$D$500,"production_out")-SUMIFS(StockMovements!$E$2:$E$500,StockMovements!$B$2:$B$500,A325,StockMovements!$D$2:$D$500,"transfer")-SUMIFS(StockMovements!$E$2:$E$500,StockMovements!$B$2:$B$500,A325,StockMovements!$D$2:$D$500,"scrap"))</f>
        <v/>
      </c>
      <c r="E325" s="11">
        <f>IF(A325="","",Products!E325)</f>
        <v/>
      </c>
      <c r="F325" s="11">
        <f>IF(A325="","",D325*E325)</f>
        <v/>
      </c>
      <c r="G325" s="11">
        <f>IF(A325="","",Products!F325)</f>
        <v/>
      </c>
      <c r="H325" s="11">
        <f>IF(A325="","",IF(D325&lt;G325,"REORDER","OK"))</f>
        <v/>
      </c>
      <c r="I325" s="14">
        <f>IF(A325="","",IFERROR(_xlfn.MAXIFS(StockMovements!$A$2:$A$500,StockMovements!$B$2:$B$500,A325),0))</f>
        <v/>
      </c>
      <c r="J325" s="11">
        <f>IF(OR(A325="",I325=0),"",TODAY()-I325)</f>
        <v/>
      </c>
      <c r="K325" s="11">
        <f>IF(A325="","",IF(I325=0,"never moved",IF(J325&lt;=30,"0-30",IF(J325&lt;=60,"31-60",IF(J325&lt;=90,"61-90","90+")))))</f>
        <v/>
      </c>
    </row>
    <row r="326">
      <c r="A326" s="11">
        <f>Products!A326</f>
        <v/>
      </c>
      <c r="B326" s="11">
        <f>Products!B326</f>
        <v/>
      </c>
      <c r="C326" s="11">
        <f>Products!C326</f>
        <v/>
      </c>
      <c r="D326" s="11">
        <f>IF(A326="","",SUMIFS(StockMovements!$E$2:$E$500,StockMovements!$B$2:$B$500,A326,StockMovements!$D$2:$D$500,"receipt")+SUMIFS(StockMovements!$E$2:$E$500,StockMovements!$B$2:$B$500,A326,StockMovements!$D$2:$D$500,"production_in")+SUMIFS(StockMovements!$E$2:$E$500,StockMovements!$B$2:$B$500,A326,StockMovements!$D$2:$D$500,"adjustment")-SUMIFS(StockMovements!$E$2:$E$500,StockMovements!$B$2:$B$500,A326,StockMovements!$D$2:$D$500,"issue")-SUMIFS(StockMovements!$E$2:$E$500,StockMovements!$B$2:$B$500,A326,StockMovements!$D$2:$D$500,"production_out")-SUMIFS(StockMovements!$E$2:$E$500,StockMovements!$B$2:$B$500,A326,StockMovements!$D$2:$D$500,"transfer")-SUMIFS(StockMovements!$E$2:$E$500,StockMovements!$B$2:$B$500,A326,StockMovements!$D$2:$D$500,"scrap"))</f>
        <v/>
      </c>
      <c r="E326" s="11">
        <f>IF(A326="","",Products!E326)</f>
        <v/>
      </c>
      <c r="F326" s="11">
        <f>IF(A326="","",D326*E326)</f>
        <v/>
      </c>
      <c r="G326" s="11">
        <f>IF(A326="","",Products!F326)</f>
        <v/>
      </c>
      <c r="H326" s="11">
        <f>IF(A326="","",IF(D326&lt;G326,"REORDER","OK"))</f>
        <v/>
      </c>
      <c r="I326" s="14">
        <f>IF(A326="","",IFERROR(_xlfn.MAXIFS(StockMovements!$A$2:$A$500,StockMovements!$B$2:$B$500,A326),0))</f>
        <v/>
      </c>
      <c r="J326" s="11">
        <f>IF(OR(A326="",I326=0),"",TODAY()-I326)</f>
        <v/>
      </c>
      <c r="K326" s="11">
        <f>IF(A326="","",IF(I326=0,"never moved",IF(J326&lt;=30,"0-30",IF(J326&lt;=60,"31-60",IF(J326&lt;=90,"61-90","90+")))))</f>
        <v/>
      </c>
    </row>
    <row r="327">
      <c r="A327" s="11">
        <f>Products!A327</f>
        <v/>
      </c>
      <c r="B327" s="11">
        <f>Products!B327</f>
        <v/>
      </c>
      <c r="C327" s="11">
        <f>Products!C327</f>
        <v/>
      </c>
      <c r="D327" s="11">
        <f>IF(A327="","",SUMIFS(StockMovements!$E$2:$E$500,StockMovements!$B$2:$B$500,A327,StockMovements!$D$2:$D$500,"receipt")+SUMIFS(StockMovements!$E$2:$E$500,StockMovements!$B$2:$B$500,A327,StockMovements!$D$2:$D$500,"production_in")+SUMIFS(StockMovements!$E$2:$E$500,StockMovements!$B$2:$B$500,A327,StockMovements!$D$2:$D$500,"adjustment")-SUMIFS(StockMovements!$E$2:$E$500,StockMovements!$B$2:$B$500,A327,StockMovements!$D$2:$D$500,"issue")-SUMIFS(StockMovements!$E$2:$E$500,StockMovements!$B$2:$B$500,A327,StockMovements!$D$2:$D$500,"production_out")-SUMIFS(StockMovements!$E$2:$E$500,StockMovements!$B$2:$B$500,A327,StockMovements!$D$2:$D$500,"transfer")-SUMIFS(StockMovements!$E$2:$E$500,StockMovements!$B$2:$B$500,A327,StockMovements!$D$2:$D$500,"scrap"))</f>
        <v/>
      </c>
      <c r="E327" s="11">
        <f>IF(A327="","",Products!E327)</f>
        <v/>
      </c>
      <c r="F327" s="11">
        <f>IF(A327="","",D327*E327)</f>
        <v/>
      </c>
      <c r="G327" s="11">
        <f>IF(A327="","",Products!F327)</f>
        <v/>
      </c>
      <c r="H327" s="11">
        <f>IF(A327="","",IF(D327&lt;G327,"REORDER","OK"))</f>
        <v/>
      </c>
      <c r="I327" s="14">
        <f>IF(A327="","",IFERROR(_xlfn.MAXIFS(StockMovements!$A$2:$A$500,StockMovements!$B$2:$B$500,A327),0))</f>
        <v/>
      </c>
      <c r="J327" s="11">
        <f>IF(OR(A327="",I327=0),"",TODAY()-I327)</f>
        <v/>
      </c>
      <c r="K327" s="11">
        <f>IF(A327="","",IF(I327=0,"never moved",IF(J327&lt;=30,"0-30",IF(J327&lt;=60,"31-60",IF(J327&lt;=90,"61-90","90+")))))</f>
        <v/>
      </c>
    </row>
    <row r="328">
      <c r="A328" s="11">
        <f>Products!A328</f>
        <v/>
      </c>
      <c r="B328" s="11">
        <f>Products!B328</f>
        <v/>
      </c>
      <c r="C328" s="11">
        <f>Products!C328</f>
        <v/>
      </c>
      <c r="D328" s="11">
        <f>IF(A328="","",SUMIFS(StockMovements!$E$2:$E$500,StockMovements!$B$2:$B$500,A328,StockMovements!$D$2:$D$500,"receipt")+SUMIFS(StockMovements!$E$2:$E$500,StockMovements!$B$2:$B$500,A328,StockMovements!$D$2:$D$500,"production_in")+SUMIFS(StockMovements!$E$2:$E$500,StockMovements!$B$2:$B$500,A328,StockMovements!$D$2:$D$500,"adjustment")-SUMIFS(StockMovements!$E$2:$E$500,StockMovements!$B$2:$B$500,A328,StockMovements!$D$2:$D$500,"issue")-SUMIFS(StockMovements!$E$2:$E$500,StockMovements!$B$2:$B$500,A328,StockMovements!$D$2:$D$500,"production_out")-SUMIFS(StockMovements!$E$2:$E$500,StockMovements!$B$2:$B$500,A328,StockMovements!$D$2:$D$500,"transfer")-SUMIFS(StockMovements!$E$2:$E$500,StockMovements!$B$2:$B$500,A328,StockMovements!$D$2:$D$500,"scrap"))</f>
        <v/>
      </c>
      <c r="E328" s="11">
        <f>IF(A328="","",Products!E328)</f>
        <v/>
      </c>
      <c r="F328" s="11">
        <f>IF(A328="","",D328*E328)</f>
        <v/>
      </c>
      <c r="G328" s="11">
        <f>IF(A328="","",Products!F328)</f>
        <v/>
      </c>
      <c r="H328" s="11">
        <f>IF(A328="","",IF(D328&lt;G328,"REORDER","OK"))</f>
        <v/>
      </c>
      <c r="I328" s="14">
        <f>IF(A328="","",IFERROR(_xlfn.MAXIFS(StockMovements!$A$2:$A$500,StockMovements!$B$2:$B$500,A328),0))</f>
        <v/>
      </c>
      <c r="J328" s="11">
        <f>IF(OR(A328="",I328=0),"",TODAY()-I328)</f>
        <v/>
      </c>
      <c r="K328" s="11">
        <f>IF(A328="","",IF(I328=0,"never moved",IF(J328&lt;=30,"0-30",IF(J328&lt;=60,"31-60",IF(J328&lt;=90,"61-90","90+")))))</f>
        <v/>
      </c>
    </row>
    <row r="329">
      <c r="A329" s="11">
        <f>Products!A329</f>
        <v/>
      </c>
      <c r="B329" s="11">
        <f>Products!B329</f>
        <v/>
      </c>
      <c r="C329" s="11">
        <f>Products!C329</f>
        <v/>
      </c>
      <c r="D329" s="11">
        <f>IF(A329="","",SUMIFS(StockMovements!$E$2:$E$500,StockMovements!$B$2:$B$500,A329,StockMovements!$D$2:$D$500,"receipt")+SUMIFS(StockMovements!$E$2:$E$500,StockMovements!$B$2:$B$500,A329,StockMovements!$D$2:$D$500,"production_in")+SUMIFS(StockMovements!$E$2:$E$500,StockMovements!$B$2:$B$500,A329,StockMovements!$D$2:$D$500,"adjustment")-SUMIFS(StockMovements!$E$2:$E$500,StockMovements!$B$2:$B$500,A329,StockMovements!$D$2:$D$500,"issue")-SUMIFS(StockMovements!$E$2:$E$500,StockMovements!$B$2:$B$500,A329,StockMovements!$D$2:$D$500,"production_out")-SUMIFS(StockMovements!$E$2:$E$500,StockMovements!$B$2:$B$500,A329,StockMovements!$D$2:$D$500,"transfer")-SUMIFS(StockMovements!$E$2:$E$500,StockMovements!$B$2:$B$500,A329,StockMovements!$D$2:$D$500,"scrap"))</f>
        <v/>
      </c>
      <c r="E329" s="11">
        <f>IF(A329="","",Products!E329)</f>
        <v/>
      </c>
      <c r="F329" s="11">
        <f>IF(A329="","",D329*E329)</f>
        <v/>
      </c>
      <c r="G329" s="11">
        <f>IF(A329="","",Products!F329)</f>
        <v/>
      </c>
      <c r="H329" s="11">
        <f>IF(A329="","",IF(D329&lt;G329,"REORDER","OK"))</f>
        <v/>
      </c>
      <c r="I329" s="14">
        <f>IF(A329="","",IFERROR(_xlfn.MAXIFS(StockMovements!$A$2:$A$500,StockMovements!$B$2:$B$500,A329),0))</f>
        <v/>
      </c>
      <c r="J329" s="11">
        <f>IF(OR(A329="",I329=0),"",TODAY()-I329)</f>
        <v/>
      </c>
      <c r="K329" s="11">
        <f>IF(A329="","",IF(I329=0,"never moved",IF(J329&lt;=30,"0-30",IF(J329&lt;=60,"31-60",IF(J329&lt;=90,"61-90","90+")))))</f>
        <v/>
      </c>
    </row>
    <row r="330">
      <c r="A330" s="11">
        <f>Products!A330</f>
        <v/>
      </c>
      <c r="B330" s="11">
        <f>Products!B330</f>
        <v/>
      </c>
      <c r="C330" s="11">
        <f>Products!C330</f>
        <v/>
      </c>
      <c r="D330" s="11">
        <f>IF(A330="","",SUMIFS(StockMovements!$E$2:$E$500,StockMovements!$B$2:$B$500,A330,StockMovements!$D$2:$D$500,"receipt")+SUMIFS(StockMovements!$E$2:$E$500,StockMovements!$B$2:$B$500,A330,StockMovements!$D$2:$D$500,"production_in")+SUMIFS(StockMovements!$E$2:$E$500,StockMovements!$B$2:$B$500,A330,StockMovements!$D$2:$D$500,"adjustment")-SUMIFS(StockMovements!$E$2:$E$500,StockMovements!$B$2:$B$500,A330,StockMovements!$D$2:$D$500,"issue")-SUMIFS(StockMovements!$E$2:$E$500,StockMovements!$B$2:$B$500,A330,StockMovements!$D$2:$D$500,"production_out")-SUMIFS(StockMovements!$E$2:$E$500,StockMovements!$B$2:$B$500,A330,StockMovements!$D$2:$D$500,"transfer")-SUMIFS(StockMovements!$E$2:$E$500,StockMovements!$B$2:$B$500,A330,StockMovements!$D$2:$D$500,"scrap"))</f>
        <v/>
      </c>
      <c r="E330" s="11">
        <f>IF(A330="","",Products!E330)</f>
        <v/>
      </c>
      <c r="F330" s="11">
        <f>IF(A330="","",D330*E330)</f>
        <v/>
      </c>
      <c r="G330" s="11">
        <f>IF(A330="","",Products!F330)</f>
        <v/>
      </c>
      <c r="H330" s="11">
        <f>IF(A330="","",IF(D330&lt;G330,"REORDER","OK"))</f>
        <v/>
      </c>
      <c r="I330" s="14">
        <f>IF(A330="","",IFERROR(_xlfn.MAXIFS(StockMovements!$A$2:$A$500,StockMovements!$B$2:$B$500,A330),0))</f>
        <v/>
      </c>
      <c r="J330" s="11">
        <f>IF(OR(A330="",I330=0),"",TODAY()-I330)</f>
        <v/>
      </c>
      <c r="K330" s="11">
        <f>IF(A330="","",IF(I330=0,"never moved",IF(J330&lt;=30,"0-30",IF(J330&lt;=60,"31-60",IF(J330&lt;=90,"61-90","90+")))))</f>
        <v/>
      </c>
    </row>
    <row r="331">
      <c r="A331" s="11">
        <f>Products!A331</f>
        <v/>
      </c>
      <c r="B331" s="11">
        <f>Products!B331</f>
        <v/>
      </c>
      <c r="C331" s="11">
        <f>Products!C331</f>
        <v/>
      </c>
      <c r="D331" s="11">
        <f>IF(A331="","",SUMIFS(StockMovements!$E$2:$E$500,StockMovements!$B$2:$B$500,A331,StockMovements!$D$2:$D$500,"receipt")+SUMIFS(StockMovements!$E$2:$E$500,StockMovements!$B$2:$B$500,A331,StockMovements!$D$2:$D$500,"production_in")+SUMIFS(StockMovements!$E$2:$E$500,StockMovements!$B$2:$B$500,A331,StockMovements!$D$2:$D$500,"adjustment")-SUMIFS(StockMovements!$E$2:$E$500,StockMovements!$B$2:$B$500,A331,StockMovements!$D$2:$D$500,"issue")-SUMIFS(StockMovements!$E$2:$E$500,StockMovements!$B$2:$B$500,A331,StockMovements!$D$2:$D$500,"production_out")-SUMIFS(StockMovements!$E$2:$E$500,StockMovements!$B$2:$B$500,A331,StockMovements!$D$2:$D$500,"transfer")-SUMIFS(StockMovements!$E$2:$E$500,StockMovements!$B$2:$B$500,A331,StockMovements!$D$2:$D$500,"scrap"))</f>
        <v/>
      </c>
      <c r="E331" s="11">
        <f>IF(A331="","",Products!E331)</f>
        <v/>
      </c>
      <c r="F331" s="11">
        <f>IF(A331="","",D331*E331)</f>
        <v/>
      </c>
      <c r="G331" s="11">
        <f>IF(A331="","",Products!F331)</f>
        <v/>
      </c>
      <c r="H331" s="11">
        <f>IF(A331="","",IF(D331&lt;G331,"REORDER","OK"))</f>
        <v/>
      </c>
      <c r="I331" s="14">
        <f>IF(A331="","",IFERROR(_xlfn.MAXIFS(StockMovements!$A$2:$A$500,StockMovements!$B$2:$B$500,A331),0))</f>
        <v/>
      </c>
      <c r="J331" s="11">
        <f>IF(OR(A331="",I331=0),"",TODAY()-I331)</f>
        <v/>
      </c>
      <c r="K331" s="11">
        <f>IF(A331="","",IF(I331=0,"never moved",IF(J331&lt;=30,"0-30",IF(J331&lt;=60,"31-60",IF(J331&lt;=90,"61-90","90+")))))</f>
        <v/>
      </c>
    </row>
    <row r="332">
      <c r="A332" s="11">
        <f>Products!A332</f>
        <v/>
      </c>
      <c r="B332" s="11">
        <f>Products!B332</f>
        <v/>
      </c>
      <c r="C332" s="11">
        <f>Products!C332</f>
        <v/>
      </c>
      <c r="D332" s="11">
        <f>IF(A332="","",SUMIFS(StockMovements!$E$2:$E$500,StockMovements!$B$2:$B$500,A332,StockMovements!$D$2:$D$500,"receipt")+SUMIFS(StockMovements!$E$2:$E$500,StockMovements!$B$2:$B$500,A332,StockMovements!$D$2:$D$500,"production_in")+SUMIFS(StockMovements!$E$2:$E$500,StockMovements!$B$2:$B$500,A332,StockMovements!$D$2:$D$500,"adjustment")-SUMIFS(StockMovements!$E$2:$E$500,StockMovements!$B$2:$B$500,A332,StockMovements!$D$2:$D$500,"issue")-SUMIFS(StockMovements!$E$2:$E$500,StockMovements!$B$2:$B$500,A332,StockMovements!$D$2:$D$500,"production_out")-SUMIFS(StockMovements!$E$2:$E$500,StockMovements!$B$2:$B$500,A332,StockMovements!$D$2:$D$500,"transfer")-SUMIFS(StockMovements!$E$2:$E$500,StockMovements!$B$2:$B$500,A332,StockMovements!$D$2:$D$500,"scrap"))</f>
        <v/>
      </c>
      <c r="E332" s="11">
        <f>IF(A332="","",Products!E332)</f>
        <v/>
      </c>
      <c r="F332" s="11">
        <f>IF(A332="","",D332*E332)</f>
        <v/>
      </c>
      <c r="G332" s="11">
        <f>IF(A332="","",Products!F332)</f>
        <v/>
      </c>
      <c r="H332" s="11">
        <f>IF(A332="","",IF(D332&lt;G332,"REORDER","OK"))</f>
        <v/>
      </c>
      <c r="I332" s="14">
        <f>IF(A332="","",IFERROR(_xlfn.MAXIFS(StockMovements!$A$2:$A$500,StockMovements!$B$2:$B$500,A332),0))</f>
        <v/>
      </c>
      <c r="J332" s="11">
        <f>IF(OR(A332="",I332=0),"",TODAY()-I332)</f>
        <v/>
      </c>
      <c r="K332" s="11">
        <f>IF(A332="","",IF(I332=0,"never moved",IF(J332&lt;=30,"0-30",IF(J332&lt;=60,"31-60",IF(J332&lt;=90,"61-90","90+")))))</f>
        <v/>
      </c>
    </row>
    <row r="333">
      <c r="A333" s="11">
        <f>Products!A333</f>
        <v/>
      </c>
      <c r="B333" s="11">
        <f>Products!B333</f>
        <v/>
      </c>
      <c r="C333" s="11">
        <f>Products!C333</f>
        <v/>
      </c>
      <c r="D333" s="11">
        <f>IF(A333="","",SUMIFS(StockMovements!$E$2:$E$500,StockMovements!$B$2:$B$500,A333,StockMovements!$D$2:$D$500,"receipt")+SUMIFS(StockMovements!$E$2:$E$500,StockMovements!$B$2:$B$500,A333,StockMovements!$D$2:$D$500,"production_in")+SUMIFS(StockMovements!$E$2:$E$500,StockMovements!$B$2:$B$500,A333,StockMovements!$D$2:$D$500,"adjustment")-SUMIFS(StockMovements!$E$2:$E$500,StockMovements!$B$2:$B$500,A333,StockMovements!$D$2:$D$500,"issue")-SUMIFS(StockMovements!$E$2:$E$500,StockMovements!$B$2:$B$500,A333,StockMovements!$D$2:$D$500,"production_out")-SUMIFS(StockMovements!$E$2:$E$500,StockMovements!$B$2:$B$500,A333,StockMovements!$D$2:$D$500,"transfer")-SUMIFS(StockMovements!$E$2:$E$500,StockMovements!$B$2:$B$500,A333,StockMovements!$D$2:$D$500,"scrap"))</f>
        <v/>
      </c>
      <c r="E333" s="11">
        <f>IF(A333="","",Products!E333)</f>
        <v/>
      </c>
      <c r="F333" s="11">
        <f>IF(A333="","",D333*E333)</f>
        <v/>
      </c>
      <c r="G333" s="11">
        <f>IF(A333="","",Products!F333)</f>
        <v/>
      </c>
      <c r="H333" s="11">
        <f>IF(A333="","",IF(D333&lt;G333,"REORDER","OK"))</f>
        <v/>
      </c>
      <c r="I333" s="14">
        <f>IF(A333="","",IFERROR(_xlfn.MAXIFS(StockMovements!$A$2:$A$500,StockMovements!$B$2:$B$500,A333),0))</f>
        <v/>
      </c>
      <c r="J333" s="11">
        <f>IF(OR(A333="",I333=0),"",TODAY()-I333)</f>
        <v/>
      </c>
      <c r="K333" s="11">
        <f>IF(A333="","",IF(I333=0,"never moved",IF(J333&lt;=30,"0-30",IF(J333&lt;=60,"31-60",IF(J333&lt;=90,"61-90","90+")))))</f>
        <v/>
      </c>
    </row>
    <row r="334">
      <c r="A334" s="11">
        <f>Products!A334</f>
        <v/>
      </c>
      <c r="B334" s="11">
        <f>Products!B334</f>
        <v/>
      </c>
      <c r="C334" s="11">
        <f>Products!C334</f>
        <v/>
      </c>
      <c r="D334" s="11">
        <f>IF(A334="","",SUMIFS(StockMovements!$E$2:$E$500,StockMovements!$B$2:$B$500,A334,StockMovements!$D$2:$D$500,"receipt")+SUMIFS(StockMovements!$E$2:$E$500,StockMovements!$B$2:$B$500,A334,StockMovements!$D$2:$D$500,"production_in")+SUMIFS(StockMovements!$E$2:$E$500,StockMovements!$B$2:$B$500,A334,StockMovements!$D$2:$D$500,"adjustment")-SUMIFS(StockMovements!$E$2:$E$500,StockMovements!$B$2:$B$500,A334,StockMovements!$D$2:$D$500,"issue")-SUMIFS(StockMovements!$E$2:$E$500,StockMovements!$B$2:$B$500,A334,StockMovements!$D$2:$D$500,"production_out")-SUMIFS(StockMovements!$E$2:$E$500,StockMovements!$B$2:$B$500,A334,StockMovements!$D$2:$D$500,"transfer")-SUMIFS(StockMovements!$E$2:$E$500,StockMovements!$B$2:$B$500,A334,StockMovements!$D$2:$D$500,"scrap"))</f>
        <v/>
      </c>
      <c r="E334" s="11">
        <f>IF(A334="","",Products!E334)</f>
        <v/>
      </c>
      <c r="F334" s="11">
        <f>IF(A334="","",D334*E334)</f>
        <v/>
      </c>
      <c r="G334" s="11">
        <f>IF(A334="","",Products!F334)</f>
        <v/>
      </c>
      <c r="H334" s="11">
        <f>IF(A334="","",IF(D334&lt;G334,"REORDER","OK"))</f>
        <v/>
      </c>
      <c r="I334" s="14">
        <f>IF(A334="","",IFERROR(_xlfn.MAXIFS(StockMovements!$A$2:$A$500,StockMovements!$B$2:$B$500,A334),0))</f>
        <v/>
      </c>
      <c r="J334" s="11">
        <f>IF(OR(A334="",I334=0),"",TODAY()-I334)</f>
        <v/>
      </c>
      <c r="K334" s="11">
        <f>IF(A334="","",IF(I334=0,"never moved",IF(J334&lt;=30,"0-30",IF(J334&lt;=60,"31-60",IF(J334&lt;=90,"61-90","90+")))))</f>
        <v/>
      </c>
    </row>
    <row r="335">
      <c r="A335" s="11">
        <f>Products!A335</f>
        <v/>
      </c>
      <c r="B335" s="11">
        <f>Products!B335</f>
        <v/>
      </c>
      <c r="C335" s="11">
        <f>Products!C335</f>
        <v/>
      </c>
      <c r="D335" s="11">
        <f>IF(A335="","",SUMIFS(StockMovements!$E$2:$E$500,StockMovements!$B$2:$B$500,A335,StockMovements!$D$2:$D$500,"receipt")+SUMIFS(StockMovements!$E$2:$E$500,StockMovements!$B$2:$B$500,A335,StockMovements!$D$2:$D$500,"production_in")+SUMIFS(StockMovements!$E$2:$E$500,StockMovements!$B$2:$B$500,A335,StockMovements!$D$2:$D$500,"adjustment")-SUMIFS(StockMovements!$E$2:$E$500,StockMovements!$B$2:$B$500,A335,StockMovements!$D$2:$D$500,"issue")-SUMIFS(StockMovements!$E$2:$E$500,StockMovements!$B$2:$B$500,A335,StockMovements!$D$2:$D$500,"production_out")-SUMIFS(StockMovements!$E$2:$E$500,StockMovements!$B$2:$B$500,A335,StockMovements!$D$2:$D$500,"transfer")-SUMIFS(StockMovements!$E$2:$E$500,StockMovements!$B$2:$B$500,A335,StockMovements!$D$2:$D$500,"scrap"))</f>
        <v/>
      </c>
      <c r="E335" s="11">
        <f>IF(A335="","",Products!E335)</f>
        <v/>
      </c>
      <c r="F335" s="11">
        <f>IF(A335="","",D335*E335)</f>
        <v/>
      </c>
      <c r="G335" s="11">
        <f>IF(A335="","",Products!F335)</f>
        <v/>
      </c>
      <c r="H335" s="11">
        <f>IF(A335="","",IF(D335&lt;G335,"REORDER","OK"))</f>
        <v/>
      </c>
      <c r="I335" s="14">
        <f>IF(A335="","",IFERROR(_xlfn.MAXIFS(StockMovements!$A$2:$A$500,StockMovements!$B$2:$B$500,A335),0))</f>
        <v/>
      </c>
      <c r="J335" s="11">
        <f>IF(OR(A335="",I335=0),"",TODAY()-I335)</f>
        <v/>
      </c>
      <c r="K335" s="11">
        <f>IF(A335="","",IF(I335=0,"never moved",IF(J335&lt;=30,"0-30",IF(J335&lt;=60,"31-60",IF(J335&lt;=90,"61-90","90+")))))</f>
        <v/>
      </c>
    </row>
    <row r="336">
      <c r="A336" s="11">
        <f>Products!A336</f>
        <v/>
      </c>
      <c r="B336" s="11">
        <f>Products!B336</f>
        <v/>
      </c>
      <c r="C336" s="11">
        <f>Products!C336</f>
        <v/>
      </c>
      <c r="D336" s="11">
        <f>IF(A336="","",SUMIFS(StockMovements!$E$2:$E$500,StockMovements!$B$2:$B$500,A336,StockMovements!$D$2:$D$500,"receipt")+SUMIFS(StockMovements!$E$2:$E$500,StockMovements!$B$2:$B$500,A336,StockMovements!$D$2:$D$500,"production_in")+SUMIFS(StockMovements!$E$2:$E$500,StockMovements!$B$2:$B$500,A336,StockMovements!$D$2:$D$500,"adjustment")-SUMIFS(StockMovements!$E$2:$E$500,StockMovements!$B$2:$B$500,A336,StockMovements!$D$2:$D$500,"issue")-SUMIFS(StockMovements!$E$2:$E$500,StockMovements!$B$2:$B$500,A336,StockMovements!$D$2:$D$500,"production_out")-SUMIFS(StockMovements!$E$2:$E$500,StockMovements!$B$2:$B$500,A336,StockMovements!$D$2:$D$500,"transfer")-SUMIFS(StockMovements!$E$2:$E$500,StockMovements!$B$2:$B$500,A336,StockMovements!$D$2:$D$500,"scrap"))</f>
        <v/>
      </c>
      <c r="E336" s="11">
        <f>IF(A336="","",Products!E336)</f>
        <v/>
      </c>
      <c r="F336" s="11">
        <f>IF(A336="","",D336*E336)</f>
        <v/>
      </c>
      <c r="G336" s="11">
        <f>IF(A336="","",Products!F336)</f>
        <v/>
      </c>
      <c r="H336" s="11">
        <f>IF(A336="","",IF(D336&lt;G336,"REORDER","OK"))</f>
        <v/>
      </c>
      <c r="I336" s="14">
        <f>IF(A336="","",IFERROR(_xlfn.MAXIFS(StockMovements!$A$2:$A$500,StockMovements!$B$2:$B$500,A336),0))</f>
        <v/>
      </c>
      <c r="J336" s="11">
        <f>IF(OR(A336="",I336=0),"",TODAY()-I336)</f>
        <v/>
      </c>
      <c r="K336" s="11">
        <f>IF(A336="","",IF(I336=0,"never moved",IF(J336&lt;=30,"0-30",IF(J336&lt;=60,"31-60",IF(J336&lt;=90,"61-90","90+")))))</f>
        <v/>
      </c>
    </row>
    <row r="337">
      <c r="A337" s="11">
        <f>Products!A337</f>
        <v/>
      </c>
      <c r="B337" s="11">
        <f>Products!B337</f>
        <v/>
      </c>
      <c r="C337" s="11">
        <f>Products!C337</f>
        <v/>
      </c>
      <c r="D337" s="11">
        <f>IF(A337="","",SUMIFS(StockMovements!$E$2:$E$500,StockMovements!$B$2:$B$500,A337,StockMovements!$D$2:$D$500,"receipt")+SUMIFS(StockMovements!$E$2:$E$500,StockMovements!$B$2:$B$500,A337,StockMovements!$D$2:$D$500,"production_in")+SUMIFS(StockMovements!$E$2:$E$500,StockMovements!$B$2:$B$500,A337,StockMovements!$D$2:$D$500,"adjustment")-SUMIFS(StockMovements!$E$2:$E$500,StockMovements!$B$2:$B$500,A337,StockMovements!$D$2:$D$500,"issue")-SUMIFS(StockMovements!$E$2:$E$500,StockMovements!$B$2:$B$500,A337,StockMovements!$D$2:$D$500,"production_out")-SUMIFS(StockMovements!$E$2:$E$500,StockMovements!$B$2:$B$500,A337,StockMovements!$D$2:$D$500,"transfer")-SUMIFS(StockMovements!$E$2:$E$500,StockMovements!$B$2:$B$500,A337,StockMovements!$D$2:$D$500,"scrap"))</f>
        <v/>
      </c>
      <c r="E337" s="11">
        <f>IF(A337="","",Products!E337)</f>
        <v/>
      </c>
      <c r="F337" s="11">
        <f>IF(A337="","",D337*E337)</f>
        <v/>
      </c>
      <c r="G337" s="11">
        <f>IF(A337="","",Products!F337)</f>
        <v/>
      </c>
      <c r="H337" s="11">
        <f>IF(A337="","",IF(D337&lt;G337,"REORDER","OK"))</f>
        <v/>
      </c>
      <c r="I337" s="14">
        <f>IF(A337="","",IFERROR(_xlfn.MAXIFS(StockMovements!$A$2:$A$500,StockMovements!$B$2:$B$500,A337),0))</f>
        <v/>
      </c>
      <c r="J337" s="11">
        <f>IF(OR(A337="",I337=0),"",TODAY()-I337)</f>
        <v/>
      </c>
      <c r="K337" s="11">
        <f>IF(A337="","",IF(I337=0,"never moved",IF(J337&lt;=30,"0-30",IF(J337&lt;=60,"31-60",IF(J337&lt;=90,"61-90","90+")))))</f>
        <v/>
      </c>
    </row>
    <row r="338">
      <c r="A338" s="11">
        <f>Products!A338</f>
        <v/>
      </c>
      <c r="B338" s="11">
        <f>Products!B338</f>
        <v/>
      </c>
      <c r="C338" s="11">
        <f>Products!C338</f>
        <v/>
      </c>
      <c r="D338" s="11">
        <f>IF(A338="","",SUMIFS(StockMovements!$E$2:$E$500,StockMovements!$B$2:$B$500,A338,StockMovements!$D$2:$D$500,"receipt")+SUMIFS(StockMovements!$E$2:$E$500,StockMovements!$B$2:$B$500,A338,StockMovements!$D$2:$D$500,"production_in")+SUMIFS(StockMovements!$E$2:$E$500,StockMovements!$B$2:$B$500,A338,StockMovements!$D$2:$D$500,"adjustment")-SUMIFS(StockMovements!$E$2:$E$500,StockMovements!$B$2:$B$500,A338,StockMovements!$D$2:$D$500,"issue")-SUMIFS(StockMovements!$E$2:$E$500,StockMovements!$B$2:$B$500,A338,StockMovements!$D$2:$D$500,"production_out")-SUMIFS(StockMovements!$E$2:$E$500,StockMovements!$B$2:$B$500,A338,StockMovements!$D$2:$D$500,"transfer")-SUMIFS(StockMovements!$E$2:$E$500,StockMovements!$B$2:$B$500,A338,StockMovements!$D$2:$D$500,"scrap"))</f>
        <v/>
      </c>
      <c r="E338" s="11">
        <f>IF(A338="","",Products!E338)</f>
        <v/>
      </c>
      <c r="F338" s="11">
        <f>IF(A338="","",D338*E338)</f>
        <v/>
      </c>
      <c r="G338" s="11">
        <f>IF(A338="","",Products!F338)</f>
        <v/>
      </c>
      <c r="H338" s="11">
        <f>IF(A338="","",IF(D338&lt;G338,"REORDER","OK"))</f>
        <v/>
      </c>
      <c r="I338" s="14">
        <f>IF(A338="","",IFERROR(_xlfn.MAXIFS(StockMovements!$A$2:$A$500,StockMovements!$B$2:$B$500,A338),0))</f>
        <v/>
      </c>
      <c r="J338" s="11">
        <f>IF(OR(A338="",I338=0),"",TODAY()-I338)</f>
        <v/>
      </c>
      <c r="K338" s="11">
        <f>IF(A338="","",IF(I338=0,"never moved",IF(J338&lt;=30,"0-30",IF(J338&lt;=60,"31-60",IF(J338&lt;=90,"61-90","90+")))))</f>
        <v/>
      </c>
    </row>
    <row r="339">
      <c r="A339" s="11">
        <f>Products!A339</f>
        <v/>
      </c>
      <c r="B339" s="11">
        <f>Products!B339</f>
        <v/>
      </c>
      <c r="C339" s="11">
        <f>Products!C339</f>
        <v/>
      </c>
      <c r="D339" s="11">
        <f>IF(A339="","",SUMIFS(StockMovements!$E$2:$E$500,StockMovements!$B$2:$B$500,A339,StockMovements!$D$2:$D$500,"receipt")+SUMIFS(StockMovements!$E$2:$E$500,StockMovements!$B$2:$B$500,A339,StockMovements!$D$2:$D$500,"production_in")+SUMIFS(StockMovements!$E$2:$E$500,StockMovements!$B$2:$B$500,A339,StockMovements!$D$2:$D$500,"adjustment")-SUMIFS(StockMovements!$E$2:$E$500,StockMovements!$B$2:$B$500,A339,StockMovements!$D$2:$D$500,"issue")-SUMIFS(StockMovements!$E$2:$E$500,StockMovements!$B$2:$B$500,A339,StockMovements!$D$2:$D$500,"production_out")-SUMIFS(StockMovements!$E$2:$E$500,StockMovements!$B$2:$B$500,A339,StockMovements!$D$2:$D$500,"transfer")-SUMIFS(StockMovements!$E$2:$E$500,StockMovements!$B$2:$B$500,A339,StockMovements!$D$2:$D$500,"scrap"))</f>
        <v/>
      </c>
      <c r="E339" s="11">
        <f>IF(A339="","",Products!E339)</f>
        <v/>
      </c>
      <c r="F339" s="11">
        <f>IF(A339="","",D339*E339)</f>
        <v/>
      </c>
      <c r="G339" s="11">
        <f>IF(A339="","",Products!F339)</f>
        <v/>
      </c>
      <c r="H339" s="11">
        <f>IF(A339="","",IF(D339&lt;G339,"REORDER","OK"))</f>
        <v/>
      </c>
      <c r="I339" s="14">
        <f>IF(A339="","",IFERROR(_xlfn.MAXIFS(StockMovements!$A$2:$A$500,StockMovements!$B$2:$B$500,A339),0))</f>
        <v/>
      </c>
      <c r="J339" s="11">
        <f>IF(OR(A339="",I339=0),"",TODAY()-I339)</f>
        <v/>
      </c>
      <c r="K339" s="11">
        <f>IF(A339="","",IF(I339=0,"never moved",IF(J339&lt;=30,"0-30",IF(J339&lt;=60,"31-60",IF(J339&lt;=90,"61-90","90+")))))</f>
        <v/>
      </c>
    </row>
    <row r="340">
      <c r="A340" s="11">
        <f>Products!A340</f>
        <v/>
      </c>
      <c r="B340" s="11">
        <f>Products!B340</f>
        <v/>
      </c>
      <c r="C340" s="11">
        <f>Products!C340</f>
        <v/>
      </c>
      <c r="D340" s="11">
        <f>IF(A340="","",SUMIFS(StockMovements!$E$2:$E$500,StockMovements!$B$2:$B$500,A340,StockMovements!$D$2:$D$500,"receipt")+SUMIFS(StockMovements!$E$2:$E$500,StockMovements!$B$2:$B$500,A340,StockMovements!$D$2:$D$500,"production_in")+SUMIFS(StockMovements!$E$2:$E$500,StockMovements!$B$2:$B$500,A340,StockMovements!$D$2:$D$500,"adjustment")-SUMIFS(StockMovements!$E$2:$E$500,StockMovements!$B$2:$B$500,A340,StockMovements!$D$2:$D$500,"issue")-SUMIFS(StockMovements!$E$2:$E$500,StockMovements!$B$2:$B$500,A340,StockMovements!$D$2:$D$500,"production_out")-SUMIFS(StockMovements!$E$2:$E$500,StockMovements!$B$2:$B$500,A340,StockMovements!$D$2:$D$500,"transfer")-SUMIFS(StockMovements!$E$2:$E$500,StockMovements!$B$2:$B$500,A340,StockMovements!$D$2:$D$500,"scrap"))</f>
        <v/>
      </c>
      <c r="E340" s="11">
        <f>IF(A340="","",Products!E340)</f>
        <v/>
      </c>
      <c r="F340" s="11">
        <f>IF(A340="","",D340*E340)</f>
        <v/>
      </c>
      <c r="G340" s="11">
        <f>IF(A340="","",Products!F340)</f>
        <v/>
      </c>
      <c r="H340" s="11">
        <f>IF(A340="","",IF(D340&lt;G340,"REORDER","OK"))</f>
        <v/>
      </c>
      <c r="I340" s="14">
        <f>IF(A340="","",IFERROR(_xlfn.MAXIFS(StockMovements!$A$2:$A$500,StockMovements!$B$2:$B$500,A340),0))</f>
        <v/>
      </c>
      <c r="J340" s="11">
        <f>IF(OR(A340="",I340=0),"",TODAY()-I340)</f>
        <v/>
      </c>
      <c r="K340" s="11">
        <f>IF(A340="","",IF(I340=0,"never moved",IF(J340&lt;=30,"0-30",IF(J340&lt;=60,"31-60",IF(J340&lt;=90,"61-90","90+")))))</f>
        <v/>
      </c>
    </row>
    <row r="341">
      <c r="A341" s="11">
        <f>Products!A341</f>
        <v/>
      </c>
      <c r="B341" s="11">
        <f>Products!B341</f>
        <v/>
      </c>
      <c r="C341" s="11">
        <f>Products!C341</f>
        <v/>
      </c>
      <c r="D341" s="11">
        <f>IF(A341="","",SUMIFS(StockMovements!$E$2:$E$500,StockMovements!$B$2:$B$500,A341,StockMovements!$D$2:$D$500,"receipt")+SUMIFS(StockMovements!$E$2:$E$500,StockMovements!$B$2:$B$500,A341,StockMovements!$D$2:$D$500,"production_in")+SUMIFS(StockMovements!$E$2:$E$500,StockMovements!$B$2:$B$500,A341,StockMovements!$D$2:$D$500,"adjustment")-SUMIFS(StockMovements!$E$2:$E$500,StockMovements!$B$2:$B$500,A341,StockMovements!$D$2:$D$500,"issue")-SUMIFS(StockMovements!$E$2:$E$500,StockMovements!$B$2:$B$500,A341,StockMovements!$D$2:$D$500,"production_out")-SUMIFS(StockMovements!$E$2:$E$500,StockMovements!$B$2:$B$500,A341,StockMovements!$D$2:$D$500,"transfer")-SUMIFS(StockMovements!$E$2:$E$500,StockMovements!$B$2:$B$500,A341,StockMovements!$D$2:$D$500,"scrap"))</f>
        <v/>
      </c>
      <c r="E341" s="11">
        <f>IF(A341="","",Products!E341)</f>
        <v/>
      </c>
      <c r="F341" s="11">
        <f>IF(A341="","",D341*E341)</f>
        <v/>
      </c>
      <c r="G341" s="11">
        <f>IF(A341="","",Products!F341)</f>
        <v/>
      </c>
      <c r="H341" s="11">
        <f>IF(A341="","",IF(D341&lt;G341,"REORDER","OK"))</f>
        <v/>
      </c>
      <c r="I341" s="14">
        <f>IF(A341="","",IFERROR(_xlfn.MAXIFS(StockMovements!$A$2:$A$500,StockMovements!$B$2:$B$500,A341),0))</f>
        <v/>
      </c>
      <c r="J341" s="11">
        <f>IF(OR(A341="",I341=0),"",TODAY()-I341)</f>
        <v/>
      </c>
      <c r="K341" s="11">
        <f>IF(A341="","",IF(I341=0,"never moved",IF(J341&lt;=30,"0-30",IF(J341&lt;=60,"31-60",IF(J341&lt;=90,"61-90","90+")))))</f>
        <v/>
      </c>
    </row>
    <row r="342">
      <c r="A342" s="11">
        <f>Products!A342</f>
        <v/>
      </c>
      <c r="B342" s="11">
        <f>Products!B342</f>
        <v/>
      </c>
      <c r="C342" s="11">
        <f>Products!C342</f>
        <v/>
      </c>
      <c r="D342" s="11">
        <f>IF(A342="","",SUMIFS(StockMovements!$E$2:$E$500,StockMovements!$B$2:$B$500,A342,StockMovements!$D$2:$D$500,"receipt")+SUMIFS(StockMovements!$E$2:$E$500,StockMovements!$B$2:$B$500,A342,StockMovements!$D$2:$D$500,"production_in")+SUMIFS(StockMovements!$E$2:$E$500,StockMovements!$B$2:$B$500,A342,StockMovements!$D$2:$D$500,"adjustment")-SUMIFS(StockMovements!$E$2:$E$500,StockMovements!$B$2:$B$500,A342,StockMovements!$D$2:$D$500,"issue")-SUMIFS(StockMovements!$E$2:$E$500,StockMovements!$B$2:$B$500,A342,StockMovements!$D$2:$D$500,"production_out")-SUMIFS(StockMovements!$E$2:$E$500,StockMovements!$B$2:$B$500,A342,StockMovements!$D$2:$D$500,"transfer")-SUMIFS(StockMovements!$E$2:$E$500,StockMovements!$B$2:$B$500,A342,StockMovements!$D$2:$D$500,"scrap"))</f>
        <v/>
      </c>
      <c r="E342" s="11">
        <f>IF(A342="","",Products!E342)</f>
        <v/>
      </c>
      <c r="F342" s="11">
        <f>IF(A342="","",D342*E342)</f>
        <v/>
      </c>
      <c r="G342" s="11">
        <f>IF(A342="","",Products!F342)</f>
        <v/>
      </c>
      <c r="H342" s="11">
        <f>IF(A342="","",IF(D342&lt;G342,"REORDER","OK"))</f>
        <v/>
      </c>
      <c r="I342" s="14">
        <f>IF(A342="","",IFERROR(_xlfn.MAXIFS(StockMovements!$A$2:$A$500,StockMovements!$B$2:$B$500,A342),0))</f>
        <v/>
      </c>
      <c r="J342" s="11">
        <f>IF(OR(A342="",I342=0),"",TODAY()-I342)</f>
        <v/>
      </c>
      <c r="K342" s="11">
        <f>IF(A342="","",IF(I342=0,"never moved",IF(J342&lt;=30,"0-30",IF(J342&lt;=60,"31-60",IF(J342&lt;=90,"61-90","90+")))))</f>
        <v/>
      </c>
    </row>
    <row r="343">
      <c r="A343" s="11">
        <f>Products!A343</f>
        <v/>
      </c>
      <c r="B343" s="11">
        <f>Products!B343</f>
        <v/>
      </c>
      <c r="C343" s="11">
        <f>Products!C343</f>
        <v/>
      </c>
      <c r="D343" s="11">
        <f>IF(A343="","",SUMIFS(StockMovements!$E$2:$E$500,StockMovements!$B$2:$B$500,A343,StockMovements!$D$2:$D$500,"receipt")+SUMIFS(StockMovements!$E$2:$E$500,StockMovements!$B$2:$B$500,A343,StockMovements!$D$2:$D$500,"production_in")+SUMIFS(StockMovements!$E$2:$E$500,StockMovements!$B$2:$B$500,A343,StockMovements!$D$2:$D$500,"adjustment")-SUMIFS(StockMovements!$E$2:$E$500,StockMovements!$B$2:$B$500,A343,StockMovements!$D$2:$D$500,"issue")-SUMIFS(StockMovements!$E$2:$E$500,StockMovements!$B$2:$B$500,A343,StockMovements!$D$2:$D$500,"production_out")-SUMIFS(StockMovements!$E$2:$E$500,StockMovements!$B$2:$B$500,A343,StockMovements!$D$2:$D$500,"transfer")-SUMIFS(StockMovements!$E$2:$E$500,StockMovements!$B$2:$B$500,A343,StockMovements!$D$2:$D$500,"scrap"))</f>
        <v/>
      </c>
      <c r="E343" s="11">
        <f>IF(A343="","",Products!E343)</f>
        <v/>
      </c>
      <c r="F343" s="11">
        <f>IF(A343="","",D343*E343)</f>
        <v/>
      </c>
      <c r="G343" s="11">
        <f>IF(A343="","",Products!F343)</f>
        <v/>
      </c>
      <c r="H343" s="11">
        <f>IF(A343="","",IF(D343&lt;G343,"REORDER","OK"))</f>
        <v/>
      </c>
      <c r="I343" s="14">
        <f>IF(A343="","",IFERROR(_xlfn.MAXIFS(StockMovements!$A$2:$A$500,StockMovements!$B$2:$B$500,A343),0))</f>
        <v/>
      </c>
      <c r="J343" s="11">
        <f>IF(OR(A343="",I343=0),"",TODAY()-I343)</f>
        <v/>
      </c>
      <c r="K343" s="11">
        <f>IF(A343="","",IF(I343=0,"never moved",IF(J343&lt;=30,"0-30",IF(J343&lt;=60,"31-60",IF(J343&lt;=90,"61-90","90+")))))</f>
        <v/>
      </c>
    </row>
    <row r="344">
      <c r="A344" s="11">
        <f>Products!A344</f>
        <v/>
      </c>
      <c r="B344" s="11">
        <f>Products!B344</f>
        <v/>
      </c>
      <c r="C344" s="11">
        <f>Products!C344</f>
        <v/>
      </c>
      <c r="D344" s="11">
        <f>IF(A344="","",SUMIFS(StockMovements!$E$2:$E$500,StockMovements!$B$2:$B$500,A344,StockMovements!$D$2:$D$500,"receipt")+SUMIFS(StockMovements!$E$2:$E$500,StockMovements!$B$2:$B$500,A344,StockMovements!$D$2:$D$500,"production_in")+SUMIFS(StockMovements!$E$2:$E$500,StockMovements!$B$2:$B$500,A344,StockMovements!$D$2:$D$500,"adjustment")-SUMIFS(StockMovements!$E$2:$E$500,StockMovements!$B$2:$B$500,A344,StockMovements!$D$2:$D$500,"issue")-SUMIFS(StockMovements!$E$2:$E$500,StockMovements!$B$2:$B$500,A344,StockMovements!$D$2:$D$500,"production_out")-SUMIFS(StockMovements!$E$2:$E$500,StockMovements!$B$2:$B$500,A344,StockMovements!$D$2:$D$500,"transfer")-SUMIFS(StockMovements!$E$2:$E$500,StockMovements!$B$2:$B$500,A344,StockMovements!$D$2:$D$500,"scrap"))</f>
        <v/>
      </c>
      <c r="E344" s="11">
        <f>IF(A344="","",Products!E344)</f>
        <v/>
      </c>
      <c r="F344" s="11">
        <f>IF(A344="","",D344*E344)</f>
        <v/>
      </c>
      <c r="G344" s="11">
        <f>IF(A344="","",Products!F344)</f>
        <v/>
      </c>
      <c r="H344" s="11">
        <f>IF(A344="","",IF(D344&lt;G344,"REORDER","OK"))</f>
        <v/>
      </c>
      <c r="I344" s="14">
        <f>IF(A344="","",IFERROR(_xlfn.MAXIFS(StockMovements!$A$2:$A$500,StockMovements!$B$2:$B$500,A344),0))</f>
        <v/>
      </c>
      <c r="J344" s="11">
        <f>IF(OR(A344="",I344=0),"",TODAY()-I344)</f>
        <v/>
      </c>
      <c r="K344" s="11">
        <f>IF(A344="","",IF(I344=0,"never moved",IF(J344&lt;=30,"0-30",IF(J344&lt;=60,"31-60",IF(J344&lt;=90,"61-90","90+")))))</f>
        <v/>
      </c>
    </row>
    <row r="345">
      <c r="A345" s="11">
        <f>Products!A345</f>
        <v/>
      </c>
      <c r="B345" s="11">
        <f>Products!B345</f>
        <v/>
      </c>
      <c r="C345" s="11">
        <f>Products!C345</f>
        <v/>
      </c>
      <c r="D345" s="11">
        <f>IF(A345="","",SUMIFS(StockMovements!$E$2:$E$500,StockMovements!$B$2:$B$500,A345,StockMovements!$D$2:$D$500,"receipt")+SUMIFS(StockMovements!$E$2:$E$500,StockMovements!$B$2:$B$500,A345,StockMovements!$D$2:$D$500,"production_in")+SUMIFS(StockMovements!$E$2:$E$500,StockMovements!$B$2:$B$500,A345,StockMovements!$D$2:$D$500,"adjustment")-SUMIFS(StockMovements!$E$2:$E$500,StockMovements!$B$2:$B$500,A345,StockMovements!$D$2:$D$500,"issue")-SUMIFS(StockMovements!$E$2:$E$500,StockMovements!$B$2:$B$500,A345,StockMovements!$D$2:$D$500,"production_out")-SUMIFS(StockMovements!$E$2:$E$500,StockMovements!$B$2:$B$500,A345,StockMovements!$D$2:$D$500,"transfer")-SUMIFS(StockMovements!$E$2:$E$500,StockMovements!$B$2:$B$500,A345,StockMovements!$D$2:$D$500,"scrap"))</f>
        <v/>
      </c>
      <c r="E345" s="11">
        <f>IF(A345="","",Products!E345)</f>
        <v/>
      </c>
      <c r="F345" s="11">
        <f>IF(A345="","",D345*E345)</f>
        <v/>
      </c>
      <c r="G345" s="11">
        <f>IF(A345="","",Products!F345)</f>
        <v/>
      </c>
      <c r="H345" s="11">
        <f>IF(A345="","",IF(D345&lt;G345,"REORDER","OK"))</f>
        <v/>
      </c>
      <c r="I345" s="14">
        <f>IF(A345="","",IFERROR(_xlfn.MAXIFS(StockMovements!$A$2:$A$500,StockMovements!$B$2:$B$500,A345),0))</f>
        <v/>
      </c>
      <c r="J345" s="11">
        <f>IF(OR(A345="",I345=0),"",TODAY()-I345)</f>
        <v/>
      </c>
      <c r="K345" s="11">
        <f>IF(A345="","",IF(I345=0,"never moved",IF(J345&lt;=30,"0-30",IF(J345&lt;=60,"31-60",IF(J345&lt;=90,"61-90","90+")))))</f>
        <v/>
      </c>
    </row>
    <row r="346">
      <c r="A346" s="11">
        <f>Products!A346</f>
        <v/>
      </c>
      <c r="B346" s="11">
        <f>Products!B346</f>
        <v/>
      </c>
      <c r="C346" s="11">
        <f>Products!C346</f>
        <v/>
      </c>
      <c r="D346" s="11">
        <f>IF(A346="","",SUMIFS(StockMovements!$E$2:$E$500,StockMovements!$B$2:$B$500,A346,StockMovements!$D$2:$D$500,"receipt")+SUMIFS(StockMovements!$E$2:$E$500,StockMovements!$B$2:$B$500,A346,StockMovements!$D$2:$D$500,"production_in")+SUMIFS(StockMovements!$E$2:$E$500,StockMovements!$B$2:$B$500,A346,StockMovements!$D$2:$D$500,"adjustment")-SUMIFS(StockMovements!$E$2:$E$500,StockMovements!$B$2:$B$500,A346,StockMovements!$D$2:$D$500,"issue")-SUMIFS(StockMovements!$E$2:$E$500,StockMovements!$B$2:$B$500,A346,StockMovements!$D$2:$D$500,"production_out")-SUMIFS(StockMovements!$E$2:$E$500,StockMovements!$B$2:$B$500,A346,StockMovements!$D$2:$D$500,"transfer")-SUMIFS(StockMovements!$E$2:$E$500,StockMovements!$B$2:$B$500,A346,StockMovements!$D$2:$D$500,"scrap"))</f>
        <v/>
      </c>
      <c r="E346" s="11">
        <f>IF(A346="","",Products!E346)</f>
        <v/>
      </c>
      <c r="F346" s="11">
        <f>IF(A346="","",D346*E346)</f>
        <v/>
      </c>
      <c r="G346" s="11">
        <f>IF(A346="","",Products!F346)</f>
        <v/>
      </c>
      <c r="H346" s="11">
        <f>IF(A346="","",IF(D346&lt;G346,"REORDER","OK"))</f>
        <v/>
      </c>
      <c r="I346" s="14">
        <f>IF(A346="","",IFERROR(_xlfn.MAXIFS(StockMovements!$A$2:$A$500,StockMovements!$B$2:$B$500,A346),0))</f>
        <v/>
      </c>
      <c r="J346" s="11">
        <f>IF(OR(A346="",I346=0),"",TODAY()-I346)</f>
        <v/>
      </c>
      <c r="K346" s="11">
        <f>IF(A346="","",IF(I346=0,"never moved",IF(J346&lt;=30,"0-30",IF(J346&lt;=60,"31-60",IF(J346&lt;=90,"61-90","90+")))))</f>
        <v/>
      </c>
    </row>
    <row r="347">
      <c r="A347" s="11">
        <f>Products!A347</f>
        <v/>
      </c>
      <c r="B347" s="11">
        <f>Products!B347</f>
        <v/>
      </c>
      <c r="C347" s="11">
        <f>Products!C347</f>
        <v/>
      </c>
      <c r="D347" s="11">
        <f>IF(A347="","",SUMIFS(StockMovements!$E$2:$E$500,StockMovements!$B$2:$B$500,A347,StockMovements!$D$2:$D$500,"receipt")+SUMIFS(StockMovements!$E$2:$E$500,StockMovements!$B$2:$B$500,A347,StockMovements!$D$2:$D$500,"production_in")+SUMIFS(StockMovements!$E$2:$E$500,StockMovements!$B$2:$B$500,A347,StockMovements!$D$2:$D$500,"adjustment")-SUMIFS(StockMovements!$E$2:$E$500,StockMovements!$B$2:$B$500,A347,StockMovements!$D$2:$D$500,"issue")-SUMIFS(StockMovements!$E$2:$E$500,StockMovements!$B$2:$B$500,A347,StockMovements!$D$2:$D$500,"production_out")-SUMIFS(StockMovements!$E$2:$E$500,StockMovements!$B$2:$B$500,A347,StockMovements!$D$2:$D$500,"transfer")-SUMIFS(StockMovements!$E$2:$E$500,StockMovements!$B$2:$B$500,A347,StockMovements!$D$2:$D$500,"scrap"))</f>
        <v/>
      </c>
      <c r="E347" s="11">
        <f>IF(A347="","",Products!E347)</f>
        <v/>
      </c>
      <c r="F347" s="11">
        <f>IF(A347="","",D347*E347)</f>
        <v/>
      </c>
      <c r="G347" s="11">
        <f>IF(A347="","",Products!F347)</f>
        <v/>
      </c>
      <c r="H347" s="11">
        <f>IF(A347="","",IF(D347&lt;G347,"REORDER","OK"))</f>
        <v/>
      </c>
      <c r="I347" s="14">
        <f>IF(A347="","",IFERROR(_xlfn.MAXIFS(StockMovements!$A$2:$A$500,StockMovements!$B$2:$B$500,A347),0))</f>
        <v/>
      </c>
      <c r="J347" s="11">
        <f>IF(OR(A347="",I347=0),"",TODAY()-I347)</f>
        <v/>
      </c>
      <c r="K347" s="11">
        <f>IF(A347="","",IF(I347=0,"never moved",IF(J347&lt;=30,"0-30",IF(J347&lt;=60,"31-60",IF(J347&lt;=90,"61-90","90+")))))</f>
        <v/>
      </c>
    </row>
    <row r="348">
      <c r="A348" s="11">
        <f>Products!A348</f>
        <v/>
      </c>
      <c r="B348" s="11">
        <f>Products!B348</f>
        <v/>
      </c>
      <c r="C348" s="11">
        <f>Products!C348</f>
        <v/>
      </c>
      <c r="D348" s="11">
        <f>IF(A348="","",SUMIFS(StockMovements!$E$2:$E$500,StockMovements!$B$2:$B$500,A348,StockMovements!$D$2:$D$500,"receipt")+SUMIFS(StockMovements!$E$2:$E$500,StockMovements!$B$2:$B$500,A348,StockMovements!$D$2:$D$500,"production_in")+SUMIFS(StockMovements!$E$2:$E$500,StockMovements!$B$2:$B$500,A348,StockMovements!$D$2:$D$500,"adjustment")-SUMIFS(StockMovements!$E$2:$E$500,StockMovements!$B$2:$B$500,A348,StockMovements!$D$2:$D$500,"issue")-SUMIFS(StockMovements!$E$2:$E$500,StockMovements!$B$2:$B$500,A348,StockMovements!$D$2:$D$500,"production_out")-SUMIFS(StockMovements!$E$2:$E$500,StockMovements!$B$2:$B$500,A348,StockMovements!$D$2:$D$500,"transfer")-SUMIFS(StockMovements!$E$2:$E$500,StockMovements!$B$2:$B$500,A348,StockMovements!$D$2:$D$500,"scrap"))</f>
        <v/>
      </c>
      <c r="E348" s="11">
        <f>IF(A348="","",Products!E348)</f>
        <v/>
      </c>
      <c r="F348" s="11">
        <f>IF(A348="","",D348*E348)</f>
        <v/>
      </c>
      <c r="G348" s="11">
        <f>IF(A348="","",Products!F348)</f>
        <v/>
      </c>
      <c r="H348" s="11">
        <f>IF(A348="","",IF(D348&lt;G348,"REORDER","OK"))</f>
        <v/>
      </c>
      <c r="I348" s="14">
        <f>IF(A348="","",IFERROR(_xlfn.MAXIFS(StockMovements!$A$2:$A$500,StockMovements!$B$2:$B$500,A348),0))</f>
        <v/>
      </c>
      <c r="J348" s="11">
        <f>IF(OR(A348="",I348=0),"",TODAY()-I348)</f>
        <v/>
      </c>
      <c r="K348" s="11">
        <f>IF(A348="","",IF(I348=0,"never moved",IF(J348&lt;=30,"0-30",IF(J348&lt;=60,"31-60",IF(J348&lt;=90,"61-90","90+")))))</f>
        <v/>
      </c>
    </row>
    <row r="349">
      <c r="A349" s="11">
        <f>Products!A349</f>
        <v/>
      </c>
      <c r="B349" s="11">
        <f>Products!B349</f>
        <v/>
      </c>
      <c r="C349" s="11">
        <f>Products!C349</f>
        <v/>
      </c>
      <c r="D349" s="11">
        <f>IF(A349="","",SUMIFS(StockMovements!$E$2:$E$500,StockMovements!$B$2:$B$500,A349,StockMovements!$D$2:$D$500,"receipt")+SUMIFS(StockMovements!$E$2:$E$500,StockMovements!$B$2:$B$500,A349,StockMovements!$D$2:$D$500,"production_in")+SUMIFS(StockMovements!$E$2:$E$500,StockMovements!$B$2:$B$500,A349,StockMovements!$D$2:$D$500,"adjustment")-SUMIFS(StockMovements!$E$2:$E$500,StockMovements!$B$2:$B$500,A349,StockMovements!$D$2:$D$500,"issue")-SUMIFS(StockMovements!$E$2:$E$500,StockMovements!$B$2:$B$500,A349,StockMovements!$D$2:$D$500,"production_out")-SUMIFS(StockMovements!$E$2:$E$500,StockMovements!$B$2:$B$500,A349,StockMovements!$D$2:$D$500,"transfer")-SUMIFS(StockMovements!$E$2:$E$500,StockMovements!$B$2:$B$500,A349,StockMovements!$D$2:$D$500,"scrap"))</f>
        <v/>
      </c>
      <c r="E349" s="11">
        <f>IF(A349="","",Products!E349)</f>
        <v/>
      </c>
      <c r="F349" s="11">
        <f>IF(A349="","",D349*E349)</f>
        <v/>
      </c>
      <c r="G349" s="11">
        <f>IF(A349="","",Products!F349)</f>
        <v/>
      </c>
      <c r="H349" s="11">
        <f>IF(A349="","",IF(D349&lt;G349,"REORDER","OK"))</f>
        <v/>
      </c>
      <c r="I349" s="14">
        <f>IF(A349="","",IFERROR(_xlfn.MAXIFS(StockMovements!$A$2:$A$500,StockMovements!$B$2:$B$500,A349),0))</f>
        <v/>
      </c>
      <c r="J349" s="11">
        <f>IF(OR(A349="",I349=0),"",TODAY()-I349)</f>
        <v/>
      </c>
      <c r="K349" s="11">
        <f>IF(A349="","",IF(I349=0,"never moved",IF(J349&lt;=30,"0-30",IF(J349&lt;=60,"31-60",IF(J349&lt;=90,"61-90","90+")))))</f>
        <v/>
      </c>
    </row>
    <row r="350">
      <c r="A350" s="11">
        <f>Products!A350</f>
        <v/>
      </c>
      <c r="B350" s="11">
        <f>Products!B350</f>
        <v/>
      </c>
      <c r="C350" s="11">
        <f>Products!C350</f>
        <v/>
      </c>
      <c r="D350" s="11">
        <f>IF(A350="","",SUMIFS(StockMovements!$E$2:$E$500,StockMovements!$B$2:$B$500,A350,StockMovements!$D$2:$D$500,"receipt")+SUMIFS(StockMovements!$E$2:$E$500,StockMovements!$B$2:$B$500,A350,StockMovements!$D$2:$D$500,"production_in")+SUMIFS(StockMovements!$E$2:$E$500,StockMovements!$B$2:$B$500,A350,StockMovements!$D$2:$D$500,"adjustment")-SUMIFS(StockMovements!$E$2:$E$500,StockMovements!$B$2:$B$500,A350,StockMovements!$D$2:$D$500,"issue")-SUMIFS(StockMovements!$E$2:$E$500,StockMovements!$B$2:$B$500,A350,StockMovements!$D$2:$D$500,"production_out")-SUMIFS(StockMovements!$E$2:$E$500,StockMovements!$B$2:$B$500,A350,StockMovements!$D$2:$D$500,"transfer")-SUMIFS(StockMovements!$E$2:$E$500,StockMovements!$B$2:$B$500,A350,StockMovements!$D$2:$D$500,"scrap"))</f>
        <v/>
      </c>
      <c r="E350" s="11">
        <f>IF(A350="","",Products!E350)</f>
        <v/>
      </c>
      <c r="F350" s="11">
        <f>IF(A350="","",D350*E350)</f>
        <v/>
      </c>
      <c r="G350" s="11">
        <f>IF(A350="","",Products!F350)</f>
        <v/>
      </c>
      <c r="H350" s="11">
        <f>IF(A350="","",IF(D350&lt;G350,"REORDER","OK"))</f>
        <v/>
      </c>
      <c r="I350" s="14">
        <f>IF(A350="","",IFERROR(_xlfn.MAXIFS(StockMovements!$A$2:$A$500,StockMovements!$B$2:$B$500,A350),0))</f>
        <v/>
      </c>
      <c r="J350" s="11">
        <f>IF(OR(A350="",I350=0),"",TODAY()-I350)</f>
        <v/>
      </c>
      <c r="K350" s="11">
        <f>IF(A350="","",IF(I350=0,"never moved",IF(J350&lt;=30,"0-30",IF(J350&lt;=60,"31-60",IF(J350&lt;=90,"61-90","90+")))))</f>
        <v/>
      </c>
    </row>
    <row r="351">
      <c r="A351" s="11">
        <f>Products!A351</f>
        <v/>
      </c>
      <c r="B351" s="11">
        <f>Products!B351</f>
        <v/>
      </c>
      <c r="C351" s="11">
        <f>Products!C351</f>
        <v/>
      </c>
      <c r="D351" s="11">
        <f>IF(A351="","",SUMIFS(StockMovements!$E$2:$E$500,StockMovements!$B$2:$B$500,A351,StockMovements!$D$2:$D$500,"receipt")+SUMIFS(StockMovements!$E$2:$E$500,StockMovements!$B$2:$B$500,A351,StockMovements!$D$2:$D$500,"production_in")+SUMIFS(StockMovements!$E$2:$E$500,StockMovements!$B$2:$B$500,A351,StockMovements!$D$2:$D$500,"adjustment")-SUMIFS(StockMovements!$E$2:$E$500,StockMovements!$B$2:$B$500,A351,StockMovements!$D$2:$D$500,"issue")-SUMIFS(StockMovements!$E$2:$E$500,StockMovements!$B$2:$B$500,A351,StockMovements!$D$2:$D$500,"production_out")-SUMIFS(StockMovements!$E$2:$E$500,StockMovements!$B$2:$B$500,A351,StockMovements!$D$2:$D$500,"transfer")-SUMIFS(StockMovements!$E$2:$E$500,StockMovements!$B$2:$B$500,A351,StockMovements!$D$2:$D$500,"scrap"))</f>
        <v/>
      </c>
      <c r="E351" s="11">
        <f>IF(A351="","",Products!E351)</f>
        <v/>
      </c>
      <c r="F351" s="11">
        <f>IF(A351="","",D351*E351)</f>
        <v/>
      </c>
      <c r="G351" s="11">
        <f>IF(A351="","",Products!F351)</f>
        <v/>
      </c>
      <c r="H351" s="11">
        <f>IF(A351="","",IF(D351&lt;G351,"REORDER","OK"))</f>
        <v/>
      </c>
      <c r="I351" s="14">
        <f>IF(A351="","",IFERROR(_xlfn.MAXIFS(StockMovements!$A$2:$A$500,StockMovements!$B$2:$B$500,A351),0))</f>
        <v/>
      </c>
      <c r="J351" s="11">
        <f>IF(OR(A351="",I351=0),"",TODAY()-I351)</f>
        <v/>
      </c>
      <c r="K351" s="11">
        <f>IF(A351="","",IF(I351=0,"never moved",IF(J351&lt;=30,"0-30",IF(J351&lt;=60,"31-60",IF(J351&lt;=90,"61-90","90+")))))</f>
        <v/>
      </c>
    </row>
    <row r="352">
      <c r="A352" s="11">
        <f>Products!A352</f>
        <v/>
      </c>
      <c r="B352" s="11">
        <f>Products!B352</f>
        <v/>
      </c>
      <c r="C352" s="11">
        <f>Products!C352</f>
        <v/>
      </c>
      <c r="D352" s="11">
        <f>IF(A352="","",SUMIFS(StockMovements!$E$2:$E$500,StockMovements!$B$2:$B$500,A352,StockMovements!$D$2:$D$500,"receipt")+SUMIFS(StockMovements!$E$2:$E$500,StockMovements!$B$2:$B$500,A352,StockMovements!$D$2:$D$500,"production_in")+SUMIFS(StockMovements!$E$2:$E$500,StockMovements!$B$2:$B$500,A352,StockMovements!$D$2:$D$500,"adjustment")-SUMIFS(StockMovements!$E$2:$E$500,StockMovements!$B$2:$B$500,A352,StockMovements!$D$2:$D$500,"issue")-SUMIFS(StockMovements!$E$2:$E$500,StockMovements!$B$2:$B$500,A352,StockMovements!$D$2:$D$500,"production_out")-SUMIFS(StockMovements!$E$2:$E$500,StockMovements!$B$2:$B$500,A352,StockMovements!$D$2:$D$500,"transfer")-SUMIFS(StockMovements!$E$2:$E$500,StockMovements!$B$2:$B$500,A352,StockMovements!$D$2:$D$500,"scrap"))</f>
        <v/>
      </c>
      <c r="E352" s="11">
        <f>IF(A352="","",Products!E352)</f>
        <v/>
      </c>
      <c r="F352" s="11">
        <f>IF(A352="","",D352*E352)</f>
        <v/>
      </c>
      <c r="G352" s="11">
        <f>IF(A352="","",Products!F352)</f>
        <v/>
      </c>
      <c r="H352" s="11">
        <f>IF(A352="","",IF(D352&lt;G352,"REORDER","OK"))</f>
        <v/>
      </c>
      <c r="I352" s="14">
        <f>IF(A352="","",IFERROR(_xlfn.MAXIFS(StockMovements!$A$2:$A$500,StockMovements!$B$2:$B$500,A352),0))</f>
        <v/>
      </c>
      <c r="J352" s="11">
        <f>IF(OR(A352="",I352=0),"",TODAY()-I352)</f>
        <v/>
      </c>
      <c r="K352" s="11">
        <f>IF(A352="","",IF(I352=0,"never moved",IF(J352&lt;=30,"0-30",IF(J352&lt;=60,"31-60",IF(J352&lt;=90,"61-90","90+")))))</f>
        <v/>
      </c>
    </row>
    <row r="353">
      <c r="A353" s="11">
        <f>Products!A353</f>
        <v/>
      </c>
      <c r="B353" s="11">
        <f>Products!B353</f>
        <v/>
      </c>
      <c r="C353" s="11">
        <f>Products!C353</f>
        <v/>
      </c>
      <c r="D353" s="11">
        <f>IF(A353="","",SUMIFS(StockMovements!$E$2:$E$500,StockMovements!$B$2:$B$500,A353,StockMovements!$D$2:$D$500,"receipt")+SUMIFS(StockMovements!$E$2:$E$500,StockMovements!$B$2:$B$500,A353,StockMovements!$D$2:$D$500,"production_in")+SUMIFS(StockMovements!$E$2:$E$500,StockMovements!$B$2:$B$500,A353,StockMovements!$D$2:$D$500,"adjustment")-SUMIFS(StockMovements!$E$2:$E$500,StockMovements!$B$2:$B$500,A353,StockMovements!$D$2:$D$500,"issue")-SUMIFS(StockMovements!$E$2:$E$500,StockMovements!$B$2:$B$500,A353,StockMovements!$D$2:$D$500,"production_out")-SUMIFS(StockMovements!$E$2:$E$500,StockMovements!$B$2:$B$500,A353,StockMovements!$D$2:$D$500,"transfer")-SUMIFS(StockMovements!$E$2:$E$500,StockMovements!$B$2:$B$500,A353,StockMovements!$D$2:$D$500,"scrap"))</f>
        <v/>
      </c>
      <c r="E353" s="11">
        <f>IF(A353="","",Products!E353)</f>
        <v/>
      </c>
      <c r="F353" s="11">
        <f>IF(A353="","",D353*E353)</f>
        <v/>
      </c>
      <c r="G353" s="11">
        <f>IF(A353="","",Products!F353)</f>
        <v/>
      </c>
      <c r="H353" s="11">
        <f>IF(A353="","",IF(D353&lt;G353,"REORDER","OK"))</f>
        <v/>
      </c>
      <c r="I353" s="14">
        <f>IF(A353="","",IFERROR(_xlfn.MAXIFS(StockMovements!$A$2:$A$500,StockMovements!$B$2:$B$500,A353),0))</f>
        <v/>
      </c>
      <c r="J353" s="11">
        <f>IF(OR(A353="",I353=0),"",TODAY()-I353)</f>
        <v/>
      </c>
      <c r="K353" s="11">
        <f>IF(A353="","",IF(I353=0,"never moved",IF(J353&lt;=30,"0-30",IF(J353&lt;=60,"31-60",IF(J353&lt;=90,"61-90","90+")))))</f>
        <v/>
      </c>
    </row>
    <row r="354">
      <c r="A354" s="11">
        <f>Products!A354</f>
        <v/>
      </c>
      <c r="B354" s="11">
        <f>Products!B354</f>
        <v/>
      </c>
      <c r="C354" s="11">
        <f>Products!C354</f>
        <v/>
      </c>
      <c r="D354" s="11">
        <f>IF(A354="","",SUMIFS(StockMovements!$E$2:$E$500,StockMovements!$B$2:$B$500,A354,StockMovements!$D$2:$D$500,"receipt")+SUMIFS(StockMovements!$E$2:$E$500,StockMovements!$B$2:$B$500,A354,StockMovements!$D$2:$D$500,"production_in")+SUMIFS(StockMovements!$E$2:$E$500,StockMovements!$B$2:$B$500,A354,StockMovements!$D$2:$D$500,"adjustment")-SUMIFS(StockMovements!$E$2:$E$500,StockMovements!$B$2:$B$500,A354,StockMovements!$D$2:$D$500,"issue")-SUMIFS(StockMovements!$E$2:$E$500,StockMovements!$B$2:$B$500,A354,StockMovements!$D$2:$D$500,"production_out")-SUMIFS(StockMovements!$E$2:$E$500,StockMovements!$B$2:$B$500,A354,StockMovements!$D$2:$D$500,"transfer")-SUMIFS(StockMovements!$E$2:$E$500,StockMovements!$B$2:$B$500,A354,StockMovements!$D$2:$D$500,"scrap"))</f>
        <v/>
      </c>
      <c r="E354" s="11">
        <f>IF(A354="","",Products!E354)</f>
        <v/>
      </c>
      <c r="F354" s="11">
        <f>IF(A354="","",D354*E354)</f>
        <v/>
      </c>
      <c r="G354" s="11">
        <f>IF(A354="","",Products!F354)</f>
        <v/>
      </c>
      <c r="H354" s="11">
        <f>IF(A354="","",IF(D354&lt;G354,"REORDER","OK"))</f>
        <v/>
      </c>
      <c r="I354" s="14">
        <f>IF(A354="","",IFERROR(_xlfn.MAXIFS(StockMovements!$A$2:$A$500,StockMovements!$B$2:$B$500,A354),0))</f>
        <v/>
      </c>
      <c r="J354" s="11">
        <f>IF(OR(A354="",I354=0),"",TODAY()-I354)</f>
        <v/>
      </c>
      <c r="K354" s="11">
        <f>IF(A354="","",IF(I354=0,"never moved",IF(J354&lt;=30,"0-30",IF(J354&lt;=60,"31-60",IF(J354&lt;=90,"61-90","90+")))))</f>
        <v/>
      </c>
    </row>
    <row r="355">
      <c r="A355" s="11">
        <f>Products!A355</f>
        <v/>
      </c>
      <c r="B355" s="11">
        <f>Products!B355</f>
        <v/>
      </c>
      <c r="C355" s="11">
        <f>Products!C355</f>
        <v/>
      </c>
      <c r="D355" s="11">
        <f>IF(A355="","",SUMIFS(StockMovements!$E$2:$E$500,StockMovements!$B$2:$B$500,A355,StockMovements!$D$2:$D$500,"receipt")+SUMIFS(StockMovements!$E$2:$E$500,StockMovements!$B$2:$B$500,A355,StockMovements!$D$2:$D$500,"production_in")+SUMIFS(StockMovements!$E$2:$E$500,StockMovements!$B$2:$B$500,A355,StockMovements!$D$2:$D$500,"adjustment")-SUMIFS(StockMovements!$E$2:$E$500,StockMovements!$B$2:$B$500,A355,StockMovements!$D$2:$D$500,"issue")-SUMIFS(StockMovements!$E$2:$E$500,StockMovements!$B$2:$B$500,A355,StockMovements!$D$2:$D$500,"production_out")-SUMIFS(StockMovements!$E$2:$E$500,StockMovements!$B$2:$B$500,A355,StockMovements!$D$2:$D$500,"transfer")-SUMIFS(StockMovements!$E$2:$E$500,StockMovements!$B$2:$B$500,A355,StockMovements!$D$2:$D$500,"scrap"))</f>
        <v/>
      </c>
      <c r="E355" s="11">
        <f>IF(A355="","",Products!E355)</f>
        <v/>
      </c>
      <c r="F355" s="11">
        <f>IF(A355="","",D355*E355)</f>
        <v/>
      </c>
      <c r="G355" s="11">
        <f>IF(A355="","",Products!F355)</f>
        <v/>
      </c>
      <c r="H355" s="11">
        <f>IF(A355="","",IF(D355&lt;G355,"REORDER","OK"))</f>
        <v/>
      </c>
      <c r="I355" s="14">
        <f>IF(A355="","",IFERROR(_xlfn.MAXIFS(StockMovements!$A$2:$A$500,StockMovements!$B$2:$B$500,A355),0))</f>
        <v/>
      </c>
      <c r="J355" s="11">
        <f>IF(OR(A355="",I355=0),"",TODAY()-I355)</f>
        <v/>
      </c>
      <c r="K355" s="11">
        <f>IF(A355="","",IF(I355=0,"never moved",IF(J355&lt;=30,"0-30",IF(J355&lt;=60,"31-60",IF(J355&lt;=90,"61-90","90+")))))</f>
        <v/>
      </c>
    </row>
    <row r="356">
      <c r="A356" s="11">
        <f>Products!A356</f>
        <v/>
      </c>
      <c r="B356" s="11">
        <f>Products!B356</f>
        <v/>
      </c>
      <c r="C356" s="11">
        <f>Products!C356</f>
        <v/>
      </c>
      <c r="D356" s="11">
        <f>IF(A356="","",SUMIFS(StockMovements!$E$2:$E$500,StockMovements!$B$2:$B$500,A356,StockMovements!$D$2:$D$500,"receipt")+SUMIFS(StockMovements!$E$2:$E$500,StockMovements!$B$2:$B$500,A356,StockMovements!$D$2:$D$500,"production_in")+SUMIFS(StockMovements!$E$2:$E$500,StockMovements!$B$2:$B$500,A356,StockMovements!$D$2:$D$500,"adjustment")-SUMIFS(StockMovements!$E$2:$E$500,StockMovements!$B$2:$B$500,A356,StockMovements!$D$2:$D$500,"issue")-SUMIFS(StockMovements!$E$2:$E$500,StockMovements!$B$2:$B$500,A356,StockMovements!$D$2:$D$500,"production_out")-SUMIFS(StockMovements!$E$2:$E$500,StockMovements!$B$2:$B$500,A356,StockMovements!$D$2:$D$500,"transfer")-SUMIFS(StockMovements!$E$2:$E$500,StockMovements!$B$2:$B$500,A356,StockMovements!$D$2:$D$500,"scrap"))</f>
        <v/>
      </c>
      <c r="E356" s="11">
        <f>IF(A356="","",Products!E356)</f>
        <v/>
      </c>
      <c r="F356" s="11">
        <f>IF(A356="","",D356*E356)</f>
        <v/>
      </c>
      <c r="G356" s="11">
        <f>IF(A356="","",Products!F356)</f>
        <v/>
      </c>
      <c r="H356" s="11">
        <f>IF(A356="","",IF(D356&lt;G356,"REORDER","OK"))</f>
        <v/>
      </c>
      <c r="I356" s="14">
        <f>IF(A356="","",IFERROR(_xlfn.MAXIFS(StockMovements!$A$2:$A$500,StockMovements!$B$2:$B$500,A356),0))</f>
        <v/>
      </c>
      <c r="J356" s="11">
        <f>IF(OR(A356="",I356=0),"",TODAY()-I356)</f>
        <v/>
      </c>
      <c r="K356" s="11">
        <f>IF(A356="","",IF(I356=0,"never moved",IF(J356&lt;=30,"0-30",IF(J356&lt;=60,"31-60",IF(J356&lt;=90,"61-90","90+")))))</f>
        <v/>
      </c>
    </row>
    <row r="357">
      <c r="A357" s="11">
        <f>Products!A357</f>
        <v/>
      </c>
      <c r="B357" s="11">
        <f>Products!B357</f>
        <v/>
      </c>
      <c r="C357" s="11">
        <f>Products!C357</f>
        <v/>
      </c>
      <c r="D357" s="11">
        <f>IF(A357="","",SUMIFS(StockMovements!$E$2:$E$500,StockMovements!$B$2:$B$500,A357,StockMovements!$D$2:$D$500,"receipt")+SUMIFS(StockMovements!$E$2:$E$500,StockMovements!$B$2:$B$500,A357,StockMovements!$D$2:$D$500,"production_in")+SUMIFS(StockMovements!$E$2:$E$500,StockMovements!$B$2:$B$500,A357,StockMovements!$D$2:$D$500,"adjustment")-SUMIFS(StockMovements!$E$2:$E$500,StockMovements!$B$2:$B$500,A357,StockMovements!$D$2:$D$500,"issue")-SUMIFS(StockMovements!$E$2:$E$500,StockMovements!$B$2:$B$500,A357,StockMovements!$D$2:$D$500,"production_out")-SUMIFS(StockMovements!$E$2:$E$500,StockMovements!$B$2:$B$500,A357,StockMovements!$D$2:$D$500,"transfer")-SUMIFS(StockMovements!$E$2:$E$500,StockMovements!$B$2:$B$500,A357,StockMovements!$D$2:$D$500,"scrap"))</f>
        <v/>
      </c>
      <c r="E357" s="11">
        <f>IF(A357="","",Products!E357)</f>
        <v/>
      </c>
      <c r="F357" s="11">
        <f>IF(A357="","",D357*E357)</f>
        <v/>
      </c>
      <c r="G357" s="11">
        <f>IF(A357="","",Products!F357)</f>
        <v/>
      </c>
      <c r="H357" s="11">
        <f>IF(A357="","",IF(D357&lt;G357,"REORDER","OK"))</f>
        <v/>
      </c>
      <c r="I357" s="14">
        <f>IF(A357="","",IFERROR(_xlfn.MAXIFS(StockMovements!$A$2:$A$500,StockMovements!$B$2:$B$500,A357),0))</f>
        <v/>
      </c>
      <c r="J357" s="11">
        <f>IF(OR(A357="",I357=0),"",TODAY()-I357)</f>
        <v/>
      </c>
      <c r="K357" s="11">
        <f>IF(A357="","",IF(I357=0,"never moved",IF(J357&lt;=30,"0-30",IF(J357&lt;=60,"31-60",IF(J357&lt;=90,"61-90","90+")))))</f>
        <v/>
      </c>
    </row>
    <row r="358">
      <c r="A358" s="11">
        <f>Products!A358</f>
        <v/>
      </c>
      <c r="B358" s="11">
        <f>Products!B358</f>
        <v/>
      </c>
      <c r="C358" s="11">
        <f>Products!C358</f>
        <v/>
      </c>
      <c r="D358" s="11">
        <f>IF(A358="","",SUMIFS(StockMovements!$E$2:$E$500,StockMovements!$B$2:$B$500,A358,StockMovements!$D$2:$D$500,"receipt")+SUMIFS(StockMovements!$E$2:$E$500,StockMovements!$B$2:$B$500,A358,StockMovements!$D$2:$D$500,"production_in")+SUMIFS(StockMovements!$E$2:$E$500,StockMovements!$B$2:$B$500,A358,StockMovements!$D$2:$D$500,"adjustment")-SUMIFS(StockMovements!$E$2:$E$500,StockMovements!$B$2:$B$500,A358,StockMovements!$D$2:$D$500,"issue")-SUMIFS(StockMovements!$E$2:$E$500,StockMovements!$B$2:$B$500,A358,StockMovements!$D$2:$D$500,"production_out")-SUMIFS(StockMovements!$E$2:$E$500,StockMovements!$B$2:$B$500,A358,StockMovements!$D$2:$D$500,"transfer")-SUMIFS(StockMovements!$E$2:$E$500,StockMovements!$B$2:$B$500,A358,StockMovements!$D$2:$D$500,"scrap"))</f>
        <v/>
      </c>
      <c r="E358" s="11">
        <f>IF(A358="","",Products!E358)</f>
        <v/>
      </c>
      <c r="F358" s="11">
        <f>IF(A358="","",D358*E358)</f>
        <v/>
      </c>
      <c r="G358" s="11">
        <f>IF(A358="","",Products!F358)</f>
        <v/>
      </c>
      <c r="H358" s="11">
        <f>IF(A358="","",IF(D358&lt;G358,"REORDER","OK"))</f>
        <v/>
      </c>
      <c r="I358" s="14">
        <f>IF(A358="","",IFERROR(_xlfn.MAXIFS(StockMovements!$A$2:$A$500,StockMovements!$B$2:$B$500,A358),0))</f>
        <v/>
      </c>
      <c r="J358" s="11">
        <f>IF(OR(A358="",I358=0),"",TODAY()-I358)</f>
        <v/>
      </c>
      <c r="K358" s="11">
        <f>IF(A358="","",IF(I358=0,"never moved",IF(J358&lt;=30,"0-30",IF(J358&lt;=60,"31-60",IF(J358&lt;=90,"61-90","90+")))))</f>
        <v/>
      </c>
    </row>
    <row r="359">
      <c r="A359" s="11">
        <f>Products!A359</f>
        <v/>
      </c>
      <c r="B359" s="11">
        <f>Products!B359</f>
        <v/>
      </c>
      <c r="C359" s="11">
        <f>Products!C359</f>
        <v/>
      </c>
      <c r="D359" s="11">
        <f>IF(A359="","",SUMIFS(StockMovements!$E$2:$E$500,StockMovements!$B$2:$B$500,A359,StockMovements!$D$2:$D$500,"receipt")+SUMIFS(StockMovements!$E$2:$E$500,StockMovements!$B$2:$B$500,A359,StockMovements!$D$2:$D$500,"production_in")+SUMIFS(StockMovements!$E$2:$E$500,StockMovements!$B$2:$B$500,A359,StockMovements!$D$2:$D$500,"adjustment")-SUMIFS(StockMovements!$E$2:$E$500,StockMovements!$B$2:$B$500,A359,StockMovements!$D$2:$D$500,"issue")-SUMIFS(StockMovements!$E$2:$E$500,StockMovements!$B$2:$B$500,A359,StockMovements!$D$2:$D$500,"production_out")-SUMIFS(StockMovements!$E$2:$E$500,StockMovements!$B$2:$B$500,A359,StockMovements!$D$2:$D$500,"transfer")-SUMIFS(StockMovements!$E$2:$E$500,StockMovements!$B$2:$B$500,A359,StockMovements!$D$2:$D$500,"scrap"))</f>
        <v/>
      </c>
      <c r="E359" s="11">
        <f>IF(A359="","",Products!E359)</f>
        <v/>
      </c>
      <c r="F359" s="11">
        <f>IF(A359="","",D359*E359)</f>
        <v/>
      </c>
      <c r="G359" s="11">
        <f>IF(A359="","",Products!F359)</f>
        <v/>
      </c>
      <c r="H359" s="11">
        <f>IF(A359="","",IF(D359&lt;G359,"REORDER","OK"))</f>
        <v/>
      </c>
      <c r="I359" s="14">
        <f>IF(A359="","",IFERROR(_xlfn.MAXIFS(StockMovements!$A$2:$A$500,StockMovements!$B$2:$B$500,A359),0))</f>
        <v/>
      </c>
      <c r="J359" s="11">
        <f>IF(OR(A359="",I359=0),"",TODAY()-I359)</f>
        <v/>
      </c>
      <c r="K359" s="11">
        <f>IF(A359="","",IF(I359=0,"never moved",IF(J359&lt;=30,"0-30",IF(J359&lt;=60,"31-60",IF(J359&lt;=90,"61-90","90+")))))</f>
        <v/>
      </c>
    </row>
    <row r="360">
      <c r="A360" s="11">
        <f>Products!A360</f>
        <v/>
      </c>
      <c r="B360" s="11">
        <f>Products!B360</f>
        <v/>
      </c>
      <c r="C360" s="11">
        <f>Products!C360</f>
        <v/>
      </c>
      <c r="D360" s="11">
        <f>IF(A360="","",SUMIFS(StockMovements!$E$2:$E$500,StockMovements!$B$2:$B$500,A360,StockMovements!$D$2:$D$500,"receipt")+SUMIFS(StockMovements!$E$2:$E$500,StockMovements!$B$2:$B$500,A360,StockMovements!$D$2:$D$500,"production_in")+SUMIFS(StockMovements!$E$2:$E$500,StockMovements!$B$2:$B$500,A360,StockMovements!$D$2:$D$500,"adjustment")-SUMIFS(StockMovements!$E$2:$E$500,StockMovements!$B$2:$B$500,A360,StockMovements!$D$2:$D$500,"issue")-SUMIFS(StockMovements!$E$2:$E$500,StockMovements!$B$2:$B$500,A360,StockMovements!$D$2:$D$500,"production_out")-SUMIFS(StockMovements!$E$2:$E$500,StockMovements!$B$2:$B$500,A360,StockMovements!$D$2:$D$500,"transfer")-SUMIFS(StockMovements!$E$2:$E$500,StockMovements!$B$2:$B$500,A360,StockMovements!$D$2:$D$500,"scrap"))</f>
        <v/>
      </c>
      <c r="E360" s="11">
        <f>IF(A360="","",Products!E360)</f>
        <v/>
      </c>
      <c r="F360" s="11">
        <f>IF(A360="","",D360*E360)</f>
        <v/>
      </c>
      <c r="G360" s="11">
        <f>IF(A360="","",Products!F360)</f>
        <v/>
      </c>
      <c r="H360" s="11">
        <f>IF(A360="","",IF(D360&lt;G360,"REORDER","OK"))</f>
        <v/>
      </c>
      <c r="I360" s="14">
        <f>IF(A360="","",IFERROR(_xlfn.MAXIFS(StockMovements!$A$2:$A$500,StockMovements!$B$2:$B$500,A360),0))</f>
        <v/>
      </c>
      <c r="J360" s="11">
        <f>IF(OR(A360="",I360=0),"",TODAY()-I360)</f>
        <v/>
      </c>
      <c r="K360" s="11">
        <f>IF(A360="","",IF(I360=0,"never moved",IF(J360&lt;=30,"0-30",IF(J360&lt;=60,"31-60",IF(J360&lt;=90,"61-90","90+")))))</f>
        <v/>
      </c>
    </row>
    <row r="361">
      <c r="A361" s="11">
        <f>Products!A361</f>
        <v/>
      </c>
      <c r="B361" s="11">
        <f>Products!B361</f>
        <v/>
      </c>
      <c r="C361" s="11">
        <f>Products!C361</f>
        <v/>
      </c>
      <c r="D361" s="11">
        <f>IF(A361="","",SUMIFS(StockMovements!$E$2:$E$500,StockMovements!$B$2:$B$500,A361,StockMovements!$D$2:$D$500,"receipt")+SUMIFS(StockMovements!$E$2:$E$500,StockMovements!$B$2:$B$500,A361,StockMovements!$D$2:$D$500,"production_in")+SUMIFS(StockMovements!$E$2:$E$500,StockMovements!$B$2:$B$500,A361,StockMovements!$D$2:$D$500,"adjustment")-SUMIFS(StockMovements!$E$2:$E$500,StockMovements!$B$2:$B$500,A361,StockMovements!$D$2:$D$500,"issue")-SUMIFS(StockMovements!$E$2:$E$500,StockMovements!$B$2:$B$500,A361,StockMovements!$D$2:$D$500,"production_out")-SUMIFS(StockMovements!$E$2:$E$500,StockMovements!$B$2:$B$500,A361,StockMovements!$D$2:$D$500,"transfer")-SUMIFS(StockMovements!$E$2:$E$500,StockMovements!$B$2:$B$500,A361,StockMovements!$D$2:$D$500,"scrap"))</f>
        <v/>
      </c>
      <c r="E361" s="11">
        <f>IF(A361="","",Products!E361)</f>
        <v/>
      </c>
      <c r="F361" s="11">
        <f>IF(A361="","",D361*E361)</f>
        <v/>
      </c>
      <c r="G361" s="11">
        <f>IF(A361="","",Products!F361)</f>
        <v/>
      </c>
      <c r="H361" s="11">
        <f>IF(A361="","",IF(D361&lt;G361,"REORDER","OK"))</f>
        <v/>
      </c>
      <c r="I361" s="14">
        <f>IF(A361="","",IFERROR(_xlfn.MAXIFS(StockMovements!$A$2:$A$500,StockMovements!$B$2:$B$500,A361),0))</f>
        <v/>
      </c>
      <c r="J361" s="11">
        <f>IF(OR(A361="",I361=0),"",TODAY()-I361)</f>
        <v/>
      </c>
      <c r="K361" s="11">
        <f>IF(A361="","",IF(I361=0,"never moved",IF(J361&lt;=30,"0-30",IF(J361&lt;=60,"31-60",IF(J361&lt;=90,"61-90","90+")))))</f>
        <v/>
      </c>
    </row>
    <row r="362">
      <c r="A362" s="11">
        <f>Products!A362</f>
        <v/>
      </c>
      <c r="B362" s="11">
        <f>Products!B362</f>
        <v/>
      </c>
      <c r="C362" s="11">
        <f>Products!C362</f>
        <v/>
      </c>
      <c r="D362" s="11">
        <f>IF(A362="","",SUMIFS(StockMovements!$E$2:$E$500,StockMovements!$B$2:$B$500,A362,StockMovements!$D$2:$D$500,"receipt")+SUMIFS(StockMovements!$E$2:$E$500,StockMovements!$B$2:$B$500,A362,StockMovements!$D$2:$D$500,"production_in")+SUMIFS(StockMovements!$E$2:$E$500,StockMovements!$B$2:$B$500,A362,StockMovements!$D$2:$D$500,"adjustment")-SUMIFS(StockMovements!$E$2:$E$500,StockMovements!$B$2:$B$500,A362,StockMovements!$D$2:$D$500,"issue")-SUMIFS(StockMovements!$E$2:$E$500,StockMovements!$B$2:$B$500,A362,StockMovements!$D$2:$D$500,"production_out")-SUMIFS(StockMovements!$E$2:$E$500,StockMovements!$B$2:$B$500,A362,StockMovements!$D$2:$D$500,"transfer")-SUMIFS(StockMovements!$E$2:$E$500,StockMovements!$B$2:$B$500,A362,StockMovements!$D$2:$D$500,"scrap"))</f>
        <v/>
      </c>
      <c r="E362" s="11">
        <f>IF(A362="","",Products!E362)</f>
        <v/>
      </c>
      <c r="F362" s="11">
        <f>IF(A362="","",D362*E362)</f>
        <v/>
      </c>
      <c r="G362" s="11">
        <f>IF(A362="","",Products!F362)</f>
        <v/>
      </c>
      <c r="H362" s="11">
        <f>IF(A362="","",IF(D362&lt;G362,"REORDER","OK"))</f>
        <v/>
      </c>
      <c r="I362" s="14">
        <f>IF(A362="","",IFERROR(_xlfn.MAXIFS(StockMovements!$A$2:$A$500,StockMovements!$B$2:$B$500,A362),0))</f>
        <v/>
      </c>
      <c r="J362" s="11">
        <f>IF(OR(A362="",I362=0),"",TODAY()-I362)</f>
        <v/>
      </c>
      <c r="K362" s="11">
        <f>IF(A362="","",IF(I362=0,"never moved",IF(J362&lt;=30,"0-30",IF(J362&lt;=60,"31-60",IF(J362&lt;=90,"61-90","90+")))))</f>
        <v/>
      </c>
    </row>
    <row r="363">
      <c r="A363" s="11">
        <f>Products!A363</f>
        <v/>
      </c>
      <c r="B363" s="11">
        <f>Products!B363</f>
        <v/>
      </c>
      <c r="C363" s="11">
        <f>Products!C363</f>
        <v/>
      </c>
      <c r="D363" s="11">
        <f>IF(A363="","",SUMIFS(StockMovements!$E$2:$E$500,StockMovements!$B$2:$B$500,A363,StockMovements!$D$2:$D$500,"receipt")+SUMIFS(StockMovements!$E$2:$E$500,StockMovements!$B$2:$B$500,A363,StockMovements!$D$2:$D$500,"production_in")+SUMIFS(StockMovements!$E$2:$E$500,StockMovements!$B$2:$B$500,A363,StockMovements!$D$2:$D$500,"adjustment")-SUMIFS(StockMovements!$E$2:$E$500,StockMovements!$B$2:$B$500,A363,StockMovements!$D$2:$D$500,"issue")-SUMIFS(StockMovements!$E$2:$E$500,StockMovements!$B$2:$B$500,A363,StockMovements!$D$2:$D$500,"production_out")-SUMIFS(StockMovements!$E$2:$E$500,StockMovements!$B$2:$B$500,A363,StockMovements!$D$2:$D$500,"transfer")-SUMIFS(StockMovements!$E$2:$E$500,StockMovements!$B$2:$B$500,A363,StockMovements!$D$2:$D$500,"scrap"))</f>
        <v/>
      </c>
      <c r="E363" s="11">
        <f>IF(A363="","",Products!E363)</f>
        <v/>
      </c>
      <c r="F363" s="11">
        <f>IF(A363="","",D363*E363)</f>
        <v/>
      </c>
      <c r="G363" s="11">
        <f>IF(A363="","",Products!F363)</f>
        <v/>
      </c>
      <c r="H363" s="11">
        <f>IF(A363="","",IF(D363&lt;G363,"REORDER","OK"))</f>
        <v/>
      </c>
      <c r="I363" s="14">
        <f>IF(A363="","",IFERROR(_xlfn.MAXIFS(StockMovements!$A$2:$A$500,StockMovements!$B$2:$B$500,A363),0))</f>
        <v/>
      </c>
      <c r="J363" s="11">
        <f>IF(OR(A363="",I363=0),"",TODAY()-I363)</f>
        <v/>
      </c>
      <c r="K363" s="11">
        <f>IF(A363="","",IF(I363=0,"never moved",IF(J363&lt;=30,"0-30",IF(J363&lt;=60,"31-60",IF(J363&lt;=90,"61-90","90+")))))</f>
        <v/>
      </c>
    </row>
    <row r="364">
      <c r="A364" s="11">
        <f>Products!A364</f>
        <v/>
      </c>
      <c r="B364" s="11">
        <f>Products!B364</f>
        <v/>
      </c>
      <c r="C364" s="11">
        <f>Products!C364</f>
        <v/>
      </c>
      <c r="D364" s="11">
        <f>IF(A364="","",SUMIFS(StockMovements!$E$2:$E$500,StockMovements!$B$2:$B$500,A364,StockMovements!$D$2:$D$500,"receipt")+SUMIFS(StockMovements!$E$2:$E$500,StockMovements!$B$2:$B$500,A364,StockMovements!$D$2:$D$500,"production_in")+SUMIFS(StockMovements!$E$2:$E$500,StockMovements!$B$2:$B$500,A364,StockMovements!$D$2:$D$500,"adjustment")-SUMIFS(StockMovements!$E$2:$E$500,StockMovements!$B$2:$B$500,A364,StockMovements!$D$2:$D$500,"issue")-SUMIFS(StockMovements!$E$2:$E$500,StockMovements!$B$2:$B$500,A364,StockMovements!$D$2:$D$500,"production_out")-SUMIFS(StockMovements!$E$2:$E$500,StockMovements!$B$2:$B$500,A364,StockMovements!$D$2:$D$500,"transfer")-SUMIFS(StockMovements!$E$2:$E$500,StockMovements!$B$2:$B$500,A364,StockMovements!$D$2:$D$500,"scrap"))</f>
        <v/>
      </c>
      <c r="E364" s="11">
        <f>IF(A364="","",Products!E364)</f>
        <v/>
      </c>
      <c r="F364" s="11">
        <f>IF(A364="","",D364*E364)</f>
        <v/>
      </c>
      <c r="G364" s="11">
        <f>IF(A364="","",Products!F364)</f>
        <v/>
      </c>
      <c r="H364" s="11">
        <f>IF(A364="","",IF(D364&lt;G364,"REORDER","OK"))</f>
        <v/>
      </c>
      <c r="I364" s="14">
        <f>IF(A364="","",IFERROR(_xlfn.MAXIFS(StockMovements!$A$2:$A$500,StockMovements!$B$2:$B$500,A364),0))</f>
        <v/>
      </c>
      <c r="J364" s="11">
        <f>IF(OR(A364="",I364=0),"",TODAY()-I364)</f>
        <v/>
      </c>
      <c r="K364" s="11">
        <f>IF(A364="","",IF(I364=0,"never moved",IF(J364&lt;=30,"0-30",IF(J364&lt;=60,"31-60",IF(J364&lt;=90,"61-90","90+")))))</f>
        <v/>
      </c>
    </row>
    <row r="365">
      <c r="A365" s="11">
        <f>Products!A365</f>
        <v/>
      </c>
      <c r="B365" s="11">
        <f>Products!B365</f>
        <v/>
      </c>
      <c r="C365" s="11">
        <f>Products!C365</f>
        <v/>
      </c>
      <c r="D365" s="11">
        <f>IF(A365="","",SUMIFS(StockMovements!$E$2:$E$500,StockMovements!$B$2:$B$500,A365,StockMovements!$D$2:$D$500,"receipt")+SUMIFS(StockMovements!$E$2:$E$500,StockMovements!$B$2:$B$500,A365,StockMovements!$D$2:$D$500,"production_in")+SUMIFS(StockMovements!$E$2:$E$500,StockMovements!$B$2:$B$500,A365,StockMovements!$D$2:$D$500,"adjustment")-SUMIFS(StockMovements!$E$2:$E$500,StockMovements!$B$2:$B$500,A365,StockMovements!$D$2:$D$500,"issue")-SUMIFS(StockMovements!$E$2:$E$500,StockMovements!$B$2:$B$500,A365,StockMovements!$D$2:$D$500,"production_out")-SUMIFS(StockMovements!$E$2:$E$500,StockMovements!$B$2:$B$500,A365,StockMovements!$D$2:$D$500,"transfer")-SUMIFS(StockMovements!$E$2:$E$500,StockMovements!$B$2:$B$500,A365,StockMovements!$D$2:$D$500,"scrap"))</f>
        <v/>
      </c>
      <c r="E365" s="11">
        <f>IF(A365="","",Products!E365)</f>
        <v/>
      </c>
      <c r="F365" s="11">
        <f>IF(A365="","",D365*E365)</f>
        <v/>
      </c>
      <c r="G365" s="11">
        <f>IF(A365="","",Products!F365)</f>
        <v/>
      </c>
      <c r="H365" s="11">
        <f>IF(A365="","",IF(D365&lt;G365,"REORDER","OK"))</f>
        <v/>
      </c>
      <c r="I365" s="14">
        <f>IF(A365="","",IFERROR(_xlfn.MAXIFS(StockMovements!$A$2:$A$500,StockMovements!$B$2:$B$500,A365),0))</f>
        <v/>
      </c>
      <c r="J365" s="11">
        <f>IF(OR(A365="",I365=0),"",TODAY()-I365)</f>
        <v/>
      </c>
      <c r="K365" s="11">
        <f>IF(A365="","",IF(I365=0,"never moved",IF(J365&lt;=30,"0-30",IF(J365&lt;=60,"31-60",IF(J365&lt;=90,"61-90","90+")))))</f>
        <v/>
      </c>
    </row>
    <row r="366">
      <c r="A366" s="11">
        <f>Products!A366</f>
        <v/>
      </c>
      <c r="B366" s="11">
        <f>Products!B366</f>
        <v/>
      </c>
      <c r="C366" s="11">
        <f>Products!C366</f>
        <v/>
      </c>
      <c r="D366" s="11">
        <f>IF(A366="","",SUMIFS(StockMovements!$E$2:$E$500,StockMovements!$B$2:$B$500,A366,StockMovements!$D$2:$D$500,"receipt")+SUMIFS(StockMovements!$E$2:$E$500,StockMovements!$B$2:$B$500,A366,StockMovements!$D$2:$D$500,"production_in")+SUMIFS(StockMovements!$E$2:$E$500,StockMovements!$B$2:$B$500,A366,StockMovements!$D$2:$D$500,"adjustment")-SUMIFS(StockMovements!$E$2:$E$500,StockMovements!$B$2:$B$500,A366,StockMovements!$D$2:$D$500,"issue")-SUMIFS(StockMovements!$E$2:$E$500,StockMovements!$B$2:$B$500,A366,StockMovements!$D$2:$D$500,"production_out")-SUMIFS(StockMovements!$E$2:$E$500,StockMovements!$B$2:$B$500,A366,StockMovements!$D$2:$D$500,"transfer")-SUMIFS(StockMovements!$E$2:$E$500,StockMovements!$B$2:$B$500,A366,StockMovements!$D$2:$D$500,"scrap"))</f>
        <v/>
      </c>
      <c r="E366" s="11">
        <f>IF(A366="","",Products!E366)</f>
        <v/>
      </c>
      <c r="F366" s="11">
        <f>IF(A366="","",D366*E366)</f>
        <v/>
      </c>
      <c r="G366" s="11">
        <f>IF(A366="","",Products!F366)</f>
        <v/>
      </c>
      <c r="H366" s="11">
        <f>IF(A366="","",IF(D366&lt;G366,"REORDER","OK"))</f>
        <v/>
      </c>
      <c r="I366" s="14">
        <f>IF(A366="","",IFERROR(_xlfn.MAXIFS(StockMovements!$A$2:$A$500,StockMovements!$B$2:$B$500,A366),0))</f>
        <v/>
      </c>
      <c r="J366" s="11">
        <f>IF(OR(A366="",I366=0),"",TODAY()-I366)</f>
        <v/>
      </c>
      <c r="K366" s="11">
        <f>IF(A366="","",IF(I366=0,"never moved",IF(J366&lt;=30,"0-30",IF(J366&lt;=60,"31-60",IF(J366&lt;=90,"61-90","90+")))))</f>
        <v/>
      </c>
    </row>
    <row r="367">
      <c r="A367" s="11">
        <f>Products!A367</f>
        <v/>
      </c>
      <c r="B367" s="11">
        <f>Products!B367</f>
        <v/>
      </c>
      <c r="C367" s="11">
        <f>Products!C367</f>
        <v/>
      </c>
      <c r="D367" s="11">
        <f>IF(A367="","",SUMIFS(StockMovements!$E$2:$E$500,StockMovements!$B$2:$B$500,A367,StockMovements!$D$2:$D$500,"receipt")+SUMIFS(StockMovements!$E$2:$E$500,StockMovements!$B$2:$B$500,A367,StockMovements!$D$2:$D$500,"production_in")+SUMIFS(StockMovements!$E$2:$E$500,StockMovements!$B$2:$B$500,A367,StockMovements!$D$2:$D$500,"adjustment")-SUMIFS(StockMovements!$E$2:$E$500,StockMovements!$B$2:$B$500,A367,StockMovements!$D$2:$D$500,"issue")-SUMIFS(StockMovements!$E$2:$E$500,StockMovements!$B$2:$B$500,A367,StockMovements!$D$2:$D$500,"production_out")-SUMIFS(StockMovements!$E$2:$E$500,StockMovements!$B$2:$B$500,A367,StockMovements!$D$2:$D$500,"transfer")-SUMIFS(StockMovements!$E$2:$E$500,StockMovements!$B$2:$B$500,A367,StockMovements!$D$2:$D$500,"scrap"))</f>
        <v/>
      </c>
      <c r="E367" s="11">
        <f>IF(A367="","",Products!E367)</f>
        <v/>
      </c>
      <c r="F367" s="11">
        <f>IF(A367="","",D367*E367)</f>
        <v/>
      </c>
      <c r="G367" s="11">
        <f>IF(A367="","",Products!F367)</f>
        <v/>
      </c>
      <c r="H367" s="11">
        <f>IF(A367="","",IF(D367&lt;G367,"REORDER","OK"))</f>
        <v/>
      </c>
      <c r="I367" s="14">
        <f>IF(A367="","",IFERROR(_xlfn.MAXIFS(StockMovements!$A$2:$A$500,StockMovements!$B$2:$B$500,A367),0))</f>
        <v/>
      </c>
      <c r="J367" s="11">
        <f>IF(OR(A367="",I367=0),"",TODAY()-I367)</f>
        <v/>
      </c>
      <c r="K367" s="11">
        <f>IF(A367="","",IF(I367=0,"never moved",IF(J367&lt;=30,"0-30",IF(J367&lt;=60,"31-60",IF(J367&lt;=90,"61-90","90+")))))</f>
        <v/>
      </c>
    </row>
    <row r="368">
      <c r="A368" s="11">
        <f>Products!A368</f>
        <v/>
      </c>
      <c r="B368" s="11">
        <f>Products!B368</f>
        <v/>
      </c>
      <c r="C368" s="11">
        <f>Products!C368</f>
        <v/>
      </c>
      <c r="D368" s="11">
        <f>IF(A368="","",SUMIFS(StockMovements!$E$2:$E$500,StockMovements!$B$2:$B$500,A368,StockMovements!$D$2:$D$500,"receipt")+SUMIFS(StockMovements!$E$2:$E$500,StockMovements!$B$2:$B$500,A368,StockMovements!$D$2:$D$500,"production_in")+SUMIFS(StockMovements!$E$2:$E$500,StockMovements!$B$2:$B$500,A368,StockMovements!$D$2:$D$500,"adjustment")-SUMIFS(StockMovements!$E$2:$E$500,StockMovements!$B$2:$B$500,A368,StockMovements!$D$2:$D$500,"issue")-SUMIFS(StockMovements!$E$2:$E$500,StockMovements!$B$2:$B$500,A368,StockMovements!$D$2:$D$500,"production_out")-SUMIFS(StockMovements!$E$2:$E$500,StockMovements!$B$2:$B$500,A368,StockMovements!$D$2:$D$500,"transfer")-SUMIFS(StockMovements!$E$2:$E$500,StockMovements!$B$2:$B$500,A368,StockMovements!$D$2:$D$500,"scrap"))</f>
        <v/>
      </c>
      <c r="E368" s="11">
        <f>IF(A368="","",Products!E368)</f>
        <v/>
      </c>
      <c r="F368" s="11">
        <f>IF(A368="","",D368*E368)</f>
        <v/>
      </c>
      <c r="G368" s="11">
        <f>IF(A368="","",Products!F368)</f>
        <v/>
      </c>
      <c r="H368" s="11">
        <f>IF(A368="","",IF(D368&lt;G368,"REORDER","OK"))</f>
        <v/>
      </c>
      <c r="I368" s="14">
        <f>IF(A368="","",IFERROR(_xlfn.MAXIFS(StockMovements!$A$2:$A$500,StockMovements!$B$2:$B$500,A368),0))</f>
        <v/>
      </c>
      <c r="J368" s="11">
        <f>IF(OR(A368="",I368=0),"",TODAY()-I368)</f>
        <v/>
      </c>
      <c r="K368" s="11">
        <f>IF(A368="","",IF(I368=0,"never moved",IF(J368&lt;=30,"0-30",IF(J368&lt;=60,"31-60",IF(J368&lt;=90,"61-90","90+")))))</f>
        <v/>
      </c>
    </row>
    <row r="369">
      <c r="A369" s="11">
        <f>Products!A369</f>
        <v/>
      </c>
      <c r="B369" s="11">
        <f>Products!B369</f>
        <v/>
      </c>
      <c r="C369" s="11">
        <f>Products!C369</f>
        <v/>
      </c>
      <c r="D369" s="11">
        <f>IF(A369="","",SUMIFS(StockMovements!$E$2:$E$500,StockMovements!$B$2:$B$500,A369,StockMovements!$D$2:$D$500,"receipt")+SUMIFS(StockMovements!$E$2:$E$500,StockMovements!$B$2:$B$500,A369,StockMovements!$D$2:$D$500,"production_in")+SUMIFS(StockMovements!$E$2:$E$500,StockMovements!$B$2:$B$500,A369,StockMovements!$D$2:$D$500,"adjustment")-SUMIFS(StockMovements!$E$2:$E$500,StockMovements!$B$2:$B$500,A369,StockMovements!$D$2:$D$500,"issue")-SUMIFS(StockMovements!$E$2:$E$500,StockMovements!$B$2:$B$500,A369,StockMovements!$D$2:$D$500,"production_out")-SUMIFS(StockMovements!$E$2:$E$500,StockMovements!$B$2:$B$500,A369,StockMovements!$D$2:$D$500,"transfer")-SUMIFS(StockMovements!$E$2:$E$500,StockMovements!$B$2:$B$500,A369,StockMovements!$D$2:$D$500,"scrap"))</f>
        <v/>
      </c>
      <c r="E369" s="11">
        <f>IF(A369="","",Products!E369)</f>
        <v/>
      </c>
      <c r="F369" s="11">
        <f>IF(A369="","",D369*E369)</f>
        <v/>
      </c>
      <c r="G369" s="11">
        <f>IF(A369="","",Products!F369)</f>
        <v/>
      </c>
      <c r="H369" s="11">
        <f>IF(A369="","",IF(D369&lt;G369,"REORDER","OK"))</f>
        <v/>
      </c>
      <c r="I369" s="14">
        <f>IF(A369="","",IFERROR(_xlfn.MAXIFS(StockMovements!$A$2:$A$500,StockMovements!$B$2:$B$500,A369),0))</f>
        <v/>
      </c>
      <c r="J369" s="11">
        <f>IF(OR(A369="",I369=0),"",TODAY()-I369)</f>
        <v/>
      </c>
      <c r="K369" s="11">
        <f>IF(A369="","",IF(I369=0,"never moved",IF(J369&lt;=30,"0-30",IF(J369&lt;=60,"31-60",IF(J369&lt;=90,"61-90","90+")))))</f>
        <v/>
      </c>
    </row>
    <row r="370">
      <c r="A370" s="11">
        <f>Products!A370</f>
        <v/>
      </c>
      <c r="B370" s="11">
        <f>Products!B370</f>
        <v/>
      </c>
      <c r="C370" s="11">
        <f>Products!C370</f>
        <v/>
      </c>
      <c r="D370" s="11">
        <f>IF(A370="","",SUMIFS(StockMovements!$E$2:$E$500,StockMovements!$B$2:$B$500,A370,StockMovements!$D$2:$D$500,"receipt")+SUMIFS(StockMovements!$E$2:$E$500,StockMovements!$B$2:$B$500,A370,StockMovements!$D$2:$D$500,"production_in")+SUMIFS(StockMovements!$E$2:$E$500,StockMovements!$B$2:$B$500,A370,StockMovements!$D$2:$D$500,"adjustment")-SUMIFS(StockMovements!$E$2:$E$500,StockMovements!$B$2:$B$500,A370,StockMovements!$D$2:$D$500,"issue")-SUMIFS(StockMovements!$E$2:$E$500,StockMovements!$B$2:$B$500,A370,StockMovements!$D$2:$D$500,"production_out")-SUMIFS(StockMovements!$E$2:$E$500,StockMovements!$B$2:$B$500,A370,StockMovements!$D$2:$D$500,"transfer")-SUMIFS(StockMovements!$E$2:$E$500,StockMovements!$B$2:$B$500,A370,StockMovements!$D$2:$D$500,"scrap"))</f>
        <v/>
      </c>
      <c r="E370" s="11">
        <f>IF(A370="","",Products!E370)</f>
        <v/>
      </c>
      <c r="F370" s="11">
        <f>IF(A370="","",D370*E370)</f>
        <v/>
      </c>
      <c r="G370" s="11">
        <f>IF(A370="","",Products!F370)</f>
        <v/>
      </c>
      <c r="H370" s="11">
        <f>IF(A370="","",IF(D370&lt;G370,"REORDER","OK"))</f>
        <v/>
      </c>
      <c r="I370" s="14">
        <f>IF(A370="","",IFERROR(_xlfn.MAXIFS(StockMovements!$A$2:$A$500,StockMovements!$B$2:$B$500,A370),0))</f>
        <v/>
      </c>
      <c r="J370" s="11">
        <f>IF(OR(A370="",I370=0),"",TODAY()-I370)</f>
        <v/>
      </c>
      <c r="K370" s="11">
        <f>IF(A370="","",IF(I370=0,"never moved",IF(J370&lt;=30,"0-30",IF(J370&lt;=60,"31-60",IF(J370&lt;=90,"61-90","90+")))))</f>
        <v/>
      </c>
    </row>
    <row r="371">
      <c r="A371" s="11">
        <f>Products!A371</f>
        <v/>
      </c>
      <c r="B371" s="11">
        <f>Products!B371</f>
        <v/>
      </c>
      <c r="C371" s="11">
        <f>Products!C371</f>
        <v/>
      </c>
      <c r="D371" s="11">
        <f>IF(A371="","",SUMIFS(StockMovements!$E$2:$E$500,StockMovements!$B$2:$B$500,A371,StockMovements!$D$2:$D$500,"receipt")+SUMIFS(StockMovements!$E$2:$E$500,StockMovements!$B$2:$B$500,A371,StockMovements!$D$2:$D$500,"production_in")+SUMIFS(StockMovements!$E$2:$E$500,StockMovements!$B$2:$B$500,A371,StockMovements!$D$2:$D$500,"adjustment")-SUMIFS(StockMovements!$E$2:$E$500,StockMovements!$B$2:$B$500,A371,StockMovements!$D$2:$D$500,"issue")-SUMIFS(StockMovements!$E$2:$E$500,StockMovements!$B$2:$B$500,A371,StockMovements!$D$2:$D$500,"production_out")-SUMIFS(StockMovements!$E$2:$E$500,StockMovements!$B$2:$B$500,A371,StockMovements!$D$2:$D$500,"transfer")-SUMIFS(StockMovements!$E$2:$E$500,StockMovements!$B$2:$B$500,A371,StockMovements!$D$2:$D$500,"scrap"))</f>
        <v/>
      </c>
      <c r="E371" s="11">
        <f>IF(A371="","",Products!E371)</f>
        <v/>
      </c>
      <c r="F371" s="11">
        <f>IF(A371="","",D371*E371)</f>
        <v/>
      </c>
      <c r="G371" s="11">
        <f>IF(A371="","",Products!F371)</f>
        <v/>
      </c>
      <c r="H371" s="11">
        <f>IF(A371="","",IF(D371&lt;G371,"REORDER","OK"))</f>
        <v/>
      </c>
      <c r="I371" s="14">
        <f>IF(A371="","",IFERROR(_xlfn.MAXIFS(StockMovements!$A$2:$A$500,StockMovements!$B$2:$B$500,A371),0))</f>
        <v/>
      </c>
      <c r="J371" s="11">
        <f>IF(OR(A371="",I371=0),"",TODAY()-I371)</f>
        <v/>
      </c>
      <c r="K371" s="11">
        <f>IF(A371="","",IF(I371=0,"never moved",IF(J371&lt;=30,"0-30",IF(J371&lt;=60,"31-60",IF(J371&lt;=90,"61-90","90+")))))</f>
        <v/>
      </c>
    </row>
    <row r="372">
      <c r="A372" s="11">
        <f>Products!A372</f>
        <v/>
      </c>
      <c r="B372" s="11">
        <f>Products!B372</f>
        <v/>
      </c>
      <c r="C372" s="11">
        <f>Products!C372</f>
        <v/>
      </c>
      <c r="D372" s="11">
        <f>IF(A372="","",SUMIFS(StockMovements!$E$2:$E$500,StockMovements!$B$2:$B$500,A372,StockMovements!$D$2:$D$500,"receipt")+SUMIFS(StockMovements!$E$2:$E$500,StockMovements!$B$2:$B$500,A372,StockMovements!$D$2:$D$500,"production_in")+SUMIFS(StockMovements!$E$2:$E$500,StockMovements!$B$2:$B$500,A372,StockMovements!$D$2:$D$500,"adjustment")-SUMIFS(StockMovements!$E$2:$E$500,StockMovements!$B$2:$B$500,A372,StockMovements!$D$2:$D$500,"issue")-SUMIFS(StockMovements!$E$2:$E$500,StockMovements!$B$2:$B$500,A372,StockMovements!$D$2:$D$500,"production_out")-SUMIFS(StockMovements!$E$2:$E$500,StockMovements!$B$2:$B$500,A372,StockMovements!$D$2:$D$500,"transfer")-SUMIFS(StockMovements!$E$2:$E$500,StockMovements!$B$2:$B$500,A372,StockMovements!$D$2:$D$500,"scrap"))</f>
        <v/>
      </c>
      <c r="E372" s="11">
        <f>IF(A372="","",Products!E372)</f>
        <v/>
      </c>
      <c r="F372" s="11">
        <f>IF(A372="","",D372*E372)</f>
        <v/>
      </c>
      <c r="G372" s="11">
        <f>IF(A372="","",Products!F372)</f>
        <v/>
      </c>
      <c r="H372" s="11">
        <f>IF(A372="","",IF(D372&lt;G372,"REORDER","OK"))</f>
        <v/>
      </c>
      <c r="I372" s="14">
        <f>IF(A372="","",IFERROR(_xlfn.MAXIFS(StockMovements!$A$2:$A$500,StockMovements!$B$2:$B$500,A372),0))</f>
        <v/>
      </c>
      <c r="J372" s="11">
        <f>IF(OR(A372="",I372=0),"",TODAY()-I372)</f>
        <v/>
      </c>
      <c r="K372" s="11">
        <f>IF(A372="","",IF(I372=0,"never moved",IF(J372&lt;=30,"0-30",IF(J372&lt;=60,"31-60",IF(J372&lt;=90,"61-90","90+")))))</f>
        <v/>
      </c>
    </row>
    <row r="373">
      <c r="A373" s="11">
        <f>Products!A373</f>
        <v/>
      </c>
      <c r="B373" s="11">
        <f>Products!B373</f>
        <v/>
      </c>
      <c r="C373" s="11">
        <f>Products!C373</f>
        <v/>
      </c>
      <c r="D373" s="11">
        <f>IF(A373="","",SUMIFS(StockMovements!$E$2:$E$500,StockMovements!$B$2:$B$500,A373,StockMovements!$D$2:$D$500,"receipt")+SUMIFS(StockMovements!$E$2:$E$500,StockMovements!$B$2:$B$500,A373,StockMovements!$D$2:$D$500,"production_in")+SUMIFS(StockMovements!$E$2:$E$500,StockMovements!$B$2:$B$500,A373,StockMovements!$D$2:$D$500,"adjustment")-SUMIFS(StockMovements!$E$2:$E$500,StockMovements!$B$2:$B$500,A373,StockMovements!$D$2:$D$500,"issue")-SUMIFS(StockMovements!$E$2:$E$500,StockMovements!$B$2:$B$500,A373,StockMovements!$D$2:$D$500,"production_out")-SUMIFS(StockMovements!$E$2:$E$500,StockMovements!$B$2:$B$500,A373,StockMovements!$D$2:$D$500,"transfer")-SUMIFS(StockMovements!$E$2:$E$500,StockMovements!$B$2:$B$500,A373,StockMovements!$D$2:$D$500,"scrap"))</f>
        <v/>
      </c>
      <c r="E373" s="11">
        <f>IF(A373="","",Products!E373)</f>
        <v/>
      </c>
      <c r="F373" s="11">
        <f>IF(A373="","",D373*E373)</f>
        <v/>
      </c>
      <c r="G373" s="11">
        <f>IF(A373="","",Products!F373)</f>
        <v/>
      </c>
      <c r="H373" s="11">
        <f>IF(A373="","",IF(D373&lt;G373,"REORDER","OK"))</f>
        <v/>
      </c>
      <c r="I373" s="14">
        <f>IF(A373="","",IFERROR(_xlfn.MAXIFS(StockMovements!$A$2:$A$500,StockMovements!$B$2:$B$500,A373),0))</f>
        <v/>
      </c>
      <c r="J373" s="11">
        <f>IF(OR(A373="",I373=0),"",TODAY()-I373)</f>
        <v/>
      </c>
      <c r="K373" s="11">
        <f>IF(A373="","",IF(I373=0,"never moved",IF(J373&lt;=30,"0-30",IF(J373&lt;=60,"31-60",IF(J373&lt;=90,"61-90","90+")))))</f>
        <v/>
      </c>
    </row>
    <row r="374">
      <c r="A374" s="11">
        <f>Products!A374</f>
        <v/>
      </c>
      <c r="B374" s="11">
        <f>Products!B374</f>
        <v/>
      </c>
      <c r="C374" s="11">
        <f>Products!C374</f>
        <v/>
      </c>
      <c r="D374" s="11">
        <f>IF(A374="","",SUMIFS(StockMovements!$E$2:$E$500,StockMovements!$B$2:$B$500,A374,StockMovements!$D$2:$D$500,"receipt")+SUMIFS(StockMovements!$E$2:$E$500,StockMovements!$B$2:$B$500,A374,StockMovements!$D$2:$D$500,"production_in")+SUMIFS(StockMovements!$E$2:$E$500,StockMovements!$B$2:$B$500,A374,StockMovements!$D$2:$D$500,"adjustment")-SUMIFS(StockMovements!$E$2:$E$500,StockMovements!$B$2:$B$500,A374,StockMovements!$D$2:$D$500,"issue")-SUMIFS(StockMovements!$E$2:$E$500,StockMovements!$B$2:$B$500,A374,StockMovements!$D$2:$D$500,"production_out")-SUMIFS(StockMovements!$E$2:$E$500,StockMovements!$B$2:$B$500,A374,StockMovements!$D$2:$D$500,"transfer")-SUMIFS(StockMovements!$E$2:$E$500,StockMovements!$B$2:$B$500,A374,StockMovements!$D$2:$D$500,"scrap"))</f>
        <v/>
      </c>
      <c r="E374" s="11">
        <f>IF(A374="","",Products!E374)</f>
        <v/>
      </c>
      <c r="F374" s="11">
        <f>IF(A374="","",D374*E374)</f>
        <v/>
      </c>
      <c r="G374" s="11">
        <f>IF(A374="","",Products!F374)</f>
        <v/>
      </c>
      <c r="H374" s="11">
        <f>IF(A374="","",IF(D374&lt;G374,"REORDER","OK"))</f>
        <v/>
      </c>
      <c r="I374" s="14">
        <f>IF(A374="","",IFERROR(_xlfn.MAXIFS(StockMovements!$A$2:$A$500,StockMovements!$B$2:$B$500,A374),0))</f>
        <v/>
      </c>
      <c r="J374" s="11">
        <f>IF(OR(A374="",I374=0),"",TODAY()-I374)</f>
        <v/>
      </c>
      <c r="K374" s="11">
        <f>IF(A374="","",IF(I374=0,"never moved",IF(J374&lt;=30,"0-30",IF(J374&lt;=60,"31-60",IF(J374&lt;=90,"61-90","90+")))))</f>
        <v/>
      </c>
    </row>
    <row r="375">
      <c r="A375" s="11">
        <f>Products!A375</f>
        <v/>
      </c>
      <c r="B375" s="11">
        <f>Products!B375</f>
        <v/>
      </c>
      <c r="C375" s="11">
        <f>Products!C375</f>
        <v/>
      </c>
      <c r="D375" s="11">
        <f>IF(A375="","",SUMIFS(StockMovements!$E$2:$E$500,StockMovements!$B$2:$B$500,A375,StockMovements!$D$2:$D$500,"receipt")+SUMIFS(StockMovements!$E$2:$E$500,StockMovements!$B$2:$B$500,A375,StockMovements!$D$2:$D$500,"production_in")+SUMIFS(StockMovements!$E$2:$E$500,StockMovements!$B$2:$B$500,A375,StockMovements!$D$2:$D$500,"adjustment")-SUMIFS(StockMovements!$E$2:$E$500,StockMovements!$B$2:$B$500,A375,StockMovements!$D$2:$D$500,"issue")-SUMIFS(StockMovements!$E$2:$E$500,StockMovements!$B$2:$B$500,A375,StockMovements!$D$2:$D$500,"production_out")-SUMIFS(StockMovements!$E$2:$E$500,StockMovements!$B$2:$B$500,A375,StockMovements!$D$2:$D$500,"transfer")-SUMIFS(StockMovements!$E$2:$E$500,StockMovements!$B$2:$B$500,A375,StockMovements!$D$2:$D$500,"scrap"))</f>
        <v/>
      </c>
      <c r="E375" s="11">
        <f>IF(A375="","",Products!E375)</f>
        <v/>
      </c>
      <c r="F375" s="11">
        <f>IF(A375="","",D375*E375)</f>
        <v/>
      </c>
      <c r="G375" s="11">
        <f>IF(A375="","",Products!F375)</f>
        <v/>
      </c>
      <c r="H375" s="11">
        <f>IF(A375="","",IF(D375&lt;G375,"REORDER","OK"))</f>
        <v/>
      </c>
      <c r="I375" s="14">
        <f>IF(A375="","",IFERROR(_xlfn.MAXIFS(StockMovements!$A$2:$A$500,StockMovements!$B$2:$B$500,A375),0))</f>
        <v/>
      </c>
      <c r="J375" s="11">
        <f>IF(OR(A375="",I375=0),"",TODAY()-I375)</f>
        <v/>
      </c>
      <c r="K375" s="11">
        <f>IF(A375="","",IF(I375=0,"never moved",IF(J375&lt;=30,"0-30",IF(J375&lt;=60,"31-60",IF(J375&lt;=90,"61-90","90+")))))</f>
        <v/>
      </c>
    </row>
    <row r="376">
      <c r="A376" s="11">
        <f>Products!A376</f>
        <v/>
      </c>
      <c r="B376" s="11">
        <f>Products!B376</f>
        <v/>
      </c>
      <c r="C376" s="11">
        <f>Products!C376</f>
        <v/>
      </c>
      <c r="D376" s="11">
        <f>IF(A376="","",SUMIFS(StockMovements!$E$2:$E$500,StockMovements!$B$2:$B$500,A376,StockMovements!$D$2:$D$500,"receipt")+SUMIFS(StockMovements!$E$2:$E$500,StockMovements!$B$2:$B$500,A376,StockMovements!$D$2:$D$500,"production_in")+SUMIFS(StockMovements!$E$2:$E$500,StockMovements!$B$2:$B$500,A376,StockMovements!$D$2:$D$500,"adjustment")-SUMIFS(StockMovements!$E$2:$E$500,StockMovements!$B$2:$B$500,A376,StockMovements!$D$2:$D$500,"issue")-SUMIFS(StockMovements!$E$2:$E$500,StockMovements!$B$2:$B$500,A376,StockMovements!$D$2:$D$500,"production_out")-SUMIFS(StockMovements!$E$2:$E$500,StockMovements!$B$2:$B$500,A376,StockMovements!$D$2:$D$500,"transfer")-SUMIFS(StockMovements!$E$2:$E$500,StockMovements!$B$2:$B$500,A376,StockMovements!$D$2:$D$500,"scrap"))</f>
        <v/>
      </c>
      <c r="E376" s="11">
        <f>IF(A376="","",Products!E376)</f>
        <v/>
      </c>
      <c r="F376" s="11">
        <f>IF(A376="","",D376*E376)</f>
        <v/>
      </c>
      <c r="G376" s="11">
        <f>IF(A376="","",Products!F376)</f>
        <v/>
      </c>
      <c r="H376" s="11">
        <f>IF(A376="","",IF(D376&lt;G376,"REORDER","OK"))</f>
        <v/>
      </c>
      <c r="I376" s="14">
        <f>IF(A376="","",IFERROR(_xlfn.MAXIFS(StockMovements!$A$2:$A$500,StockMovements!$B$2:$B$500,A376),0))</f>
        <v/>
      </c>
      <c r="J376" s="11">
        <f>IF(OR(A376="",I376=0),"",TODAY()-I376)</f>
        <v/>
      </c>
      <c r="K376" s="11">
        <f>IF(A376="","",IF(I376=0,"never moved",IF(J376&lt;=30,"0-30",IF(J376&lt;=60,"31-60",IF(J376&lt;=90,"61-90","90+")))))</f>
        <v/>
      </c>
    </row>
    <row r="377">
      <c r="A377" s="11">
        <f>Products!A377</f>
        <v/>
      </c>
      <c r="B377" s="11">
        <f>Products!B377</f>
        <v/>
      </c>
      <c r="C377" s="11">
        <f>Products!C377</f>
        <v/>
      </c>
      <c r="D377" s="11">
        <f>IF(A377="","",SUMIFS(StockMovements!$E$2:$E$500,StockMovements!$B$2:$B$500,A377,StockMovements!$D$2:$D$500,"receipt")+SUMIFS(StockMovements!$E$2:$E$500,StockMovements!$B$2:$B$500,A377,StockMovements!$D$2:$D$500,"production_in")+SUMIFS(StockMovements!$E$2:$E$500,StockMovements!$B$2:$B$500,A377,StockMovements!$D$2:$D$500,"adjustment")-SUMIFS(StockMovements!$E$2:$E$500,StockMovements!$B$2:$B$500,A377,StockMovements!$D$2:$D$500,"issue")-SUMIFS(StockMovements!$E$2:$E$500,StockMovements!$B$2:$B$500,A377,StockMovements!$D$2:$D$500,"production_out")-SUMIFS(StockMovements!$E$2:$E$500,StockMovements!$B$2:$B$500,A377,StockMovements!$D$2:$D$500,"transfer")-SUMIFS(StockMovements!$E$2:$E$500,StockMovements!$B$2:$B$500,A377,StockMovements!$D$2:$D$500,"scrap"))</f>
        <v/>
      </c>
      <c r="E377" s="11">
        <f>IF(A377="","",Products!E377)</f>
        <v/>
      </c>
      <c r="F377" s="11">
        <f>IF(A377="","",D377*E377)</f>
        <v/>
      </c>
      <c r="G377" s="11">
        <f>IF(A377="","",Products!F377)</f>
        <v/>
      </c>
      <c r="H377" s="11">
        <f>IF(A377="","",IF(D377&lt;G377,"REORDER","OK"))</f>
        <v/>
      </c>
      <c r="I377" s="14">
        <f>IF(A377="","",IFERROR(_xlfn.MAXIFS(StockMovements!$A$2:$A$500,StockMovements!$B$2:$B$500,A377),0))</f>
        <v/>
      </c>
      <c r="J377" s="11">
        <f>IF(OR(A377="",I377=0),"",TODAY()-I377)</f>
        <v/>
      </c>
      <c r="K377" s="11">
        <f>IF(A377="","",IF(I377=0,"never moved",IF(J377&lt;=30,"0-30",IF(J377&lt;=60,"31-60",IF(J377&lt;=90,"61-90","90+")))))</f>
        <v/>
      </c>
    </row>
    <row r="378">
      <c r="A378" s="11">
        <f>Products!A378</f>
        <v/>
      </c>
      <c r="B378" s="11">
        <f>Products!B378</f>
        <v/>
      </c>
      <c r="C378" s="11">
        <f>Products!C378</f>
        <v/>
      </c>
      <c r="D378" s="11">
        <f>IF(A378="","",SUMIFS(StockMovements!$E$2:$E$500,StockMovements!$B$2:$B$500,A378,StockMovements!$D$2:$D$500,"receipt")+SUMIFS(StockMovements!$E$2:$E$500,StockMovements!$B$2:$B$500,A378,StockMovements!$D$2:$D$500,"production_in")+SUMIFS(StockMovements!$E$2:$E$500,StockMovements!$B$2:$B$500,A378,StockMovements!$D$2:$D$500,"adjustment")-SUMIFS(StockMovements!$E$2:$E$500,StockMovements!$B$2:$B$500,A378,StockMovements!$D$2:$D$500,"issue")-SUMIFS(StockMovements!$E$2:$E$500,StockMovements!$B$2:$B$500,A378,StockMovements!$D$2:$D$500,"production_out")-SUMIFS(StockMovements!$E$2:$E$500,StockMovements!$B$2:$B$500,A378,StockMovements!$D$2:$D$500,"transfer")-SUMIFS(StockMovements!$E$2:$E$500,StockMovements!$B$2:$B$500,A378,StockMovements!$D$2:$D$500,"scrap"))</f>
        <v/>
      </c>
      <c r="E378" s="11">
        <f>IF(A378="","",Products!E378)</f>
        <v/>
      </c>
      <c r="F378" s="11">
        <f>IF(A378="","",D378*E378)</f>
        <v/>
      </c>
      <c r="G378" s="11">
        <f>IF(A378="","",Products!F378)</f>
        <v/>
      </c>
      <c r="H378" s="11">
        <f>IF(A378="","",IF(D378&lt;G378,"REORDER","OK"))</f>
        <v/>
      </c>
      <c r="I378" s="14">
        <f>IF(A378="","",IFERROR(_xlfn.MAXIFS(StockMovements!$A$2:$A$500,StockMovements!$B$2:$B$500,A378),0))</f>
        <v/>
      </c>
      <c r="J378" s="11">
        <f>IF(OR(A378="",I378=0),"",TODAY()-I378)</f>
        <v/>
      </c>
      <c r="K378" s="11">
        <f>IF(A378="","",IF(I378=0,"never moved",IF(J378&lt;=30,"0-30",IF(J378&lt;=60,"31-60",IF(J378&lt;=90,"61-90","90+")))))</f>
        <v/>
      </c>
    </row>
    <row r="379">
      <c r="A379" s="11">
        <f>Products!A379</f>
        <v/>
      </c>
      <c r="B379" s="11">
        <f>Products!B379</f>
        <v/>
      </c>
      <c r="C379" s="11">
        <f>Products!C379</f>
        <v/>
      </c>
      <c r="D379" s="11">
        <f>IF(A379="","",SUMIFS(StockMovements!$E$2:$E$500,StockMovements!$B$2:$B$500,A379,StockMovements!$D$2:$D$500,"receipt")+SUMIFS(StockMovements!$E$2:$E$500,StockMovements!$B$2:$B$500,A379,StockMovements!$D$2:$D$500,"production_in")+SUMIFS(StockMovements!$E$2:$E$500,StockMovements!$B$2:$B$500,A379,StockMovements!$D$2:$D$500,"adjustment")-SUMIFS(StockMovements!$E$2:$E$500,StockMovements!$B$2:$B$500,A379,StockMovements!$D$2:$D$500,"issue")-SUMIFS(StockMovements!$E$2:$E$500,StockMovements!$B$2:$B$500,A379,StockMovements!$D$2:$D$500,"production_out")-SUMIFS(StockMovements!$E$2:$E$500,StockMovements!$B$2:$B$500,A379,StockMovements!$D$2:$D$500,"transfer")-SUMIFS(StockMovements!$E$2:$E$500,StockMovements!$B$2:$B$500,A379,StockMovements!$D$2:$D$500,"scrap"))</f>
        <v/>
      </c>
      <c r="E379" s="11">
        <f>IF(A379="","",Products!E379)</f>
        <v/>
      </c>
      <c r="F379" s="11">
        <f>IF(A379="","",D379*E379)</f>
        <v/>
      </c>
      <c r="G379" s="11">
        <f>IF(A379="","",Products!F379)</f>
        <v/>
      </c>
      <c r="H379" s="11">
        <f>IF(A379="","",IF(D379&lt;G379,"REORDER","OK"))</f>
        <v/>
      </c>
      <c r="I379" s="14">
        <f>IF(A379="","",IFERROR(_xlfn.MAXIFS(StockMovements!$A$2:$A$500,StockMovements!$B$2:$B$500,A379),0))</f>
        <v/>
      </c>
      <c r="J379" s="11">
        <f>IF(OR(A379="",I379=0),"",TODAY()-I379)</f>
        <v/>
      </c>
      <c r="K379" s="11">
        <f>IF(A379="","",IF(I379=0,"never moved",IF(J379&lt;=30,"0-30",IF(J379&lt;=60,"31-60",IF(J379&lt;=90,"61-90","90+")))))</f>
        <v/>
      </c>
    </row>
    <row r="380">
      <c r="A380" s="11">
        <f>Products!A380</f>
        <v/>
      </c>
      <c r="B380" s="11">
        <f>Products!B380</f>
        <v/>
      </c>
      <c r="C380" s="11">
        <f>Products!C380</f>
        <v/>
      </c>
      <c r="D380" s="11">
        <f>IF(A380="","",SUMIFS(StockMovements!$E$2:$E$500,StockMovements!$B$2:$B$500,A380,StockMovements!$D$2:$D$500,"receipt")+SUMIFS(StockMovements!$E$2:$E$500,StockMovements!$B$2:$B$500,A380,StockMovements!$D$2:$D$500,"production_in")+SUMIFS(StockMovements!$E$2:$E$500,StockMovements!$B$2:$B$500,A380,StockMovements!$D$2:$D$500,"adjustment")-SUMIFS(StockMovements!$E$2:$E$500,StockMovements!$B$2:$B$500,A380,StockMovements!$D$2:$D$500,"issue")-SUMIFS(StockMovements!$E$2:$E$500,StockMovements!$B$2:$B$500,A380,StockMovements!$D$2:$D$500,"production_out")-SUMIFS(StockMovements!$E$2:$E$500,StockMovements!$B$2:$B$500,A380,StockMovements!$D$2:$D$500,"transfer")-SUMIFS(StockMovements!$E$2:$E$500,StockMovements!$B$2:$B$500,A380,StockMovements!$D$2:$D$500,"scrap"))</f>
        <v/>
      </c>
      <c r="E380" s="11">
        <f>IF(A380="","",Products!E380)</f>
        <v/>
      </c>
      <c r="F380" s="11">
        <f>IF(A380="","",D380*E380)</f>
        <v/>
      </c>
      <c r="G380" s="11">
        <f>IF(A380="","",Products!F380)</f>
        <v/>
      </c>
      <c r="H380" s="11">
        <f>IF(A380="","",IF(D380&lt;G380,"REORDER","OK"))</f>
        <v/>
      </c>
      <c r="I380" s="14">
        <f>IF(A380="","",IFERROR(_xlfn.MAXIFS(StockMovements!$A$2:$A$500,StockMovements!$B$2:$B$500,A380),0))</f>
        <v/>
      </c>
      <c r="J380" s="11">
        <f>IF(OR(A380="",I380=0),"",TODAY()-I380)</f>
        <v/>
      </c>
      <c r="K380" s="11">
        <f>IF(A380="","",IF(I380=0,"never moved",IF(J380&lt;=30,"0-30",IF(J380&lt;=60,"31-60",IF(J380&lt;=90,"61-90","90+")))))</f>
        <v/>
      </c>
    </row>
    <row r="381">
      <c r="A381" s="11">
        <f>Products!A381</f>
        <v/>
      </c>
      <c r="B381" s="11">
        <f>Products!B381</f>
        <v/>
      </c>
      <c r="C381" s="11">
        <f>Products!C381</f>
        <v/>
      </c>
      <c r="D381" s="11">
        <f>IF(A381="","",SUMIFS(StockMovements!$E$2:$E$500,StockMovements!$B$2:$B$500,A381,StockMovements!$D$2:$D$500,"receipt")+SUMIFS(StockMovements!$E$2:$E$500,StockMovements!$B$2:$B$500,A381,StockMovements!$D$2:$D$500,"production_in")+SUMIFS(StockMovements!$E$2:$E$500,StockMovements!$B$2:$B$500,A381,StockMovements!$D$2:$D$500,"adjustment")-SUMIFS(StockMovements!$E$2:$E$500,StockMovements!$B$2:$B$500,A381,StockMovements!$D$2:$D$500,"issue")-SUMIFS(StockMovements!$E$2:$E$500,StockMovements!$B$2:$B$500,A381,StockMovements!$D$2:$D$500,"production_out")-SUMIFS(StockMovements!$E$2:$E$500,StockMovements!$B$2:$B$500,A381,StockMovements!$D$2:$D$500,"transfer")-SUMIFS(StockMovements!$E$2:$E$500,StockMovements!$B$2:$B$500,A381,StockMovements!$D$2:$D$500,"scrap"))</f>
        <v/>
      </c>
      <c r="E381" s="11">
        <f>IF(A381="","",Products!E381)</f>
        <v/>
      </c>
      <c r="F381" s="11">
        <f>IF(A381="","",D381*E381)</f>
        <v/>
      </c>
      <c r="G381" s="11">
        <f>IF(A381="","",Products!F381)</f>
        <v/>
      </c>
      <c r="H381" s="11">
        <f>IF(A381="","",IF(D381&lt;G381,"REORDER","OK"))</f>
        <v/>
      </c>
      <c r="I381" s="14">
        <f>IF(A381="","",IFERROR(_xlfn.MAXIFS(StockMovements!$A$2:$A$500,StockMovements!$B$2:$B$500,A381),0))</f>
        <v/>
      </c>
      <c r="J381" s="11">
        <f>IF(OR(A381="",I381=0),"",TODAY()-I381)</f>
        <v/>
      </c>
      <c r="K381" s="11">
        <f>IF(A381="","",IF(I381=0,"never moved",IF(J381&lt;=30,"0-30",IF(J381&lt;=60,"31-60",IF(J381&lt;=90,"61-90","90+")))))</f>
        <v/>
      </c>
    </row>
    <row r="382">
      <c r="A382" s="11">
        <f>Products!A382</f>
        <v/>
      </c>
      <c r="B382" s="11">
        <f>Products!B382</f>
        <v/>
      </c>
      <c r="C382" s="11">
        <f>Products!C382</f>
        <v/>
      </c>
      <c r="D382" s="11">
        <f>IF(A382="","",SUMIFS(StockMovements!$E$2:$E$500,StockMovements!$B$2:$B$500,A382,StockMovements!$D$2:$D$500,"receipt")+SUMIFS(StockMovements!$E$2:$E$500,StockMovements!$B$2:$B$500,A382,StockMovements!$D$2:$D$500,"production_in")+SUMIFS(StockMovements!$E$2:$E$500,StockMovements!$B$2:$B$500,A382,StockMovements!$D$2:$D$500,"adjustment")-SUMIFS(StockMovements!$E$2:$E$500,StockMovements!$B$2:$B$500,A382,StockMovements!$D$2:$D$500,"issue")-SUMIFS(StockMovements!$E$2:$E$500,StockMovements!$B$2:$B$500,A382,StockMovements!$D$2:$D$500,"production_out")-SUMIFS(StockMovements!$E$2:$E$500,StockMovements!$B$2:$B$500,A382,StockMovements!$D$2:$D$500,"transfer")-SUMIFS(StockMovements!$E$2:$E$500,StockMovements!$B$2:$B$500,A382,StockMovements!$D$2:$D$500,"scrap"))</f>
        <v/>
      </c>
      <c r="E382" s="11">
        <f>IF(A382="","",Products!E382)</f>
        <v/>
      </c>
      <c r="F382" s="11">
        <f>IF(A382="","",D382*E382)</f>
        <v/>
      </c>
      <c r="G382" s="11">
        <f>IF(A382="","",Products!F382)</f>
        <v/>
      </c>
      <c r="H382" s="11">
        <f>IF(A382="","",IF(D382&lt;G382,"REORDER","OK"))</f>
        <v/>
      </c>
      <c r="I382" s="14">
        <f>IF(A382="","",IFERROR(_xlfn.MAXIFS(StockMovements!$A$2:$A$500,StockMovements!$B$2:$B$500,A382),0))</f>
        <v/>
      </c>
      <c r="J382" s="11">
        <f>IF(OR(A382="",I382=0),"",TODAY()-I382)</f>
        <v/>
      </c>
      <c r="K382" s="11">
        <f>IF(A382="","",IF(I382=0,"never moved",IF(J382&lt;=30,"0-30",IF(J382&lt;=60,"31-60",IF(J382&lt;=90,"61-90","90+")))))</f>
        <v/>
      </c>
    </row>
    <row r="383">
      <c r="A383" s="11">
        <f>Products!A383</f>
        <v/>
      </c>
      <c r="B383" s="11">
        <f>Products!B383</f>
        <v/>
      </c>
      <c r="C383" s="11">
        <f>Products!C383</f>
        <v/>
      </c>
      <c r="D383" s="11">
        <f>IF(A383="","",SUMIFS(StockMovements!$E$2:$E$500,StockMovements!$B$2:$B$500,A383,StockMovements!$D$2:$D$500,"receipt")+SUMIFS(StockMovements!$E$2:$E$500,StockMovements!$B$2:$B$500,A383,StockMovements!$D$2:$D$500,"production_in")+SUMIFS(StockMovements!$E$2:$E$500,StockMovements!$B$2:$B$500,A383,StockMovements!$D$2:$D$500,"adjustment")-SUMIFS(StockMovements!$E$2:$E$500,StockMovements!$B$2:$B$500,A383,StockMovements!$D$2:$D$500,"issue")-SUMIFS(StockMovements!$E$2:$E$500,StockMovements!$B$2:$B$500,A383,StockMovements!$D$2:$D$500,"production_out")-SUMIFS(StockMovements!$E$2:$E$500,StockMovements!$B$2:$B$500,A383,StockMovements!$D$2:$D$500,"transfer")-SUMIFS(StockMovements!$E$2:$E$500,StockMovements!$B$2:$B$500,A383,StockMovements!$D$2:$D$500,"scrap"))</f>
        <v/>
      </c>
      <c r="E383" s="11">
        <f>IF(A383="","",Products!E383)</f>
        <v/>
      </c>
      <c r="F383" s="11">
        <f>IF(A383="","",D383*E383)</f>
        <v/>
      </c>
      <c r="G383" s="11">
        <f>IF(A383="","",Products!F383)</f>
        <v/>
      </c>
      <c r="H383" s="11">
        <f>IF(A383="","",IF(D383&lt;G383,"REORDER","OK"))</f>
        <v/>
      </c>
      <c r="I383" s="14">
        <f>IF(A383="","",IFERROR(_xlfn.MAXIFS(StockMovements!$A$2:$A$500,StockMovements!$B$2:$B$500,A383),0))</f>
        <v/>
      </c>
      <c r="J383" s="11">
        <f>IF(OR(A383="",I383=0),"",TODAY()-I383)</f>
        <v/>
      </c>
      <c r="K383" s="11">
        <f>IF(A383="","",IF(I383=0,"never moved",IF(J383&lt;=30,"0-30",IF(J383&lt;=60,"31-60",IF(J383&lt;=90,"61-90","90+")))))</f>
        <v/>
      </c>
    </row>
    <row r="384">
      <c r="A384" s="11">
        <f>Products!A384</f>
        <v/>
      </c>
      <c r="B384" s="11">
        <f>Products!B384</f>
        <v/>
      </c>
      <c r="C384" s="11">
        <f>Products!C384</f>
        <v/>
      </c>
      <c r="D384" s="11">
        <f>IF(A384="","",SUMIFS(StockMovements!$E$2:$E$500,StockMovements!$B$2:$B$500,A384,StockMovements!$D$2:$D$500,"receipt")+SUMIFS(StockMovements!$E$2:$E$500,StockMovements!$B$2:$B$500,A384,StockMovements!$D$2:$D$500,"production_in")+SUMIFS(StockMovements!$E$2:$E$500,StockMovements!$B$2:$B$500,A384,StockMovements!$D$2:$D$500,"adjustment")-SUMIFS(StockMovements!$E$2:$E$500,StockMovements!$B$2:$B$500,A384,StockMovements!$D$2:$D$500,"issue")-SUMIFS(StockMovements!$E$2:$E$500,StockMovements!$B$2:$B$500,A384,StockMovements!$D$2:$D$500,"production_out")-SUMIFS(StockMovements!$E$2:$E$500,StockMovements!$B$2:$B$500,A384,StockMovements!$D$2:$D$500,"transfer")-SUMIFS(StockMovements!$E$2:$E$500,StockMovements!$B$2:$B$500,A384,StockMovements!$D$2:$D$500,"scrap"))</f>
        <v/>
      </c>
      <c r="E384" s="11">
        <f>IF(A384="","",Products!E384)</f>
        <v/>
      </c>
      <c r="F384" s="11">
        <f>IF(A384="","",D384*E384)</f>
        <v/>
      </c>
      <c r="G384" s="11">
        <f>IF(A384="","",Products!F384)</f>
        <v/>
      </c>
      <c r="H384" s="11">
        <f>IF(A384="","",IF(D384&lt;G384,"REORDER","OK"))</f>
        <v/>
      </c>
      <c r="I384" s="14">
        <f>IF(A384="","",IFERROR(_xlfn.MAXIFS(StockMovements!$A$2:$A$500,StockMovements!$B$2:$B$500,A384),0))</f>
        <v/>
      </c>
      <c r="J384" s="11">
        <f>IF(OR(A384="",I384=0),"",TODAY()-I384)</f>
        <v/>
      </c>
      <c r="K384" s="11">
        <f>IF(A384="","",IF(I384=0,"never moved",IF(J384&lt;=30,"0-30",IF(J384&lt;=60,"31-60",IF(J384&lt;=90,"61-90","90+")))))</f>
        <v/>
      </c>
    </row>
    <row r="385">
      <c r="A385" s="11">
        <f>Products!A385</f>
        <v/>
      </c>
      <c r="B385" s="11">
        <f>Products!B385</f>
        <v/>
      </c>
      <c r="C385" s="11">
        <f>Products!C385</f>
        <v/>
      </c>
      <c r="D385" s="11">
        <f>IF(A385="","",SUMIFS(StockMovements!$E$2:$E$500,StockMovements!$B$2:$B$500,A385,StockMovements!$D$2:$D$500,"receipt")+SUMIFS(StockMovements!$E$2:$E$500,StockMovements!$B$2:$B$500,A385,StockMovements!$D$2:$D$500,"production_in")+SUMIFS(StockMovements!$E$2:$E$500,StockMovements!$B$2:$B$500,A385,StockMovements!$D$2:$D$500,"adjustment")-SUMIFS(StockMovements!$E$2:$E$500,StockMovements!$B$2:$B$500,A385,StockMovements!$D$2:$D$500,"issue")-SUMIFS(StockMovements!$E$2:$E$500,StockMovements!$B$2:$B$500,A385,StockMovements!$D$2:$D$500,"production_out")-SUMIFS(StockMovements!$E$2:$E$500,StockMovements!$B$2:$B$500,A385,StockMovements!$D$2:$D$500,"transfer")-SUMIFS(StockMovements!$E$2:$E$500,StockMovements!$B$2:$B$500,A385,StockMovements!$D$2:$D$500,"scrap"))</f>
        <v/>
      </c>
      <c r="E385" s="11">
        <f>IF(A385="","",Products!E385)</f>
        <v/>
      </c>
      <c r="F385" s="11">
        <f>IF(A385="","",D385*E385)</f>
        <v/>
      </c>
      <c r="G385" s="11">
        <f>IF(A385="","",Products!F385)</f>
        <v/>
      </c>
      <c r="H385" s="11">
        <f>IF(A385="","",IF(D385&lt;G385,"REORDER","OK"))</f>
        <v/>
      </c>
      <c r="I385" s="14">
        <f>IF(A385="","",IFERROR(_xlfn.MAXIFS(StockMovements!$A$2:$A$500,StockMovements!$B$2:$B$500,A385),0))</f>
        <v/>
      </c>
      <c r="J385" s="11">
        <f>IF(OR(A385="",I385=0),"",TODAY()-I385)</f>
        <v/>
      </c>
      <c r="K385" s="11">
        <f>IF(A385="","",IF(I385=0,"never moved",IF(J385&lt;=30,"0-30",IF(J385&lt;=60,"31-60",IF(J385&lt;=90,"61-90","90+")))))</f>
        <v/>
      </c>
    </row>
    <row r="386">
      <c r="A386" s="11">
        <f>Products!A386</f>
        <v/>
      </c>
      <c r="B386" s="11">
        <f>Products!B386</f>
        <v/>
      </c>
      <c r="C386" s="11">
        <f>Products!C386</f>
        <v/>
      </c>
      <c r="D386" s="11">
        <f>IF(A386="","",SUMIFS(StockMovements!$E$2:$E$500,StockMovements!$B$2:$B$500,A386,StockMovements!$D$2:$D$500,"receipt")+SUMIFS(StockMovements!$E$2:$E$500,StockMovements!$B$2:$B$500,A386,StockMovements!$D$2:$D$500,"production_in")+SUMIFS(StockMovements!$E$2:$E$500,StockMovements!$B$2:$B$500,A386,StockMovements!$D$2:$D$500,"adjustment")-SUMIFS(StockMovements!$E$2:$E$500,StockMovements!$B$2:$B$500,A386,StockMovements!$D$2:$D$500,"issue")-SUMIFS(StockMovements!$E$2:$E$500,StockMovements!$B$2:$B$500,A386,StockMovements!$D$2:$D$500,"production_out")-SUMIFS(StockMovements!$E$2:$E$500,StockMovements!$B$2:$B$500,A386,StockMovements!$D$2:$D$500,"transfer")-SUMIFS(StockMovements!$E$2:$E$500,StockMovements!$B$2:$B$500,A386,StockMovements!$D$2:$D$500,"scrap"))</f>
        <v/>
      </c>
      <c r="E386" s="11">
        <f>IF(A386="","",Products!E386)</f>
        <v/>
      </c>
      <c r="F386" s="11">
        <f>IF(A386="","",D386*E386)</f>
        <v/>
      </c>
      <c r="G386" s="11">
        <f>IF(A386="","",Products!F386)</f>
        <v/>
      </c>
      <c r="H386" s="11">
        <f>IF(A386="","",IF(D386&lt;G386,"REORDER","OK"))</f>
        <v/>
      </c>
      <c r="I386" s="14">
        <f>IF(A386="","",IFERROR(_xlfn.MAXIFS(StockMovements!$A$2:$A$500,StockMovements!$B$2:$B$500,A386),0))</f>
        <v/>
      </c>
      <c r="J386" s="11">
        <f>IF(OR(A386="",I386=0),"",TODAY()-I386)</f>
        <v/>
      </c>
      <c r="K386" s="11">
        <f>IF(A386="","",IF(I386=0,"never moved",IF(J386&lt;=30,"0-30",IF(J386&lt;=60,"31-60",IF(J386&lt;=90,"61-90","90+")))))</f>
        <v/>
      </c>
    </row>
    <row r="387">
      <c r="A387" s="11">
        <f>Products!A387</f>
        <v/>
      </c>
      <c r="B387" s="11">
        <f>Products!B387</f>
        <v/>
      </c>
      <c r="C387" s="11">
        <f>Products!C387</f>
        <v/>
      </c>
      <c r="D387" s="11">
        <f>IF(A387="","",SUMIFS(StockMovements!$E$2:$E$500,StockMovements!$B$2:$B$500,A387,StockMovements!$D$2:$D$500,"receipt")+SUMIFS(StockMovements!$E$2:$E$500,StockMovements!$B$2:$B$500,A387,StockMovements!$D$2:$D$500,"production_in")+SUMIFS(StockMovements!$E$2:$E$500,StockMovements!$B$2:$B$500,A387,StockMovements!$D$2:$D$500,"adjustment")-SUMIFS(StockMovements!$E$2:$E$500,StockMovements!$B$2:$B$500,A387,StockMovements!$D$2:$D$500,"issue")-SUMIFS(StockMovements!$E$2:$E$500,StockMovements!$B$2:$B$500,A387,StockMovements!$D$2:$D$500,"production_out")-SUMIFS(StockMovements!$E$2:$E$500,StockMovements!$B$2:$B$500,A387,StockMovements!$D$2:$D$500,"transfer")-SUMIFS(StockMovements!$E$2:$E$500,StockMovements!$B$2:$B$500,A387,StockMovements!$D$2:$D$500,"scrap"))</f>
        <v/>
      </c>
      <c r="E387" s="11">
        <f>IF(A387="","",Products!E387)</f>
        <v/>
      </c>
      <c r="F387" s="11">
        <f>IF(A387="","",D387*E387)</f>
        <v/>
      </c>
      <c r="G387" s="11">
        <f>IF(A387="","",Products!F387)</f>
        <v/>
      </c>
      <c r="H387" s="11">
        <f>IF(A387="","",IF(D387&lt;G387,"REORDER","OK"))</f>
        <v/>
      </c>
      <c r="I387" s="14">
        <f>IF(A387="","",IFERROR(_xlfn.MAXIFS(StockMovements!$A$2:$A$500,StockMovements!$B$2:$B$500,A387),0))</f>
        <v/>
      </c>
      <c r="J387" s="11">
        <f>IF(OR(A387="",I387=0),"",TODAY()-I387)</f>
        <v/>
      </c>
      <c r="K387" s="11">
        <f>IF(A387="","",IF(I387=0,"never moved",IF(J387&lt;=30,"0-30",IF(J387&lt;=60,"31-60",IF(J387&lt;=90,"61-90","90+")))))</f>
        <v/>
      </c>
    </row>
    <row r="388">
      <c r="A388" s="11">
        <f>Products!A388</f>
        <v/>
      </c>
      <c r="B388" s="11">
        <f>Products!B388</f>
        <v/>
      </c>
      <c r="C388" s="11">
        <f>Products!C388</f>
        <v/>
      </c>
      <c r="D388" s="11">
        <f>IF(A388="","",SUMIFS(StockMovements!$E$2:$E$500,StockMovements!$B$2:$B$500,A388,StockMovements!$D$2:$D$500,"receipt")+SUMIFS(StockMovements!$E$2:$E$500,StockMovements!$B$2:$B$500,A388,StockMovements!$D$2:$D$500,"production_in")+SUMIFS(StockMovements!$E$2:$E$500,StockMovements!$B$2:$B$500,A388,StockMovements!$D$2:$D$500,"adjustment")-SUMIFS(StockMovements!$E$2:$E$500,StockMovements!$B$2:$B$500,A388,StockMovements!$D$2:$D$500,"issue")-SUMIFS(StockMovements!$E$2:$E$500,StockMovements!$B$2:$B$500,A388,StockMovements!$D$2:$D$500,"production_out")-SUMIFS(StockMovements!$E$2:$E$500,StockMovements!$B$2:$B$500,A388,StockMovements!$D$2:$D$500,"transfer")-SUMIFS(StockMovements!$E$2:$E$500,StockMovements!$B$2:$B$500,A388,StockMovements!$D$2:$D$500,"scrap"))</f>
        <v/>
      </c>
      <c r="E388" s="11">
        <f>IF(A388="","",Products!E388)</f>
        <v/>
      </c>
      <c r="F388" s="11">
        <f>IF(A388="","",D388*E388)</f>
        <v/>
      </c>
      <c r="G388" s="11">
        <f>IF(A388="","",Products!F388)</f>
        <v/>
      </c>
      <c r="H388" s="11">
        <f>IF(A388="","",IF(D388&lt;G388,"REORDER","OK"))</f>
        <v/>
      </c>
      <c r="I388" s="14">
        <f>IF(A388="","",IFERROR(_xlfn.MAXIFS(StockMovements!$A$2:$A$500,StockMovements!$B$2:$B$500,A388),0))</f>
        <v/>
      </c>
      <c r="J388" s="11">
        <f>IF(OR(A388="",I388=0),"",TODAY()-I388)</f>
        <v/>
      </c>
      <c r="K388" s="11">
        <f>IF(A388="","",IF(I388=0,"never moved",IF(J388&lt;=30,"0-30",IF(J388&lt;=60,"31-60",IF(J388&lt;=90,"61-90","90+")))))</f>
        <v/>
      </c>
    </row>
    <row r="389">
      <c r="A389" s="11">
        <f>Products!A389</f>
        <v/>
      </c>
      <c r="B389" s="11">
        <f>Products!B389</f>
        <v/>
      </c>
      <c r="C389" s="11">
        <f>Products!C389</f>
        <v/>
      </c>
      <c r="D389" s="11">
        <f>IF(A389="","",SUMIFS(StockMovements!$E$2:$E$500,StockMovements!$B$2:$B$500,A389,StockMovements!$D$2:$D$500,"receipt")+SUMIFS(StockMovements!$E$2:$E$500,StockMovements!$B$2:$B$500,A389,StockMovements!$D$2:$D$500,"production_in")+SUMIFS(StockMovements!$E$2:$E$500,StockMovements!$B$2:$B$500,A389,StockMovements!$D$2:$D$500,"adjustment")-SUMIFS(StockMovements!$E$2:$E$500,StockMovements!$B$2:$B$500,A389,StockMovements!$D$2:$D$500,"issue")-SUMIFS(StockMovements!$E$2:$E$500,StockMovements!$B$2:$B$500,A389,StockMovements!$D$2:$D$500,"production_out")-SUMIFS(StockMovements!$E$2:$E$500,StockMovements!$B$2:$B$500,A389,StockMovements!$D$2:$D$500,"transfer")-SUMIFS(StockMovements!$E$2:$E$500,StockMovements!$B$2:$B$500,A389,StockMovements!$D$2:$D$500,"scrap"))</f>
        <v/>
      </c>
      <c r="E389" s="11">
        <f>IF(A389="","",Products!E389)</f>
        <v/>
      </c>
      <c r="F389" s="11">
        <f>IF(A389="","",D389*E389)</f>
        <v/>
      </c>
      <c r="G389" s="11">
        <f>IF(A389="","",Products!F389)</f>
        <v/>
      </c>
      <c r="H389" s="11">
        <f>IF(A389="","",IF(D389&lt;G389,"REORDER","OK"))</f>
        <v/>
      </c>
      <c r="I389" s="14">
        <f>IF(A389="","",IFERROR(_xlfn.MAXIFS(StockMovements!$A$2:$A$500,StockMovements!$B$2:$B$500,A389),0))</f>
        <v/>
      </c>
      <c r="J389" s="11">
        <f>IF(OR(A389="",I389=0),"",TODAY()-I389)</f>
        <v/>
      </c>
      <c r="K389" s="11">
        <f>IF(A389="","",IF(I389=0,"never moved",IF(J389&lt;=30,"0-30",IF(J389&lt;=60,"31-60",IF(J389&lt;=90,"61-90","90+")))))</f>
        <v/>
      </c>
    </row>
    <row r="390">
      <c r="A390" s="11">
        <f>Products!A390</f>
        <v/>
      </c>
      <c r="B390" s="11">
        <f>Products!B390</f>
        <v/>
      </c>
      <c r="C390" s="11">
        <f>Products!C390</f>
        <v/>
      </c>
      <c r="D390" s="11">
        <f>IF(A390="","",SUMIFS(StockMovements!$E$2:$E$500,StockMovements!$B$2:$B$500,A390,StockMovements!$D$2:$D$500,"receipt")+SUMIFS(StockMovements!$E$2:$E$500,StockMovements!$B$2:$B$500,A390,StockMovements!$D$2:$D$500,"production_in")+SUMIFS(StockMovements!$E$2:$E$500,StockMovements!$B$2:$B$500,A390,StockMovements!$D$2:$D$500,"adjustment")-SUMIFS(StockMovements!$E$2:$E$500,StockMovements!$B$2:$B$500,A390,StockMovements!$D$2:$D$500,"issue")-SUMIFS(StockMovements!$E$2:$E$500,StockMovements!$B$2:$B$500,A390,StockMovements!$D$2:$D$500,"production_out")-SUMIFS(StockMovements!$E$2:$E$500,StockMovements!$B$2:$B$500,A390,StockMovements!$D$2:$D$500,"transfer")-SUMIFS(StockMovements!$E$2:$E$500,StockMovements!$B$2:$B$500,A390,StockMovements!$D$2:$D$500,"scrap"))</f>
        <v/>
      </c>
      <c r="E390" s="11">
        <f>IF(A390="","",Products!E390)</f>
        <v/>
      </c>
      <c r="F390" s="11">
        <f>IF(A390="","",D390*E390)</f>
        <v/>
      </c>
      <c r="G390" s="11">
        <f>IF(A390="","",Products!F390)</f>
        <v/>
      </c>
      <c r="H390" s="11">
        <f>IF(A390="","",IF(D390&lt;G390,"REORDER","OK"))</f>
        <v/>
      </c>
      <c r="I390" s="14">
        <f>IF(A390="","",IFERROR(_xlfn.MAXIFS(StockMovements!$A$2:$A$500,StockMovements!$B$2:$B$500,A390),0))</f>
        <v/>
      </c>
      <c r="J390" s="11">
        <f>IF(OR(A390="",I390=0),"",TODAY()-I390)</f>
        <v/>
      </c>
      <c r="K390" s="11">
        <f>IF(A390="","",IF(I390=0,"never moved",IF(J390&lt;=30,"0-30",IF(J390&lt;=60,"31-60",IF(J390&lt;=90,"61-90","90+")))))</f>
        <v/>
      </c>
    </row>
    <row r="391">
      <c r="A391" s="11">
        <f>Products!A391</f>
        <v/>
      </c>
      <c r="B391" s="11">
        <f>Products!B391</f>
        <v/>
      </c>
      <c r="C391" s="11">
        <f>Products!C391</f>
        <v/>
      </c>
      <c r="D391" s="11">
        <f>IF(A391="","",SUMIFS(StockMovements!$E$2:$E$500,StockMovements!$B$2:$B$500,A391,StockMovements!$D$2:$D$500,"receipt")+SUMIFS(StockMovements!$E$2:$E$500,StockMovements!$B$2:$B$500,A391,StockMovements!$D$2:$D$500,"production_in")+SUMIFS(StockMovements!$E$2:$E$500,StockMovements!$B$2:$B$500,A391,StockMovements!$D$2:$D$500,"adjustment")-SUMIFS(StockMovements!$E$2:$E$500,StockMovements!$B$2:$B$500,A391,StockMovements!$D$2:$D$500,"issue")-SUMIFS(StockMovements!$E$2:$E$500,StockMovements!$B$2:$B$500,A391,StockMovements!$D$2:$D$500,"production_out")-SUMIFS(StockMovements!$E$2:$E$500,StockMovements!$B$2:$B$500,A391,StockMovements!$D$2:$D$500,"transfer")-SUMIFS(StockMovements!$E$2:$E$500,StockMovements!$B$2:$B$500,A391,StockMovements!$D$2:$D$500,"scrap"))</f>
        <v/>
      </c>
      <c r="E391" s="11">
        <f>IF(A391="","",Products!E391)</f>
        <v/>
      </c>
      <c r="F391" s="11">
        <f>IF(A391="","",D391*E391)</f>
        <v/>
      </c>
      <c r="G391" s="11">
        <f>IF(A391="","",Products!F391)</f>
        <v/>
      </c>
      <c r="H391" s="11">
        <f>IF(A391="","",IF(D391&lt;G391,"REORDER","OK"))</f>
        <v/>
      </c>
      <c r="I391" s="14">
        <f>IF(A391="","",IFERROR(_xlfn.MAXIFS(StockMovements!$A$2:$A$500,StockMovements!$B$2:$B$500,A391),0))</f>
        <v/>
      </c>
      <c r="J391" s="11">
        <f>IF(OR(A391="",I391=0),"",TODAY()-I391)</f>
        <v/>
      </c>
      <c r="K391" s="11">
        <f>IF(A391="","",IF(I391=0,"never moved",IF(J391&lt;=30,"0-30",IF(J391&lt;=60,"31-60",IF(J391&lt;=90,"61-90","90+")))))</f>
        <v/>
      </c>
    </row>
    <row r="392">
      <c r="A392" s="11">
        <f>Products!A392</f>
        <v/>
      </c>
      <c r="B392" s="11">
        <f>Products!B392</f>
        <v/>
      </c>
      <c r="C392" s="11">
        <f>Products!C392</f>
        <v/>
      </c>
      <c r="D392" s="11">
        <f>IF(A392="","",SUMIFS(StockMovements!$E$2:$E$500,StockMovements!$B$2:$B$500,A392,StockMovements!$D$2:$D$500,"receipt")+SUMIFS(StockMovements!$E$2:$E$500,StockMovements!$B$2:$B$500,A392,StockMovements!$D$2:$D$500,"production_in")+SUMIFS(StockMovements!$E$2:$E$500,StockMovements!$B$2:$B$500,A392,StockMovements!$D$2:$D$500,"adjustment")-SUMIFS(StockMovements!$E$2:$E$500,StockMovements!$B$2:$B$500,A392,StockMovements!$D$2:$D$500,"issue")-SUMIFS(StockMovements!$E$2:$E$500,StockMovements!$B$2:$B$500,A392,StockMovements!$D$2:$D$500,"production_out")-SUMIFS(StockMovements!$E$2:$E$500,StockMovements!$B$2:$B$500,A392,StockMovements!$D$2:$D$500,"transfer")-SUMIFS(StockMovements!$E$2:$E$500,StockMovements!$B$2:$B$500,A392,StockMovements!$D$2:$D$500,"scrap"))</f>
        <v/>
      </c>
      <c r="E392" s="11">
        <f>IF(A392="","",Products!E392)</f>
        <v/>
      </c>
      <c r="F392" s="11">
        <f>IF(A392="","",D392*E392)</f>
        <v/>
      </c>
      <c r="G392" s="11">
        <f>IF(A392="","",Products!F392)</f>
        <v/>
      </c>
      <c r="H392" s="11">
        <f>IF(A392="","",IF(D392&lt;G392,"REORDER","OK"))</f>
        <v/>
      </c>
      <c r="I392" s="14">
        <f>IF(A392="","",IFERROR(_xlfn.MAXIFS(StockMovements!$A$2:$A$500,StockMovements!$B$2:$B$500,A392),0))</f>
        <v/>
      </c>
      <c r="J392" s="11">
        <f>IF(OR(A392="",I392=0),"",TODAY()-I392)</f>
        <v/>
      </c>
      <c r="K392" s="11">
        <f>IF(A392="","",IF(I392=0,"never moved",IF(J392&lt;=30,"0-30",IF(J392&lt;=60,"31-60",IF(J392&lt;=90,"61-90","90+")))))</f>
        <v/>
      </c>
    </row>
    <row r="393">
      <c r="A393" s="11">
        <f>Products!A393</f>
        <v/>
      </c>
      <c r="B393" s="11">
        <f>Products!B393</f>
        <v/>
      </c>
      <c r="C393" s="11">
        <f>Products!C393</f>
        <v/>
      </c>
      <c r="D393" s="11">
        <f>IF(A393="","",SUMIFS(StockMovements!$E$2:$E$500,StockMovements!$B$2:$B$500,A393,StockMovements!$D$2:$D$500,"receipt")+SUMIFS(StockMovements!$E$2:$E$500,StockMovements!$B$2:$B$500,A393,StockMovements!$D$2:$D$500,"production_in")+SUMIFS(StockMovements!$E$2:$E$500,StockMovements!$B$2:$B$500,A393,StockMovements!$D$2:$D$500,"adjustment")-SUMIFS(StockMovements!$E$2:$E$500,StockMovements!$B$2:$B$500,A393,StockMovements!$D$2:$D$500,"issue")-SUMIFS(StockMovements!$E$2:$E$500,StockMovements!$B$2:$B$500,A393,StockMovements!$D$2:$D$500,"production_out")-SUMIFS(StockMovements!$E$2:$E$500,StockMovements!$B$2:$B$500,A393,StockMovements!$D$2:$D$500,"transfer")-SUMIFS(StockMovements!$E$2:$E$500,StockMovements!$B$2:$B$500,A393,StockMovements!$D$2:$D$500,"scrap"))</f>
        <v/>
      </c>
      <c r="E393" s="11">
        <f>IF(A393="","",Products!E393)</f>
        <v/>
      </c>
      <c r="F393" s="11">
        <f>IF(A393="","",D393*E393)</f>
        <v/>
      </c>
      <c r="G393" s="11">
        <f>IF(A393="","",Products!F393)</f>
        <v/>
      </c>
      <c r="H393" s="11">
        <f>IF(A393="","",IF(D393&lt;G393,"REORDER","OK"))</f>
        <v/>
      </c>
      <c r="I393" s="14">
        <f>IF(A393="","",IFERROR(_xlfn.MAXIFS(StockMovements!$A$2:$A$500,StockMovements!$B$2:$B$500,A393),0))</f>
        <v/>
      </c>
      <c r="J393" s="11">
        <f>IF(OR(A393="",I393=0),"",TODAY()-I393)</f>
        <v/>
      </c>
      <c r="K393" s="11">
        <f>IF(A393="","",IF(I393=0,"never moved",IF(J393&lt;=30,"0-30",IF(J393&lt;=60,"31-60",IF(J393&lt;=90,"61-90","90+")))))</f>
        <v/>
      </c>
    </row>
    <row r="394">
      <c r="A394" s="11">
        <f>Products!A394</f>
        <v/>
      </c>
      <c r="B394" s="11">
        <f>Products!B394</f>
        <v/>
      </c>
      <c r="C394" s="11">
        <f>Products!C394</f>
        <v/>
      </c>
      <c r="D394" s="11">
        <f>IF(A394="","",SUMIFS(StockMovements!$E$2:$E$500,StockMovements!$B$2:$B$500,A394,StockMovements!$D$2:$D$500,"receipt")+SUMIFS(StockMovements!$E$2:$E$500,StockMovements!$B$2:$B$500,A394,StockMovements!$D$2:$D$500,"production_in")+SUMIFS(StockMovements!$E$2:$E$500,StockMovements!$B$2:$B$500,A394,StockMovements!$D$2:$D$500,"adjustment")-SUMIFS(StockMovements!$E$2:$E$500,StockMovements!$B$2:$B$500,A394,StockMovements!$D$2:$D$500,"issue")-SUMIFS(StockMovements!$E$2:$E$500,StockMovements!$B$2:$B$500,A394,StockMovements!$D$2:$D$500,"production_out")-SUMIFS(StockMovements!$E$2:$E$500,StockMovements!$B$2:$B$500,A394,StockMovements!$D$2:$D$500,"transfer")-SUMIFS(StockMovements!$E$2:$E$500,StockMovements!$B$2:$B$500,A394,StockMovements!$D$2:$D$500,"scrap"))</f>
        <v/>
      </c>
      <c r="E394" s="11">
        <f>IF(A394="","",Products!E394)</f>
        <v/>
      </c>
      <c r="F394" s="11">
        <f>IF(A394="","",D394*E394)</f>
        <v/>
      </c>
      <c r="G394" s="11">
        <f>IF(A394="","",Products!F394)</f>
        <v/>
      </c>
      <c r="H394" s="11">
        <f>IF(A394="","",IF(D394&lt;G394,"REORDER","OK"))</f>
        <v/>
      </c>
      <c r="I394" s="14">
        <f>IF(A394="","",IFERROR(_xlfn.MAXIFS(StockMovements!$A$2:$A$500,StockMovements!$B$2:$B$500,A394),0))</f>
        <v/>
      </c>
      <c r="J394" s="11">
        <f>IF(OR(A394="",I394=0),"",TODAY()-I394)</f>
        <v/>
      </c>
      <c r="K394" s="11">
        <f>IF(A394="","",IF(I394=0,"never moved",IF(J394&lt;=30,"0-30",IF(J394&lt;=60,"31-60",IF(J394&lt;=90,"61-90","90+")))))</f>
        <v/>
      </c>
    </row>
    <row r="395">
      <c r="A395" s="11">
        <f>Products!A395</f>
        <v/>
      </c>
      <c r="B395" s="11">
        <f>Products!B395</f>
        <v/>
      </c>
      <c r="C395" s="11">
        <f>Products!C395</f>
        <v/>
      </c>
      <c r="D395" s="11">
        <f>IF(A395="","",SUMIFS(StockMovements!$E$2:$E$500,StockMovements!$B$2:$B$500,A395,StockMovements!$D$2:$D$500,"receipt")+SUMIFS(StockMovements!$E$2:$E$500,StockMovements!$B$2:$B$500,A395,StockMovements!$D$2:$D$500,"production_in")+SUMIFS(StockMovements!$E$2:$E$500,StockMovements!$B$2:$B$500,A395,StockMovements!$D$2:$D$500,"adjustment")-SUMIFS(StockMovements!$E$2:$E$500,StockMovements!$B$2:$B$500,A395,StockMovements!$D$2:$D$500,"issue")-SUMIFS(StockMovements!$E$2:$E$500,StockMovements!$B$2:$B$500,A395,StockMovements!$D$2:$D$500,"production_out")-SUMIFS(StockMovements!$E$2:$E$500,StockMovements!$B$2:$B$500,A395,StockMovements!$D$2:$D$500,"transfer")-SUMIFS(StockMovements!$E$2:$E$500,StockMovements!$B$2:$B$500,A395,StockMovements!$D$2:$D$500,"scrap"))</f>
        <v/>
      </c>
      <c r="E395" s="11">
        <f>IF(A395="","",Products!E395)</f>
        <v/>
      </c>
      <c r="F395" s="11">
        <f>IF(A395="","",D395*E395)</f>
        <v/>
      </c>
      <c r="G395" s="11">
        <f>IF(A395="","",Products!F395)</f>
        <v/>
      </c>
      <c r="H395" s="11">
        <f>IF(A395="","",IF(D395&lt;G395,"REORDER","OK"))</f>
        <v/>
      </c>
      <c r="I395" s="14">
        <f>IF(A395="","",IFERROR(_xlfn.MAXIFS(StockMovements!$A$2:$A$500,StockMovements!$B$2:$B$500,A395),0))</f>
        <v/>
      </c>
      <c r="J395" s="11">
        <f>IF(OR(A395="",I395=0),"",TODAY()-I395)</f>
        <v/>
      </c>
      <c r="K395" s="11">
        <f>IF(A395="","",IF(I395=0,"never moved",IF(J395&lt;=30,"0-30",IF(J395&lt;=60,"31-60",IF(J395&lt;=90,"61-90","90+")))))</f>
        <v/>
      </c>
    </row>
    <row r="396">
      <c r="A396" s="11">
        <f>Products!A396</f>
        <v/>
      </c>
      <c r="B396" s="11">
        <f>Products!B396</f>
        <v/>
      </c>
      <c r="C396" s="11">
        <f>Products!C396</f>
        <v/>
      </c>
      <c r="D396" s="11">
        <f>IF(A396="","",SUMIFS(StockMovements!$E$2:$E$500,StockMovements!$B$2:$B$500,A396,StockMovements!$D$2:$D$500,"receipt")+SUMIFS(StockMovements!$E$2:$E$500,StockMovements!$B$2:$B$500,A396,StockMovements!$D$2:$D$500,"production_in")+SUMIFS(StockMovements!$E$2:$E$500,StockMovements!$B$2:$B$500,A396,StockMovements!$D$2:$D$500,"adjustment")-SUMIFS(StockMovements!$E$2:$E$500,StockMovements!$B$2:$B$500,A396,StockMovements!$D$2:$D$500,"issue")-SUMIFS(StockMovements!$E$2:$E$500,StockMovements!$B$2:$B$500,A396,StockMovements!$D$2:$D$500,"production_out")-SUMIFS(StockMovements!$E$2:$E$500,StockMovements!$B$2:$B$500,A396,StockMovements!$D$2:$D$500,"transfer")-SUMIFS(StockMovements!$E$2:$E$500,StockMovements!$B$2:$B$500,A396,StockMovements!$D$2:$D$500,"scrap"))</f>
        <v/>
      </c>
      <c r="E396" s="11">
        <f>IF(A396="","",Products!E396)</f>
        <v/>
      </c>
      <c r="F396" s="11">
        <f>IF(A396="","",D396*E396)</f>
        <v/>
      </c>
      <c r="G396" s="11">
        <f>IF(A396="","",Products!F396)</f>
        <v/>
      </c>
      <c r="H396" s="11">
        <f>IF(A396="","",IF(D396&lt;G396,"REORDER","OK"))</f>
        <v/>
      </c>
      <c r="I396" s="14">
        <f>IF(A396="","",IFERROR(_xlfn.MAXIFS(StockMovements!$A$2:$A$500,StockMovements!$B$2:$B$500,A396),0))</f>
        <v/>
      </c>
      <c r="J396" s="11">
        <f>IF(OR(A396="",I396=0),"",TODAY()-I396)</f>
        <v/>
      </c>
      <c r="K396" s="11">
        <f>IF(A396="","",IF(I396=0,"never moved",IF(J396&lt;=30,"0-30",IF(J396&lt;=60,"31-60",IF(J396&lt;=90,"61-90","90+")))))</f>
        <v/>
      </c>
    </row>
    <row r="397">
      <c r="A397" s="11">
        <f>Products!A397</f>
        <v/>
      </c>
      <c r="B397" s="11">
        <f>Products!B397</f>
        <v/>
      </c>
      <c r="C397" s="11">
        <f>Products!C397</f>
        <v/>
      </c>
      <c r="D397" s="11">
        <f>IF(A397="","",SUMIFS(StockMovements!$E$2:$E$500,StockMovements!$B$2:$B$500,A397,StockMovements!$D$2:$D$500,"receipt")+SUMIFS(StockMovements!$E$2:$E$500,StockMovements!$B$2:$B$500,A397,StockMovements!$D$2:$D$500,"production_in")+SUMIFS(StockMovements!$E$2:$E$500,StockMovements!$B$2:$B$500,A397,StockMovements!$D$2:$D$500,"adjustment")-SUMIFS(StockMovements!$E$2:$E$500,StockMovements!$B$2:$B$500,A397,StockMovements!$D$2:$D$500,"issue")-SUMIFS(StockMovements!$E$2:$E$500,StockMovements!$B$2:$B$500,A397,StockMovements!$D$2:$D$500,"production_out")-SUMIFS(StockMovements!$E$2:$E$500,StockMovements!$B$2:$B$500,A397,StockMovements!$D$2:$D$500,"transfer")-SUMIFS(StockMovements!$E$2:$E$500,StockMovements!$B$2:$B$500,A397,StockMovements!$D$2:$D$500,"scrap"))</f>
        <v/>
      </c>
      <c r="E397" s="11">
        <f>IF(A397="","",Products!E397)</f>
        <v/>
      </c>
      <c r="F397" s="11">
        <f>IF(A397="","",D397*E397)</f>
        <v/>
      </c>
      <c r="G397" s="11">
        <f>IF(A397="","",Products!F397)</f>
        <v/>
      </c>
      <c r="H397" s="11">
        <f>IF(A397="","",IF(D397&lt;G397,"REORDER","OK"))</f>
        <v/>
      </c>
      <c r="I397" s="14">
        <f>IF(A397="","",IFERROR(_xlfn.MAXIFS(StockMovements!$A$2:$A$500,StockMovements!$B$2:$B$500,A397),0))</f>
        <v/>
      </c>
      <c r="J397" s="11">
        <f>IF(OR(A397="",I397=0),"",TODAY()-I397)</f>
        <v/>
      </c>
      <c r="K397" s="11">
        <f>IF(A397="","",IF(I397=0,"never moved",IF(J397&lt;=30,"0-30",IF(J397&lt;=60,"31-60",IF(J397&lt;=90,"61-90","90+")))))</f>
        <v/>
      </c>
    </row>
    <row r="398">
      <c r="A398" s="11">
        <f>Products!A398</f>
        <v/>
      </c>
      <c r="B398" s="11">
        <f>Products!B398</f>
        <v/>
      </c>
      <c r="C398" s="11">
        <f>Products!C398</f>
        <v/>
      </c>
      <c r="D398" s="11">
        <f>IF(A398="","",SUMIFS(StockMovements!$E$2:$E$500,StockMovements!$B$2:$B$500,A398,StockMovements!$D$2:$D$500,"receipt")+SUMIFS(StockMovements!$E$2:$E$500,StockMovements!$B$2:$B$500,A398,StockMovements!$D$2:$D$500,"production_in")+SUMIFS(StockMovements!$E$2:$E$500,StockMovements!$B$2:$B$500,A398,StockMovements!$D$2:$D$500,"adjustment")-SUMIFS(StockMovements!$E$2:$E$500,StockMovements!$B$2:$B$500,A398,StockMovements!$D$2:$D$500,"issue")-SUMIFS(StockMovements!$E$2:$E$500,StockMovements!$B$2:$B$500,A398,StockMovements!$D$2:$D$500,"production_out")-SUMIFS(StockMovements!$E$2:$E$500,StockMovements!$B$2:$B$500,A398,StockMovements!$D$2:$D$500,"transfer")-SUMIFS(StockMovements!$E$2:$E$500,StockMovements!$B$2:$B$500,A398,StockMovements!$D$2:$D$500,"scrap"))</f>
        <v/>
      </c>
      <c r="E398" s="11">
        <f>IF(A398="","",Products!E398)</f>
        <v/>
      </c>
      <c r="F398" s="11">
        <f>IF(A398="","",D398*E398)</f>
        <v/>
      </c>
      <c r="G398" s="11">
        <f>IF(A398="","",Products!F398)</f>
        <v/>
      </c>
      <c r="H398" s="11">
        <f>IF(A398="","",IF(D398&lt;G398,"REORDER","OK"))</f>
        <v/>
      </c>
      <c r="I398" s="14">
        <f>IF(A398="","",IFERROR(_xlfn.MAXIFS(StockMovements!$A$2:$A$500,StockMovements!$B$2:$B$500,A398),0))</f>
        <v/>
      </c>
      <c r="J398" s="11">
        <f>IF(OR(A398="",I398=0),"",TODAY()-I398)</f>
        <v/>
      </c>
      <c r="K398" s="11">
        <f>IF(A398="","",IF(I398=0,"never moved",IF(J398&lt;=30,"0-30",IF(J398&lt;=60,"31-60",IF(J398&lt;=90,"61-90","90+")))))</f>
        <v/>
      </c>
    </row>
    <row r="399">
      <c r="A399" s="11">
        <f>Products!A399</f>
        <v/>
      </c>
      <c r="B399" s="11">
        <f>Products!B399</f>
        <v/>
      </c>
      <c r="C399" s="11">
        <f>Products!C399</f>
        <v/>
      </c>
      <c r="D399" s="11">
        <f>IF(A399="","",SUMIFS(StockMovements!$E$2:$E$500,StockMovements!$B$2:$B$500,A399,StockMovements!$D$2:$D$500,"receipt")+SUMIFS(StockMovements!$E$2:$E$500,StockMovements!$B$2:$B$500,A399,StockMovements!$D$2:$D$500,"production_in")+SUMIFS(StockMovements!$E$2:$E$500,StockMovements!$B$2:$B$500,A399,StockMovements!$D$2:$D$500,"adjustment")-SUMIFS(StockMovements!$E$2:$E$500,StockMovements!$B$2:$B$500,A399,StockMovements!$D$2:$D$500,"issue")-SUMIFS(StockMovements!$E$2:$E$500,StockMovements!$B$2:$B$500,A399,StockMovements!$D$2:$D$500,"production_out")-SUMIFS(StockMovements!$E$2:$E$500,StockMovements!$B$2:$B$500,A399,StockMovements!$D$2:$D$500,"transfer")-SUMIFS(StockMovements!$E$2:$E$500,StockMovements!$B$2:$B$500,A399,StockMovements!$D$2:$D$500,"scrap"))</f>
        <v/>
      </c>
      <c r="E399" s="11">
        <f>IF(A399="","",Products!E399)</f>
        <v/>
      </c>
      <c r="F399" s="11">
        <f>IF(A399="","",D399*E399)</f>
        <v/>
      </c>
      <c r="G399" s="11">
        <f>IF(A399="","",Products!F399)</f>
        <v/>
      </c>
      <c r="H399" s="11">
        <f>IF(A399="","",IF(D399&lt;G399,"REORDER","OK"))</f>
        <v/>
      </c>
      <c r="I399" s="14">
        <f>IF(A399="","",IFERROR(_xlfn.MAXIFS(StockMovements!$A$2:$A$500,StockMovements!$B$2:$B$500,A399),0))</f>
        <v/>
      </c>
      <c r="J399" s="11">
        <f>IF(OR(A399="",I399=0),"",TODAY()-I399)</f>
        <v/>
      </c>
      <c r="K399" s="11">
        <f>IF(A399="","",IF(I399=0,"never moved",IF(J399&lt;=30,"0-30",IF(J399&lt;=60,"31-60",IF(J399&lt;=90,"61-90","90+")))))</f>
        <v/>
      </c>
    </row>
    <row r="400">
      <c r="A400" s="11">
        <f>Products!A400</f>
        <v/>
      </c>
      <c r="B400" s="11">
        <f>Products!B400</f>
        <v/>
      </c>
      <c r="C400" s="11">
        <f>Products!C400</f>
        <v/>
      </c>
      <c r="D400" s="11">
        <f>IF(A400="","",SUMIFS(StockMovements!$E$2:$E$500,StockMovements!$B$2:$B$500,A400,StockMovements!$D$2:$D$500,"receipt")+SUMIFS(StockMovements!$E$2:$E$500,StockMovements!$B$2:$B$500,A400,StockMovements!$D$2:$D$500,"production_in")+SUMIFS(StockMovements!$E$2:$E$500,StockMovements!$B$2:$B$500,A400,StockMovements!$D$2:$D$500,"adjustment")-SUMIFS(StockMovements!$E$2:$E$500,StockMovements!$B$2:$B$500,A400,StockMovements!$D$2:$D$500,"issue")-SUMIFS(StockMovements!$E$2:$E$500,StockMovements!$B$2:$B$500,A400,StockMovements!$D$2:$D$500,"production_out")-SUMIFS(StockMovements!$E$2:$E$500,StockMovements!$B$2:$B$500,A400,StockMovements!$D$2:$D$500,"transfer")-SUMIFS(StockMovements!$E$2:$E$500,StockMovements!$B$2:$B$500,A400,StockMovements!$D$2:$D$500,"scrap"))</f>
        <v/>
      </c>
      <c r="E400" s="11">
        <f>IF(A400="","",Products!E400)</f>
        <v/>
      </c>
      <c r="F400" s="11">
        <f>IF(A400="","",D400*E400)</f>
        <v/>
      </c>
      <c r="G400" s="11">
        <f>IF(A400="","",Products!F400)</f>
        <v/>
      </c>
      <c r="H400" s="11">
        <f>IF(A400="","",IF(D400&lt;G400,"REORDER","OK"))</f>
        <v/>
      </c>
      <c r="I400" s="14">
        <f>IF(A400="","",IFERROR(_xlfn.MAXIFS(StockMovements!$A$2:$A$500,StockMovements!$B$2:$B$500,A400),0))</f>
        <v/>
      </c>
      <c r="J400" s="11">
        <f>IF(OR(A400="",I400=0),"",TODAY()-I400)</f>
        <v/>
      </c>
      <c r="K400" s="11">
        <f>IF(A400="","",IF(I400=0,"never moved",IF(J400&lt;=30,"0-30",IF(J400&lt;=60,"31-60",IF(J400&lt;=90,"61-90","90+")))))</f>
        <v/>
      </c>
    </row>
    <row r="401">
      <c r="A401" s="11">
        <f>Products!A401</f>
        <v/>
      </c>
      <c r="B401" s="11">
        <f>Products!B401</f>
        <v/>
      </c>
      <c r="C401" s="11">
        <f>Products!C401</f>
        <v/>
      </c>
      <c r="D401" s="11">
        <f>IF(A401="","",SUMIFS(StockMovements!$E$2:$E$500,StockMovements!$B$2:$B$500,A401,StockMovements!$D$2:$D$500,"receipt")+SUMIFS(StockMovements!$E$2:$E$500,StockMovements!$B$2:$B$500,A401,StockMovements!$D$2:$D$500,"production_in")+SUMIFS(StockMovements!$E$2:$E$500,StockMovements!$B$2:$B$500,A401,StockMovements!$D$2:$D$500,"adjustment")-SUMIFS(StockMovements!$E$2:$E$500,StockMovements!$B$2:$B$500,A401,StockMovements!$D$2:$D$500,"issue")-SUMIFS(StockMovements!$E$2:$E$500,StockMovements!$B$2:$B$500,A401,StockMovements!$D$2:$D$500,"production_out")-SUMIFS(StockMovements!$E$2:$E$500,StockMovements!$B$2:$B$500,A401,StockMovements!$D$2:$D$500,"transfer")-SUMIFS(StockMovements!$E$2:$E$500,StockMovements!$B$2:$B$500,A401,StockMovements!$D$2:$D$500,"scrap"))</f>
        <v/>
      </c>
      <c r="E401" s="11">
        <f>IF(A401="","",Products!E401)</f>
        <v/>
      </c>
      <c r="F401" s="11">
        <f>IF(A401="","",D401*E401)</f>
        <v/>
      </c>
      <c r="G401" s="11">
        <f>IF(A401="","",Products!F401)</f>
        <v/>
      </c>
      <c r="H401" s="11">
        <f>IF(A401="","",IF(D401&lt;G401,"REORDER","OK"))</f>
        <v/>
      </c>
      <c r="I401" s="14">
        <f>IF(A401="","",IFERROR(_xlfn.MAXIFS(StockMovements!$A$2:$A$500,StockMovements!$B$2:$B$500,A401),0))</f>
        <v/>
      </c>
      <c r="J401" s="11">
        <f>IF(OR(A401="",I401=0),"",TODAY()-I401)</f>
        <v/>
      </c>
      <c r="K401" s="11">
        <f>IF(A401="","",IF(I401=0,"never moved",IF(J401&lt;=30,"0-30",IF(J401&lt;=60,"31-60",IF(J401&lt;=90,"61-90","90+")))))</f>
        <v/>
      </c>
    </row>
    <row r="402">
      <c r="A402" s="11">
        <f>Products!A402</f>
        <v/>
      </c>
      <c r="B402" s="11">
        <f>Products!B402</f>
        <v/>
      </c>
      <c r="C402" s="11">
        <f>Products!C402</f>
        <v/>
      </c>
      <c r="D402" s="11">
        <f>IF(A402="","",SUMIFS(StockMovements!$E$2:$E$500,StockMovements!$B$2:$B$500,A402,StockMovements!$D$2:$D$500,"receipt")+SUMIFS(StockMovements!$E$2:$E$500,StockMovements!$B$2:$B$500,A402,StockMovements!$D$2:$D$500,"production_in")+SUMIFS(StockMovements!$E$2:$E$500,StockMovements!$B$2:$B$500,A402,StockMovements!$D$2:$D$500,"adjustment")-SUMIFS(StockMovements!$E$2:$E$500,StockMovements!$B$2:$B$500,A402,StockMovements!$D$2:$D$500,"issue")-SUMIFS(StockMovements!$E$2:$E$500,StockMovements!$B$2:$B$500,A402,StockMovements!$D$2:$D$500,"production_out")-SUMIFS(StockMovements!$E$2:$E$500,StockMovements!$B$2:$B$500,A402,StockMovements!$D$2:$D$500,"transfer")-SUMIFS(StockMovements!$E$2:$E$500,StockMovements!$B$2:$B$500,A402,StockMovements!$D$2:$D$500,"scrap"))</f>
        <v/>
      </c>
      <c r="E402" s="11">
        <f>IF(A402="","",Products!E402)</f>
        <v/>
      </c>
      <c r="F402" s="11">
        <f>IF(A402="","",D402*E402)</f>
        <v/>
      </c>
      <c r="G402" s="11">
        <f>IF(A402="","",Products!F402)</f>
        <v/>
      </c>
      <c r="H402" s="11">
        <f>IF(A402="","",IF(D402&lt;G402,"REORDER","OK"))</f>
        <v/>
      </c>
      <c r="I402" s="14">
        <f>IF(A402="","",IFERROR(_xlfn.MAXIFS(StockMovements!$A$2:$A$500,StockMovements!$B$2:$B$500,A402),0))</f>
        <v/>
      </c>
      <c r="J402" s="11">
        <f>IF(OR(A402="",I402=0),"",TODAY()-I402)</f>
        <v/>
      </c>
      <c r="K402" s="11">
        <f>IF(A402="","",IF(I402=0,"never moved",IF(J402&lt;=30,"0-30",IF(J402&lt;=60,"31-60",IF(J402&lt;=90,"61-90","90+")))))</f>
        <v/>
      </c>
    </row>
    <row r="403">
      <c r="A403" s="11">
        <f>Products!A403</f>
        <v/>
      </c>
      <c r="B403" s="11">
        <f>Products!B403</f>
        <v/>
      </c>
      <c r="C403" s="11">
        <f>Products!C403</f>
        <v/>
      </c>
      <c r="D403" s="11">
        <f>IF(A403="","",SUMIFS(StockMovements!$E$2:$E$500,StockMovements!$B$2:$B$500,A403,StockMovements!$D$2:$D$500,"receipt")+SUMIFS(StockMovements!$E$2:$E$500,StockMovements!$B$2:$B$500,A403,StockMovements!$D$2:$D$500,"production_in")+SUMIFS(StockMovements!$E$2:$E$500,StockMovements!$B$2:$B$500,A403,StockMovements!$D$2:$D$500,"adjustment")-SUMIFS(StockMovements!$E$2:$E$500,StockMovements!$B$2:$B$500,A403,StockMovements!$D$2:$D$500,"issue")-SUMIFS(StockMovements!$E$2:$E$500,StockMovements!$B$2:$B$500,A403,StockMovements!$D$2:$D$500,"production_out")-SUMIFS(StockMovements!$E$2:$E$500,StockMovements!$B$2:$B$500,A403,StockMovements!$D$2:$D$500,"transfer")-SUMIFS(StockMovements!$E$2:$E$500,StockMovements!$B$2:$B$500,A403,StockMovements!$D$2:$D$500,"scrap"))</f>
        <v/>
      </c>
      <c r="E403" s="11">
        <f>IF(A403="","",Products!E403)</f>
        <v/>
      </c>
      <c r="F403" s="11">
        <f>IF(A403="","",D403*E403)</f>
        <v/>
      </c>
      <c r="G403" s="11">
        <f>IF(A403="","",Products!F403)</f>
        <v/>
      </c>
      <c r="H403" s="11">
        <f>IF(A403="","",IF(D403&lt;G403,"REORDER","OK"))</f>
        <v/>
      </c>
      <c r="I403" s="14">
        <f>IF(A403="","",IFERROR(_xlfn.MAXIFS(StockMovements!$A$2:$A$500,StockMovements!$B$2:$B$500,A403),0))</f>
        <v/>
      </c>
      <c r="J403" s="11">
        <f>IF(OR(A403="",I403=0),"",TODAY()-I403)</f>
        <v/>
      </c>
      <c r="K403" s="11">
        <f>IF(A403="","",IF(I403=0,"never moved",IF(J403&lt;=30,"0-30",IF(J403&lt;=60,"31-60",IF(J403&lt;=90,"61-90","90+")))))</f>
        <v/>
      </c>
    </row>
    <row r="404">
      <c r="A404" s="11">
        <f>Products!A404</f>
        <v/>
      </c>
      <c r="B404" s="11">
        <f>Products!B404</f>
        <v/>
      </c>
      <c r="C404" s="11">
        <f>Products!C404</f>
        <v/>
      </c>
      <c r="D404" s="11">
        <f>IF(A404="","",SUMIFS(StockMovements!$E$2:$E$500,StockMovements!$B$2:$B$500,A404,StockMovements!$D$2:$D$500,"receipt")+SUMIFS(StockMovements!$E$2:$E$500,StockMovements!$B$2:$B$500,A404,StockMovements!$D$2:$D$500,"production_in")+SUMIFS(StockMovements!$E$2:$E$500,StockMovements!$B$2:$B$500,A404,StockMovements!$D$2:$D$500,"adjustment")-SUMIFS(StockMovements!$E$2:$E$500,StockMovements!$B$2:$B$500,A404,StockMovements!$D$2:$D$500,"issue")-SUMIFS(StockMovements!$E$2:$E$500,StockMovements!$B$2:$B$500,A404,StockMovements!$D$2:$D$500,"production_out")-SUMIFS(StockMovements!$E$2:$E$500,StockMovements!$B$2:$B$500,A404,StockMovements!$D$2:$D$500,"transfer")-SUMIFS(StockMovements!$E$2:$E$500,StockMovements!$B$2:$B$500,A404,StockMovements!$D$2:$D$500,"scrap"))</f>
        <v/>
      </c>
      <c r="E404" s="11">
        <f>IF(A404="","",Products!E404)</f>
        <v/>
      </c>
      <c r="F404" s="11">
        <f>IF(A404="","",D404*E404)</f>
        <v/>
      </c>
      <c r="G404" s="11">
        <f>IF(A404="","",Products!F404)</f>
        <v/>
      </c>
      <c r="H404" s="11">
        <f>IF(A404="","",IF(D404&lt;G404,"REORDER","OK"))</f>
        <v/>
      </c>
      <c r="I404" s="14">
        <f>IF(A404="","",IFERROR(_xlfn.MAXIFS(StockMovements!$A$2:$A$500,StockMovements!$B$2:$B$500,A404),0))</f>
        <v/>
      </c>
      <c r="J404" s="11">
        <f>IF(OR(A404="",I404=0),"",TODAY()-I404)</f>
        <v/>
      </c>
      <c r="K404" s="11">
        <f>IF(A404="","",IF(I404=0,"never moved",IF(J404&lt;=30,"0-30",IF(J404&lt;=60,"31-60",IF(J404&lt;=90,"61-90","90+")))))</f>
        <v/>
      </c>
    </row>
    <row r="405">
      <c r="A405" s="11">
        <f>Products!A405</f>
        <v/>
      </c>
      <c r="B405" s="11">
        <f>Products!B405</f>
        <v/>
      </c>
      <c r="C405" s="11">
        <f>Products!C405</f>
        <v/>
      </c>
      <c r="D405" s="11">
        <f>IF(A405="","",SUMIFS(StockMovements!$E$2:$E$500,StockMovements!$B$2:$B$500,A405,StockMovements!$D$2:$D$500,"receipt")+SUMIFS(StockMovements!$E$2:$E$500,StockMovements!$B$2:$B$500,A405,StockMovements!$D$2:$D$500,"production_in")+SUMIFS(StockMovements!$E$2:$E$500,StockMovements!$B$2:$B$500,A405,StockMovements!$D$2:$D$500,"adjustment")-SUMIFS(StockMovements!$E$2:$E$500,StockMovements!$B$2:$B$500,A405,StockMovements!$D$2:$D$500,"issue")-SUMIFS(StockMovements!$E$2:$E$500,StockMovements!$B$2:$B$500,A405,StockMovements!$D$2:$D$500,"production_out")-SUMIFS(StockMovements!$E$2:$E$500,StockMovements!$B$2:$B$500,A405,StockMovements!$D$2:$D$500,"transfer")-SUMIFS(StockMovements!$E$2:$E$500,StockMovements!$B$2:$B$500,A405,StockMovements!$D$2:$D$500,"scrap"))</f>
        <v/>
      </c>
      <c r="E405" s="11">
        <f>IF(A405="","",Products!E405)</f>
        <v/>
      </c>
      <c r="F405" s="11">
        <f>IF(A405="","",D405*E405)</f>
        <v/>
      </c>
      <c r="G405" s="11">
        <f>IF(A405="","",Products!F405)</f>
        <v/>
      </c>
      <c r="H405" s="11">
        <f>IF(A405="","",IF(D405&lt;G405,"REORDER","OK"))</f>
        <v/>
      </c>
      <c r="I405" s="14">
        <f>IF(A405="","",IFERROR(_xlfn.MAXIFS(StockMovements!$A$2:$A$500,StockMovements!$B$2:$B$500,A405),0))</f>
        <v/>
      </c>
      <c r="J405" s="11">
        <f>IF(OR(A405="",I405=0),"",TODAY()-I405)</f>
        <v/>
      </c>
      <c r="K405" s="11">
        <f>IF(A405="","",IF(I405=0,"never moved",IF(J405&lt;=30,"0-30",IF(J405&lt;=60,"31-60",IF(J405&lt;=90,"61-90","90+")))))</f>
        <v/>
      </c>
    </row>
    <row r="406">
      <c r="A406" s="11">
        <f>Products!A406</f>
        <v/>
      </c>
      <c r="B406" s="11">
        <f>Products!B406</f>
        <v/>
      </c>
      <c r="C406" s="11">
        <f>Products!C406</f>
        <v/>
      </c>
      <c r="D406" s="11">
        <f>IF(A406="","",SUMIFS(StockMovements!$E$2:$E$500,StockMovements!$B$2:$B$500,A406,StockMovements!$D$2:$D$500,"receipt")+SUMIFS(StockMovements!$E$2:$E$500,StockMovements!$B$2:$B$500,A406,StockMovements!$D$2:$D$500,"production_in")+SUMIFS(StockMovements!$E$2:$E$500,StockMovements!$B$2:$B$500,A406,StockMovements!$D$2:$D$500,"adjustment")-SUMIFS(StockMovements!$E$2:$E$500,StockMovements!$B$2:$B$500,A406,StockMovements!$D$2:$D$500,"issue")-SUMIFS(StockMovements!$E$2:$E$500,StockMovements!$B$2:$B$500,A406,StockMovements!$D$2:$D$500,"production_out")-SUMIFS(StockMovements!$E$2:$E$500,StockMovements!$B$2:$B$500,A406,StockMovements!$D$2:$D$500,"transfer")-SUMIFS(StockMovements!$E$2:$E$500,StockMovements!$B$2:$B$500,A406,StockMovements!$D$2:$D$500,"scrap"))</f>
        <v/>
      </c>
      <c r="E406" s="11">
        <f>IF(A406="","",Products!E406)</f>
        <v/>
      </c>
      <c r="F406" s="11">
        <f>IF(A406="","",D406*E406)</f>
        <v/>
      </c>
      <c r="G406" s="11">
        <f>IF(A406="","",Products!F406)</f>
        <v/>
      </c>
      <c r="H406" s="11">
        <f>IF(A406="","",IF(D406&lt;G406,"REORDER","OK"))</f>
        <v/>
      </c>
      <c r="I406" s="14">
        <f>IF(A406="","",IFERROR(_xlfn.MAXIFS(StockMovements!$A$2:$A$500,StockMovements!$B$2:$B$500,A406),0))</f>
        <v/>
      </c>
      <c r="J406" s="11">
        <f>IF(OR(A406="",I406=0),"",TODAY()-I406)</f>
        <v/>
      </c>
      <c r="K406" s="11">
        <f>IF(A406="","",IF(I406=0,"never moved",IF(J406&lt;=30,"0-30",IF(J406&lt;=60,"31-60",IF(J406&lt;=90,"61-90","90+")))))</f>
        <v/>
      </c>
    </row>
    <row r="407">
      <c r="A407" s="11">
        <f>Products!A407</f>
        <v/>
      </c>
      <c r="B407" s="11">
        <f>Products!B407</f>
        <v/>
      </c>
      <c r="C407" s="11">
        <f>Products!C407</f>
        <v/>
      </c>
      <c r="D407" s="11">
        <f>IF(A407="","",SUMIFS(StockMovements!$E$2:$E$500,StockMovements!$B$2:$B$500,A407,StockMovements!$D$2:$D$500,"receipt")+SUMIFS(StockMovements!$E$2:$E$500,StockMovements!$B$2:$B$500,A407,StockMovements!$D$2:$D$500,"production_in")+SUMIFS(StockMovements!$E$2:$E$500,StockMovements!$B$2:$B$500,A407,StockMovements!$D$2:$D$500,"adjustment")-SUMIFS(StockMovements!$E$2:$E$500,StockMovements!$B$2:$B$500,A407,StockMovements!$D$2:$D$500,"issue")-SUMIFS(StockMovements!$E$2:$E$500,StockMovements!$B$2:$B$500,A407,StockMovements!$D$2:$D$500,"production_out")-SUMIFS(StockMovements!$E$2:$E$500,StockMovements!$B$2:$B$500,A407,StockMovements!$D$2:$D$500,"transfer")-SUMIFS(StockMovements!$E$2:$E$500,StockMovements!$B$2:$B$500,A407,StockMovements!$D$2:$D$500,"scrap"))</f>
        <v/>
      </c>
      <c r="E407" s="11">
        <f>IF(A407="","",Products!E407)</f>
        <v/>
      </c>
      <c r="F407" s="11">
        <f>IF(A407="","",D407*E407)</f>
        <v/>
      </c>
      <c r="G407" s="11">
        <f>IF(A407="","",Products!F407)</f>
        <v/>
      </c>
      <c r="H407" s="11">
        <f>IF(A407="","",IF(D407&lt;G407,"REORDER","OK"))</f>
        <v/>
      </c>
      <c r="I407" s="14">
        <f>IF(A407="","",IFERROR(_xlfn.MAXIFS(StockMovements!$A$2:$A$500,StockMovements!$B$2:$B$500,A407),0))</f>
        <v/>
      </c>
      <c r="J407" s="11">
        <f>IF(OR(A407="",I407=0),"",TODAY()-I407)</f>
        <v/>
      </c>
      <c r="K407" s="11">
        <f>IF(A407="","",IF(I407=0,"never moved",IF(J407&lt;=30,"0-30",IF(J407&lt;=60,"31-60",IF(J407&lt;=90,"61-90","90+")))))</f>
        <v/>
      </c>
    </row>
    <row r="408">
      <c r="A408" s="11">
        <f>Products!A408</f>
        <v/>
      </c>
      <c r="B408" s="11">
        <f>Products!B408</f>
        <v/>
      </c>
      <c r="C408" s="11">
        <f>Products!C408</f>
        <v/>
      </c>
      <c r="D408" s="11">
        <f>IF(A408="","",SUMIFS(StockMovements!$E$2:$E$500,StockMovements!$B$2:$B$500,A408,StockMovements!$D$2:$D$500,"receipt")+SUMIFS(StockMovements!$E$2:$E$500,StockMovements!$B$2:$B$500,A408,StockMovements!$D$2:$D$500,"production_in")+SUMIFS(StockMovements!$E$2:$E$500,StockMovements!$B$2:$B$500,A408,StockMovements!$D$2:$D$500,"adjustment")-SUMIFS(StockMovements!$E$2:$E$500,StockMovements!$B$2:$B$500,A408,StockMovements!$D$2:$D$500,"issue")-SUMIFS(StockMovements!$E$2:$E$500,StockMovements!$B$2:$B$500,A408,StockMovements!$D$2:$D$500,"production_out")-SUMIFS(StockMovements!$E$2:$E$500,StockMovements!$B$2:$B$500,A408,StockMovements!$D$2:$D$500,"transfer")-SUMIFS(StockMovements!$E$2:$E$500,StockMovements!$B$2:$B$500,A408,StockMovements!$D$2:$D$500,"scrap"))</f>
        <v/>
      </c>
      <c r="E408" s="11">
        <f>IF(A408="","",Products!E408)</f>
        <v/>
      </c>
      <c r="F408" s="11">
        <f>IF(A408="","",D408*E408)</f>
        <v/>
      </c>
      <c r="G408" s="11">
        <f>IF(A408="","",Products!F408)</f>
        <v/>
      </c>
      <c r="H408" s="11">
        <f>IF(A408="","",IF(D408&lt;G408,"REORDER","OK"))</f>
        <v/>
      </c>
      <c r="I408" s="14">
        <f>IF(A408="","",IFERROR(_xlfn.MAXIFS(StockMovements!$A$2:$A$500,StockMovements!$B$2:$B$500,A408),0))</f>
        <v/>
      </c>
      <c r="J408" s="11">
        <f>IF(OR(A408="",I408=0),"",TODAY()-I408)</f>
        <v/>
      </c>
      <c r="K408" s="11">
        <f>IF(A408="","",IF(I408=0,"never moved",IF(J408&lt;=30,"0-30",IF(J408&lt;=60,"31-60",IF(J408&lt;=90,"61-90","90+")))))</f>
        <v/>
      </c>
    </row>
    <row r="409">
      <c r="A409" s="11">
        <f>Products!A409</f>
        <v/>
      </c>
      <c r="B409" s="11">
        <f>Products!B409</f>
        <v/>
      </c>
      <c r="C409" s="11">
        <f>Products!C409</f>
        <v/>
      </c>
      <c r="D409" s="11">
        <f>IF(A409="","",SUMIFS(StockMovements!$E$2:$E$500,StockMovements!$B$2:$B$500,A409,StockMovements!$D$2:$D$500,"receipt")+SUMIFS(StockMovements!$E$2:$E$500,StockMovements!$B$2:$B$500,A409,StockMovements!$D$2:$D$500,"production_in")+SUMIFS(StockMovements!$E$2:$E$500,StockMovements!$B$2:$B$500,A409,StockMovements!$D$2:$D$500,"adjustment")-SUMIFS(StockMovements!$E$2:$E$500,StockMovements!$B$2:$B$500,A409,StockMovements!$D$2:$D$500,"issue")-SUMIFS(StockMovements!$E$2:$E$500,StockMovements!$B$2:$B$500,A409,StockMovements!$D$2:$D$500,"production_out")-SUMIFS(StockMovements!$E$2:$E$500,StockMovements!$B$2:$B$500,A409,StockMovements!$D$2:$D$500,"transfer")-SUMIFS(StockMovements!$E$2:$E$500,StockMovements!$B$2:$B$500,A409,StockMovements!$D$2:$D$500,"scrap"))</f>
        <v/>
      </c>
      <c r="E409" s="11">
        <f>IF(A409="","",Products!E409)</f>
        <v/>
      </c>
      <c r="F409" s="11">
        <f>IF(A409="","",D409*E409)</f>
        <v/>
      </c>
      <c r="G409" s="11">
        <f>IF(A409="","",Products!F409)</f>
        <v/>
      </c>
      <c r="H409" s="11">
        <f>IF(A409="","",IF(D409&lt;G409,"REORDER","OK"))</f>
        <v/>
      </c>
      <c r="I409" s="14">
        <f>IF(A409="","",IFERROR(_xlfn.MAXIFS(StockMovements!$A$2:$A$500,StockMovements!$B$2:$B$500,A409),0))</f>
        <v/>
      </c>
      <c r="J409" s="11">
        <f>IF(OR(A409="",I409=0),"",TODAY()-I409)</f>
        <v/>
      </c>
      <c r="K409" s="11">
        <f>IF(A409="","",IF(I409=0,"never moved",IF(J409&lt;=30,"0-30",IF(J409&lt;=60,"31-60",IF(J409&lt;=90,"61-90","90+")))))</f>
        <v/>
      </c>
    </row>
    <row r="410">
      <c r="A410" s="11">
        <f>Products!A410</f>
        <v/>
      </c>
      <c r="B410" s="11">
        <f>Products!B410</f>
        <v/>
      </c>
      <c r="C410" s="11">
        <f>Products!C410</f>
        <v/>
      </c>
      <c r="D410" s="11">
        <f>IF(A410="","",SUMIFS(StockMovements!$E$2:$E$500,StockMovements!$B$2:$B$500,A410,StockMovements!$D$2:$D$500,"receipt")+SUMIFS(StockMovements!$E$2:$E$500,StockMovements!$B$2:$B$500,A410,StockMovements!$D$2:$D$500,"production_in")+SUMIFS(StockMovements!$E$2:$E$500,StockMovements!$B$2:$B$500,A410,StockMovements!$D$2:$D$500,"adjustment")-SUMIFS(StockMovements!$E$2:$E$500,StockMovements!$B$2:$B$500,A410,StockMovements!$D$2:$D$500,"issue")-SUMIFS(StockMovements!$E$2:$E$500,StockMovements!$B$2:$B$500,A410,StockMovements!$D$2:$D$500,"production_out")-SUMIFS(StockMovements!$E$2:$E$500,StockMovements!$B$2:$B$500,A410,StockMovements!$D$2:$D$500,"transfer")-SUMIFS(StockMovements!$E$2:$E$500,StockMovements!$B$2:$B$500,A410,StockMovements!$D$2:$D$500,"scrap"))</f>
        <v/>
      </c>
      <c r="E410" s="11">
        <f>IF(A410="","",Products!E410)</f>
        <v/>
      </c>
      <c r="F410" s="11">
        <f>IF(A410="","",D410*E410)</f>
        <v/>
      </c>
      <c r="G410" s="11">
        <f>IF(A410="","",Products!F410)</f>
        <v/>
      </c>
      <c r="H410" s="11">
        <f>IF(A410="","",IF(D410&lt;G410,"REORDER","OK"))</f>
        <v/>
      </c>
      <c r="I410" s="14">
        <f>IF(A410="","",IFERROR(_xlfn.MAXIFS(StockMovements!$A$2:$A$500,StockMovements!$B$2:$B$500,A410),0))</f>
        <v/>
      </c>
      <c r="J410" s="11">
        <f>IF(OR(A410="",I410=0),"",TODAY()-I410)</f>
        <v/>
      </c>
      <c r="K410" s="11">
        <f>IF(A410="","",IF(I410=0,"never moved",IF(J410&lt;=30,"0-30",IF(J410&lt;=60,"31-60",IF(J410&lt;=90,"61-90","90+")))))</f>
        <v/>
      </c>
    </row>
    <row r="411">
      <c r="A411" s="11">
        <f>Products!A411</f>
        <v/>
      </c>
      <c r="B411" s="11">
        <f>Products!B411</f>
        <v/>
      </c>
      <c r="C411" s="11">
        <f>Products!C411</f>
        <v/>
      </c>
      <c r="D411" s="11">
        <f>IF(A411="","",SUMIFS(StockMovements!$E$2:$E$500,StockMovements!$B$2:$B$500,A411,StockMovements!$D$2:$D$500,"receipt")+SUMIFS(StockMovements!$E$2:$E$500,StockMovements!$B$2:$B$500,A411,StockMovements!$D$2:$D$500,"production_in")+SUMIFS(StockMovements!$E$2:$E$500,StockMovements!$B$2:$B$500,A411,StockMovements!$D$2:$D$500,"adjustment")-SUMIFS(StockMovements!$E$2:$E$500,StockMovements!$B$2:$B$500,A411,StockMovements!$D$2:$D$500,"issue")-SUMIFS(StockMovements!$E$2:$E$500,StockMovements!$B$2:$B$500,A411,StockMovements!$D$2:$D$500,"production_out")-SUMIFS(StockMovements!$E$2:$E$500,StockMovements!$B$2:$B$500,A411,StockMovements!$D$2:$D$500,"transfer")-SUMIFS(StockMovements!$E$2:$E$500,StockMovements!$B$2:$B$500,A411,StockMovements!$D$2:$D$500,"scrap"))</f>
        <v/>
      </c>
      <c r="E411" s="11">
        <f>IF(A411="","",Products!E411)</f>
        <v/>
      </c>
      <c r="F411" s="11">
        <f>IF(A411="","",D411*E411)</f>
        <v/>
      </c>
      <c r="G411" s="11">
        <f>IF(A411="","",Products!F411)</f>
        <v/>
      </c>
      <c r="H411" s="11">
        <f>IF(A411="","",IF(D411&lt;G411,"REORDER","OK"))</f>
        <v/>
      </c>
      <c r="I411" s="14">
        <f>IF(A411="","",IFERROR(_xlfn.MAXIFS(StockMovements!$A$2:$A$500,StockMovements!$B$2:$B$500,A411),0))</f>
        <v/>
      </c>
      <c r="J411" s="11">
        <f>IF(OR(A411="",I411=0),"",TODAY()-I411)</f>
        <v/>
      </c>
      <c r="K411" s="11">
        <f>IF(A411="","",IF(I411=0,"never moved",IF(J411&lt;=30,"0-30",IF(J411&lt;=60,"31-60",IF(J411&lt;=90,"61-90","90+")))))</f>
        <v/>
      </c>
    </row>
    <row r="412">
      <c r="A412" s="11">
        <f>Products!A412</f>
        <v/>
      </c>
      <c r="B412" s="11">
        <f>Products!B412</f>
        <v/>
      </c>
      <c r="C412" s="11">
        <f>Products!C412</f>
        <v/>
      </c>
      <c r="D412" s="11">
        <f>IF(A412="","",SUMIFS(StockMovements!$E$2:$E$500,StockMovements!$B$2:$B$500,A412,StockMovements!$D$2:$D$500,"receipt")+SUMIFS(StockMovements!$E$2:$E$500,StockMovements!$B$2:$B$500,A412,StockMovements!$D$2:$D$500,"production_in")+SUMIFS(StockMovements!$E$2:$E$500,StockMovements!$B$2:$B$500,A412,StockMovements!$D$2:$D$500,"adjustment")-SUMIFS(StockMovements!$E$2:$E$500,StockMovements!$B$2:$B$500,A412,StockMovements!$D$2:$D$500,"issue")-SUMIFS(StockMovements!$E$2:$E$500,StockMovements!$B$2:$B$500,A412,StockMovements!$D$2:$D$500,"production_out")-SUMIFS(StockMovements!$E$2:$E$500,StockMovements!$B$2:$B$500,A412,StockMovements!$D$2:$D$500,"transfer")-SUMIFS(StockMovements!$E$2:$E$500,StockMovements!$B$2:$B$500,A412,StockMovements!$D$2:$D$500,"scrap"))</f>
        <v/>
      </c>
      <c r="E412" s="11">
        <f>IF(A412="","",Products!E412)</f>
        <v/>
      </c>
      <c r="F412" s="11">
        <f>IF(A412="","",D412*E412)</f>
        <v/>
      </c>
      <c r="G412" s="11">
        <f>IF(A412="","",Products!F412)</f>
        <v/>
      </c>
      <c r="H412" s="11">
        <f>IF(A412="","",IF(D412&lt;G412,"REORDER","OK"))</f>
        <v/>
      </c>
      <c r="I412" s="14">
        <f>IF(A412="","",IFERROR(_xlfn.MAXIFS(StockMovements!$A$2:$A$500,StockMovements!$B$2:$B$500,A412),0))</f>
        <v/>
      </c>
      <c r="J412" s="11">
        <f>IF(OR(A412="",I412=0),"",TODAY()-I412)</f>
        <v/>
      </c>
      <c r="K412" s="11">
        <f>IF(A412="","",IF(I412=0,"never moved",IF(J412&lt;=30,"0-30",IF(J412&lt;=60,"31-60",IF(J412&lt;=90,"61-90","90+")))))</f>
        <v/>
      </c>
    </row>
    <row r="413">
      <c r="A413" s="11">
        <f>Products!A413</f>
        <v/>
      </c>
      <c r="B413" s="11">
        <f>Products!B413</f>
        <v/>
      </c>
      <c r="C413" s="11">
        <f>Products!C413</f>
        <v/>
      </c>
      <c r="D413" s="11">
        <f>IF(A413="","",SUMIFS(StockMovements!$E$2:$E$500,StockMovements!$B$2:$B$500,A413,StockMovements!$D$2:$D$500,"receipt")+SUMIFS(StockMovements!$E$2:$E$500,StockMovements!$B$2:$B$500,A413,StockMovements!$D$2:$D$500,"production_in")+SUMIFS(StockMovements!$E$2:$E$500,StockMovements!$B$2:$B$500,A413,StockMovements!$D$2:$D$500,"adjustment")-SUMIFS(StockMovements!$E$2:$E$500,StockMovements!$B$2:$B$500,A413,StockMovements!$D$2:$D$500,"issue")-SUMIFS(StockMovements!$E$2:$E$500,StockMovements!$B$2:$B$500,A413,StockMovements!$D$2:$D$500,"production_out")-SUMIFS(StockMovements!$E$2:$E$500,StockMovements!$B$2:$B$500,A413,StockMovements!$D$2:$D$500,"transfer")-SUMIFS(StockMovements!$E$2:$E$500,StockMovements!$B$2:$B$500,A413,StockMovements!$D$2:$D$500,"scrap"))</f>
        <v/>
      </c>
      <c r="E413" s="11">
        <f>IF(A413="","",Products!E413)</f>
        <v/>
      </c>
      <c r="F413" s="11">
        <f>IF(A413="","",D413*E413)</f>
        <v/>
      </c>
      <c r="G413" s="11">
        <f>IF(A413="","",Products!F413)</f>
        <v/>
      </c>
      <c r="H413" s="11">
        <f>IF(A413="","",IF(D413&lt;G413,"REORDER","OK"))</f>
        <v/>
      </c>
      <c r="I413" s="14">
        <f>IF(A413="","",IFERROR(_xlfn.MAXIFS(StockMovements!$A$2:$A$500,StockMovements!$B$2:$B$500,A413),0))</f>
        <v/>
      </c>
      <c r="J413" s="11">
        <f>IF(OR(A413="",I413=0),"",TODAY()-I413)</f>
        <v/>
      </c>
      <c r="K413" s="11">
        <f>IF(A413="","",IF(I413=0,"never moved",IF(J413&lt;=30,"0-30",IF(J413&lt;=60,"31-60",IF(J413&lt;=90,"61-90","90+")))))</f>
        <v/>
      </c>
    </row>
    <row r="414">
      <c r="A414" s="11">
        <f>Products!A414</f>
        <v/>
      </c>
      <c r="B414" s="11">
        <f>Products!B414</f>
        <v/>
      </c>
      <c r="C414" s="11">
        <f>Products!C414</f>
        <v/>
      </c>
      <c r="D414" s="11">
        <f>IF(A414="","",SUMIFS(StockMovements!$E$2:$E$500,StockMovements!$B$2:$B$500,A414,StockMovements!$D$2:$D$500,"receipt")+SUMIFS(StockMovements!$E$2:$E$500,StockMovements!$B$2:$B$500,A414,StockMovements!$D$2:$D$500,"production_in")+SUMIFS(StockMovements!$E$2:$E$500,StockMovements!$B$2:$B$500,A414,StockMovements!$D$2:$D$500,"adjustment")-SUMIFS(StockMovements!$E$2:$E$500,StockMovements!$B$2:$B$500,A414,StockMovements!$D$2:$D$500,"issue")-SUMIFS(StockMovements!$E$2:$E$500,StockMovements!$B$2:$B$500,A414,StockMovements!$D$2:$D$500,"production_out")-SUMIFS(StockMovements!$E$2:$E$500,StockMovements!$B$2:$B$500,A414,StockMovements!$D$2:$D$500,"transfer")-SUMIFS(StockMovements!$E$2:$E$500,StockMovements!$B$2:$B$500,A414,StockMovements!$D$2:$D$500,"scrap"))</f>
        <v/>
      </c>
      <c r="E414" s="11">
        <f>IF(A414="","",Products!E414)</f>
        <v/>
      </c>
      <c r="F414" s="11">
        <f>IF(A414="","",D414*E414)</f>
        <v/>
      </c>
      <c r="G414" s="11">
        <f>IF(A414="","",Products!F414)</f>
        <v/>
      </c>
      <c r="H414" s="11">
        <f>IF(A414="","",IF(D414&lt;G414,"REORDER","OK"))</f>
        <v/>
      </c>
      <c r="I414" s="14">
        <f>IF(A414="","",IFERROR(_xlfn.MAXIFS(StockMovements!$A$2:$A$500,StockMovements!$B$2:$B$500,A414),0))</f>
        <v/>
      </c>
      <c r="J414" s="11">
        <f>IF(OR(A414="",I414=0),"",TODAY()-I414)</f>
        <v/>
      </c>
      <c r="K414" s="11">
        <f>IF(A414="","",IF(I414=0,"never moved",IF(J414&lt;=30,"0-30",IF(J414&lt;=60,"31-60",IF(J414&lt;=90,"61-90","90+")))))</f>
        <v/>
      </c>
    </row>
    <row r="415">
      <c r="A415" s="11">
        <f>Products!A415</f>
        <v/>
      </c>
      <c r="B415" s="11">
        <f>Products!B415</f>
        <v/>
      </c>
      <c r="C415" s="11">
        <f>Products!C415</f>
        <v/>
      </c>
      <c r="D415" s="11">
        <f>IF(A415="","",SUMIFS(StockMovements!$E$2:$E$500,StockMovements!$B$2:$B$500,A415,StockMovements!$D$2:$D$500,"receipt")+SUMIFS(StockMovements!$E$2:$E$500,StockMovements!$B$2:$B$500,A415,StockMovements!$D$2:$D$500,"production_in")+SUMIFS(StockMovements!$E$2:$E$500,StockMovements!$B$2:$B$500,A415,StockMovements!$D$2:$D$500,"adjustment")-SUMIFS(StockMovements!$E$2:$E$500,StockMovements!$B$2:$B$500,A415,StockMovements!$D$2:$D$500,"issue")-SUMIFS(StockMovements!$E$2:$E$500,StockMovements!$B$2:$B$500,A415,StockMovements!$D$2:$D$500,"production_out")-SUMIFS(StockMovements!$E$2:$E$500,StockMovements!$B$2:$B$500,A415,StockMovements!$D$2:$D$500,"transfer")-SUMIFS(StockMovements!$E$2:$E$500,StockMovements!$B$2:$B$500,A415,StockMovements!$D$2:$D$500,"scrap"))</f>
        <v/>
      </c>
      <c r="E415" s="11">
        <f>IF(A415="","",Products!E415)</f>
        <v/>
      </c>
      <c r="F415" s="11">
        <f>IF(A415="","",D415*E415)</f>
        <v/>
      </c>
      <c r="G415" s="11">
        <f>IF(A415="","",Products!F415)</f>
        <v/>
      </c>
      <c r="H415" s="11">
        <f>IF(A415="","",IF(D415&lt;G415,"REORDER","OK"))</f>
        <v/>
      </c>
      <c r="I415" s="14">
        <f>IF(A415="","",IFERROR(_xlfn.MAXIFS(StockMovements!$A$2:$A$500,StockMovements!$B$2:$B$500,A415),0))</f>
        <v/>
      </c>
      <c r="J415" s="11">
        <f>IF(OR(A415="",I415=0),"",TODAY()-I415)</f>
        <v/>
      </c>
      <c r="K415" s="11">
        <f>IF(A415="","",IF(I415=0,"never moved",IF(J415&lt;=30,"0-30",IF(J415&lt;=60,"31-60",IF(J415&lt;=90,"61-90","90+")))))</f>
        <v/>
      </c>
    </row>
    <row r="416">
      <c r="A416" s="11">
        <f>Products!A416</f>
        <v/>
      </c>
      <c r="B416" s="11">
        <f>Products!B416</f>
        <v/>
      </c>
      <c r="C416" s="11">
        <f>Products!C416</f>
        <v/>
      </c>
      <c r="D416" s="11">
        <f>IF(A416="","",SUMIFS(StockMovements!$E$2:$E$500,StockMovements!$B$2:$B$500,A416,StockMovements!$D$2:$D$500,"receipt")+SUMIFS(StockMovements!$E$2:$E$500,StockMovements!$B$2:$B$500,A416,StockMovements!$D$2:$D$500,"production_in")+SUMIFS(StockMovements!$E$2:$E$500,StockMovements!$B$2:$B$500,A416,StockMovements!$D$2:$D$500,"adjustment")-SUMIFS(StockMovements!$E$2:$E$500,StockMovements!$B$2:$B$500,A416,StockMovements!$D$2:$D$500,"issue")-SUMIFS(StockMovements!$E$2:$E$500,StockMovements!$B$2:$B$500,A416,StockMovements!$D$2:$D$500,"production_out")-SUMIFS(StockMovements!$E$2:$E$500,StockMovements!$B$2:$B$500,A416,StockMovements!$D$2:$D$500,"transfer")-SUMIFS(StockMovements!$E$2:$E$500,StockMovements!$B$2:$B$500,A416,StockMovements!$D$2:$D$500,"scrap"))</f>
        <v/>
      </c>
      <c r="E416" s="11">
        <f>IF(A416="","",Products!E416)</f>
        <v/>
      </c>
      <c r="F416" s="11">
        <f>IF(A416="","",D416*E416)</f>
        <v/>
      </c>
      <c r="G416" s="11">
        <f>IF(A416="","",Products!F416)</f>
        <v/>
      </c>
      <c r="H416" s="11">
        <f>IF(A416="","",IF(D416&lt;G416,"REORDER","OK"))</f>
        <v/>
      </c>
      <c r="I416" s="14">
        <f>IF(A416="","",IFERROR(_xlfn.MAXIFS(StockMovements!$A$2:$A$500,StockMovements!$B$2:$B$500,A416),0))</f>
        <v/>
      </c>
      <c r="J416" s="11">
        <f>IF(OR(A416="",I416=0),"",TODAY()-I416)</f>
        <v/>
      </c>
      <c r="K416" s="11">
        <f>IF(A416="","",IF(I416=0,"never moved",IF(J416&lt;=30,"0-30",IF(J416&lt;=60,"31-60",IF(J416&lt;=90,"61-90","90+")))))</f>
        <v/>
      </c>
    </row>
    <row r="417">
      <c r="A417" s="11">
        <f>Products!A417</f>
        <v/>
      </c>
      <c r="B417" s="11">
        <f>Products!B417</f>
        <v/>
      </c>
      <c r="C417" s="11">
        <f>Products!C417</f>
        <v/>
      </c>
      <c r="D417" s="11">
        <f>IF(A417="","",SUMIFS(StockMovements!$E$2:$E$500,StockMovements!$B$2:$B$500,A417,StockMovements!$D$2:$D$500,"receipt")+SUMIFS(StockMovements!$E$2:$E$500,StockMovements!$B$2:$B$500,A417,StockMovements!$D$2:$D$500,"production_in")+SUMIFS(StockMovements!$E$2:$E$500,StockMovements!$B$2:$B$500,A417,StockMovements!$D$2:$D$500,"adjustment")-SUMIFS(StockMovements!$E$2:$E$500,StockMovements!$B$2:$B$500,A417,StockMovements!$D$2:$D$500,"issue")-SUMIFS(StockMovements!$E$2:$E$500,StockMovements!$B$2:$B$500,A417,StockMovements!$D$2:$D$500,"production_out")-SUMIFS(StockMovements!$E$2:$E$500,StockMovements!$B$2:$B$500,A417,StockMovements!$D$2:$D$500,"transfer")-SUMIFS(StockMovements!$E$2:$E$500,StockMovements!$B$2:$B$500,A417,StockMovements!$D$2:$D$500,"scrap"))</f>
        <v/>
      </c>
      <c r="E417" s="11">
        <f>IF(A417="","",Products!E417)</f>
        <v/>
      </c>
      <c r="F417" s="11">
        <f>IF(A417="","",D417*E417)</f>
        <v/>
      </c>
      <c r="G417" s="11">
        <f>IF(A417="","",Products!F417)</f>
        <v/>
      </c>
      <c r="H417" s="11">
        <f>IF(A417="","",IF(D417&lt;G417,"REORDER","OK"))</f>
        <v/>
      </c>
      <c r="I417" s="14">
        <f>IF(A417="","",IFERROR(_xlfn.MAXIFS(StockMovements!$A$2:$A$500,StockMovements!$B$2:$B$500,A417),0))</f>
        <v/>
      </c>
      <c r="J417" s="11">
        <f>IF(OR(A417="",I417=0),"",TODAY()-I417)</f>
        <v/>
      </c>
      <c r="K417" s="11">
        <f>IF(A417="","",IF(I417=0,"never moved",IF(J417&lt;=30,"0-30",IF(J417&lt;=60,"31-60",IF(J417&lt;=90,"61-90","90+")))))</f>
        <v/>
      </c>
    </row>
    <row r="418">
      <c r="A418" s="11">
        <f>Products!A418</f>
        <v/>
      </c>
      <c r="B418" s="11">
        <f>Products!B418</f>
        <v/>
      </c>
      <c r="C418" s="11">
        <f>Products!C418</f>
        <v/>
      </c>
      <c r="D418" s="11">
        <f>IF(A418="","",SUMIFS(StockMovements!$E$2:$E$500,StockMovements!$B$2:$B$500,A418,StockMovements!$D$2:$D$500,"receipt")+SUMIFS(StockMovements!$E$2:$E$500,StockMovements!$B$2:$B$500,A418,StockMovements!$D$2:$D$500,"production_in")+SUMIFS(StockMovements!$E$2:$E$500,StockMovements!$B$2:$B$500,A418,StockMovements!$D$2:$D$500,"adjustment")-SUMIFS(StockMovements!$E$2:$E$500,StockMovements!$B$2:$B$500,A418,StockMovements!$D$2:$D$500,"issue")-SUMIFS(StockMovements!$E$2:$E$500,StockMovements!$B$2:$B$500,A418,StockMovements!$D$2:$D$500,"production_out")-SUMIFS(StockMovements!$E$2:$E$500,StockMovements!$B$2:$B$500,A418,StockMovements!$D$2:$D$500,"transfer")-SUMIFS(StockMovements!$E$2:$E$500,StockMovements!$B$2:$B$500,A418,StockMovements!$D$2:$D$500,"scrap"))</f>
        <v/>
      </c>
      <c r="E418" s="11">
        <f>IF(A418="","",Products!E418)</f>
        <v/>
      </c>
      <c r="F418" s="11">
        <f>IF(A418="","",D418*E418)</f>
        <v/>
      </c>
      <c r="G418" s="11">
        <f>IF(A418="","",Products!F418)</f>
        <v/>
      </c>
      <c r="H418" s="11">
        <f>IF(A418="","",IF(D418&lt;G418,"REORDER","OK"))</f>
        <v/>
      </c>
      <c r="I418" s="14">
        <f>IF(A418="","",IFERROR(_xlfn.MAXIFS(StockMovements!$A$2:$A$500,StockMovements!$B$2:$B$500,A418),0))</f>
        <v/>
      </c>
      <c r="J418" s="11">
        <f>IF(OR(A418="",I418=0),"",TODAY()-I418)</f>
        <v/>
      </c>
      <c r="K418" s="11">
        <f>IF(A418="","",IF(I418=0,"never moved",IF(J418&lt;=30,"0-30",IF(J418&lt;=60,"31-60",IF(J418&lt;=90,"61-90","90+")))))</f>
        <v/>
      </c>
    </row>
    <row r="419">
      <c r="A419" s="11">
        <f>Products!A419</f>
        <v/>
      </c>
      <c r="B419" s="11">
        <f>Products!B419</f>
        <v/>
      </c>
      <c r="C419" s="11">
        <f>Products!C419</f>
        <v/>
      </c>
      <c r="D419" s="11">
        <f>IF(A419="","",SUMIFS(StockMovements!$E$2:$E$500,StockMovements!$B$2:$B$500,A419,StockMovements!$D$2:$D$500,"receipt")+SUMIFS(StockMovements!$E$2:$E$500,StockMovements!$B$2:$B$500,A419,StockMovements!$D$2:$D$500,"production_in")+SUMIFS(StockMovements!$E$2:$E$500,StockMovements!$B$2:$B$500,A419,StockMovements!$D$2:$D$500,"adjustment")-SUMIFS(StockMovements!$E$2:$E$500,StockMovements!$B$2:$B$500,A419,StockMovements!$D$2:$D$500,"issue")-SUMIFS(StockMovements!$E$2:$E$500,StockMovements!$B$2:$B$500,A419,StockMovements!$D$2:$D$500,"production_out")-SUMIFS(StockMovements!$E$2:$E$500,StockMovements!$B$2:$B$500,A419,StockMovements!$D$2:$D$500,"transfer")-SUMIFS(StockMovements!$E$2:$E$500,StockMovements!$B$2:$B$500,A419,StockMovements!$D$2:$D$500,"scrap"))</f>
        <v/>
      </c>
      <c r="E419" s="11">
        <f>IF(A419="","",Products!E419)</f>
        <v/>
      </c>
      <c r="F419" s="11">
        <f>IF(A419="","",D419*E419)</f>
        <v/>
      </c>
      <c r="G419" s="11">
        <f>IF(A419="","",Products!F419)</f>
        <v/>
      </c>
      <c r="H419" s="11">
        <f>IF(A419="","",IF(D419&lt;G419,"REORDER","OK"))</f>
        <v/>
      </c>
      <c r="I419" s="14">
        <f>IF(A419="","",IFERROR(_xlfn.MAXIFS(StockMovements!$A$2:$A$500,StockMovements!$B$2:$B$500,A419),0))</f>
        <v/>
      </c>
      <c r="J419" s="11">
        <f>IF(OR(A419="",I419=0),"",TODAY()-I419)</f>
        <v/>
      </c>
      <c r="K419" s="11">
        <f>IF(A419="","",IF(I419=0,"never moved",IF(J419&lt;=30,"0-30",IF(J419&lt;=60,"31-60",IF(J419&lt;=90,"61-90","90+")))))</f>
        <v/>
      </c>
    </row>
    <row r="420">
      <c r="A420" s="11">
        <f>Products!A420</f>
        <v/>
      </c>
      <c r="B420" s="11">
        <f>Products!B420</f>
        <v/>
      </c>
      <c r="C420" s="11">
        <f>Products!C420</f>
        <v/>
      </c>
      <c r="D420" s="11">
        <f>IF(A420="","",SUMIFS(StockMovements!$E$2:$E$500,StockMovements!$B$2:$B$500,A420,StockMovements!$D$2:$D$500,"receipt")+SUMIFS(StockMovements!$E$2:$E$500,StockMovements!$B$2:$B$500,A420,StockMovements!$D$2:$D$500,"production_in")+SUMIFS(StockMovements!$E$2:$E$500,StockMovements!$B$2:$B$500,A420,StockMovements!$D$2:$D$500,"adjustment")-SUMIFS(StockMovements!$E$2:$E$500,StockMovements!$B$2:$B$500,A420,StockMovements!$D$2:$D$500,"issue")-SUMIFS(StockMovements!$E$2:$E$500,StockMovements!$B$2:$B$500,A420,StockMovements!$D$2:$D$500,"production_out")-SUMIFS(StockMovements!$E$2:$E$500,StockMovements!$B$2:$B$500,A420,StockMovements!$D$2:$D$500,"transfer")-SUMIFS(StockMovements!$E$2:$E$500,StockMovements!$B$2:$B$500,A420,StockMovements!$D$2:$D$500,"scrap"))</f>
        <v/>
      </c>
      <c r="E420" s="11">
        <f>IF(A420="","",Products!E420)</f>
        <v/>
      </c>
      <c r="F420" s="11">
        <f>IF(A420="","",D420*E420)</f>
        <v/>
      </c>
      <c r="G420" s="11">
        <f>IF(A420="","",Products!F420)</f>
        <v/>
      </c>
      <c r="H420" s="11">
        <f>IF(A420="","",IF(D420&lt;G420,"REORDER","OK"))</f>
        <v/>
      </c>
      <c r="I420" s="14">
        <f>IF(A420="","",IFERROR(_xlfn.MAXIFS(StockMovements!$A$2:$A$500,StockMovements!$B$2:$B$500,A420),0))</f>
        <v/>
      </c>
      <c r="J420" s="11">
        <f>IF(OR(A420="",I420=0),"",TODAY()-I420)</f>
        <v/>
      </c>
      <c r="K420" s="11">
        <f>IF(A420="","",IF(I420=0,"never moved",IF(J420&lt;=30,"0-30",IF(J420&lt;=60,"31-60",IF(J420&lt;=90,"61-90","90+")))))</f>
        <v/>
      </c>
    </row>
    <row r="421">
      <c r="A421" s="11">
        <f>Products!A421</f>
        <v/>
      </c>
      <c r="B421" s="11">
        <f>Products!B421</f>
        <v/>
      </c>
      <c r="C421" s="11">
        <f>Products!C421</f>
        <v/>
      </c>
      <c r="D421" s="11">
        <f>IF(A421="","",SUMIFS(StockMovements!$E$2:$E$500,StockMovements!$B$2:$B$500,A421,StockMovements!$D$2:$D$500,"receipt")+SUMIFS(StockMovements!$E$2:$E$500,StockMovements!$B$2:$B$500,A421,StockMovements!$D$2:$D$500,"production_in")+SUMIFS(StockMovements!$E$2:$E$500,StockMovements!$B$2:$B$500,A421,StockMovements!$D$2:$D$500,"adjustment")-SUMIFS(StockMovements!$E$2:$E$500,StockMovements!$B$2:$B$500,A421,StockMovements!$D$2:$D$500,"issue")-SUMIFS(StockMovements!$E$2:$E$500,StockMovements!$B$2:$B$500,A421,StockMovements!$D$2:$D$500,"production_out")-SUMIFS(StockMovements!$E$2:$E$500,StockMovements!$B$2:$B$500,A421,StockMovements!$D$2:$D$500,"transfer")-SUMIFS(StockMovements!$E$2:$E$500,StockMovements!$B$2:$B$500,A421,StockMovements!$D$2:$D$500,"scrap"))</f>
        <v/>
      </c>
      <c r="E421" s="11">
        <f>IF(A421="","",Products!E421)</f>
        <v/>
      </c>
      <c r="F421" s="11">
        <f>IF(A421="","",D421*E421)</f>
        <v/>
      </c>
      <c r="G421" s="11">
        <f>IF(A421="","",Products!F421)</f>
        <v/>
      </c>
      <c r="H421" s="11">
        <f>IF(A421="","",IF(D421&lt;G421,"REORDER","OK"))</f>
        <v/>
      </c>
      <c r="I421" s="14">
        <f>IF(A421="","",IFERROR(_xlfn.MAXIFS(StockMovements!$A$2:$A$500,StockMovements!$B$2:$B$500,A421),0))</f>
        <v/>
      </c>
      <c r="J421" s="11">
        <f>IF(OR(A421="",I421=0),"",TODAY()-I421)</f>
        <v/>
      </c>
      <c r="K421" s="11">
        <f>IF(A421="","",IF(I421=0,"never moved",IF(J421&lt;=30,"0-30",IF(J421&lt;=60,"31-60",IF(J421&lt;=90,"61-90","90+")))))</f>
        <v/>
      </c>
    </row>
    <row r="422">
      <c r="A422" s="11">
        <f>Products!A422</f>
        <v/>
      </c>
      <c r="B422" s="11">
        <f>Products!B422</f>
        <v/>
      </c>
      <c r="C422" s="11">
        <f>Products!C422</f>
        <v/>
      </c>
      <c r="D422" s="11">
        <f>IF(A422="","",SUMIFS(StockMovements!$E$2:$E$500,StockMovements!$B$2:$B$500,A422,StockMovements!$D$2:$D$500,"receipt")+SUMIFS(StockMovements!$E$2:$E$500,StockMovements!$B$2:$B$500,A422,StockMovements!$D$2:$D$500,"production_in")+SUMIFS(StockMovements!$E$2:$E$500,StockMovements!$B$2:$B$500,A422,StockMovements!$D$2:$D$500,"adjustment")-SUMIFS(StockMovements!$E$2:$E$500,StockMovements!$B$2:$B$500,A422,StockMovements!$D$2:$D$500,"issue")-SUMIFS(StockMovements!$E$2:$E$500,StockMovements!$B$2:$B$500,A422,StockMovements!$D$2:$D$500,"production_out")-SUMIFS(StockMovements!$E$2:$E$500,StockMovements!$B$2:$B$500,A422,StockMovements!$D$2:$D$500,"transfer")-SUMIFS(StockMovements!$E$2:$E$500,StockMovements!$B$2:$B$500,A422,StockMovements!$D$2:$D$500,"scrap"))</f>
        <v/>
      </c>
      <c r="E422" s="11">
        <f>IF(A422="","",Products!E422)</f>
        <v/>
      </c>
      <c r="F422" s="11">
        <f>IF(A422="","",D422*E422)</f>
        <v/>
      </c>
      <c r="G422" s="11">
        <f>IF(A422="","",Products!F422)</f>
        <v/>
      </c>
      <c r="H422" s="11">
        <f>IF(A422="","",IF(D422&lt;G422,"REORDER","OK"))</f>
        <v/>
      </c>
      <c r="I422" s="14">
        <f>IF(A422="","",IFERROR(_xlfn.MAXIFS(StockMovements!$A$2:$A$500,StockMovements!$B$2:$B$500,A422),0))</f>
        <v/>
      </c>
      <c r="J422" s="11">
        <f>IF(OR(A422="",I422=0),"",TODAY()-I422)</f>
        <v/>
      </c>
      <c r="K422" s="11">
        <f>IF(A422="","",IF(I422=0,"never moved",IF(J422&lt;=30,"0-30",IF(J422&lt;=60,"31-60",IF(J422&lt;=90,"61-90","90+")))))</f>
        <v/>
      </c>
    </row>
    <row r="423">
      <c r="A423" s="11">
        <f>Products!A423</f>
        <v/>
      </c>
      <c r="B423" s="11">
        <f>Products!B423</f>
        <v/>
      </c>
      <c r="C423" s="11">
        <f>Products!C423</f>
        <v/>
      </c>
      <c r="D423" s="11">
        <f>IF(A423="","",SUMIFS(StockMovements!$E$2:$E$500,StockMovements!$B$2:$B$500,A423,StockMovements!$D$2:$D$500,"receipt")+SUMIFS(StockMovements!$E$2:$E$500,StockMovements!$B$2:$B$500,A423,StockMovements!$D$2:$D$500,"production_in")+SUMIFS(StockMovements!$E$2:$E$500,StockMovements!$B$2:$B$500,A423,StockMovements!$D$2:$D$500,"adjustment")-SUMIFS(StockMovements!$E$2:$E$500,StockMovements!$B$2:$B$500,A423,StockMovements!$D$2:$D$500,"issue")-SUMIFS(StockMovements!$E$2:$E$500,StockMovements!$B$2:$B$500,A423,StockMovements!$D$2:$D$500,"production_out")-SUMIFS(StockMovements!$E$2:$E$500,StockMovements!$B$2:$B$500,A423,StockMovements!$D$2:$D$500,"transfer")-SUMIFS(StockMovements!$E$2:$E$500,StockMovements!$B$2:$B$500,A423,StockMovements!$D$2:$D$500,"scrap"))</f>
        <v/>
      </c>
      <c r="E423" s="11">
        <f>IF(A423="","",Products!E423)</f>
        <v/>
      </c>
      <c r="F423" s="11">
        <f>IF(A423="","",D423*E423)</f>
        <v/>
      </c>
      <c r="G423" s="11">
        <f>IF(A423="","",Products!F423)</f>
        <v/>
      </c>
      <c r="H423" s="11">
        <f>IF(A423="","",IF(D423&lt;G423,"REORDER","OK"))</f>
        <v/>
      </c>
      <c r="I423" s="14">
        <f>IF(A423="","",IFERROR(_xlfn.MAXIFS(StockMovements!$A$2:$A$500,StockMovements!$B$2:$B$500,A423),0))</f>
        <v/>
      </c>
      <c r="J423" s="11">
        <f>IF(OR(A423="",I423=0),"",TODAY()-I423)</f>
        <v/>
      </c>
      <c r="K423" s="11">
        <f>IF(A423="","",IF(I423=0,"never moved",IF(J423&lt;=30,"0-30",IF(J423&lt;=60,"31-60",IF(J423&lt;=90,"61-90","90+")))))</f>
        <v/>
      </c>
    </row>
    <row r="424">
      <c r="A424" s="11">
        <f>Products!A424</f>
        <v/>
      </c>
      <c r="B424" s="11">
        <f>Products!B424</f>
        <v/>
      </c>
      <c r="C424" s="11">
        <f>Products!C424</f>
        <v/>
      </c>
      <c r="D424" s="11">
        <f>IF(A424="","",SUMIFS(StockMovements!$E$2:$E$500,StockMovements!$B$2:$B$500,A424,StockMovements!$D$2:$D$500,"receipt")+SUMIFS(StockMovements!$E$2:$E$500,StockMovements!$B$2:$B$500,A424,StockMovements!$D$2:$D$500,"production_in")+SUMIFS(StockMovements!$E$2:$E$500,StockMovements!$B$2:$B$500,A424,StockMovements!$D$2:$D$500,"adjustment")-SUMIFS(StockMovements!$E$2:$E$500,StockMovements!$B$2:$B$500,A424,StockMovements!$D$2:$D$500,"issue")-SUMIFS(StockMovements!$E$2:$E$500,StockMovements!$B$2:$B$500,A424,StockMovements!$D$2:$D$500,"production_out")-SUMIFS(StockMovements!$E$2:$E$500,StockMovements!$B$2:$B$500,A424,StockMovements!$D$2:$D$500,"transfer")-SUMIFS(StockMovements!$E$2:$E$500,StockMovements!$B$2:$B$500,A424,StockMovements!$D$2:$D$500,"scrap"))</f>
        <v/>
      </c>
      <c r="E424" s="11">
        <f>IF(A424="","",Products!E424)</f>
        <v/>
      </c>
      <c r="F424" s="11">
        <f>IF(A424="","",D424*E424)</f>
        <v/>
      </c>
      <c r="G424" s="11">
        <f>IF(A424="","",Products!F424)</f>
        <v/>
      </c>
      <c r="H424" s="11">
        <f>IF(A424="","",IF(D424&lt;G424,"REORDER","OK"))</f>
        <v/>
      </c>
      <c r="I424" s="14">
        <f>IF(A424="","",IFERROR(_xlfn.MAXIFS(StockMovements!$A$2:$A$500,StockMovements!$B$2:$B$500,A424),0))</f>
        <v/>
      </c>
      <c r="J424" s="11">
        <f>IF(OR(A424="",I424=0),"",TODAY()-I424)</f>
        <v/>
      </c>
      <c r="K424" s="11">
        <f>IF(A424="","",IF(I424=0,"never moved",IF(J424&lt;=30,"0-30",IF(J424&lt;=60,"31-60",IF(J424&lt;=90,"61-90","90+")))))</f>
        <v/>
      </c>
    </row>
    <row r="425">
      <c r="A425" s="11">
        <f>Products!A425</f>
        <v/>
      </c>
      <c r="B425" s="11">
        <f>Products!B425</f>
        <v/>
      </c>
      <c r="C425" s="11">
        <f>Products!C425</f>
        <v/>
      </c>
      <c r="D425" s="11">
        <f>IF(A425="","",SUMIFS(StockMovements!$E$2:$E$500,StockMovements!$B$2:$B$500,A425,StockMovements!$D$2:$D$500,"receipt")+SUMIFS(StockMovements!$E$2:$E$500,StockMovements!$B$2:$B$500,A425,StockMovements!$D$2:$D$500,"production_in")+SUMIFS(StockMovements!$E$2:$E$500,StockMovements!$B$2:$B$500,A425,StockMovements!$D$2:$D$500,"adjustment")-SUMIFS(StockMovements!$E$2:$E$500,StockMovements!$B$2:$B$500,A425,StockMovements!$D$2:$D$500,"issue")-SUMIFS(StockMovements!$E$2:$E$500,StockMovements!$B$2:$B$500,A425,StockMovements!$D$2:$D$500,"production_out")-SUMIFS(StockMovements!$E$2:$E$500,StockMovements!$B$2:$B$500,A425,StockMovements!$D$2:$D$500,"transfer")-SUMIFS(StockMovements!$E$2:$E$500,StockMovements!$B$2:$B$500,A425,StockMovements!$D$2:$D$500,"scrap"))</f>
        <v/>
      </c>
      <c r="E425" s="11">
        <f>IF(A425="","",Products!E425)</f>
        <v/>
      </c>
      <c r="F425" s="11">
        <f>IF(A425="","",D425*E425)</f>
        <v/>
      </c>
      <c r="G425" s="11">
        <f>IF(A425="","",Products!F425)</f>
        <v/>
      </c>
      <c r="H425" s="11">
        <f>IF(A425="","",IF(D425&lt;G425,"REORDER","OK"))</f>
        <v/>
      </c>
      <c r="I425" s="14">
        <f>IF(A425="","",IFERROR(_xlfn.MAXIFS(StockMovements!$A$2:$A$500,StockMovements!$B$2:$B$500,A425),0))</f>
        <v/>
      </c>
      <c r="J425" s="11">
        <f>IF(OR(A425="",I425=0),"",TODAY()-I425)</f>
        <v/>
      </c>
      <c r="K425" s="11">
        <f>IF(A425="","",IF(I425=0,"never moved",IF(J425&lt;=30,"0-30",IF(J425&lt;=60,"31-60",IF(J425&lt;=90,"61-90","90+")))))</f>
        <v/>
      </c>
    </row>
    <row r="426">
      <c r="A426" s="11">
        <f>Products!A426</f>
        <v/>
      </c>
      <c r="B426" s="11">
        <f>Products!B426</f>
        <v/>
      </c>
      <c r="C426" s="11">
        <f>Products!C426</f>
        <v/>
      </c>
      <c r="D426" s="11">
        <f>IF(A426="","",SUMIFS(StockMovements!$E$2:$E$500,StockMovements!$B$2:$B$500,A426,StockMovements!$D$2:$D$500,"receipt")+SUMIFS(StockMovements!$E$2:$E$500,StockMovements!$B$2:$B$500,A426,StockMovements!$D$2:$D$500,"production_in")+SUMIFS(StockMovements!$E$2:$E$500,StockMovements!$B$2:$B$500,A426,StockMovements!$D$2:$D$500,"adjustment")-SUMIFS(StockMovements!$E$2:$E$500,StockMovements!$B$2:$B$500,A426,StockMovements!$D$2:$D$500,"issue")-SUMIFS(StockMovements!$E$2:$E$500,StockMovements!$B$2:$B$500,A426,StockMovements!$D$2:$D$500,"production_out")-SUMIFS(StockMovements!$E$2:$E$500,StockMovements!$B$2:$B$500,A426,StockMovements!$D$2:$D$500,"transfer")-SUMIFS(StockMovements!$E$2:$E$500,StockMovements!$B$2:$B$500,A426,StockMovements!$D$2:$D$500,"scrap"))</f>
        <v/>
      </c>
      <c r="E426" s="11">
        <f>IF(A426="","",Products!E426)</f>
        <v/>
      </c>
      <c r="F426" s="11">
        <f>IF(A426="","",D426*E426)</f>
        <v/>
      </c>
      <c r="G426" s="11">
        <f>IF(A426="","",Products!F426)</f>
        <v/>
      </c>
      <c r="H426" s="11">
        <f>IF(A426="","",IF(D426&lt;G426,"REORDER","OK"))</f>
        <v/>
      </c>
      <c r="I426" s="14">
        <f>IF(A426="","",IFERROR(_xlfn.MAXIFS(StockMovements!$A$2:$A$500,StockMovements!$B$2:$B$500,A426),0))</f>
        <v/>
      </c>
      <c r="J426" s="11">
        <f>IF(OR(A426="",I426=0),"",TODAY()-I426)</f>
        <v/>
      </c>
      <c r="K426" s="11">
        <f>IF(A426="","",IF(I426=0,"never moved",IF(J426&lt;=30,"0-30",IF(J426&lt;=60,"31-60",IF(J426&lt;=90,"61-90","90+")))))</f>
        <v/>
      </c>
    </row>
    <row r="427">
      <c r="A427" s="11">
        <f>Products!A427</f>
        <v/>
      </c>
      <c r="B427" s="11">
        <f>Products!B427</f>
        <v/>
      </c>
      <c r="C427" s="11">
        <f>Products!C427</f>
        <v/>
      </c>
      <c r="D427" s="11">
        <f>IF(A427="","",SUMIFS(StockMovements!$E$2:$E$500,StockMovements!$B$2:$B$500,A427,StockMovements!$D$2:$D$500,"receipt")+SUMIFS(StockMovements!$E$2:$E$500,StockMovements!$B$2:$B$500,A427,StockMovements!$D$2:$D$500,"production_in")+SUMIFS(StockMovements!$E$2:$E$500,StockMovements!$B$2:$B$500,A427,StockMovements!$D$2:$D$500,"adjustment")-SUMIFS(StockMovements!$E$2:$E$500,StockMovements!$B$2:$B$500,A427,StockMovements!$D$2:$D$500,"issue")-SUMIFS(StockMovements!$E$2:$E$500,StockMovements!$B$2:$B$500,A427,StockMovements!$D$2:$D$500,"production_out")-SUMIFS(StockMovements!$E$2:$E$500,StockMovements!$B$2:$B$500,A427,StockMovements!$D$2:$D$500,"transfer")-SUMIFS(StockMovements!$E$2:$E$500,StockMovements!$B$2:$B$500,A427,StockMovements!$D$2:$D$500,"scrap"))</f>
        <v/>
      </c>
      <c r="E427" s="11">
        <f>IF(A427="","",Products!E427)</f>
        <v/>
      </c>
      <c r="F427" s="11">
        <f>IF(A427="","",D427*E427)</f>
        <v/>
      </c>
      <c r="G427" s="11">
        <f>IF(A427="","",Products!F427)</f>
        <v/>
      </c>
      <c r="H427" s="11">
        <f>IF(A427="","",IF(D427&lt;G427,"REORDER","OK"))</f>
        <v/>
      </c>
      <c r="I427" s="14">
        <f>IF(A427="","",IFERROR(_xlfn.MAXIFS(StockMovements!$A$2:$A$500,StockMovements!$B$2:$B$500,A427),0))</f>
        <v/>
      </c>
      <c r="J427" s="11">
        <f>IF(OR(A427="",I427=0),"",TODAY()-I427)</f>
        <v/>
      </c>
      <c r="K427" s="11">
        <f>IF(A427="","",IF(I427=0,"never moved",IF(J427&lt;=30,"0-30",IF(J427&lt;=60,"31-60",IF(J427&lt;=90,"61-90","90+")))))</f>
        <v/>
      </c>
    </row>
    <row r="428">
      <c r="A428" s="11">
        <f>Products!A428</f>
        <v/>
      </c>
      <c r="B428" s="11">
        <f>Products!B428</f>
        <v/>
      </c>
      <c r="C428" s="11">
        <f>Products!C428</f>
        <v/>
      </c>
      <c r="D428" s="11">
        <f>IF(A428="","",SUMIFS(StockMovements!$E$2:$E$500,StockMovements!$B$2:$B$500,A428,StockMovements!$D$2:$D$500,"receipt")+SUMIFS(StockMovements!$E$2:$E$500,StockMovements!$B$2:$B$500,A428,StockMovements!$D$2:$D$500,"production_in")+SUMIFS(StockMovements!$E$2:$E$500,StockMovements!$B$2:$B$500,A428,StockMovements!$D$2:$D$500,"adjustment")-SUMIFS(StockMovements!$E$2:$E$500,StockMovements!$B$2:$B$500,A428,StockMovements!$D$2:$D$500,"issue")-SUMIFS(StockMovements!$E$2:$E$500,StockMovements!$B$2:$B$500,A428,StockMovements!$D$2:$D$500,"production_out")-SUMIFS(StockMovements!$E$2:$E$500,StockMovements!$B$2:$B$500,A428,StockMovements!$D$2:$D$500,"transfer")-SUMIFS(StockMovements!$E$2:$E$500,StockMovements!$B$2:$B$500,A428,StockMovements!$D$2:$D$500,"scrap"))</f>
        <v/>
      </c>
      <c r="E428" s="11">
        <f>IF(A428="","",Products!E428)</f>
        <v/>
      </c>
      <c r="F428" s="11">
        <f>IF(A428="","",D428*E428)</f>
        <v/>
      </c>
      <c r="G428" s="11">
        <f>IF(A428="","",Products!F428)</f>
        <v/>
      </c>
      <c r="H428" s="11">
        <f>IF(A428="","",IF(D428&lt;G428,"REORDER","OK"))</f>
        <v/>
      </c>
      <c r="I428" s="14">
        <f>IF(A428="","",IFERROR(_xlfn.MAXIFS(StockMovements!$A$2:$A$500,StockMovements!$B$2:$B$500,A428),0))</f>
        <v/>
      </c>
      <c r="J428" s="11">
        <f>IF(OR(A428="",I428=0),"",TODAY()-I428)</f>
        <v/>
      </c>
      <c r="K428" s="11">
        <f>IF(A428="","",IF(I428=0,"never moved",IF(J428&lt;=30,"0-30",IF(J428&lt;=60,"31-60",IF(J428&lt;=90,"61-90","90+")))))</f>
        <v/>
      </c>
    </row>
    <row r="429">
      <c r="A429" s="11">
        <f>Products!A429</f>
        <v/>
      </c>
      <c r="B429" s="11">
        <f>Products!B429</f>
        <v/>
      </c>
      <c r="C429" s="11">
        <f>Products!C429</f>
        <v/>
      </c>
      <c r="D429" s="11">
        <f>IF(A429="","",SUMIFS(StockMovements!$E$2:$E$500,StockMovements!$B$2:$B$500,A429,StockMovements!$D$2:$D$500,"receipt")+SUMIFS(StockMovements!$E$2:$E$500,StockMovements!$B$2:$B$500,A429,StockMovements!$D$2:$D$500,"production_in")+SUMIFS(StockMovements!$E$2:$E$500,StockMovements!$B$2:$B$500,A429,StockMovements!$D$2:$D$500,"adjustment")-SUMIFS(StockMovements!$E$2:$E$500,StockMovements!$B$2:$B$500,A429,StockMovements!$D$2:$D$500,"issue")-SUMIFS(StockMovements!$E$2:$E$500,StockMovements!$B$2:$B$500,A429,StockMovements!$D$2:$D$500,"production_out")-SUMIFS(StockMovements!$E$2:$E$500,StockMovements!$B$2:$B$500,A429,StockMovements!$D$2:$D$500,"transfer")-SUMIFS(StockMovements!$E$2:$E$500,StockMovements!$B$2:$B$500,A429,StockMovements!$D$2:$D$500,"scrap"))</f>
        <v/>
      </c>
      <c r="E429" s="11">
        <f>IF(A429="","",Products!E429)</f>
        <v/>
      </c>
      <c r="F429" s="11">
        <f>IF(A429="","",D429*E429)</f>
        <v/>
      </c>
      <c r="G429" s="11">
        <f>IF(A429="","",Products!F429)</f>
        <v/>
      </c>
      <c r="H429" s="11">
        <f>IF(A429="","",IF(D429&lt;G429,"REORDER","OK"))</f>
        <v/>
      </c>
      <c r="I429" s="14">
        <f>IF(A429="","",IFERROR(_xlfn.MAXIFS(StockMovements!$A$2:$A$500,StockMovements!$B$2:$B$500,A429),0))</f>
        <v/>
      </c>
      <c r="J429" s="11">
        <f>IF(OR(A429="",I429=0),"",TODAY()-I429)</f>
        <v/>
      </c>
      <c r="K429" s="11">
        <f>IF(A429="","",IF(I429=0,"never moved",IF(J429&lt;=30,"0-30",IF(J429&lt;=60,"31-60",IF(J429&lt;=90,"61-90","90+")))))</f>
        <v/>
      </c>
    </row>
    <row r="430">
      <c r="A430" s="11">
        <f>Products!A430</f>
        <v/>
      </c>
      <c r="B430" s="11">
        <f>Products!B430</f>
        <v/>
      </c>
      <c r="C430" s="11">
        <f>Products!C430</f>
        <v/>
      </c>
      <c r="D430" s="11">
        <f>IF(A430="","",SUMIFS(StockMovements!$E$2:$E$500,StockMovements!$B$2:$B$500,A430,StockMovements!$D$2:$D$500,"receipt")+SUMIFS(StockMovements!$E$2:$E$500,StockMovements!$B$2:$B$500,A430,StockMovements!$D$2:$D$500,"production_in")+SUMIFS(StockMovements!$E$2:$E$500,StockMovements!$B$2:$B$500,A430,StockMovements!$D$2:$D$500,"adjustment")-SUMIFS(StockMovements!$E$2:$E$500,StockMovements!$B$2:$B$500,A430,StockMovements!$D$2:$D$500,"issue")-SUMIFS(StockMovements!$E$2:$E$500,StockMovements!$B$2:$B$500,A430,StockMovements!$D$2:$D$500,"production_out")-SUMIFS(StockMovements!$E$2:$E$500,StockMovements!$B$2:$B$500,A430,StockMovements!$D$2:$D$500,"transfer")-SUMIFS(StockMovements!$E$2:$E$500,StockMovements!$B$2:$B$500,A430,StockMovements!$D$2:$D$500,"scrap"))</f>
        <v/>
      </c>
      <c r="E430" s="11">
        <f>IF(A430="","",Products!E430)</f>
        <v/>
      </c>
      <c r="F430" s="11">
        <f>IF(A430="","",D430*E430)</f>
        <v/>
      </c>
      <c r="G430" s="11">
        <f>IF(A430="","",Products!F430)</f>
        <v/>
      </c>
      <c r="H430" s="11">
        <f>IF(A430="","",IF(D430&lt;G430,"REORDER","OK"))</f>
        <v/>
      </c>
      <c r="I430" s="14">
        <f>IF(A430="","",IFERROR(_xlfn.MAXIFS(StockMovements!$A$2:$A$500,StockMovements!$B$2:$B$500,A430),0))</f>
        <v/>
      </c>
      <c r="J430" s="11">
        <f>IF(OR(A430="",I430=0),"",TODAY()-I430)</f>
        <v/>
      </c>
      <c r="K430" s="11">
        <f>IF(A430="","",IF(I430=0,"never moved",IF(J430&lt;=30,"0-30",IF(J430&lt;=60,"31-60",IF(J430&lt;=90,"61-90","90+")))))</f>
        <v/>
      </c>
    </row>
    <row r="431">
      <c r="A431" s="11">
        <f>Products!A431</f>
        <v/>
      </c>
      <c r="B431" s="11">
        <f>Products!B431</f>
        <v/>
      </c>
      <c r="C431" s="11">
        <f>Products!C431</f>
        <v/>
      </c>
      <c r="D431" s="11">
        <f>IF(A431="","",SUMIFS(StockMovements!$E$2:$E$500,StockMovements!$B$2:$B$500,A431,StockMovements!$D$2:$D$500,"receipt")+SUMIFS(StockMovements!$E$2:$E$500,StockMovements!$B$2:$B$500,A431,StockMovements!$D$2:$D$500,"production_in")+SUMIFS(StockMovements!$E$2:$E$500,StockMovements!$B$2:$B$500,A431,StockMovements!$D$2:$D$500,"adjustment")-SUMIFS(StockMovements!$E$2:$E$500,StockMovements!$B$2:$B$500,A431,StockMovements!$D$2:$D$500,"issue")-SUMIFS(StockMovements!$E$2:$E$500,StockMovements!$B$2:$B$500,A431,StockMovements!$D$2:$D$500,"production_out")-SUMIFS(StockMovements!$E$2:$E$500,StockMovements!$B$2:$B$500,A431,StockMovements!$D$2:$D$500,"transfer")-SUMIFS(StockMovements!$E$2:$E$500,StockMovements!$B$2:$B$500,A431,StockMovements!$D$2:$D$500,"scrap"))</f>
        <v/>
      </c>
      <c r="E431" s="11">
        <f>IF(A431="","",Products!E431)</f>
        <v/>
      </c>
      <c r="F431" s="11">
        <f>IF(A431="","",D431*E431)</f>
        <v/>
      </c>
      <c r="G431" s="11">
        <f>IF(A431="","",Products!F431)</f>
        <v/>
      </c>
      <c r="H431" s="11">
        <f>IF(A431="","",IF(D431&lt;G431,"REORDER","OK"))</f>
        <v/>
      </c>
      <c r="I431" s="14">
        <f>IF(A431="","",IFERROR(_xlfn.MAXIFS(StockMovements!$A$2:$A$500,StockMovements!$B$2:$B$500,A431),0))</f>
        <v/>
      </c>
      <c r="J431" s="11">
        <f>IF(OR(A431="",I431=0),"",TODAY()-I431)</f>
        <v/>
      </c>
      <c r="K431" s="11">
        <f>IF(A431="","",IF(I431=0,"never moved",IF(J431&lt;=30,"0-30",IF(J431&lt;=60,"31-60",IF(J431&lt;=90,"61-90","90+")))))</f>
        <v/>
      </c>
    </row>
    <row r="432">
      <c r="A432" s="11">
        <f>Products!A432</f>
        <v/>
      </c>
      <c r="B432" s="11">
        <f>Products!B432</f>
        <v/>
      </c>
      <c r="C432" s="11">
        <f>Products!C432</f>
        <v/>
      </c>
      <c r="D432" s="11">
        <f>IF(A432="","",SUMIFS(StockMovements!$E$2:$E$500,StockMovements!$B$2:$B$500,A432,StockMovements!$D$2:$D$500,"receipt")+SUMIFS(StockMovements!$E$2:$E$500,StockMovements!$B$2:$B$500,A432,StockMovements!$D$2:$D$500,"production_in")+SUMIFS(StockMovements!$E$2:$E$500,StockMovements!$B$2:$B$500,A432,StockMovements!$D$2:$D$500,"adjustment")-SUMIFS(StockMovements!$E$2:$E$500,StockMovements!$B$2:$B$500,A432,StockMovements!$D$2:$D$500,"issue")-SUMIFS(StockMovements!$E$2:$E$500,StockMovements!$B$2:$B$500,A432,StockMovements!$D$2:$D$500,"production_out")-SUMIFS(StockMovements!$E$2:$E$500,StockMovements!$B$2:$B$500,A432,StockMovements!$D$2:$D$500,"transfer")-SUMIFS(StockMovements!$E$2:$E$500,StockMovements!$B$2:$B$500,A432,StockMovements!$D$2:$D$500,"scrap"))</f>
        <v/>
      </c>
      <c r="E432" s="11">
        <f>IF(A432="","",Products!E432)</f>
        <v/>
      </c>
      <c r="F432" s="11">
        <f>IF(A432="","",D432*E432)</f>
        <v/>
      </c>
      <c r="G432" s="11">
        <f>IF(A432="","",Products!F432)</f>
        <v/>
      </c>
      <c r="H432" s="11">
        <f>IF(A432="","",IF(D432&lt;G432,"REORDER","OK"))</f>
        <v/>
      </c>
      <c r="I432" s="14">
        <f>IF(A432="","",IFERROR(_xlfn.MAXIFS(StockMovements!$A$2:$A$500,StockMovements!$B$2:$B$500,A432),0))</f>
        <v/>
      </c>
      <c r="J432" s="11">
        <f>IF(OR(A432="",I432=0),"",TODAY()-I432)</f>
        <v/>
      </c>
      <c r="K432" s="11">
        <f>IF(A432="","",IF(I432=0,"never moved",IF(J432&lt;=30,"0-30",IF(J432&lt;=60,"31-60",IF(J432&lt;=90,"61-90","90+")))))</f>
        <v/>
      </c>
    </row>
    <row r="433">
      <c r="A433" s="11">
        <f>Products!A433</f>
        <v/>
      </c>
      <c r="B433" s="11">
        <f>Products!B433</f>
        <v/>
      </c>
      <c r="C433" s="11">
        <f>Products!C433</f>
        <v/>
      </c>
      <c r="D433" s="11">
        <f>IF(A433="","",SUMIFS(StockMovements!$E$2:$E$500,StockMovements!$B$2:$B$500,A433,StockMovements!$D$2:$D$500,"receipt")+SUMIFS(StockMovements!$E$2:$E$500,StockMovements!$B$2:$B$500,A433,StockMovements!$D$2:$D$500,"production_in")+SUMIFS(StockMovements!$E$2:$E$500,StockMovements!$B$2:$B$500,A433,StockMovements!$D$2:$D$500,"adjustment")-SUMIFS(StockMovements!$E$2:$E$500,StockMovements!$B$2:$B$500,A433,StockMovements!$D$2:$D$500,"issue")-SUMIFS(StockMovements!$E$2:$E$500,StockMovements!$B$2:$B$500,A433,StockMovements!$D$2:$D$500,"production_out")-SUMIFS(StockMovements!$E$2:$E$500,StockMovements!$B$2:$B$500,A433,StockMovements!$D$2:$D$500,"transfer")-SUMIFS(StockMovements!$E$2:$E$500,StockMovements!$B$2:$B$500,A433,StockMovements!$D$2:$D$500,"scrap"))</f>
        <v/>
      </c>
      <c r="E433" s="11">
        <f>IF(A433="","",Products!E433)</f>
        <v/>
      </c>
      <c r="F433" s="11">
        <f>IF(A433="","",D433*E433)</f>
        <v/>
      </c>
      <c r="G433" s="11">
        <f>IF(A433="","",Products!F433)</f>
        <v/>
      </c>
      <c r="H433" s="11">
        <f>IF(A433="","",IF(D433&lt;G433,"REORDER","OK"))</f>
        <v/>
      </c>
      <c r="I433" s="14">
        <f>IF(A433="","",IFERROR(_xlfn.MAXIFS(StockMovements!$A$2:$A$500,StockMovements!$B$2:$B$500,A433),0))</f>
        <v/>
      </c>
      <c r="J433" s="11">
        <f>IF(OR(A433="",I433=0),"",TODAY()-I433)</f>
        <v/>
      </c>
      <c r="K433" s="11">
        <f>IF(A433="","",IF(I433=0,"never moved",IF(J433&lt;=30,"0-30",IF(J433&lt;=60,"31-60",IF(J433&lt;=90,"61-90","90+")))))</f>
        <v/>
      </c>
    </row>
    <row r="434">
      <c r="A434" s="11">
        <f>Products!A434</f>
        <v/>
      </c>
      <c r="B434" s="11">
        <f>Products!B434</f>
        <v/>
      </c>
      <c r="C434" s="11">
        <f>Products!C434</f>
        <v/>
      </c>
      <c r="D434" s="11">
        <f>IF(A434="","",SUMIFS(StockMovements!$E$2:$E$500,StockMovements!$B$2:$B$500,A434,StockMovements!$D$2:$D$500,"receipt")+SUMIFS(StockMovements!$E$2:$E$500,StockMovements!$B$2:$B$500,A434,StockMovements!$D$2:$D$500,"production_in")+SUMIFS(StockMovements!$E$2:$E$500,StockMovements!$B$2:$B$500,A434,StockMovements!$D$2:$D$500,"adjustment")-SUMIFS(StockMovements!$E$2:$E$500,StockMovements!$B$2:$B$500,A434,StockMovements!$D$2:$D$500,"issue")-SUMIFS(StockMovements!$E$2:$E$500,StockMovements!$B$2:$B$500,A434,StockMovements!$D$2:$D$500,"production_out")-SUMIFS(StockMovements!$E$2:$E$500,StockMovements!$B$2:$B$500,A434,StockMovements!$D$2:$D$500,"transfer")-SUMIFS(StockMovements!$E$2:$E$500,StockMovements!$B$2:$B$500,A434,StockMovements!$D$2:$D$500,"scrap"))</f>
        <v/>
      </c>
      <c r="E434" s="11">
        <f>IF(A434="","",Products!E434)</f>
        <v/>
      </c>
      <c r="F434" s="11">
        <f>IF(A434="","",D434*E434)</f>
        <v/>
      </c>
      <c r="G434" s="11">
        <f>IF(A434="","",Products!F434)</f>
        <v/>
      </c>
      <c r="H434" s="11">
        <f>IF(A434="","",IF(D434&lt;G434,"REORDER","OK"))</f>
        <v/>
      </c>
      <c r="I434" s="14">
        <f>IF(A434="","",IFERROR(_xlfn.MAXIFS(StockMovements!$A$2:$A$500,StockMovements!$B$2:$B$500,A434),0))</f>
        <v/>
      </c>
      <c r="J434" s="11">
        <f>IF(OR(A434="",I434=0),"",TODAY()-I434)</f>
        <v/>
      </c>
      <c r="K434" s="11">
        <f>IF(A434="","",IF(I434=0,"never moved",IF(J434&lt;=30,"0-30",IF(J434&lt;=60,"31-60",IF(J434&lt;=90,"61-90","90+")))))</f>
        <v/>
      </c>
    </row>
    <row r="435">
      <c r="A435" s="11">
        <f>Products!A435</f>
        <v/>
      </c>
      <c r="B435" s="11">
        <f>Products!B435</f>
        <v/>
      </c>
      <c r="C435" s="11">
        <f>Products!C435</f>
        <v/>
      </c>
      <c r="D435" s="11">
        <f>IF(A435="","",SUMIFS(StockMovements!$E$2:$E$500,StockMovements!$B$2:$B$500,A435,StockMovements!$D$2:$D$500,"receipt")+SUMIFS(StockMovements!$E$2:$E$500,StockMovements!$B$2:$B$500,A435,StockMovements!$D$2:$D$500,"production_in")+SUMIFS(StockMovements!$E$2:$E$500,StockMovements!$B$2:$B$500,A435,StockMovements!$D$2:$D$500,"adjustment")-SUMIFS(StockMovements!$E$2:$E$500,StockMovements!$B$2:$B$500,A435,StockMovements!$D$2:$D$500,"issue")-SUMIFS(StockMovements!$E$2:$E$500,StockMovements!$B$2:$B$500,A435,StockMovements!$D$2:$D$500,"production_out")-SUMIFS(StockMovements!$E$2:$E$500,StockMovements!$B$2:$B$500,A435,StockMovements!$D$2:$D$500,"transfer")-SUMIFS(StockMovements!$E$2:$E$500,StockMovements!$B$2:$B$500,A435,StockMovements!$D$2:$D$500,"scrap"))</f>
        <v/>
      </c>
      <c r="E435" s="11">
        <f>IF(A435="","",Products!E435)</f>
        <v/>
      </c>
      <c r="F435" s="11">
        <f>IF(A435="","",D435*E435)</f>
        <v/>
      </c>
      <c r="G435" s="11">
        <f>IF(A435="","",Products!F435)</f>
        <v/>
      </c>
      <c r="H435" s="11">
        <f>IF(A435="","",IF(D435&lt;G435,"REORDER","OK"))</f>
        <v/>
      </c>
      <c r="I435" s="14">
        <f>IF(A435="","",IFERROR(_xlfn.MAXIFS(StockMovements!$A$2:$A$500,StockMovements!$B$2:$B$500,A435),0))</f>
        <v/>
      </c>
      <c r="J435" s="11">
        <f>IF(OR(A435="",I435=0),"",TODAY()-I435)</f>
        <v/>
      </c>
      <c r="K435" s="11">
        <f>IF(A435="","",IF(I435=0,"never moved",IF(J435&lt;=30,"0-30",IF(J435&lt;=60,"31-60",IF(J435&lt;=90,"61-90","90+")))))</f>
        <v/>
      </c>
    </row>
    <row r="436">
      <c r="A436" s="11">
        <f>Products!A436</f>
        <v/>
      </c>
      <c r="B436" s="11">
        <f>Products!B436</f>
        <v/>
      </c>
      <c r="C436" s="11">
        <f>Products!C436</f>
        <v/>
      </c>
      <c r="D436" s="11">
        <f>IF(A436="","",SUMIFS(StockMovements!$E$2:$E$500,StockMovements!$B$2:$B$500,A436,StockMovements!$D$2:$D$500,"receipt")+SUMIFS(StockMovements!$E$2:$E$500,StockMovements!$B$2:$B$500,A436,StockMovements!$D$2:$D$500,"production_in")+SUMIFS(StockMovements!$E$2:$E$500,StockMovements!$B$2:$B$500,A436,StockMovements!$D$2:$D$500,"adjustment")-SUMIFS(StockMovements!$E$2:$E$500,StockMovements!$B$2:$B$500,A436,StockMovements!$D$2:$D$500,"issue")-SUMIFS(StockMovements!$E$2:$E$500,StockMovements!$B$2:$B$500,A436,StockMovements!$D$2:$D$500,"production_out")-SUMIFS(StockMovements!$E$2:$E$500,StockMovements!$B$2:$B$500,A436,StockMovements!$D$2:$D$500,"transfer")-SUMIFS(StockMovements!$E$2:$E$500,StockMovements!$B$2:$B$500,A436,StockMovements!$D$2:$D$500,"scrap"))</f>
        <v/>
      </c>
      <c r="E436" s="11">
        <f>IF(A436="","",Products!E436)</f>
        <v/>
      </c>
      <c r="F436" s="11">
        <f>IF(A436="","",D436*E436)</f>
        <v/>
      </c>
      <c r="G436" s="11">
        <f>IF(A436="","",Products!F436)</f>
        <v/>
      </c>
      <c r="H436" s="11">
        <f>IF(A436="","",IF(D436&lt;G436,"REORDER","OK"))</f>
        <v/>
      </c>
      <c r="I436" s="14">
        <f>IF(A436="","",IFERROR(_xlfn.MAXIFS(StockMovements!$A$2:$A$500,StockMovements!$B$2:$B$500,A436),0))</f>
        <v/>
      </c>
      <c r="J436" s="11">
        <f>IF(OR(A436="",I436=0),"",TODAY()-I436)</f>
        <v/>
      </c>
      <c r="K436" s="11">
        <f>IF(A436="","",IF(I436=0,"never moved",IF(J436&lt;=30,"0-30",IF(J436&lt;=60,"31-60",IF(J436&lt;=90,"61-90","90+")))))</f>
        <v/>
      </c>
    </row>
    <row r="437">
      <c r="A437" s="11">
        <f>Products!A437</f>
        <v/>
      </c>
      <c r="B437" s="11">
        <f>Products!B437</f>
        <v/>
      </c>
      <c r="C437" s="11">
        <f>Products!C437</f>
        <v/>
      </c>
      <c r="D437" s="11">
        <f>IF(A437="","",SUMIFS(StockMovements!$E$2:$E$500,StockMovements!$B$2:$B$500,A437,StockMovements!$D$2:$D$500,"receipt")+SUMIFS(StockMovements!$E$2:$E$500,StockMovements!$B$2:$B$500,A437,StockMovements!$D$2:$D$500,"production_in")+SUMIFS(StockMovements!$E$2:$E$500,StockMovements!$B$2:$B$500,A437,StockMovements!$D$2:$D$500,"adjustment")-SUMIFS(StockMovements!$E$2:$E$500,StockMovements!$B$2:$B$500,A437,StockMovements!$D$2:$D$500,"issue")-SUMIFS(StockMovements!$E$2:$E$500,StockMovements!$B$2:$B$500,A437,StockMovements!$D$2:$D$500,"production_out")-SUMIFS(StockMovements!$E$2:$E$500,StockMovements!$B$2:$B$500,A437,StockMovements!$D$2:$D$500,"transfer")-SUMIFS(StockMovements!$E$2:$E$500,StockMovements!$B$2:$B$500,A437,StockMovements!$D$2:$D$500,"scrap"))</f>
        <v/>
      </c>
      <c r="E437" s="11">
        <f>IF(A437="","",Products!E437)</f>
        <v/>
      </c>
      <c r="F437" s="11">
        <f>IF(A437="","",D437*E437)</f>
        <v/>
      </c>
      <c r="G437" s="11">
        <f>IF(A437="","",Products!F437)</f>
        <v/>
      </c>
      <c r="H437" s="11">
        <f>IF(A437="","",IF(D437&lt;G437,"REORDER","OK"))</f>
        <v/>
      </c>
      <c r="I437" s="14">
        <f>IF(A437="","",IFERROR(_xlfn.MAXIFS(StockMovements!$A$2:$A$500,StockMovements!$B$2:$B$500,A437),0))</f>
        <v/>
      </c>
      <c r="J437" s="11">
        <f>IF(OR(A437="",I437=0),"",TODAY()-I437)</f>
        <v/>
      </c>
      <c r="K437" s="11">
        <f>IF(A437="","",IF(I437=0,"never moved",IF(J437&lt;=30,"0-30",IF(J437&lt;=60,"31-60",IF(J437&lt;=90,"61-90","90+")))))</f>
        <v/>
      </c>
    </row>
    <row r="438">
      <c r="A438" s="11">
        <f>Products!A438</f>
        <v/>
      </c>
      <c r="B438" s="11">
        <f>Products!B438</f>
        <v/>
      </c>
      <c r="C438" s="11">
        <f>Products!C438</f>
        <v/>
      </c>
      <c r="D438" s="11">
        <f>IF(A438="","",SUMIFS(StockMovements!$E$2:$E$500,StockMovements!$B$2:$B$500,A438,StockMovements!$D$2:$D$500,"receipt")+SUMIFS(StockMovements!$E$2:$E$500,StockMovements!$B$2:$B$500,A438,StockMovements!$D$2:$D$500,"production_in")+SUMIFS(StockMovements!$E$2:$E$500,StockMovements!$B$2:$B$500,A438,StockMovements!$D$2:$D$500,"adjustment")-SUMIFS(StockMovements!$E$2:$E$500,StockMovements!$B$2:$B$500,A438,StockMovements!$D$2:$D$500,"issue")-SUMIFS(StockMovements!$E$2:$E$500,StockMovements!$B$2:$B$500,A438,StockMovements!$D$2:$D$500,"production_out")-SUMIFS(StockMovements!$E$2:$E$500,StockMovements!$B$2:$B$500,A438,StockMovements!$D$2:$D$500,"transfer")-SUMIFS(StockMovements!$E$2:$E$500,StockMovements!$B$2:$B$500,A438,StockMovements!$D$2:$D$500,"scrap"))</f>
        <v/>
      </c>
      <c r="E438" s="11">
        <f>IF(A438="","",Products!E438)</f>
        <v/>
      </c>
      <c r="F438" s="11">
        <f>IF(A438="","",D438*E438)</f>
        <v/>
      </c>
      <c r="G438" s="11">
        <f>IF(A438="","",Products!F438)</f>
        <v/>
      </c>
      <c r="H438" s="11">
        <f>IF(A438="","",IF(D438&lt;G438,"REORDER","OK"))</f>
        <v/>
      </c>
      <c r="I438" s="14">
        <f>IF(A438="","",IFERROR(_xlfn.MAXIFS(StockMovements!$A$2:$A$500,StockMovements!$B$2:$B$500,A438),0))</f>
        <v/>
      </c>
      <c r="J438" s="11">
        <f>IF(OR(A438="",I438=0),"",TODAY()-I438)</f>
        <v/>
      </c>
      <c r="K438" s="11">
        <f>IF(A438="","",IF(I438=0,"never moved",IF(J438&lt;=30,"0-30",IF(J438&lt;=60,"31-60",IF(J438&lt;=90,"61-90","90+")))))</f>
        <v/>
      </c>
    </row>
    <row r="439">
      <c r="A439" s="11">
        <f>Products!A439</f>
        <v/>
      </c>
      <c r="B439" s="11">
        <f>Products!B439</f>
        <v/>
      </c>
      <c r="C439" s="11">
        <f>Products!C439</f>
        <v/>
      </c>
      <c r="D439" s="11">
        <f>IF(A439="","",SUMIFS(StockMovements!$E$2:$E$500,StockMovements!$B$2:$B$500,A439,StockMovements!$D$2:$D$500,"receipt")+SUMIFS(StockMovements!$E$2:$E$500,StockMovements!$B$2:$B$500,A439,StockMovements!$D$2:$D$500,"production_in")+SUMIFS(StockMovements!$E$2:$E$500,StockMovements!$B$2:$B$500,A439,StockMovements!$D$2:$D$500,"adjustment")-SUMIFS(StockMovements!$E$2:$E$500,StockMovements!$B$2:$B$500,A439,StockMovements!$D$2:$D$500,"issue")-SUMIFS(StockMovements!$E$2:$E$500,StockMovements!$B$2:$B$500,A439,StockMovements!$D$2:$D$500,"production_out")-SUMIFS(StockMovements!$E$2:$E$500,StockMovements!$B$2:$B$500,A439,StockMovements!$D$2:$D$500,"transfer")-SUMIFS(StockMovements!$E$2:$E$500,StockMovements!$B$2:$B$500,A439,StockMovements!$D$2:$D$500,"scrap"))</f>
        <v/>
      </c>
      <c r="E439" s="11">
        <f>IF(A439="","",Products!E439)</f>
        <v/>
      </c>
      <c r="F439" s="11">
        <f>IF(A439="","",D439*E439)</f>
        <v/>
      </c>
      <c r="G439" s="11">
        <f>IF(A439="","",Products!F439)</f>
        <v/>
      </c>
      <c r="H439" s="11">
        <f>IF(A439="","",IF(D439&lt;G439,"REORDER","OK"))</f>
        <v/>
      </c>
      <c r="I439" s="14">
        <f>IF(A439="","",IFERROR(_xlfn.MAXIFS(StockMovements!$A$2:$A$500,StockMovements!$B$2:$B$500,A439),0))</f>
        <v/>
      </c>
      <c r="J439" s="11">
        <f>IF(OR(A439="",I439=0),"",TODAY()-I439)</f>
        <v/>
      </c>
      <c r="K439" s="11">
        <f>IF(A439="","",IF(I439=0,"never moved",IF(J439&lt;=30,"0-30",IF(J439&lt;=60,"31-60",IF(J439&lt;=90,"61-90","90+")))))</f>
        <v/>
      </c>
    </row>
    <row r="440">
      <c r="A440" s="11">
        <f>Products!A440</f>
        <v/>
      </c>
      <c r="B440" s="11">
        <f>Products!B440</f>
        <v/>
      </c>
      <c r="C440" s="11">
        <f>Products!C440</f>
        <v/>
      </c>
      <c r="D440" s="11">
        <f>IF(A440="","",SUMIFS(StockMovements!$E$2:$E$500,StockMovements!$B$2:$B$500,A440,StockMovements!$D$2:$D$500,"receipt")+SUMIFS(StockMovements!$E$2:$E$500,StockMovements!$B$2:$B$500,A440,StockMovements!$D$2:$D$500,"production_in")+SUMIFS(StockMovements!$E$2:$E$500,StockMovements!$B$2:$B$500,A440,StockMovements!$D$2:$D$500,"adjustment")-SUMIFS(StockMovements!$E$2:$E$500,StockMovements!$B$2:$B$500,A440,StockMovements!$D$2:$D$500,"issue")-SUMIFS(StockMovements!$E$2:$E$500,StockMovements!$B$2:$B$500,A440,StockMovements!$D$2:$D$500,"production_out")-SUMIFS(StockMovements!$E$2:$E$500,StockMovements!$B$2:$B$500,A440,StockMovements!$D$2:$D$500,"transfer")-SUMIFS(StockMovements!$E$2:$E$500,StockMovements!$B$2:$B$500,A440,StockMovements!$D$2:$D$500,"scrap"))</f>
        <v/>
      </c>
      <c r="E440" s="11">
        <f>IF(A440="","",Products!E440)</f>
        <v/>
      </c>
      <c r="F440" s="11">
        <f>IF(A440="","",D440*E440)</f>
        <v/>
      </c>
      <c r="G440" s="11">
        <f>IF(A440="","",Products!F440)</f>
        <v/>
      </c>
      <c r="H440" s="11">
        <f>IF(A440="","",IF(D440&lt;G440,"REORDER","OK"))</f>
        <v/>
      </c>
      <c r="I440" s="14">
        <f>IF(A440="","",IFERROR(_xlfn.MAXIFS(StockMovements!$A$2:$A$500,StockMovements!$B$2:$B$500,A440),0))</f>
        <v/>
      </c>
      <c r="J440" s="11">
        <f>IF(OR(A440="",I440=0),"",TODAY()-I440)</f>
        <v/>
      </c>
      <c r="K440" s="11">
        <f>IF(A440="","",IF(I440=0,"never moved",IF(J440&lt;=30,"0-30",IF(J440&lt;=60,"31-60",IF(J440&lt;=90,"61-90","90+")))))</f>
        <v/>
      </c>
    </row>
    <row r="441">
      <c r="A441" s="11">
        <f>Products!A441</f>
        <v/>
      </c>
      <c r="B441" s="11">
        <f>Products!B441</f>
        <v/>
      </c>
      <c r="C441" s="11">
        <f>Products!C441</f>
        <v/>
      </c>
      <c r="D441" s="11">
        <f>IF(A441="","",SUMIFS(StockMovements!$E$2:$E$500,StockMovements!$B$2:$B$500,A441,StockMovements!$D$2:$D$500,"receipt")+SUMIFS(StockMovements!$E$2:$E$500,StockMovements!$B$2:$B$500,A441,StockMovements!$D$2:$D$500,"production_in")+SUMIFS(StockMovements!$E$2:$E$500,StockMovements!$B$2:$B$500,A441,StockMovements!$D$2:$D$500,"adjustment")-SUMIFS(StockMovements!$E$2:$E$500,StockMovements!$B$2:$B$500,A441,StockMovements!$D$2:$D$500,"issue")-SUMIFS(StockMovements!$E$2:$E$500,StockMovements!$B$2:$B$500,A441,StockMovements!$D$2:$D$500,"production_out")-SUMIFS(StockMovements!$E$2:$E$500,StockMovements!$B$2:$B$500,A441,StockMovements!$D$2:$D$500,"transfer")-SUMIFS(StockMovements!$E$2:$E$500,StockMovements!$B$2:$B$500,A441,StockMovements!$D$2:$D$500,"scrap"))</f>
        <v/>
      </c>
      <c r="E441" s="11">
        <f>IF(A441="","",Products!E441)</f>
        <v/>
      </c>
      <c r="F441" s="11">
        <f>IF(A441="","",D441*E441)</f>
        <v/>
      </c>
      <c r="G441" s="11">
        <f>IF(A441="","",Products!F441)</f>
        <v/>
      </c>
      <c r="H441" s="11">
        <f>IF(A441="","",IF(D441&lt;G441,"REORDER","OK"))</f>
        <v/>
      </c>
      <c r="I441" s="14">
        <f>IF(A441="","",IFERROR(_xlfn.MAXIFS(StockMovements!$A$2:$A$500,StockMovements!$B$2:$B$500,A441),0))</f>
        <v/>
      </c>
      <c r="J441" s="11">
        <f>IF(OR(A441="",I441=0),"",TODAY()-I441)</f>
        <v/>
      </c>
      <c r="K441" s="11">
        <f>IF(A441="","",IF(I441=0,"never moved",IF(J441&lt;=30,"0-30",IF(J441&lt;=60,"31-60",IF(J441&lt;=90,"61-90","90+")))))</f>
        <v/>
      </c>
    </row>
    <row r="442">
      <c r="A442" s="11">
        <f>Products!A442</f>
        <v/>
      </c>
      <c r="B442" s="11">
        <f>Products!B442</f>
        <v/>
      </c>
      <c r="C442" s="11">
        <f>Products!C442</f>
        <v/>
      </c>
      <c r="D442" s="11">
        <f>IF(A442="","",SUMIFS(StockMovements!$E$2:$E$500,StockMovements!$B$2:$B$500,A442,StockMovements!$D$2:$D$500,"receipt")+SUMIFS(StockMovements!$E$2:$E$500,StockMovements!$B$2:$B$500,A442,StockMovements!$D$2:$D$500,"production_in")+SUMIFS(StockMovements!$E$2:$E$500,StockMovements!$B$2:$B$500,A442,StockMovements!$D$2:$D$500,"adjustment")-SUMIFS(StockMovements!$E$2:$E$500,StockMovements!$B$2:$B$500,A442,StockMovements!$D$2:$D$500,"issue")-SUMIFS(StockMovements!$E$2:$E$500,StockMovements!$B$2:$B$500,A442,StockMovements!$D$2:$D$500,"production_out")-SUMIFS(StockMovements!$E$2:$E$500,StockMovements!$B$2:$B$500,A442,StockMovements!$D$2:$D$500,"transfer")-SUMIFS(StockMovements!$E$2:$E$500,StockMovements!$B$2:$B$500,A442,StockMovements!$D$2:$D$500,"scrap"))</f>
        <v/>
      </c>
      <c r="E442" s="11">
        <f>IF(A442="","",Products!E442)</f>
        <v/>
      </c>
      <c r="F442" s="11">
        <f>IF(A442="","",D442*E442)</f>
        <v/>
      </c>
      <c r="G442" s="11">
        <f>IF(A442="","",Products!F442)</f>
        <v/>
      </c>
      <c r="H442" s="11">
        <f>IF(A442="","",IF(D442&lt;G442,"REORDER","OK"))</f>
        <v/>
      </c>
      <c r="I442" s="14">
        <f>IF(A442="","",IFERROR(_xlfn.MAXIFS(StockMovements!$A$2:$A$500,StockMovements!$B$2:$B$500,A442),0))</f>
        <v/>
      </c>
      <c r="J442" s="11">
        <f>IF(OR(A442="",I442=0),"",TODAY()-I442)</f>
        <v/>
      </c>
      <c r="K442" s="11">
        <f>IF(A442="","",IF(I442=0,"never moved",IF(J442&lt;=30,"0-30",IF(J442&lt;=60,"31-60",IF(J442&lt;=90,"61-90","90+")))))</f>
        <v/>
      </c>
    </row>
    <row r="443">
      <c r="A443" s="11">
        <f>Products!A443</f>
        <v/>
      </c>
      <c r="B443" s="11">
        <f>Products!B443</f>
        <v/>
      </c>
      <c r="C443" s="11">
        <f>Products!C443</f>
        <v/>
      </c>
      <c r="D443" s="11">
        <f>IF(A443="","",SUMIFS(StockMovements!$E$2:$E$500,StockMovements!$B$2:$B$500,A443,StockMovements!$D$2:$D$500,"receipt")+SUMIFS(StockMovements!$E$2:$E$500,StockMovements!$B$2:$B$500,A443,StockMovements!$D$2:$D$500,"production_in")+SUMIFS(StockMovements!$E$2:$E$500,StockMovements!$B$2:$B$500,A443,StockMovements!$D$2:$D$500,"adjustment")-SUMIFS(StockMovements!$E$2:$E$500,StockMovements!$B$2:$B$500,A443,StockMovements!$D$2:$D$500,"issue")-SUMIFS(StockMovements!$E$2:$E$500,StockMovements!$B$2:$B$500,A443,StockMovements!$D$2:$D$500,"production_out")-SUMIFS(StockMovements!$E$2:$E$500,StockMovements!$B$2:$B$500,A443,StockMovements!$D$2:$D$500,"transfer")-SUMIFS(StockMovements!$E$2:$E$500,StockMovements!$B$2:$B$500,A443,StockMovements!$D$2:$D$500,"scrap"))</f>
        <v/>
      </c>
      <c r="E443" s="11">
        <f>IF(A443="","",Products!E443)</f>
        <v/>
      </c>
      <c r="F443" s="11">
        <f>IF(A443="","",D443*E443)</f>
        <v/>
      </c>
      <c r="G443" s="11">
        <f>IF(A443="","",Products!F443)</f>
        <v/>
      </c>
      <c r="H443" s="11">
        <f>IF(A443="","",IF(D443&lt;G443,"REORDER","OK"))</f>
        <v/>
      </c>
      <c r="I443" s="14">
        <f>IF(A443="","",IFERROR(_xlfn.MAXIFS(StockMovements!$A$2:$A$500,StockMovements!$B$2:$B$500,A443),0))</f>
        <v/>
      </c>
      <c r="J443" s="11">
        <f>IF(OR(A443="",I443=0),"",TODAY()-I443)</f>
        <v/>
      </c>
      <c r="K443" s="11">
        <f>IF(A443="","",IF(I443=0,"never moved",IF(J443&lt;=30,"0-30",IF(J443&lt;=60,"31-60",IF(J443&lt;=90,"61-90","90+")))))</f>
        <v/>
      </c>
    </row>
    <row r="444">
      <c r="A444" s="11">
        <f>Products!A444</f>
        <v/>
      </c>
      <c r="B444" s="11">
        <f>Products!B444</f>
        <v/>
      </c>
      <c r="C444" s="11">
        <f>Products!C444</f>
        <v/>
      </c>
      <c r="D444" s="11">
        <f>IF(A444="","",SUMIFS(StockMovements!$E$2:$E$500,StockMovements!$B$2:$B$500,A444,StockMovements!$D$2:$D$500,"receipt")+SUMIFS(StockMovements!$E$2:$E$500,StockMovements!$B$2:$B$500,A444,StockMovements!$D$2:$D$500,"production_in")+SUMIFS(StockMovements!$E$2:$E$500,StockMovements!$B$2:$B$500,A444,StockMovements!$D$2:$D$500,"adjustment")-SUMIFS(StockMovements!$E$2:$E$500,StockMovements!$B$2:$B$500,A444,StockMovements!$D$2:$D$500,"issue")-SUMIFS(StockMovements!$E$2:$E$500,StockMovements!$B$2:$B$500,A444,StockMovements!$D$2:$D$500,"production_out")-SUMIFS(StockMovements!$E$2:$E$500,StockMovements!$B$2:$B$500,A444,StockMovements!$D$2:$D$500,"transfer")-SUMIFS(StockMovements!$E$2:$E$500,StockMovements!$B$2:$B$500,A444,StockMovements!$D$2:$D$500,"scrap"))</f>
        <v/>
      </c>
      <c r="E444" s="11">
        <f>IF(A444="","",Products!E444)</f>
        <v/>
      </c>
      <c r="F444" s="11">
        <f>IF(A444="","",D444*E444)</f>
        <v/>
      </c>
      <c r="G444" s="11">
        <f>IF(A444="","",Products!F444)</f>
        <v/>
      </c>
      <c r="H444" s="11">
        <f>IF(A444="","",IF(D444&lt;G444,"REORDER","OK"))</f>
        <v/>
      </c>
      <c r="I444" s="14">
        <f>IF(A444="","",IFERROR(_xlfn.MAXIFS(StockMovements!$A$2:$A$500,StockMovements!$B$2:$B$500,A444),0))</f>
        <v/>
      </c>
      <c r="J444" s="11">
        <f>IF(OR(A444="",I444=0),"",TODAY()-I444)</f>
        <v/>
      </c>
      <c r="K444" s="11">
        <f>IF(A444="","",IF(I444=0,"never moved",IF(J444&lt;=30,"0-30",IF(J444&lt;=60,"31-60",IF(J444&lt;=90,"61-90","90+")))))</f>
        <v/>
      </c>
    </row>
    <row r="445">
      <c r="A445" s="11">
        <f>Products!A445</f>
        <v/>
      </c>
      <c r="B445" s="11">
        <f>Products!B445</f>
        <v/>
      </c>
      <c r="C445" s="11">
        <f>Products!C445</f>
        <v/>
      </c>
      <c r="D445" s="11">
        <f>IF(A445="","",SUMIFS(StockMovements!$E$2:$E$500,StockMovements!$B$2:$B$500,A445,StockMovements!$D$2:$D$500,"receipt")+SUMIFS(StockMovements!$E$2:$E$500,StockMovements!$B$2:$B$500,A445,StockMovements!$D$2:$D$500,"production_in")+SUMIFS(StockMovements!$E$2:$E$500,StockMovements!$B$2:$B$500,A445,StockMovements!$D$2:$D$500,"adjustment")-SUMIFS(StockMovements!$E$2:$E$500,StockMovements!$B$2:$B$500,A445,StockMovements!$D$2:$D$500,"issue")-SUMIFS(StockMovements!$E$2:$E$500,StockMovements!$B$2:$B$500,A445,StockMovements!$D$2:$D$500,"production_out")-SUMIFS(StockMovements!$E$2:$E$500,StockMovements!$B$2:$B$500,A445,StockMovements!$D$2:$D$500,"transfer")-SUMIFS(StockMovements!$E$2:$E$500,StockMovements!$B$2:$B$500,A445,StockMovements!$D$2:$D$500,"scrap"))</f>
        <v/>
      </c>
      <c r="E445" s="11">
        <f>IF(A445="","",Products!E445)</f>
        <v/>
      </c>
      <c r="F445" s="11">
        <f>IF(A445="","",D445*E445)</f>
        <v/>
      </c>
      <c r="G445" s="11">
        <f>IF(A445="","",Products!F445)</f>
        <v/>
      </c>
      <c r="H445" s="11">
        <f>IF(A445="","",IF(D445&lt;G445,"REORDER","OK"))</f>
        <v/>
      </c>
      <c r="I445" s="14">
        <f>IF(A445="","",IFERROR(_xlfn.MAXIFS(StockMovements!$A$2:$A$500,StockMovements!$B$2:$B$500,A445),0))</f>
        <v/>
      </c>
      <c r="J445" s="11">
        <f>IF(OR(A445="",I445=0),"",TODAY()-I445)</f>
        <v/>
      </c>
      <c r="K445" s="11">
        <f>IF(A445="","",IF(I445=0,"never moved",IF(J445&lt;=30,"0-30",IF(J445&lt;=60,"31-60",IF(J445&lt;=90,"61-90","90+")))))</f>
        <v/>
      </c>
    </row>
    <row r="446">
      <c r="A446" s="11">
        <f>Products!A446</f>
        <v/>
      </c>
      <c r="B446" s="11">
        <f>Products!B446</f>
        <v/>
      </c>
      <c r="C446" s="11">
        <f>Products!C446</f>
        <v/>
      </c>
      <c r="D446" s="11">
        <f>IF(A446="","",SUMIFS(StockMovements!$E$2:$E$500,StockMovements!$B$2:$B$500,A446,StockMovements!$D$2:$D$500,"receipt")+SUMIFS(StockMovements!$E$2:$E$500,StockMovements!$B$2:$B$500,A446,StockMovements!$D$2:$D$500,"production_in")+SUMIFS(StockMovements!$E$2:$E$500,StockMovements!$B$2:$B$500,A446,StockMovements!$D$2:$D$500,"adjustment")-SUMIFS(StockMovements!$E$2:$E$500,StockMovements!$B$2:$B$500,A446,StockMovements!$D$2:$D$500,"issue")-SUMIFS(StockMovements!$E$2:$E$500,StockMovements!$B$2:$B$500,A446,StockMovements!$D$2:$D$500,"production_out")-SUMIFS(StockMovements!$E$2:$E$500,StockMovements!$B$2:$B$500,A446,StockMovements!$D$2:$D$500,"transfer")-SUMIFS(StockMovements!$E$2:$E$500,StockMovements!$B$2:$B$500,A446,StockMovements!$D$2:$D$500,"scrap"))</f>
        <v/>
      </c>
      <c r="E446" s="11">
        <f>IF(A446="","",Products!E446)</f>
        <v/>
      </c>
      <c r="F446" s="11">
        <f>IF(A446="","",D446*E446)</f>
        <v/>
      </c>
      <c r="G446" s="11">
        <f>IF(A446="","",Products!F446)</f>
        <v/>
      </c>
      <c r="H446" s="11">
        <f>IF(A446="","",IF(D446&lt;G446,"REORDER","OK"))</f>
        <v/>
      </c>
      <c r="I446" s="14">
        <f>IF(A446="","",IFERROR(_xlfn.MAXIFS(StockMovements!$A$2:$A$500,StockMovements!$B$2:$B$500,A446),0))</f>
        <v/>
      </c>
      <c r="J446" s="11">
        <f>IF(OR(A446="",I446=0),"",TODAY()-I446)</f>
        <v/>
      </c>
      <c r="K446" s="11">
        <f>IF(A446="","",IF(I446=0,"never moved",IF(J446&lt;=30,"0-30",IF(J446&lt;=60,"31-60",IF(J446&lt;=90,"61-90","90+")))))</f>
        <v/>
      </c>
    </row>
    <row r="447">
      <c r="A447" s="11">
        <f>Products!A447</f>
        <v/>
      </c>
      <c r="B447" s="11">
        <f>Products!B447</f>
        <v/>
      </c>
      <c r="C447" s="11">
        <f>Products!C447</f>
        <v/>
      </c>
      <c r="D447" s="11">
        <f>IF(A447="","",SUMIFS(StockMovements!$E$2:$E$500,StockMovements!$B$2:$B$500,A447,StockMovements!$D$2:$D$500,"receipt")+SUMIFS(StockMovements!$E$2:$E$500,StockMovements!$B$2:$B$500,A447,StockMovements!$D$2:$D$500,"production_in")+SUMIFS(StockMovements!$E$2:$E$500,StockMovements!$B$2:$B$500,A447,StockMovements!$D$2:$D$500,"adjustment")-SUMIFS(StockMovements!$E$2:$E$500,StockMovements!$B$2:$B$500,A447,StockMovements!$D$2:$D$500,"issue")-SUMIFS(StockMovements!$E$2:$E$500,StockMovements!$B$2:$B$500,A447,StockMovements!$D$2:$D$500,"production_out")-SUMIFS(StockMovements!$E$2:$E$500,StockMovements!$B$2:$B$500,A447,StockMovements!$D$2:$D$500,"transfer")-SUMIFS(StockMovements!$E$2:$E$500,StockMovements!$B$2:$B$500,A447,StockMovements!$D$2:$D$500,"scrap"))</f>
        <v/>
      </c>
      <c r="E447" s="11">
        <f>IF(A447="","",Products!E447)</f>
        <v/>
      </c>
      <c r="F447" s="11">
        <f>IF(A447="","",D447*E447)</f>
        <v/>
      </c>
      <c r="G447" s="11">
        <f>IF(A447="","",Products!F447)</f>
        <v/>
      </c>
      <c r="H447" s="11">
        <f>IF(A447="","",IF(D447&lt;G447,"REORDER","OK"))</f>
        <v/>
      </c>
      <c r="I447" s="14">
        <f>IF(A447="","",IFERROR(_xlfn.MAXIFS(StockMovements!$A$2:$A$500,StockMovements!$B$2:$B$500,A447),0))</f>
        <v/>
      </c>
      <c r="J447" s="11">
        <f>IF(OR(A447="",I447=0),"",TODAY()-I447)</f>
        <v/>
      </c>
      <c r="K447" s="11">
        <f>IF(A447="","",IF(I447=0,"never moved",IF(J447&lt;=30,"0-30",IF(J447&lt;=60,"31-60",IF(J447&lt;=90,"61-90","90+")))))</f>
        <v/>
      </c>
    </row>
    <row r="448">
      <c r="A448" s="11">
        <f>Products!A448</f>
        <v/>
      </c>
      <c r="B448" s="11">
        <f>Products!B448</f>
        <v/>
      </c>
      <c r="C448" s="11">
        <f>Products!C448</f>
        <v/>
      </c>
      <c r="D448" s="11">
        <f>IF(A448="","",SUMIFS(StockMovements!$E$2:$E$500,StockMovements!$B$2:$B$500,A448,StockMovements!$D$2:$D$500,"receipt")+SUMIFS(StockMovements!$E$2:$E$500,StockMovements!$B$2:$B$500,A448,StockMovements!$D$2:$D$500,"production_in")+SUMIFS(StockMovements!$E$2:$E$500,StockMovements!$B$2:$B$500,A448,StockMovements!$D$2:$D$500,"adjustment")-SUMIFS(StockMovements!$E$2:$E$500,StockMovements!$B$2:$B$500,A448,StockMovements!$D$2:$D$500,"issue")-SUMIFS(StockMovements!$E$2:$E$500,StockMovements!$B$2:$B$500,A448,StockMovements!$D$2:$D$500,"production_out")-SUMIFS(StockMovements!$E$2:$E$500,StockMovements!$B$2:$B$500,A448,StockMovements!$D$2:$D$500,"transfer")-SUMIFS(StockMovements!$E$2:$E$500,StockMovements!$B$2:$B$500,A448,StockMovements!$D$2:$D$500,"scrap"))</f>
        <v/>
      </c>
      <c r="E448" s="11">
        <f>IF(A448="","",Products!E448)</f>
        <v/>
      </c>
      <c r="F448" s="11">
        <f>IF(A448="","",D448*E448)</f>
        <v/>
      </c>
      <c r="G448" s="11">
        <f>IF(A448="","",Products!F448)</f>
        <v/>
      </c>
      <c r="H448" s="11">
        <f>IF(A448="","",IF(D448&lt;G448,"REORDER","OK"))</f>
        <v/>
      </c>
      <c r="I448" s="14">
        <f>IF(A448="","",IFERROR(_xlfn.MAXIFS(StockMovements!$A$2:$A$500,StockMovements!$B$2:$B$500,A448),0))</f>
        <v/>
      </c>
      <c r="J448" s="11">
        <f>IF(OR(A448="",I448=0),"",TODAY()-I448)</f>
        <v/>
      </c>
      <c r="K448" s="11">
        <f>IF(A448="","",IF(I448=0,"never moved",IF(J448&lt;=30,"0-30",IF(J448&lt;=60,"31-60",IF(J448&lt;=90,"61-90","90+")))))</f>
        <v/>
      </c>
    </row>
    <row r="449">
      <c r="A449" s="11">
        <f>Products!A449</f>
        <v/>
      </c>
      <c r="B449" s="11">
        <f>Products!B449</f>
        <v/>
      </c>
      <c r="C449" s="11">
        <f>Products!C449</f>
        <v/>
      </c>
      <c r="D449" s="11">
        <f>IF(A449="","",SUMIFS(StockMovements!$E$2:$E$500,StockMovements!$B$2:$B$500,A449,StockMovements!$D$2:$D$500,"receipt")+SUMIFS(StockMovements!$E$2:$E$500,StockMovements!$B$2:$B$500,A449,StockMovements!$D$2:$D$500,"production_in")+SUMIFS(StockMovements!$E$2:$E$500,StockMovements!$B$2:$B$500,A449,StockMovements!$D$2:$D$500,"adjustment")-SUMIFS(StockMovements!$E$2:$E$500,StockMovements!$B$2:$B$500,A449,StockMovements!$D$2:$D$500,"issue")-SUMIFS(StockMovements!$E$2:$E$500,StockMovements!$B$2:$B$500,A449,StockMovements!$D$2:$D$500,"production_out")-SUMIFS(StockMovements!$E$2:$E$500,StockMovements!$B$2:$B$500,A449,StockMovements!$D$2:$D$500,"transfer")-SUMIFS(StockMovements!$E$2:$E$500,StockMovements!$B$2:$B$500,A449,StockMovements!$D$2:$D$500,"scrap"))</f>
        <v/>
      </c>
      <c r="E449" s="11">
        <f>IF(A449="","",Products!E449)</f>
        <v/>
      </c>
      <c r="F449" s="11">
        <f>IF(A449="","",D449*E449)</f>
        <v/>
      </c>
      <c r="G449" s="11">
        <f>IF(A449="","",Products!F449)</f>
        <v/>
      </c>
      <c r="H449" s="11">
        <f>IF(A449="","",IF(D449&lt;G449,"REORDER","OK"))</f>
        <v/>
      </c>
      <c r="I449" s="14">
        <f>IF(A449="","",IFERROR(_xlfn.MAXIFS(StockMovements!$A$2:$A$500,StockMovements!$B$2:$B$500,A449),0))</f>
        <v/>
      </c>
      <c r="J449" s="11">
        <f>IF(OR(A449="",I449=0),"",TODAY()-I449)</f>
        <v/>
      </c>
      <c r="K449" s="11">
        <f>IF(A449="","",IF(I449=0,"never moved",IF(J449&lt;=30,"0-30",IF(J449&lt;=60,"31-60",IF(J449&lt;=90,"61-90","90+")))))</f>
        <v/>
      </c>
    </row>
    <row r="450">
      <c r="A450" s="11">
        <f>Products!A450</f>
        <v/>
      </c>
      <c r="B450" s="11">
        <f>Products!B450</f>
        <v/>
      </c>
      <c r="C450" s="11">
        <f>Products!C450</f>
        <v/>
      </c>
      <c r="D450" s="11">
        <f>IF(A450="","",SUMIFS(StockMovements!$E$2:$E$500,StockMovements!$B$2:$B$500,A450,StockMovements!$D$2:$D$500,"receipt")+SUMIFS(StockMovements!$E$2:$E$500,StockMovements!$B$2:$B$500,A450,StockMovements!$D$2:$D$500,"production_in")+SUMIFS(StockMovements!$E$2:$E$500,StockMovements!$B$2:$B$500,A450,StockMovements!$D$2:$D$500,"adjustment")-SUMIFS(StockMovements!$E$2:$E$500,StockMovements!$B$2:$B$500,A450,StockMovements!$D$2:$D$500,"issue")-SUMIFS(StockMovements!$E$2:$E$500,StockMovements!$B$2:$B$500,A450,StockMovements!$D$2:$D$500,"production_out")-SUMIFS(StockMovements!$E$2:$E$500,StockMovements!$B$2:$B$500,A450,StockMovements!$D$2:$D$500,"transfer")-SUMIFS(StockMovements!$E$2:$E$500,StockMovements!$B$2:$B$500,A450,StockMovements!$D$2:$D$500,"scrap"))</f>
        <v/>
      </c>
      <c r="E450" s="11">
        <f>IF(A450="","",Products!E450)</f>
        <v/>
      </c>
      <c r="F450" s="11">
        <f>IF(A450="","",D450*E450)</f>
        <v/>
      </c>
      <c r="G450" s="11">
        <f>IF(A450="","",Products!F450)</f>
        <v/>
      </c>
      <c r="H450" s="11">
        <f>IF(A450="","",IF(D450&lt;G450,"REORDER","OK"))</f>
        <v/>
      </c>
      <c r="I450" s="14">
        <f>IF(A450="","",IFERROR(_xlfn.MAXIFS(StockMovements!$A$2:$A$500,StockMovements!$B$2:$B$500,A450),0))</f>
        <v/>
      </c>
      <c r="J450" s="11">
        <f>IF(OR(A450="",I450=0),"",TODAY()-I450)</f>
        <v/>
      </c>
      <c r="K450" s="11">
        <f>IF(A450="","",IF(I450=0,"never moved",IF(J450&lt;=30,"0-30",IF(J450&lt;=60,"31-60",IF(J450&lt;=90,"61-90","90+")))))</f>
        <v/>
      </c>
    </row>
    <row r="451">
      <c r="A451" s="11">
        <f>Products!A451</f>
        <v/>
      </c>
      <c r="B451" s="11">
        <f>Products!B451</f>
        <v/>
      </c>
      <c r="C451" s="11">
        <f>Products!C451</f>
        <v/>
      </c>
      <c r="D451" s="11">
        <f>IF(A451="","",SUMIFS(StockMovements!$E$2:$E$500,StockMovements!$B$2:$B$500,A451,StockMovements!$D$2:$D$500,"receipt")+SUMIFS(StockMovements!$E$2:$E$500,StockMovements!$B$2:$B$500,A451,StockMovements!$D$2:$D$500,"production_in")+SUMIFS(StockMovements!$E$2:$E$500,StockMovements!$B$2:$B$500,A451,StockMovements!$D$2:$D$500,"adjustment")-SUMIFS(StockMovements!$E$2:$E$500,StockMovements!$B$2:$B$500,A451,StockMovements!$D$2:$D$500,"issue")-SUMIFS(StockMovements!$E$2:$E$500,StockMovements!$B$2:$B$500,A451,StockMovements!$D$2:$D$500,"production_out")-SUMIFS(StockMovements!$E$2:$E$500,StockMovements!$B$2:$B$500,A451,StockMovements!$D$2:$D$500,"transfer")-SUMIFS(StockMovements!$E$2:$E$500,StockMovements!$B$2:$B$500,A451,StockMovements!$D$2:$D$500,"scrap"))</f>
        <v/>
      </c>
      <c r="E451" s="11">
        <f>IF(A451="","",Products!E451)</f>
        <v/>
      </c>
      <c r="F451" s="11">
        <f>IF(A451="","",D451*E451)</f>
        <v/>
      </c>
      <c r="G451" s="11">
        <f>IF(A451="","",Products!F451)</f>
        <v/>
      </c>
      <c r="H451" s="11">
        <f>IF(A451="","",IF(D451&lt;G451,"REORDER","OK"))</f>
        <v/>
      </c>
      <c r="I451" s="14">
        <f>IF(A451="","",IFERROR(_xlfn.MAXIFS(StockMovements!$A$2:$A$500,StockMovements!$B$2:$B$500,A451),0))</f>
        <v/>
      </c>
      <c r="J451" s="11">
        <f>IF(OR(A451="",I451=0),"",TODAY()-I451)</f>
        <v/>
      </c>
      <c r="K451" s="11">
        <f>IF(A451="","",IF(I451=0,"never moved",IF(J451&lt;=30,"0-30",IF(J451&lt;=60,"31-60",IF(J451&lt;=90,"61-90","90+")))))</f>
        <v/>
      </c>
    </row>
    <row r="452">
      <c r="A452" s="11">
        <f>Products!A452</f>
        <v/>
      </c>
      <c r="B452" s="11">
        <f>Products!B452</f>
        <v/>
      </c>
      <c r="C452" s="11">
        <f>Products!C452</f>
        <v/>
      </c>
      <c r="D452" s="11">
        <f>IF(A452="","",SUMIFS(StockMovements!$E$2:$E$500,StockMovements!$B$2:$B$500,A452,StockMovements!$D$2:$D$500,"receipt")+SUMIFS(StockMovements!$E$2:$E$500,StockMovements!$B$2:$B$500,A452,StockMovements!$D$2:$D$500,"production_in")+SUMIFS(StockMovements!$E$2:$E$500,StockMovements!$B$2:$B$500,A452,StockMovements!$D$2:$D$500,"adjustment")-SUMIFS(StockMovements!$E$2:$E$500,StockMovements!$B$2:$B$500,A452,StockMovements!$D$2:$D$500,"issue")-SUMIFS(StockMovements!$E$2:$E$500,StockMovements!$B$2:$B$500,A452,StockMovements!$D$2:$D$500,"production_out")-SUMIFS(StockMovements!$E$2:$E$500,StockMovements!$B$2:$B$500,A452,StockMovements!$D$2:$D$500,"transfer")-SUMIFS(StockMovements!$E$2:$E$500,StockMovements!$B$2:$B$500,A452,StockMovements!$D$2:$D$500,"scrap"))</f>
        <v/>
      </c>
      <c r="E452" s="11">
        <f>IF(A452="","",Products!E452)</f>
        <v/>
      </c>
      <c r="F452" s="11">
        <f>IF(A452="","",D452*E452)</f>
        <v/>
      </c>
      <c r="G452" s="11">
        <f>IF(A452="","",Products!F452)</f>
        <v/>
      </c>
      <c r="H452" s="11">
        <f>IF(A452="","",IF(D452&lt;G452,"REORDER","OK"))</f>
        <v/>
      </c>
      <c r="I452" s="14">
        <f>IF(A452="","",IFERROR(_xlfn.MAXIFS(StockMovements!$A$2:$A$500,StockMovements!$B$2:$B$500,A452),0))</f>
        <v/>
      </c>
      <c r="J452" s="11">
        <f>IF(OR(A452="",I452=0),"",TODAY()-I452)</f>
        <v/>
      </c>
      <c r="K452" s="11">
        <f>IF(A452="","",IF(I452=0,"never moved",IF(J452&lt;=30,"0-30",IF(J452&lt;=60,"31-60",IF(J452&lt;=90,"61-90","90+")))))</f>
        <v/>
      </c>
    </row>
    <row r="453">
      <c r="A453" s="11">
        <f>Products!A453</f>
        <v/>
      </c>
      <c r="B453" s="11">
        <f>Products!B453</f>
        <v/>
      </c>
      <c r="C453" s="11">
        <f>Products!C453</f>
        <v/>
      </c>
      <c r="D453" s="11">
        <f>IF(A453="","",SUMIFS(StockMovements!$E$2:$E$500,StockMovements!$B$2:$B$500,A453,StockMovements!$D$2:$D$500,"receipt")+SUMIFS(StockMovements!$E$2:$E$500,StockMovements!$B$2:$B$500,A453,StockMovements!$D$2:$D$500,"production_in")+SUMIFS(StockMovements!$E$2:$E$500,StockMovements!$B$2:$B$500,A453,StockMovements!$D$2:$D$500,"adjustment")-SUMIFS(StockMovements!$E$2:$E$500,StockMovements!$B$2:$B$500,A453,StockMovements!$D$2:$D$500,"issue")-SUMIFS(StockMovements!$E$2:$E$500,StockMovements!$B$2:$B$500,A453,StockMovements!$D$2:$D$500,"production_out")-SUMIFS(StockMovements!$E$2:$E$500,StockMovements!$B$2:$B$500,A453,StockMovements!$D$2:$D$500,"transfer")-SUMIFS(StockMovements!$E$2:$E$500,StockMovements!$B$2:$B$500,A453,StockMovements!$D$2:$D$500,"scrap"))</f>
        <v/>
      </c>
      <c r="E453" s="11">
        <f>IF(A453="","",Products!E453)</f>
        <v/>
      </c>
      <c r="F453" s="11">
        <f>IF(A453="","",D453*E453)</f>
        <v/>
      </c>
      <c r="G453" s="11">
        <f>IF(A453="","",Products!F453)</f>
        <v/>
      </c>
      <c r="H453" s="11">
        <f>IF(A453="","",IF(D453&lt;G453,"REORDER","OK"))</f>
        <v/>
      </c>
      <c r="I453" s="14">
        <f>IF(A453="","",IFERROR(_xlfn.MAXIFS(StockMovements!$A$2:$A$500,StockMovements!$B$2:$B$500,A453),0))</f>
        <v/>
      </c>
      <c r="J453" s="11">
        <f>IF(OR(A453="",I453=0),"",TODAY()-I453)</f>
        <v/>
      </c>
      <c r="K453" s="11">
        <f>IF(A453="","",IF(I453=0,"never moved",IF(J453&lt;=30,"0-30",IF(J453&lt;=60,"31-60",IF(J453&lt;=90,"61-90","90+")))))</f>
        <v/>
      </c>
    </row>
    <row r="454">
      <c r="A454" s="11">
        <f>Products!A454</f>
        <v/>
      </c>
      <c r="B454" s="11">
        <f>Products!B454</f>
        <v/>
      </c>
      <c r="C454" s="11">
        <f>Products!C454</f>
        <v/>
      </c>
      <c r="D454" s="11">
        <f>IF(A454="","",SUMIFS(StockMovements!$E$2:$E$500,StockMovements!$B$2:$B$500,A454,StockMovements!$D$2:$D$500,"receipt")+SUMIFS(StockMovements!$E$2:$E$500,StockMovements!$B$2:$B$500,A454,StockMovements!$D$2:$D$500,"production_in")+SUMIFS(StockMovements!$E$2:$E$500,StockMovements!$B$2:$B$500,A454,StockMovements!$D$2:$D$500,"adjustment")-SUMIFS(StockMovements!$E$2:$E$500,StockMovements!$B$2:$B$500,A454,StockMovements!$D$2:$D$500,"issue")-SUMIFS(StockMovements!$E$2:$E$500,StockMovements!$B$2:$B$500,A454,StockMovements!$D$2:$D$500,"production_out")-SUMIFS(StockMovements!$E$2:$E$500,StockMovements!$B$2:$B$500,A454,StockMovements!$D$2:$D$500,"transfer")-SUMIFS(StockMovements!$E$2:$E$500,StockMovements!$B$2:$B$500,A454,StockMovements!$D$2:$D$500,"scrap"))</f>
        <v/>
      </c>
      <c r="E454" s="11">
        <f>IF(A454="","",Products!E454)</f>
        <v/>
      </c>
      <c r="F454" s="11">
        <f>IF(A454="","",D454*E454)</f>
        <v/>
      </c>
      <c r="G454" s="11">
        <f>IF(A454="","",Products!F454)</f>
        <v/>
      </c>
      <c r="H454" s="11">
        <f>IF(A454="","",IF(D454&lt;G454,"REORDER","OK"))</f>
        <v/>
      </c>
      <c r="I454" s="14">
        <f>IF(A454="","",IFERROR(_xlfn.MAXIFS(StockMovements!$A$2:$A$500,StockMovements!$B$2:$B$500,A454),0))</f>
        <v/>
      </c>
      <c r="J454" s="11">
        <f>IF(OR(A454="",I454=0),"",TODAY()-I454)</f>
        <v/>
      </c>
      <c r="K454" s="11">
        <f>IF(A454="","",IF(I454=0,"never moved",IF(J454&lt;=30,"0-30",IF(J454&lt;=60,"31-60",IF(J454&lt;=90,"61-90","90+")))))</f>
        <v/>
      </c>
    </row>
    <row r="455">
      <c r="A455" s="11">
        <f>Products!A455</f>
        <v/>
      </c>
      <c r="B455" s="11">
        <f>Products!B455</f>
        <v/>
      </c>
      <c r="C455" s="11">
        <f>Products!C455</f>
        <v/>
      </c>
      <c r="D455" s="11">
        <f>IF(A455="","",SUMIFS(StockMovements!$E$2:$E$500,StockMovements!$B$2:$B$500,A455,StockMovements!$D$2:$D$500,"receipt")+SUMIFS(StockMovements!$E$2:$E$500,StockMovements!$B$2:$B$500,A455,StockMovements!$D$2:$D$500,"production_in")+SUMIFS(StockMovements!$E$2:$E$500,StockMovements!$B$2:$B$500,A455,StockMovements!$D$2:$D$500,"adjustment")-SUMIFS(StockMovements!$E$2:$E$500,StockMovements!$B$2:$B$500,A455,StockMovements!$D$2:$D$500,"issue")-SUMIFS(StockMovements!$E$2:$E$500,StockMovements!$B$2:$B$500,A455,StockMovements!$D$2:$D$500,"production_out")-SUMIFS(StockMovements!$E$2:$E$500,StockMovements!$B$2:$B$500,A455,StockMovements!$D$2:$D$500,"transfer")-SUMIFS(StockMovements!$E$2:$E$500,StockMovements!$B$2:$B$500,A455,StockMovements!$D$2:$D$500,"scrap"))</f>
        <v/>
      </c>
      <c r="E455" s="11">
        <f>IF(A455="","",Products!E455)</f>
        <v/>
      </c>
      <c r="F455" s="11">
        <f>IF(A455="","",D455*E455)</f>
        <v/>
      </c>
      <c r="G455" s="11">
        <f>IF(A455="","",Products!F455)</f>
        <v/>
      </c>
      <c r="H455" s="11">
        <f>IF(A455="","",IF(D455&lt;G455,"REORDER","OK"))</f>
        <v/>
      </c>
      <c r="I455" s="14">
        <f>IF(A455="","",IFERROR(_xlfn.MAXIFS(StockMovements!$A$2:$A$500,StockMovements!$B$2:$B$500,A455),0))</f>
        <v/>
      </c>
      <c r="J455" s="11">
        <f>IF(OR(A455="",I455=0),"",TODAY()-I455)</f>
        <v/>
      </c>
      <c r="K455" s="11">
        <f>IF(A455="","",IF(I455=0,"never moved",IF(J455&lt;=30,"0-30",IF(J455&lt;=60,"31-60",IF(J455&lt;=90,"61-90","90+")))))</f>
        <v/>
      </c>
    </row>
    <row r="456">
      <c r="A456" s="11">
        <f>Products!A456</f>
        <v/>
      </c>
      <c r="B456" s="11">
        <f>Products!B456</f>
        <v/>
      </c>
      <c r="C456" s="11">
        <f>Products!C456</f>
        <v/>
      </c>
      <c r="D456" s="11">
        <f>IF(A456="","",SUMIFS(StockMovements!$E$2:$E$500,StockMovements!$B$2:$B$500,A456,StockMovements!$D$2:$D$500,"receipt")+SUMIFS(StockMovements!$E$2:$E$500,StockMovements!$B$2:$B$500,A456,StockMovements!$D$2:$D$500,"production_in")+SUMIFS(StockMovements!$E$2:$E$500,StockMovements!$B$2:$B$500,A456,StockMovements!$D$2:$D$500,"adjustment")-SUMIFS(StockMovements!$E$2:$E$500,StockMovements!$B$2:$B$500,A456,StockMovements!$D$2:$D$500,"issue")-SUMIFS(StockMovements!$E$2:$E$500,StockMovements!$B$2:$B$500,A456,StockMovements!$D$2:$D$500,"production_out")-SUMIFS(StockMovements!$E$2:$E$500,StockMovements!$B$2:$B$500,A456,StockMovements!$D$2:$D$500,"transfer")-SUMIFS(StockMovements!$E$2:$E$500,StockMovements!$B$2:$B$500,A456,StockMovements!$D$2:$D$500,"scrap"))</f>
        <v/>
      </c>
      <c r="E456" s="11">
        <f>IF(A456="","",Products!E456)</f>
        <v/>
      </c>
      <c r="F456" s="11">
        <f>IF(A456="","",D456*E456)</f>
        <v/>
      </c>
      <c r="G456" s="11">
        <f>IF(A456="","",Products!F456)</f>
        <v/>
      </c>
      <c r="H456" s="11">
        <f>IF(A456="","",IF(D456&lt;G456,"REORDER","OK"))</f>
        <v/>
      </c>
      <c r="I456" s="14">
        <f>IF(A456="","",IFERROR(_xlfn.MAXIFS(StockMovements!$A$2:$A$500,StockMovements!$B$2:$B$500,A456),0))</f>
        <v/>
      </c>
      <c r="J456" s="11">
        <f>IF(OR(A456="",I456=0),"",TODAY()-I456)</f>
        <v/>
      </c>
      <c r="K456" s="11">
        <f>IF(A456="","",IF(I456=0,"never moved",IF(J456&lt;=30,"0-30",IF(J456&lt;=60,"31-60",IF(J456&lt;=90,"61-90","90+")))))</f>
        <v/>
      </c>
    </row>
    <row r="457">
      <c r="A457" s="11">
        <f>Products!A457</f>
        <v/>
      </c>
      <c r="B457" s="11">
        <f>Products!B457</f>
        <v/>
      </c>
      <c r="C457" s="11">
        <f>Products!C457</f>
        <v/>
      </c>
      <c r="D457" s="11">
        <f>IF(A457="","",SUMIFS(StockMovements!$E$2:$E$500,StockMovements!$B$2:$B$500,A457,StockMovements!$D$2:$D$500,"receipt")+SUMIFS(StockMovements!$E$2:$E$500,StockMovements!$B$2:$B$500,A457,StockMovements!$D$2:$D$500,"production_in")+SUMIFS(StockMovements!$E$2:$E$500,StockMovements!$B$2:$B$500,A457,StockMovements!$D$2:$D$500,"adjustment")-SUMIFS(StockMovements!$E$2:$E$500,StockMovements!$B$2:$B$500,A457,StockMovements!$D$2:$D$500,"issue")-SUMIFS(StockMovements!$E$2:$E$500,StockMovements!$B$2:$B$500,A457,StockMovements!$D$2:$D$500,"production_out")-SUMIFS(StockMovements!$E$2:$E$500,StockMovements!$B$2:$B$500,A457,StockMovements!$D$2:$D$500,"transfer")-SUMIFS(StockMovements!$E$2:$E$500,StockMovements!$B$2:$B$500,A457,StockMovements!$D$2:$D$500,"scrap"))</f>
        <v/>
      </c>
      <c r="E457" s="11">
        <f>IF(A457="","",Products!E457)</f>
        <v/>
      </c>
      <c r="F457" s="11">
        <f>IF(A457="","",D457*E457)</f>
        <v/>
      </c>
      <c r="G457" s="11">
        <f>IF(A457="","",Products!F457)</f>
        <v/>
      </c>
      <c r="H457" s="11">
        <f>IF(A457="","",IF(D457&lt;G457,"REORDER","OK"))</f>
        <v/>
      </c>
      <c r="I457" s="14">
        <f>IF(A457="","",IFERROR(_xlfn.MAXIFS(StockMovements!$A$2:$A$500,StockMovements!$B$2:$B$500,A457),0))</f>
        <v/>
      </c>
      <c r="J457" s="11">
        <f>IF(OR(A457="",I457=0),"",TODAY()-I457)</f>
        <v/>
      </c>
      <c r="K457" s="11">
        <f>IF(A457="","",IF(I457=0,"never moved",IF(J457&lt;=30,"0-30",IF(J457&lt;=60,"31-60",IF(J457&lt;=90,"61-90","90+")))))</f>
        <v/>
      </c>
    </row>
    <row r="458">
      <c r="A458" s="11">
        <f>Products!A458</f>
        <v/>
      </c>
      <c r="B458" s="11">
        <f>Products!B458</f>
        <v/>
      </c>
      <c r="C458" s="11">
        <f>Products!C458</f>
        <v/>
      </c>
      <c r="D458" s="11">
        <f>IF(A458="","",SUMIFS(StockMovements!$E$2:$E$500,StockMovements!$B$2:$B$500,A458,StockMovements!$D$2:$D$500,"receipt")+SUMIFS(StockMovements!$E$2:$E$500,StockMovements!$B$2:$B$500,A458,StockMovements!$D$2:$D$500,"production_in")+SUMIFS(StockMovements!$E$2:$E$500,StockMovements!$B$2:$B$500,A458,StockMovements!$D$2:$D$500,"adjustment")-SUMIFS(StockMovements!$E$2:$E$500,StockMovements!$B$2:$B$500,A458,StockMovements!$D$2:$D$500,"issue")-SUMIFS(StockMovements!$E$2:$E$500,StockMovements!$B$2:$B$500,A458,StockMovements!$D$2:$D$500,"production_out")-SUMIFS(StockMovements!$E$2:$E$500,StockMovements!$B$2:$B$500,A458,StockMovements!$D$2:$D$500,"transfer")-SUMIFS(StockMovements!$E$2:$E$500,StockMovements!$B$2:$B$500,A458,StockMovements!$D$2:$D$500,"scrap"))</f>
        <v/>
      </c>
      <c r="E458" s="11">
        <f>IF(A458="","",Products!E458)</f>
        <v/>
      </c>
      <c r="F458" s="11">
        <f>IF(A458="","",D458*E458)</f>
        <v/>
      </c>
      <c r="G458" s="11">
        <f>IF(A458="","",Products!F458)</f>
        <v/>
      </c>
      <c r="H458" s="11">
        <f>IF(A458="","",IF(D458&lt;G458,"REORDER","OK"))</f>
        <v/>
      </c>
      <c r="I458" s="14">
        <f>IF(A458="","",IFERROR(_xlfn.MAXIFS(StockMovements!$A$2:$A$500,StockMovements!$B$2:$B$500,A458),0))</f>
        <v/>
      </c>
      <c r="J458" s="11">
        <f>IF(OR(A458="",I458=0),"",TODAY()-I458)</f>
        <v/>
      </c>
      <c r="K458" s="11">
        <f>IF(A458="","",IF(I458=0,"never moved",IF(J458&lt;=30,"0-30",IF(J458&lt;=60,"31-60",IF(J458&lt;=90,"61-90","90+")))))</f>
        <v/>
      </c>
    </row>
    <row r="459">
      <c r="A459" s="11">
        <f>Products!A459</f>
        <v/>
      </c>
      <c r="B459" s="11">
        <f>Products!B459</f>
        <v/>
      </c>
      <c r="C459" s="11">
        <f>Products!C459</f>
        <v/>
      </c>
      <c r="D459" s="11">
        <f>IF(A459="","",SUMIFS(StockMovements!$E$2:$E$500,StockMovements!$B$2:$B$500,A459,StockMovements!$D$2:$D$500,"receipt")+SUMIFS(StockMovements!$E$2:$E$500,StockMovements!$B$2:$B$500,A459,StockMovements!$D$2:$D$500,"production_in")+SUMIFS(StockMovements!$E$2:$E$500,StockMovements!$B$2:$B$500,A459,StockMovements!$D$2:$D$500,"adjustment")-SUMIFS(StockMovements!$E$2:$E$500,StockMovements!$B$2:$B$500,A459,StockMovements!$D$2:$D$500,"issue")-SUMIFS(StockMovements!$E$2:$E$500,StockMovements!$B$2:$B$500,A459,StockMovements!$D$2:$D$500,"production_out")-SUMIFS(StockMovements!$E$2:$E$500,StockMovements!$B$2:$B$500,A459,StockMovements!$D$2:$D$500,"transfer")-SUMIFS(StockMovements!$E$2:$E$500,StockMovements!$B$2:$B$500,A459,StockMovements!$D$2:$D$500,"scrap"))</f>
        <v/>
      </c>
      <c r="E459" s="11">
        <f>IF(A459="","",Products!E459)</f>
        <v/>
      </c>
      <c r="F459" s="11">
        <f>IF(A459="","",D459*E459)</f>
        <v/>
      </c>
      <c r="G459" s="11">
        <f>IF(A459="","",Products!F459)</f>
        <v/>
      </c>
      <c r="H459" s="11">
        <f>IF(A459="","",IF(D459&lt;G459,"REORDER","OK"))</f>
        <v/>
      </c>
      <c r="I459" s="14">
        <f>IF(A459="","",IFERROR(_xlfn.MAXIFS(StockMovements!$A$2:$A$500,StockMovements!$B$2:$B$500,A459),0))</f>
        <v/>
      </c>
      <c r="J459" s="11">
        <f>IF(OR(A459="",I459=0),"",TODAY()-I459)</f>
        <v/>
      </c>
      <c r="K459" s="11">
        <f>IF(A459="","",IF(I459=0,"never moved",IF(J459&lt;=30,"0-30",IF(J459&lt;=60,"31-60",IF(J459&lt;=90,"61-90","90+")))))</f>
        <v/>
      </c>
    </row>
    <row r="460">
      <c r="A460" s="11">
        <f>Products!A460</f>
        <v/>
      </c>
      <c r="B460" s="11">
        <f>Products!B460</f>
        <v/>
      </c>
      <c r="C460" s="11">
        <f>Products!C460</f>
        <v/>
      </c>
      <c r="D460" s="11">
        <f>IF(A460="","",SUMIFS(StockMovements!$E$2:$E$500,StockMovements!$B$2:$B$500,A460,StockMovements!$D$2:$D$500,"receipt")+SUMIFS(StockMovements!$E$2:$E$500,StockMovements!$B$2:$B$500,A460,StockMovements!$D$2:$D$500,"production_in")+SUMIFS(StockMovements!$E$2:$E$500,StockMovements!$B$2:$B$500,A460,StockMovements!$D$2:$D$500,"adjustment")-SUMIFS(StockMovements!$E$2:$E$500,StockMovements!$B$2:$B$500,A460,StockMovements!$D$2:$D$500,"issue")-SUMIFS(StockMovements!$E$2:$E$500,StockMovements!$B$2:$B$500,A460,StockMovements!$D$2:$D$500,"production_out")-SUMIFS(StockMovements!$E$2:$E$500,StockMovements!$B$2:$B$500,A460,StockMovements!$D$2:$D$500,"transfer")-SUMIFS(StockMovements!$E$2:$E$500,StockMovements!$B$2:$B$500,A460,StockMovements!$D$2:$D$500,"scrap"))</f>
        <v/>
      </c>
      <c r="E460" s="11">
        <f>IF(A460="","",Products!E460)</f>
        <v/>
      </c>
      <c r="F460" s="11">
        <f>IF(A460="","",D460*E460)</f>
        <v/>
      </c>
      <c r="G460" s="11">
        <f>IF(A460="","",Products!F460)</f>
        <v/>
      </c>
      <c r="H460" s="11">
        <f>IF(A460="","",IF(D460&lt;G460,"REORDER","OK"))</f>
        <v/>
      </c>
      <c r="I460" s="14">
        <f>IF(A460="","",IFERROR(_xlfn.MAXIFS(StockMovements!$A$2:$A$500,StockMovements!$B$2:$B$500,A460),0))</f>
        <v/>
      </c>
      <c r="J460" s="11">
        <f>IF(OR(A460="",I460=0),"",TODAY()-I460)</f>
        <v/>
      </c>
      <c r="K460" s="11">
        <f>IF(A460="","",IF(I460=0,"never moved",IF(J460&lt;=30,"0-30",IF(J460&lt;=60,"31-60",IF(J460&lt;=90,"61-90","90+")))))</f>
        <v/>
      </c>
    </row>
    <row r="461">
      <c r="A461" s="11">
        <f>Products!A461</f>
        <v/>
      </c>
      <c r="B461" s="11">
        <f>Products!B461</f>
        <v/>
      </c>
      <c r="C461" s="11">
        <f>Products!C461</f>
        <v/>
      </c>
      <c r="D461" s="11">
        <f>IF(A461="","",SUMIFS(StockMovements!$E$2:$E$500,StockMovements!$B$2:$B$500,A461,StockMovements!$D$2:$D$500,"receipt")+SUMIFS(StockMovements!$E$2:$E$500,StockMovements!$B$2:$B$500,A461,StockMovements!$D$2:$D$500,"production_in")+SUMIFS(StockMovements!$E$2:$E$500,StockMovements!$B$2:$B$500,A461,StockMovements!$D$2:$D$500,"adjustment")-SUMIFS(StockMovements!$E$2:$E$500,StockMovements!$B$2:$B$500,A461,StockMovements!$D$2:$D$500,"issue")-SUMIFS(StockMovements!$E$2:$E$500,StockMovements!$B$2:$B$500,A461,StockMovements!$D$2:$D$500,"production_out")-SUMIFS(StockMovements!$E$2:$E$500,StockMovements!$B$2:$B$500,A461,StockMovements!$D$2:$D$500,"transfer")-SUMIFS(StockMovements!$E$2:$E$500,StockMovements!$B$2:$B$500,A461,StockMovements!$D$2:$D$500,"scrap"))</f>
        <v/>
      </c>
      <c r="E461" s="11">
        <f>IF(A461="","",Products!E461)</f>
        <v/>
      </c>
      <c r="F461" s="11">
        <f>IF(A461="","",D461*E461)</f>
        <v/>
      </c>
      <c r="G461" s="11">
        <f>IF(A461="","",Products!F461)</f>
        <v/>
      </c>
      <c r="H461" s="11">
        <f>IF(A461="","",IF(D461&lt;G461,"REORDER","OK"))</f>
        <v/>
      </c>
      <c r="I461" s="14">
        <f>IF(A461="","",IFERROR(_xlfn.MAXIFS(StockMovements!$A$2:$A$500,StockMovements!$B$2:$B$500,A461),0))</f>
        <v/>
      </c>
      <c r="J461" s="11">
        <f>IF(OR(A461="",I461=0),"",TODAY()-I461)</f>
        <v/>
      </c>
      <c r="K461" s="11">
        <f>IF(A461="","",IF(I461=0,"never moved",IF(J461&lt;=30,"0-30",IF(J461&lt;=60,"31-60",IF(J461&lt;=90,"61-90","90+")))))</f>
        <v/>
      </c>
    </row>
    <row r="462">
      <c r="A462" s="11">
        <f>Products!A462</f>
        <v/>
      </c>
      <c r="B462" s="11">
        <f>Products!B462</f>
        <v/>
      </c>
      <c r="C462" s="11">
        <f>Products!C462</f>
        <v/>
      </c>
      <c r="D462" s="11">
        <f>IF(A462="","",SUMIFS(StockMovements!$E$2:$E$500,StockMovements!$B$2:$B$500,A462,StockMovements!$D$2:$D$500,"receipt")+SUMIFS(StockMovements!$E$2:$E$500,StockMovements!$B$2:$B$500,A462,StockMovements!$D$2:$D$500,"production_in")+SUMIFS(StockMovements!$E$2:$E$500,StockMovements!$B$2:$B$500,A462,StockMovements!$D$2:$D$500,"adjustment")-SUMIFS(StockMovements!$E$2:$E$500,StockMovements!$B$2:$B$500,A462,StockMovements!$D$2:$D$500,"issue")-SUMIFS(StockMovements!$E$2:$E$500,StockMovements!$B$2:$B$500,A462,StockMovements!$D$2:$D$500,"production_out")-SUMIFS(StockMovements!$E$2:$E$500,StockMovements!$B$2:$B$500,A462,StockMovements!$D$2:$D$500,"transfer")-SUMIFS(StockMovements!$E$2:$E$500,StockMovements!$B$2:$B$500,A462,StockMovements!$D$2:$D$500,"scrap"))</f>
        <v/>
      </c>
      <c r="E462" s="11">
        <f>IF(A462="","",Products!E462)</f>
        <v/>
      </c>
      <c r="F462" s="11">
        <f>IF(A462="","",D462*E462)</f>
        <v/>
      </c>
      <c r="G462" s="11">
        <f>IF(A462="","",Products!F462)</f>
        <v/>
      </c>
      <c r="H462" s="11">
        <f>IF(A462="","",IF(D462&lt;G462,"REORDER","OK"))</f>
        <v/>
      </c>
      <c r="I462" s="14">
        <f>IF(A462="","",IFERROR(_xlfn.MAXIFS(StockMovements!$A$2:$A$500,StockMovements!$B$2:$B$500,A462),0))</f>
        <v/>
      </c>
      <c r="J462" s="11">
        <f>IF(OR(A462="",I462=0),"",TODAY()-I462)</f>
        <v/>
      </c>
      <c r="K462" s="11">
        <f>IF(A462="","",IF(I462=0,"never moved",IF(J462&lt;=30,"0-30",IF(J462&lt;=60,"31-60",IF(J462&lt;=90,"61-90","90+")))))</f>
        <v/>
      </c>
    </row>
    <row r="463">
      <c r="A463" s="11">
        <f>Products!A463</f>
        <v/>
      </c>
      <c r="B463" s="11">
        <f>Products!B463</f>
        <v/>
      </c>
      <c r="C463" s="11">
        <f>Products!C463</f>
        <v/>
      </c>
      <c r="D463" s="11">
        <f>IF(A463="","",SUMIFS(StockMovements!$E$2:$E$500,StockMovements!$B$2:$B$500,A463,StockMovements!$D$2:$D$500,"receipt")+SUMIFS(StockMovements!$E$2:$E$500,StockMovements!$B$2:$B$500,A463,StockMovements!$D$2:$D$500,"production_in")+SUMIFS(StockMovements!$E$2:$E$500,StockMovements!$B$2:$B$500,A463,StockMovements!$D$2:$D$500,"adjustment")-SUMIFS(StockMovements!$E$2:$E$500,StockMovements!$B$2:$B$500,A463,StockMovements!$D$2:$D$500,"issue")-SUMIFS(StockMovements!$E$2:$E$500,StockMovements!$B$2:$B$500,A463,StockMovements!$D$2:$D$500,"production_out")-SUMIFS(StockMovements!$E$2:$E$500,StockMovements!$B$2:$B$500,A463,StockMovements!$D$2:$D$500,"transfer")-SUMIFS(StockMovements!$E$2:$E$500,StockMovements!$B$2:$B$500,A463,StockMovements!$D$2:$D$500,"scrap"))</f>
        <v/>
      </c>
      <c r="E463" s="11">
        <f>IF(A463="","",Products!E463)</f>
        <v/>
      </c>
      <c r="F463" s="11">
        <f>IF(A463="","",D463*E463)</f>
        <v/>
      </c>
      <c r="G463" s="11">
        <f>IF(A463="","",Products!F463)</f>
        <v/>
      </c>
      <c r="H463" s="11">
        <f>IF(A463="","",IF(D463&lt;G463,"REORDER","OK"))</f>
        <v/>
      </c>
      <c r="I463" s="14">
        <f>IF(A463="","",IFERROR(_xlfn.MAXIFS(StockMovements!$A$2:$A$500,StockMovements!$B$2:$B$500,A463),0))</f>
        <v/>
      </c>
      <c r="J463" s="11">
        <f>IF(OR(A463="",I463=0),"",TODAY()-I463)</f>
        <v/>
      </c>
      <c r="K463" s="11">
        <f>IF(A463="","",IF(I463=0,"never moved",IF(J463&lt;=30,"0-30",IF(J463&lt;=60,"31-60",IF(J463&lt;=90,"61-90","90+")))))</f>
        <v/>
      </c>
    </row>
    <row r="464">
      <c r="A464" s="11">
        <f>Products!A464</f>
        <v/>
      </c>
      <c r="B464" s="11">
        <f>Products!B464</f>
        <v/>
      </c>
      <c r="C464" s="11">
        <f>Products!C464</f>
        <v/>
      </c>
      <c r="D464" s="11">
        <f>IF(A464="","",SUMIFS(StockMovements!$E$2:$E$500,StockMovements!$B$2:$B$500,A464,StockMovements!$D$2:$D$500,"receipt")+SUMIFS(StockMovements!$E$2:$E$500,StockMovements!$B$2:$B$500,A464,StockMovements!$D$2:$D$500,"production_in")+SUMIFS(StockMovements!$E$2:$E$500,StockMovements!$B$2:$B$500,A464,StockMovements!$D$2:$D$500,"adjustment")-SUMIFS(StockMovements!$E$2:$E$500,StockMovements!$B$2:$B$500,A464,StockMovements!$D$2:$D$500,"issue")-SUMIFS(StockMovements!$E$2:$E$500,StockMovements!$B$2:$B$500,A464,StockMovements!$D$2:$D$500,"production_out")-SUMIFS(StockMovements!$E$2:$E$500,StockMovements!$B$2:$B$500,A464,StockMovements!$D$2:$D$500,"transfer")-SUMIFS(StockMovements!$E$2:$E$500,StockMovements!$B$2:$B$500,A464,StockMovements!$D$2:$D$500,"scrap"))</f>
        <v/>
      </c>
      <c r="E464" s="11">
        <f>IF(A464="","",Products!E464)</f>
        <v/>
      </c>
      <c r="F464" s="11">
        <f>IF(A464="","",D464*E464)</f>
        <v/>
      </c>
      <c r="G464" s="11">
        <f>IF(A464="","",Products!F464)</f>
        <v/>
      </c>
      <c r="H464" s="11">
        <f>IF(A464="","",IF(D464&lt;G464,"REORDER","OK"))</f>
        <v/>
      </c>
      <c r="I464" s="14">
        <f>IF(A464="","",IFERROR(_xlfn.MAXIFS(StockMovements!$A$2:$A$500,StockMovements!$B$2:$B$500,A464),0))</f>
        <v/>
      </c>
      <c r="J464" s="11">
        <f>IF(OR(A464="",I464=0),"",TODAY()-I464)</f>
        <v/>
      </c>
      <c r="K464" s="11">
        <f>IF(A464="","",IF(I464=0,"never moved",IF(J464&lt;=30,"0-30",IF(J464&lt;=60,"31-60",IF(J464&lt;=90,"61-90","90+")))))</f>
        <v/>
      </c>
    </row>
    <row r="465">
      <c r="A465" s="11">
        <f>Products!A465</f>
        <v/>
      </c>
      <c r="B465" s="11">
        <f>Products!B465</f>
        <v/>
      </c>
      <c r="C465" s="11">
        <f>Products!C465</f>
        <v/>
      </c>
      <c r="D465" s="11">
        <f>IF(A465="","",SUMIFS(StockMovements!$E$2:$E$500,StockMovements!$B$2:$B$500,A465,StockMovements!$D$2:$D$500,"receipt")+SUMIFS(StockMovements!$E$2:$E$500,StockMovements!$B$2:$B$500,A465,StockMovements!$D$2:$D$500,"production_in")+SUMIFS(StockMovements!$E$2:$E$500,StockMovements!$B$2:$B$500,A465,StockMovements!$D$2:$D$500,"adjustment")-SUMIFS(StockMovements!$E$2:$E$500,StockMovements!$B$2:$B$500,A465,StockMovements!$D$2:$D$500,"issue")-SUMIFS(StockMovements!$E$2:$E$500,StockMovements!$B$2:$B$500,A465,StockMovements!$D$2:$D$500,"production_out")-SUMIFS(StockMovements!$E$2:$E$500,StockMovements!$B$2:$B$500,A465,StockMovements!$D$2:$D$500,"transfer")-SUMIFS(StockMovements!$E$2:$E$500,StockMovements!$B$2:$B$500,A465,StockMovements!$D$2:$D$500,"scrap"))</f>
        <v/>
      </c>
      <c r="E465" s="11">
        <f>IF(A465="","",Products!E465)</f>
        <v/>
      </c>
      <c r="F465" s="11">
        <f>IF(A465="","",D465*E465)</f>
        <v/>
      </c>
      <c r="G465" s="11">
        <f>IF(A465="","",Products!F465)</f>
        <v/>
      </c>
      <c r="H465" s="11">
        <f>IF(A465="","",IF(D465&lt;G465,"REORDER","OK"))</f>
        <v/>
      </c>
      <c r="I465" s="14">
        <f>IF(A465="","",IFERROR(_xlfn.MAXIFS(StockMovements!$A$2:$A$500,StockMovements!$B$2:$B$500,A465),0))</f>
        <v/>
      </c>
      <c r="J465" s="11">
        <f>IF(OR(A465="",I465=0),"",TODAY()-I465)</f>
        <v/>
      </c>
      <c r="K465" s="11">
        <f>IF(A465="","",IF(I465=0,"never moved",IF(J465&lt;=30,"0-30",IF(J465&lt;=60,"31-60",IF(J465&lt;=90,"61-90","90+")))))</f>
        <v/>
      </c>
    </row>
    <row r="466">
      <c r="A466" s="11">
        <f>Products!A466</f>
        <v/>
      </c>
      <c r="B466" s="11">
        <f>Products!B466</f>
        <v/>
      </c>
      <c r="C466" s="11">
        <f>Products!C466</f>
        <v/>
      </c>
      <c r="D466" s="11">
        <f>IF(A466="","",SUMIFS(StockMovements!$E$2:$E$500,StockMovements!$B$2:$B$500,A466,StockMovements!$D$2:$D$500,"receipt")+SUMIFS(StockMovements!$E$2:$E$500,StockMovements!$B$2:$B$500,A466,StockMovements!$D$2:$D$500,"production_in")+SUMIFS(StockMovements!$E$2:$E$500,StockMovements!$B$2:$B$500,A466,StockMovements!$D$2:$D$500,"adjustment")-SUMIFS(StockMovements!$E$2:$E$500,StockMovements!$B$2:$B$500,A466,StockMovements!$D$2:$D$500,"issue")-SUMIFS(StockMovements!$E$2:$E$500,StockMovements!$B$2:$B$500,A466,StockMovements!$D$2:$D$500,"production_out")-SUMIFS(StockMovements!$E$2:$E$500,StockMovements!$B$2:$B$500,A466,StockMovements!$D$2:$D$500,"transfer")-SUMIFS(StockMovements!$E$2:$E$500,StockMovements!$B$2:$B$500,A466,StockMovements!$D$2:$D$500,"scrap"))</f>
        <v/>
      </c>
      <c r="E466" s="11">
        <f>IF(A466="","",Products!E466)</f>
        <v/>
      </c>
      <c r="F466" s="11">
        <f>IF(A466="","",D466*E466)</f>
        <v/>
      </c>
      <c r="G466" s="11">
        <f>IF(A466="","",Products!F466)</f>
        <v/>
      </c>
      <c r="H466" s="11">
        <f>IF(A466="","",IF(D466&lt;G466,"REORDER","OK"))</f>
        <v/>
      </c>
      <c r="I466" s="14">
        <f>IF(A466="","",IFERROR(_xlfn.MAXIFS(StockMovements!$A$2:$A$500,StockMovements!$B$2:$B$500,A466),0))</f>
        <v/>
      </c>
      <c r="J466" s="11">
        <f>IF(OR(A466="",I466=0),"",TODAY()-I466)</f>
        <v/>
      </c>
      <c r="K466" s="11">
        <f>IF(A466="","",IF(I466=0,"never moved",IF(J466&lt;=30,"0-30",IF(J466&lt;=60,"31-60",IF(J466&lt;=90,"61-90","90+")))))</f>
        <v/>
      </c>
    </row>
    <row r="467">
      <c r="A467" s="11">
        <f>Products!A467</f>
        <v/>
      </c>
      <c r="B467" s="11">
        <f>Products!B467</f>
        <v/>
      </c>
      <c r="C467" s="11">
        <f>Products!C467</f>
        <v/>
      </c>
      <c r="D467" s="11">
        <f>IF(A467="","",SUMIFS(StockMovements!$E$2:$E$500,StockMovements!$B$2:$B$500,A467,StockMovements!$D$2:$D$500,"receipt")+SUMIFS(StockMovements!$E$2:$E$500,StockMovements!$B$2:$B$500,A467,StockMovements!$D$2:$D$500,"production_in")+SUMIFS(StockMovements!$E$2:$E$500,StockMovements!$B$2:$B$500,A467,StockMovements!$D$2:$D$500,"adjustment")-SUMIFS(StockMovements!$E$2:$E$500,StockMovements!$B$2:$B$500,A467,StockMovements!$D$2:$D$500,"issue")-SUMIFS(StockMovements!$E$2:$E$500,StockMovements!$B$2:$B$500,A467,StockMovements!$D$2:$D$500,"production_out")-SUMIFS(StockMovements!$E$2:$E$500,StockMovements!$B$2:$B$500,A467,StockMovements!$D$2:$D$500,"transfer")-SUMIFS(StockMovements!$E$2:$E$500,StockMovements!$B$2:$B$500,A467,StockMovements!$D$2:$D$500,"scrap"))</f>
        <v/>
      </c>
      <c r="E467" s="11">
        <f>IF(A467="","",Products!E467)</f>
        <v/>
      </c>
      <c r="F467" s="11">
        <f>IF(A467="","",D467*E467)</f>
        <v/>
      </c>
      <c r="G467" s="11">
        <f>IF(A467="","",Products!F467)</f>
        <v/>
      </c>
      <c r="H467" s="11">
        <f>IF(A467="","",IF(D467&lt;G467,"REORDER","OK"))</f>
        <v/>
      </c>
      <c r="I467" s="14">
        <f>IF(A467="","",IFERROR(_xlfn.MAXIFS(StockMovements!$A$2:$A$500,StockMovements!$B$2:$B$500,A467),0))</f>
        <v/>
      </c>
      <c r="J467" s="11">
        <f>IF(OR(A467="",I467=0),"",TODAY()-I467)</f>
        <v/>
      </c>
      <c r="K467" s="11">
        <f>IF(A467="","",IF(I467=0,"never moved",IF(J467&lt;=30,"0-30",IF(J467&lt;=60,"31-60",IF(J467&lt;=90,"61-90","90+")))))</f>
        <v/>
      </c>
    </row>
    <row r="468">
      <c r="A468" s="11">
        <f>Products!A468</f>
        <v/>
      </c>
      <c r="B468" s="11">
        <f>Products!B468</f>
        <v/>
      </c>
      <c r="C468" s="11">
        <f>Products!C468</f>
        <v/>
      </c>
      <c r="D468" s="11">
        <f>IF(A468="","",SUMIFS(StockMovements!$E$2:$E$500,StockMovements!$B$2:$B$500,A468,StockMovements!$D$2:$D$500,"receipt")+SUMIFS(StockMovements!$E$2:$E$500,StockMovements!$B$2:$B$500,A468,StockMovements!$D$2:$D$500,"production_in")+SUMIFS(StockMovements!$E$2:$E$500,StockMovements!$B$2:$B$500,A468,StockMovements!$D$2:$D$500,"adjustment")-SUMIFS(StockMovements!$E$2:$E$500,StockMovements!$B$2:$B$500,A468,StockMovements!$D$2:$D$500,"issue")-SUMIFS(StockMovements!$E$2:$E$500,StockMovements!$B$2:$B$500,A468,StockMovements!$D$2:$D$500,"production_out")-SUMIFS(StockMovements!$E$2:$E$500,StockMovements!$B$2:$B$500,A468,StockMovements!$D$2:$D$500,"transfer")-SUMIFS(StockMovements!$E$2:$E$500,StockMovements!$B$2:$B$500,A468,StockMovements!$D$2:$D$500,"scrap"))</f>
        <v/>
      </c>
      <c r="E468" s="11">
        <f>IF(A468="","",Products!E468)</f>
        <v/>
      </c>
      <c r="F468" s="11">
        <f>IF(A468="","",D468*E468)</f>
        <v/>
      </c>
      <c r="G468" s="11">
        <f>IF(A468="","",Products!F468)</f>
        <v/>
      </c>
      <c r="H468" s="11">
        <f>IF(A468="","",IF(D468&lt;G468,"REORDER","OK"))</f>
        <v/>
      </c>
      <c r="I468" s="14">
        <f>IF(A468="","",IFERROR(_xlfn.MAXIFS(StockMovements!$A$2:$A$500,StockMovements!$B$2:$B$500,A468),0))</f>
        <v/>
      </c>
      <c r="J468" s="11">
        <f>IF(OR(A468="",I468=0),"",TODAY()-I468)</f>
        <v/>
      </c>
      <c r="K468" s="11">
        <f>IF(A468="","",IF(I468=0,"never moved",IF(J468&lt;=30,"0-30",IF(J468&lt;=60,"31-60",IF(J468&lt;=90,"61-90","90+")))))</f>
        <v/>
      </c>
    </row>
    <row r="469">
      <c r="A469" s="11">
        <f>Products!A469</f>
        <v/>
      </c>
      <c r="B469" s="11">
        <f>Products!B469</f>
        <v/>
      </c>
      <c r="C469" s="11">
        <f>Products!C469</f>
        <v/>
      </c>
      <c r="D469" s="11">
        <f>IF(A469="","",SUMIFS(StockMovements!$E$2:$E$500,StockMovements!$B$2:$B$500,A469,StockMovements!$D$2:$D$500,"receipt")+SUMIFS(StockMovements!$E$2:$E$500,StockMovements!$B$2:$B$500,A469,StockMovements!$D$2:$D$500,"production_in")+SUMIFS(StockMovements!$E$2:$E$500,StockMovements!$B$2:$B$500,A469,StockMovements!$D$2:$D$500,"adjustment")-SUMIFS(StockMovements!$E$2:$E$500,StockMovements!$B$2:$B$500,A469,StockMovements!$D$2:$D$500,"issue")-SUMIFS(StockMovements!$E$2:$E$500,StockMovements!$B$2:$B$500,A469,StockMovements!$D$2:$D$500,"production_out")-SUMIFS(StockMovements!$E$2:$E$500,StockMovements!$B$2:$B$500,A469,StockMovements!$D$2:$D$500,"transfer")-SUMIFS(StockMovements!$E$2:$E$500,StockMovements!$B$2:$B$500,A469,StockMovements!$D$2:$D$500,"scrap"))</f>
        <v/>
      </c>
      <c r="E469" s="11">
        <f>IF(A469="","",Products!E469)</f>
        <v/>
      </c>
      <c r="F469" s="11">
        <f>IF(A469="","",D469*E469)</f>
        <v/>
      </c>
      <c r="G469" s="11">
        <f>IF(A469="","",Products!F469)</f>
        <v/>
      </c>
      <c r="H469" s="11">
        <f>IF(A469="","",IF(D469&lt;G469,"REORDER","OK"))</f>
        <v/>
      </c>
      <c r="I469" s="14">
        <f>IF(A469="","",IFERROR(_xlfn.MAXIFS(StockMovements!$A$2:$A$500,StockMovements!$B$2:$B$500,A469),0))</f>
        <v/>
      </c>
      <c r="J469" s="11">
        <f>IF(OR(A469="",I469=0),"",TODAY()-I469)</f>
        <v/>
      </c>
      <c r="K469" s="11">
        <f>IF(A469="","",IF(I469=0,"never moved",IF(J469&lt;=30,"0-30",IF(J469&lt;=60,"31-60",IF(J469&lt;=90,"61-90","90+")))))</f>
        <v/>
      </c>
    </row>
    <row r="470">
      <c r="A470" s="11">
        <f>Products!A470</f>
        <v/>
      </c>
      <c r="B470" s="11">
        <f>Products!B470</f>
        <v/>
      </c>
      <c r="C470" s="11">
        <f>Products!C470</f>
        <v/>
      </c>
      <c r="D470" s="11">
        <f>IF(A470="","",SUMIFS(StockMovements!$E$2:$E$500,StockMovements!$B$2:$B$500,A470,StockMovements!$D$2:$D$500,"receipt")+SUMIFS(StockMovements!$E$2:$E$500,StockMovements!$B$2:$B$500,A470,StockMovements!$D$2:$D$500,"production_in")+SUMIFS(StockMovements!$E$2:$E$500,StockMovements!$B$2:$B$500,A470,StockMovements!$D$2:$D$500,"adjustment")-SUMIFS(StockMovements!$E$2:$E$500,StockMovements!$B$2:$B$500,A470,StockMovements!$D$2:$D$500,"issue")-SUMIFS(StockMovements!$E$2:$E$500,StockMovements!$B$2:$B$500,A470,StockMovements!$D$2:$D$500,"production_out")-SUMIFS(StockMovements!$E$2:$E$500,StockMovements!$B$2:$B$500,A470,StockMovements!$D$2:$D$500,"transfer")-SUMIFS(StockMovements!$E$2:$E$500,StockMovements!$B$2:$B$500,A470,StockMovements!$D$2:$D$500,"scrap"))</f>
        <v/>
      </c>
      <c r="E470" s="11">
        <f>IF(A470="","",Products!E470)</f>
        <v/>
      </c>
      <c r="F470" s="11">
        <f>IF(A470="","",D470*E470)</f>
        <v/>
      </c>
      <c r="G470" s="11">
        <f>IF(A470="","",Products!F470)</f>
        <v/>
      </c>
      <c r="H470" s="11">
        <f>IF(A470="","",IF(D470&lt;G470,"REORDER","OK"))</f>
        <v/>
      </c>
      <c r="I470" s="14">
        <f>IF(A470="","",IFERROR(_xlfn.MAXIFS(StockMovements!$A$2:$A$500,StockMovements!$B$2:$B$500,A470),0))</f>
        <v/>
      </c>
      <c r="J470" s="11">
        <f>IF(OR(A470="",I470=0),"",TODAY()-I470)</f>
        <v/>
      </c>
      <c r="K470" s="11">
        <f>IF(A470="","",IF(I470=0,"never moved",IF(J470&lt;=30,"0-30",IF(J470&lt;=60,"31-60",IF(J470&lt;=90,"61-90","90+")))))</f>
        <v/>
      </c>
    </row>
    <row r="471">
      <c r="A471" s="11">
        <f>Products!A471</f>
        <v/>
      </c>
      <c r="B471" s="11">
        <f>Products!B471</f>
        <v/>
      </c>
      <c r="C471" s="11">
        <f>Products!C471</f>
        <v/>
      </c>
      <c r="D471" s="11">
        <f>IF(A471="","",SUMIFS(StockMovements!$E$2:$E$500,StockMovements!$B$2:$B$500,A471,StockMovements!$D$2:$D$500,"receipt")+SUMIFS(StockMovements!$E$2:$E$500,StockMovements!$B$2:$B$500,A471,StockMovements!$D$2:$D$500,"production_in")+SUMIFS(StockMovements!$E$2:$E$500,StockMovements!$B$2:$B$500,A471,StockMovements!$D$2:$D$500,"adjustment")-SUMIFS(StockMovements!$E$2:$E$500,StockMovements!$B$2:$B$500,A471,StockMovements!$D$2:$D$500,"issue")-SUMIFS(StockMovements!$E$2:$E$500,StockMovements!$B$2:$B$500,A471,StockMovements!$D$2:$D$500,"production_out")-SUMIFS(StockMovements!$E$2:$E$500,StockMovements!$B$2:$B$500,A471,StockMovements!$D$2:$D$500,"transfer")-SUMIFS(StockMovements!$E$2:$E$500,StockMovements!$B$2:$B$500,A471,StockMovements!$D$2:$D$500,"scrap"))</f>
        <v/>
      </c>
      <c r="E471" s="11">
        <f>IF(A471="","",Products!E471)</f>
        <v/>
      </c>
      <c r="F471" s="11">
        <f>IF(A471="","",D471*E471)</f>
        <v/>
      </c>
      <c r="G471" s="11">
        <f>IF(A471="","",Products!F471)</f>
        <v/>
      </c>
      <c r="H471" s="11">
        <f>IF(A471="","",IF(D471&lt;G471,"REORDER","OK"))</f>
        <v/>
      </c>
      <c r="I471" s="14">
        <f>IF(A471="","",IFERROR(_xlfn.MAXIFS(StockMovements!$A$2:$A$500,StockMovements!$B$2:$B$500,A471),0))</f>
        <v/>
      </c>
      <c r="J471" s="11">
        <f>IF(OR(A471="",I471=0),"",TODAY()-I471)</f>
        <v/>
      </c>
      <c r="K471" s="11">
        <f>IF(A471="","",IF(I471=0,"never moved",IF(J471&lt;=30,"0-30",IF(J471&lt;=60,"31-60",IF(J471&lt;=90,"61-90","90+")))))</f>
        <v/>
      </c>
    </row>
    <row r="472">
      <c r="A472" s="11">
        <f>Products!A472</f>
        <v/>
      </c>
      <c r="B472" s="11">
        <f>Products!B472</f>
        <v/>
      </c>
      <c r="C472" s="11">
        <f>Products!C472</f>
        <v/>
      </c>
      <c r="D472" s="11">
        <f>IF(A472="","",SUMIFS(StockMovements!$E$2:$E$500,StockMovements!$B$2:$B$500,A472,StockMovements!$D$2:$D$500,"receipt")+SUMIFS(StockMovements!$E$2:$E$500,StockMovements!$B$2:$B$500,A472,StockMovements!$D$2:$D$500,"production_in")+SUMIFS(StockMovements!$E$2:$E$500,StockMovements!$B$2:$B$500,A472,StockMovements!$D$2:$D$500,"adjustment")-SUMIFS(StockMovements!$E$2:$E$500,StockMovements!$B$2:$B$500,A472,StockMovements!$D$2:$D$500,"issue")-SUMIFS(StockMovements!$E$2:$E$500,StockMovements!$B$2:$B$500,A472,StockMovements!$D$2:$D$500,"production_out")-SUMIFS(StockMovements!$E$2:$E$500,StockMovements!$B$2:$B$500,A472,StockMovements!$D$2:$D$500,"transfer")-SUMIFS(StockMovements!$E$2:$E$500,StockMovements!$B$2:$B$500,A472,StockMovements!$D$2:$D$500,"scrap"))</f>
        <v/>
      </c>
      <c r="E472" s="11">
        <f>IF(A472="","",Products!E472)</f>
        <v/>
      </c>
      <c r="F472" s="11">
        <f>IF(A472="","",D472*E472)</f>
        <v/>
      </c>
      <c r="G472" s="11">
        <f>IF(A472="","",Products!F472)</f>
        <v/>
      </c>
      <c r="H472" s="11">
        <f>IF(A472="","",IF(D472&lt;G472,"REORDER","OK"))</f>
        <v/>
      </c>
      <c r="I472" s="14">
        <f>IF(A472="","",IFERROR(_xlfn.MAXIFS(StockMovements!$A$2:$A$500,StockMovements!$B$2:$B$500,A472),0))</f>
        <v/>
      </c>
      <c r="J472" s="11">
        <f>IF(OR(A472="",I472=0),"",TODAY()-I472)</f>
        <v/>
      </c>
      <c r="K472" s="11">
        <f>IF(A472="","",IF(I472=0,"never moved",IF(J472&lt;=30,"0-30",IF(J472&lt;=60,"31-60",IF(J472&lt;=90,"61-90","90+")))))</f>
        <v/>
      </c>
    </row>
    <row r="473">
      <c r="A473" s="11">
        <f>Products!A473</f>
        <v/>
      </c>
      <c r="B473" s="11">
        <f>Products!B473</f>
        <v/>
      </c>
      <c r="C473" s="11">
        <f>Products!C473</f>
        <v/>
      </c>
      <c r="D473" s="11">
        <f>IF(A473="","",SUMIFS(StockMovements!$E$2:$E$500,StockMovements!$B$2:$B$500,A473,StockMovements!$D$2:$D$500,"receipt")+SUMIFS(StockMovements!$E$2:$E$500,StockMovements!$B$2:$B$500,A473,StockMovements!$D$2:$D$500,"production_in")+SUMIFS(StockMovements!$E$2:$E$500,StockMovements!$B$2:$B$500,A473,StockMovements!$D$2:$D$500,"adjustment")-SUMIFS(StockMovements!$E$2:$E$500,StockMovements!$B$2:$B$500,A473,StockMovements!$D$2:$D$500,"issue")-SUMIFS(StockMovements!$E$2:$E$500,StockMovements!$B$2:$B$500,A473,StockMovements!$D$2:$D$500,"production_out")-SUMIFS(StockMovements!$E$2:$E$500,StockMovements!$B$2:$B$500,A473,StockMovements!$D$2:$D$500,"transfer")-SUMIFS(StockMovements!$E$2:$E$500,StockMovements!$B$2:$B$500,A473,StockMovements!$D$2:$D$500,"scrap"))</f>
        <v/>
      </c>
      <c r="E473" s="11">
        <f>IF(A473="","",Products!E473)</f>
        <v/>
      </c>
      <c r="F473" s="11">
        <f>IF(A473="","",D473*E473)</f>
        <v/>
      </c>
      <c r="G473" s="11">
        <f>IF(A473="","",Products!F473)</f>
        <v/>
      </c>
      <c r="H473" s="11">
        <f>IF(A473="","",IF(D473&lt;G473,"REORDER","OK"))</f>
        <v/>
      </c>
      <c r="I473" s="14">
        <f>IF(A473="","",IFERROR(_xlfn.MAXIFS(StockMovements!$A$2:$A$500,StockMovements!$B$2:$B$500,A473),0))</f>
        <v/>
      </c>
      <c r="J473" s="11">
        <f>IF(OR(A473="",I473=0),"",TODAY()-I473)</f>
        <v/>
      </c>
      <c r="K473" s="11">
        <f>IF(A473="","",IF(I473=0,"never moved",IF(J473&lt;=30,"0-30",IF(J473&lt;=60,"31-60",IF(J473&lt;=90,"61-90","90+")))))</f>
        <v/>
      </c>
    </row>
    <row r="474">
      <c r="A474" s="11">
        <f>Products!A474</f>
        <v/>
      </c>
      <c r="B474" s="11">
        <f>Products!B474</f>
        <v/>
      </c>
      <c r="C474" s="11">
        <f>Products!C474</f>
        <v/>
      </c>
      <c r="D474" s="11">
        <f>IF(A474="","",SUMIFS(StockMovements!$E$2:$E$500,StockMovements!$B$2:$B$500,A474,StockMovements!$D$2:$D$500,"receipt")+SUMIFS(StockMovements!$E$2:$E$500,StockMovements!$B$2:$B$500,A474,StockMovements!$D$2:$D$500,"production_in")+SUMIFS(StockMovements!$E$2:$E$500,StockMovements!$B$2:$B$500,A474,StockMovements!$D$2:$D$500,"adjustment")-SUMIFS(StockMovements!$E$2:$E$500,StockMovements!$B$2:$B$500,A474,StockMovements!$D$2:$D$500,"issue")-SUMIFS(StockMovements!$E$2:$E$500,StockMovements!$B$2:$B$500,A474,StockMovements!$D$2:$D$500,"production_out")-SUMIFS(StockMovements!$E$2:$E$500,StockMovements!$B$2:$B$500,A474,StockMovements!$D$2:$D$500,"transfer")-SUMIFS(StockMovements!$E$2:$E$500,StockMovements!$B$2:$B$500,A474,StockMovements!$D$2:$D$500,"scrap"))</f>
        <v/>
      </c>
      <c r="E474" s="11">
        <f>IF(A474="","",Products!E474)</f>
        <v/>
      </c>
      <c r="F474" s="11">
        <f>IF(A474="","",D474*E474)</f>
        <v/>
      </c>
      <c r="G474" s="11">
        <f>IF(A474="","",Products!F474)</f>
        <v/>
      </c>
      <c r="H474" s="11">
        <f>IF(A474="","",IF(D474&lt;G474,"REORDER","OK"))</f>
        <v/>
      </c>
      <c r="I474" s="14">
        <f>IF(A474="","",IFERROR(_xlfn.MAXIFS(StockMovements!$A$2:$A$500,StockMovements!$B$2:$B$500,A474),0))</f>
        <v/>
      </c>
      <c r="J474" s="11">
        <f>IF(OR(A474="",I474=0),"",TODAY()-I474)</f>
        <v/>
      </c>
      <c r="K474" s="11">
        <f>IF(A474="","",IF(I474=0,"never moved",IF(J474&lt;=30,"0-30",IF(J474&lt;=60,"31-60",IF(J474&lt;=90,"61-90","90+")))))</f>
        <v/>
      </c>
    </row>
    <row r="475">
      <c r="A475" s="11">
        <f>Products!A475</f>
        <v/>
      </c>
      <c r="B475" s="11">
        <f>Products!B475</f>
        <v/>
      </c>
      <c r="C475" s="11">
        <f>Products!C475</f>
        <v/>
      </c>
      <c r="D475" s="11">
        <f>IF(A475="","",SUMIFS(StockMovements!$E$2:$E$500,StockMovements!$B$2:$B$500,A475,StockMovements!$D$2:$D$500,"receipt")+SUMIFS(StockMovements!$E$2:$E$500,StockMovements!$B$2:$B$500,A475,StockMovements!$D$2:$D$500,"production_in")+SUMIFS(StockMovements!$E$2:$E$500,StockMovements!$B$2:$B$500,A475,StockMovements!$D$2:$D$500,"adjustment")-SUMIFS(StockMovements!$E$2:$E$500,StockMovements!$B$2:$B$500,A475,StockMovements!$D$2:$D$500,"issue")-SUMIFS(StockMovements!$E$2:$E$500,StockMovements!$B$2:$B$500,A475,StockMovements!$D$2:$D$500,"production_out")-SUMIFS(StockMovements!$E$2:$E$500,StockMovements!$B$2:$B$500,A475,StockMovements!$D$2:$D$500,"transfer")-SUMIFS(StockMovements!$E$2:$E$500,StockMovements!$B$2:$B$500,A475,StockMovements!$D$2:$D$500,"scrap"))</f>
        <v/>
      </c>
      <c r="E475" s="11">
        <f>IF(A475="","",Products!E475)</f>
        <v/>
      </c>
      <c r="F475" s="11">
        <f>IF(A475="","",D475*E475)</f>
        <v/>
      </c>
      <c r="G475" s="11">
        <f>IF(A475="","",Products!F475)</f>
        <v/>
      </c>
      <c r="H475" s="11">
        <f>IF(A475="","",IF(D475&lt;G475,"REORDER","OK"))</f>
        <v/>
      </c>
      <c r="I475" s="14">
        <f>IF(A475="","",IFERROR(_xlfn.MAXIFS(StockMovements!$A$2:$A$500,StockMovements!$B$2:$B$500,A475),0))</f>
        <v/>
      </c>
      <c r="J475" s="11">
        <f>IF(OR(A475="",I475=0),"",TODAY()-I475)</f>
        <v/>
      </c>
      <c r="K475" s="11">
        <f>IF(A475="","",IF(I475=0,"never moved",IF(J475&lt;=30,"0-30",IF(J475&lt;=60,"31-60",IF(J475&lt;=90,"61-90","90+")))))</f>
        <v/>
      </c>
    </row>
    <row r="476">
      <c r="A476" s="11">
        <f>Products!A476</f>
        <v/>
      </c>
      <c r="B476" s="11">
        <f>Products!B476</f>
        <v/>
      </c>
      <c r="C476" s="11">
        <f>Products!C476</f>
        <v/>
      </c>
      <c r="D476" s="11">
        <f>IF(A476="","",SUMIFS(StockMovements!$E$2:$E$500,StockMovements!$B$2:$B$500,A476,StockMovements!$D$2:$D$500,"receipt")+SUMIFS(StockMovements!$E$2:$E$500,StockMovements!$B$2:$B$500,A476,StockMovements!$D$2:$D$500,"production_in")+SUMIFS(StockMovements!$E$2:$E$500,StockMovements!$B$2:$B$500,A476,StockMovements!$D$2:$D$500,"adjustment")-SUMIFS(StockMovements!$E$2:$E$500,StockMovements!$B$2:$B$500,A476,StockMovements!$D$2:$D$500,"issue")-SUMIFS(StockMovements!$E$2:$E$500,StockMovements!$B$2:$B$500,A476,StockMovements!$D$2:$D$500,"production_out")-SUMIFS(StockMovements!$E$2:$E$500,StockMovements!$B$2:$B$500,A476,StockMovements!$D$2:$D$500,"transfer")-SUMIFS(StockMovements!$E$2:$E$500,StockMovements!$B$2:$B$500,A476,StockMovements!$D$2:$D$500,"scrap"))</f>
        <v/>
      </c>
      <c r="E476" s="11">
        <f>IF(A476="","",Products!E476)</f>
        <v/>
      </c>
      <c r="F476" s="11">
        <f>IF(A476="","",D476*E476)</f>
        <v/>
      </c>
      <c r="G476" s="11">
        <f>IF(A476="","",Products!F476)</f>
        <v/>
      </c>
      <c r="H476" s="11">
        <f>IF(A476="","",IF(D476&lt;G476,"REORDER","OK"))</f>
        <v/>
      </c>
      <c r="I476" s="14">
        <f>IF(A476="","",IFERROR(_xlfn.MAXIFS(StockMovements!$A$2:$A$500,StockMovements!$B$2:$B$500,A476),0))</f>
        <v/>
      </c>
      <c r="J476" s="11">
        <f>IF(OR(A476="",I476=0),"",TODAY()-I476)</f>
        <v/>
      </c>
      <c r="K476" s="11">
        <f>IF(A476="","",IF(I476=0,"never moved",IF(J476&lt;=30,"0-30",IF(J476&lt;=60,"31-60",IF(J476&lt;=90,"61-90","90+")))))</f>
        <v/>
      </c>
    </row>
    <row r="477">
      <c r="A477" s="11">
        <f>Products!A477</f>
        <v/>
      </c>
      <c r="B477" s="11">
        <f>Products!B477</f>
        <v/>
      </c>
      <c r="C477" s="11">
        <f>Products!C477</f>
        <v/>
      </c>
      <c r="D477" s="11">
        <f>IF(A477="","",SUMIFS(StockMovements!$E$2:$E$500,StockMovements!$B$2:$B$500,A477,StockMovements!$D$2:$D$500,"receipt")+SUMIFS(StockMovements!$E$2:$E$500,StockMovements!$B$2:$B$500,A477,StockMovements!$D$2:$D$500,"production_in")+SUMIFS(StockMovements!$E$2:$E$500,StockMovements!$B$2:$B$500,A477,StockMovements!$D$2:$D$500,"adjustment")-SUMIFS(StockMovements!$E$2:$E$500,StockMovements!$B$2:$B$500,A477,StockMovements!$D$2:$D$500,"issue")-SUMIFS(StockMovements!$E$2:$E$500,StockMovements!$B$2:$B$500,A477,StockMovements!$D$2:$D$500,"production_out")-SUMIFS(StockMovements!$E$2:$E$500,StockMovements!$B$2:$B$500,A477,StockMovements!$D$2:$D$500,"transfer")-SUMIFS(StockMovements!$E$2:$E$500,StockMovements!$B$2:$B$500,A477,StockMovements!$D$2:$D$500,"scrap"))</f>
        <v/>
      </c>
      <c r="E477" s="11">
        <f>IF(A477="","",Products!E477)</f>
        <v/>
      </c>
      <c r="F477" s="11">
        <f>IF(A477="","",D477*E477)</f>
        <v/>
      </c>
      <c r="G477" s="11">
        <f>IF(A477="","",Products!F477)</f>
        <v/>
      </c>
      <c r="H477" s="11">
        <f>IF(A477="","",IF(D477&lt;G477,"REORDER","OK"))</f>
        <v/>
      </c>
      <c r="I477" s="14">
        <f>IF(A477="","",IFERROR(_xlfn.MAXIFS(StockMovements!$A$2:$A$500,StockMovements!$B$2:$B$500,A477),0))</f>
        <v/>
      </c>
      <c r="J477" s="11">
        <f>IF(OR(A477="",I477=0),"",TODAY()-I477)</f>
        <v/>
      </c>
      <c r="K477" s="11">
        <f>IF(A477="","",IF(I477=0,"never moved",IF(J477&lt;=30,"0-30",IF(J477&lt;=60,"31-60",IF(J477&lt;=90,"61-90","90+")))))</f>
        <v/>
      </c>
    </row>
    <row r="478">
      <c r="A478" s="11">
        <f>Products!A478</f>
        <v/>
      </c>
      <c r="B478" s="11">
        <f>Products!B478</f>
        <v/>
      </c>
      <c r="C478" s="11">
        <f>Products!C478</f>
        <v/>
      </c>
      <c r="D478" s="11">
        <f>IF(A478="","",SUMIFS(StockMovements!$E$2:$E$500,StockMovements!$B$2:$B$500,A478,StockMovements!$D$2:$D$500,"receipt")+SUMIFS(StockMovements!$E$2:$E$500,StockMovements!$B$2:$B$500,A478,StockMovements!$D$2:$D$500,"production_in")+SUMIFS(StockMovements!$E$2:$E$500,StockMovements!$B$2:$B$500,A478,StockMovements!$D$2:$D$500,"adjustment")-SUMIFS(StockMovements!$E$2:$E$500,StockMovements!$B$2:$B$500,A478,StockMovements!$D$2:$D$500,"issue")-SUMIFS(StockMovements!$E$2:$E$500,StockMovements!$B$2:$B$500,A478,StockMovements!$D$2:$D$500,"production_out")-SUMIFS(StockMovements!$E$2:$E$500,StockMovements!$B$2:$B$500,A478,StockMovements!$D$2:$D$500,"transfer")-SUMIFS(StockMovements!$E$2:$E$500,StockMovements!$B$2:$B$500,A478,StockMovements!$D$2:$D$500,"scrap"))</f>
        <v/>
      </c>
      <c r="E478" s="11">
        <f>IF(A478="","",Products!E478)</f>
        <v/>
      </c>
      <c r="F478" s="11">
        <f>IF(A478="","",D478*E478)</f>
        <v/>
      </c>
      <c r="G478" s="11">
        <f>IF(A478="","",Products!F478)</f>
        <v/>
      </c>
      <c r="H478" s="11">
        <f>IF(A478="","",IF(D478&lt;G478,"REORDER","OK"))</f>
        <v/>
      </c>
      <c r="I478" s="14">
        <f>IF(A478="","",IFERROR(_xlfn.MAXIFS(StockMovements!$A$2:$A$500,StockMovements!$B$2:$B$500,A478),0))</f>
        <v/>
      </c>
      <c r="J478" s="11">
        <f>IF(OR(A478="",I478=0),"",TODAY()-I478)</f>
        <v/>
      </c>
      <c r="K478" s="11">
        <f>IF(A478="","",IF(I478=0,"never moved",IF(J478&lt;=30,"0-30",IF(J478&lt;=60,"31-60",IF(J478&lt;=90,"61-90","90+")))))</f>
        <v/>
      </c>
    </row>
    <row r="479">
      <c r="A479" s="11">
        <f>Products!A479</f>
        <v/>
      </c>
      <c r="B479" s="11">
        <f>Products!B479</f>
        <v/>
      </c>
      <c r="C479" s="11">
        <f>Products!C479</f>
        <v/>
      </c>
      <c r="D479" s="11">
        <f>IF(A479="","",SUMIFS(StockMovements!$E$2:$E$500,StockMovements!$B$2:$B$500,A479,StockMovements!$D$2:$D$500,"receipt")+SUMIFS(StockMovements!$E$2:$E$500,StockMovements!$B$2:$B$500,A479,StockMovements!$D$2:$D$500,"production_in")+SUMIFS(StockMovements!$E$2:$E$500,StockMovements!$B$2:$B$500,A479,StockMovements!$D$2:$D$500,"adjustment")-SUMIFS(StockMovements!$E$2:$E$500,StockMovements!$B$2:$B$500,A479,StockMovements!$D$2:$D$500,"issue")-SUMIFS(StockMovements!$E$2:$E$500,StockMovements!$B$2:$B$500,A479,StockMovements!$D$2:$D$500,"production_out")-SUMIFS(StockMovements!$E$2:$E$500,StockMovements!$B$2:$B$500,A479,StockMovements!$D$2:$D$500,"transfer")-SUMIFS(StockMovements!$E$2:$E$500,StockMovements!$B$2:$B$500,A479,StockMovements!$D$2:$D$500,"scrap"))</f>
        <v/>
      </c>
      <c r="E479" s="11">
        <f>IF(A479="","",Products!E479)</f>
        <v/>
      </c>
      <c r="F479" s="11">
        <f>IF(A479="","",D479*E479)</f>
        <v/>
      </c>
      <c r="G479" s="11">
        <f>IF(A479="","",Products!F479)</f>
        <v/>
      </c>
      <c r="H479" s="11">
        <f>IF(A479="","",IF(D479&lt;G479,"REORDER","OK"))</f>
        <v/>
      </c>
      <c r="I479" s="14">
        <f>IF(A479="","",IFERROR(_xlfn.MAXIFS(StockMovements!$A$2:$A$500,StockMovements!$B$2:$B$500,A479),0))</f>
        <v/>
      </c>
      <c r="J479" s="11">
        <f>IF(OR(A479="",I479=0),"",TODAY()-I479)</f>
        <v/>
      </c>
      <c r="K479" s="11">
        <f>IF(A479="","",IF(I479=0,"never moved",IF(J479&lt;=30,"0-30",IF(J479&lt;=60,"31-60",IF(J479&lt;=90,"61-90","90+")))))</f>
        <v/>
      </c>
    </row>
    <row r="480">
      <c r="A480" s="11">
        <f>Products!A480</f>
        <v/>
      </c>
      <c r="B480" s="11">
        <f>Products!B480</f>
        <v/>
      </c>
      <c r="C480" s="11">
        <f>Products!C480</f>
        <v/>
      </c>
      <c r="D480" s="11">
        <f>IF(A480="","",SUMIFS(StockMovements!$E$2:$E$500,StockMovements!$B$2:$B$500,A480,StockMovements!$D$2:$D$500,"receipt")+SUMIFS(StockMovements!$E$2:$E$500,StockMovements!$B$2:$B$500,A480,StockMovements!$D$2:$D$500,"production_in")+SUMIFS(StockMovements!$E$2:$E$500,StockMovements!$B$2:$B$500,A480,StockMovements!$D$2:$D$500,"adjustment")-SUMIFS(StockMovements!$E$2:$E$500,StockMovements!$B$2:$B$500,A480,StockMovements!$D$2:$D$500,"issue")-SUMIFS(StockMovements!$E$2:$E$500,StockMovements!$B$2:$B$500,A480,StockMovements!$D$2:$D$500,"production_out")-SUMIFS(StockMovements!$E$2:$E$500,StockMovements!$B$2:$B$500,A480,StockMovements!$D$2:$D$500,"transfer")-SUMIFS(StockMovements!$E$2:$E$500,StockMovements!$B$2:$B$500,A480,StockMovements!$D$2:$D$500,"scrap"))</f>
        <v/>
      </c>
      <c r="E480" s="11">
        <f>IF(A480="","",Products!E480)</f>
        <v/>
      </c>
      <c r="F480" s="11">
        <f>IF(A480="","",D480*E480)</f>
        <v/>
      </c>
      <c r="G480" s="11">
        <f>IF(A480="","",Products!F480)</f>
        <v/>
      </c>
      <c r="H480" s="11">
        <f>IF(A480="","",IF(D480&lt;G480,"REORDER","OK"))</f>
        <v/>
      </c>
      <c r="I480" s="14">
        <f>IF(A480="","",IFERROR(_xlfn.MAXIFS(StockMovements!$A$2:$A$500,StockMovements!$B$2:$B$500,A480),0))</f>
        <v/>
      </c>
      <c r="J480" s="11">
        <f>IF(OR(A480="",I480=0),"",TODAY()-I480)</f>
        <v/>
      </c>
      <c r="K480" s="11">
        <f>IF(A480="","",IF(I480=0,"never moved",IF(J480&lt;=30,"0-30",IF(J480&lt;=60,"31-60",IF(J480&lt;=90,"61-90","90+")))))</f>
        <v/>
      </c>
    </row>
    <row r="481">
      <c r="A481" s="11">
        <f>Products!A481</f>
        <v/>
      </c>
      <c r="B481" s="11">
        <f>Products!B481</f>
        <v/>
      </c>
      <c r="C481" s="11">
        <f>Products!C481</f>
        <v/>
      </c>
      <c r="D481" s="11">
        <f>IF(A481="","",SUMIFS(StockMovements!$E$2:$E$500,StockMovements!$B$2:$B$500,A481,StockMovements!$D$2:$D$500,"receipt")+SUMIFS(StockMovements!$E$2:$E$500,StockMovements!$B$2:$B$500,A481,StockMovements!$D$2:$D$500,"production_in")+SUMIFS(StockMovements!$E$2:$E$500,StockMovements!$B$2:$B$500,A481,StockMovements!$D$2:$D$500,"adjustment")-SUMIFS(StockMovements!$E$2:$E$500,StockMovements!$B$2:$B$500,A481,StockMovements!$D$2:$D$500,"issue")-SUMIFS(StockMovements!$E$2:$E$500,StockMovements!$B$2:$B$500,A481,StockMovements!$D$2:$D$500,"production_out")-SUMIFS(StockMovements!$E$2:$E$500,StockMovements!$B$2:$B$500,A481,StockMovements!$D$2:$D$500,"transfer")-SUMIFS(StockMovements!$E$2:$E$500,StockMovements!$B$2:$B$500,A481,StockMovements!$D$2:$D$500,"scrap"))</f>
        <v/>
      </c>
      <c r="E481" s="11">
        <f>IF(A481="","",Products!E481)</f>
        <v/>
      </c>
      <c r="F481" s="11">
        <f>IF(A481="","",D481*E481)</f>
        <v/>
      </c>
      <c r="G481" s="11">
        <f>IF(A481="","",Products!F481)</f>
        <v/>
      </c>
      <c r="H481" s="11">
        <f>IF(A481="","",IF(D481&lt;G481,"REORDER","OK"))</f>
        <v/>
      </c>
      <c r="I481" s="14">
        <f>IF(A481="","",IFERROR(_xlfn.MAXIFS(StockMovements!$A$2:$A$500,StockMovements!$B$2:$B$500,A481),0))</f>
        <v/>
      </c>
      <c r="J481" s="11">
        <f>IF(OR(A481="",I481=0),"",TODAY()-I481)</f>
        <v/>
      </c>
      <c r="K481" s="11">
        <f>IF(A481="","",IF(I481=0,"never moved",IF(J481&lt;=30,"0-30",IF(J481&lt;=60,"31-60",IF(J481&lt;=90,"61-90","90+")))))</f>
        <v/>
      </c>
    </row>
    <row r="482">
      <c r="A482" s="11">
        <f>Products!A482</f>
        <v/>
      </c>
      <c r="B482" s="11">
        <f>Products!B482</f>
        <v/>
      </c>
      <c r="C482" s="11">
        <f>Products!C482</f>
        <v/>
      </c>
      <c r="D482" s="11">
        <f>IF(A482="","",SUMIFS(StockMovements!$E$2:$E$500,StockMovements!$B$2:$B$500,A482,StockMovements!$D$2:$D$500,"receipt")+SUMIFS(StockMovements!$E$2:$E$500,StockMovements!$B$2:$B$500,A482,StockMovements!$D$2:$D$500,"production_in")+SUMIFS(StockMovements!$E$2:$E$500,StockMovements!$B$2:$B$500,A482,StockMovements!$D$2:$D$500,"adjustment")-SUMIFS(StockMovements!$E$2:$E$500,StockMovements!$B$2:$B$500,A482,StockMovements!$D$2:$D$500,"issue")-SUMIFS(StockMovements!$E$2:$E$500,StockMovements!$B$2:$B$500,A482,StockMovements!$D$2:$D$500,"production_out")-SUMIFS(StockMovements!$E$2:$E$500,StockMovements!$B$2:$B$500,A482,StockMovements!$D$2:$D$500,"transfer")-SUMIFS(StockMovements!$E$2:$E$500,StockMovements!$B$2:$B$500,A482,StockMovements!$D$2:$D$500,"scrap"))</f>
        <v/>
      </c>
      <c r="E482" s="11">
        <f>IF(A482="","",Products!E482)</f>
        <v/>
      </c>
      <c r="F482" s="11">
        <f>IF(A482="","",D482*E482)</f>
        <v/>
      </c>
      <c r="G482" s="11">
        <f>IF(A482="","",Products!F482)</f>
        <v/>
      </c>
      <c r="H482" s="11">
        <f>IF(A482="","",IF(D482&lt;G482,"REORDER","OK"))</f>
        <v/>
      </c>
      <c r="I482" s="14">
        <f>IF(A482="","",IFERROR(_xlfn.MAXIFS(StockMovements!$A$2:$A$500,StockMovements!$B$2:$B$500,A482),0))</f>
        <v/>
      </c>
      <c r="J482" s="11">
        <f>IF(OR(A482="",I482=0),"",TODAY()-I482)</f>
        <v/>
      </c>
      <c r="K482" s="11">
        <f>IF(A482="","",IF(I482=0,"never moved",IF(J482&lt;=30,"0-30",IF(J482&lt;=60,"31-60",IF(J482&lt;=90,"61-90","90+")))))</f>
        <v/>
      </c>
    </row>
    <row r="483">
      <c r="A483" s="11">
        <f>Products!A483</f>
        <v/>
      </c>
      <c r="B483" s="11">
        <f>Products!B483</f>
        <v/>
      </c>
      <c r="C483" s="11">
        <f>Products!C483</f>
        <v/>
      </c>
      <c r="D483" s="11">
        <f>IF(A483="","",SUMIFS(StockMovements!$E$2:$E$500,StockMovements!$B$2:$B$500,A483,StockMovements!$D$2:$D$500,"receipt")+SUMIFS(StockMovements!$E$2:$E$500,StockMovements!$B$2:$B$500,A483,StockMovements!$D$2:$D$500,"production_in")+SUMIFS(StockMovements!$E$2:$E$500,StockMovements!$B$2:$B$500,A483,StockMovements!$D$2:$D$500,"adjustment")-SUMIFS(StockMovements!$E$2:$E$500,StockMovements!$B$2:$B$500,A483,StockMovements!$D$2:$D$500,"issue")-SUMIFS(StockMovements!$E$2:$E$500,StockMovements!$B$2:$B$500,A483,StockMovements!$D$2:$D$500,"production_out")-SUMIFS(StockMovements!$E$2:$E$500,StockMovements!$B$2:$B$500,A483,StockMovements!$D$2:$D$500,"transfer")-SUMIFS(StockMovements!$E$2:$E$500,StockMovements!$B$2:$B$500,A483,StockMovements!$D$2:$D$500,"scrap"))</f>
        <v/>
      </c>
      <c r="E483" s="11">
        <f>IF(A483="","",Products!E483)</f>
        <v/>
      </c>
      <c r="F483" s="11">
        <f>IF(A483="","",D483*E483)</f>
        <v/>
      </c>
      <c r="G483" s="11">
        <f>IF(A483="","",Products!F483)</f>
        <v/>
      </c>
      <c r="H483" s="11">
        <f>IF(A483="","",IF(D483&lt;G483,"REORDER","OK"))</f>
        <v/>
      </c>
      <c r="I483" s="14">
        <f>IF(A483="","",IFERROR(_xlfn.MAXIFS(StockMovements!$A$2:$A$500,StockMovements!$B$2:$B$500,A483),0))</f>
        <v/>
      </c>
      <c r="J483" s="11">
        <f>IF(OR(A483="",I483=0),"",TODAY()-I483)</f>
        <v/>
      </c>
      <c r="K483" s="11">
        <f>IF(A483="","",IF(I483=0,"never moved",IF(J483&lt;=30,"0-30",IF(J483&lt;=60,"31-60",IF(J483&lt;=90,"61-90","90+")))))</f>
        <v/>
      </c>
    </row>
    <row r="484">
      <c r="A484" s="11">
        <f>Products!A484</f>
        <v/>
      </c>
      <c r="B484" s="11">
        <f>Products!B484</f>
        <v/>
      </c>
      <c r="C484" s="11">
        <f>Products!C484</f>
        <v/>
      </c>
      <c r="D484" s="11">
        <f>IF(A484="","",SUMIFS(StockMovements!$E$2:$E$500,StockMovements!$B$2:$B$500,A484,StockMovements!$D$2:$D$500,"receipt")+SUMIFS(StockMovements!$E$2:$E$500,StockMovements!$B$2:$B$500,A484,StockMovements!$D$2:$D$500,"production_in")+SUMIFS(StockMovements!$E$2:$E$500,StockMovements!$B$2:$B$500,A484,StockMovements!$D$2:$D$500,"adjustment")-SUMIFS(StockMovements!$E$2:$E$500,StockMovements!$B$2:$B$500,A484,StockMovements!$D$2:$D$500,"issue")-SUMIFS(StockMovements!$E$2:$E$500,StockMovements!$B$2:$B$500,A484,StockMovements!$D$2:$D$500,"production_out")-SUMIFS(StockMovements!$E$2:$E$500,StockMovements!$B$2:$B$500,A484,StockMovements!$D$2:$D$500,"transfer")-SUMIFS(StockMovements!$E$2:$E$500,StockMovements!$B$2:$B$500,A484,StockMovements!$D$2:$D$500,"scrap"))</f>
        <v/>
      </c>
      <c r="E484" s="11">
        <f>IF(A484="","",Products!E484)</f>
        <v/>
      </c>
      <c r="F484" s="11">
        <f>IF(A484="","",D484*E484)</f>
        <v/>
      </c>
      <c r="G484" s="11">
        <f>IF(A484="","",Products!F484)</f>
        <v/>
      </c>
      <c r="H484" s="11">
        <f>IF(A484="","",IF(D484&lt;G484,"REORDER","OK"))</f>
        <v/>
      </c>
      <c r="I484" s="14">
        <f>IF(A484="","",IFERROR(_xlfn.MAXIFS(StockMovements!$A$2:$A$500,StockMovements!$B$2:$B$500,A484),0))</f>
        <v/>
      </c>
      <c r="J484" s="11">
        <f>IF(OR(A484="",I484=0),"",TODAY()-I484)</f>
        <v/>
      </c>
      <c r="K484" s="11">
        <f>IF(A484="","",IF(I484=0,"never moved",IF(J484&lt;=30,"0-30",IF(J484&lt;=60,"31-60",IF(J484&lt;=90,"61-90","90+")))))</f>
        <v/>
      </c>
    </row>
    <row r="485">
      <c r="A485" s="11">
        <f>Products!A485</f>
        <v/>
      </c>
      <c r="B485" s="11">
        <f>Products!B485</f>
        <v/>
      </c>
      <c r="C485" s="11">
        <f>Products!C485</f>
        <v/>
      </c>
      <c r="D485" s="11">
        <f>IF(A485="","",SUMIFS(StockMovements!$E$2:$E$500,StockMovements!$B$2:$B$500,A485,StockMovements!$D$2:$D$500,"receipt")+SUMIFS(StockMovements!$E$2:$E$500,StockMovements!$B$2:$B$500,A485,StockMovements!$D$2:$D$500,"production_in")+SUMIFS(StockMovements!$E$2:$E$500,StockMovements!$B$2:$B$500,A485,StockMovements!$D$2:$D$500,"adjustment")-SUMIFS(StockMovements!$E$2:$E$500,StockMovements!$B$2:$B$500,A485,StockMovements!$D$2:$D$500,"issue")-SUMIFS(StockMovements!$E$2:$E$500,StockMovements!$B$2:$B$500,A485,StockMovements!$D$2:$D$500,"production_out")-SUMIFS(StockMovements!$E$2:$E$500,StockMovements!$B$2:$B$500,A485,StockMovements!$D$2:$D$500,"transfer")-SUMIFS(StockMovements!$E$2:$E$500,StockMovements!$B$2:$B$500,A485,StockMovements!$D$2:$D$500,"scrap"))</f>
        <v/>
      </c>
      <c r="E485" s="11">
        <f>IF(A485="","",Products!E485)</f>
        <v/>
      </c>
      <c r="F485" s="11">
        <f>IF(A485="","",D485*E485)</f>
        <v/>
      </c>
      <c r="G485" s="11">
        <f>IF(A485="","",Products!F485)</f>
        <v/>
      </c>
      <c r="H485" s="11">
        <f>IF(A485="","",IF(D485&lt;G485,"REORDER","OK"))</f>
        <v/>
      </c>
      <c r="I485" s="14">
        <f>IF(A485="","",IFERROR(_xlfn.MAXIFS(StockMovements!$A$2:$A$500,StockMovements!$B$2:$B$500,A485),0))</f>
        <v/>
      </c>
      <c r="J485" s="11">
        <f>IF(OR(A485="",I485=0),"",TODAY()-I485)</f>
        <v/>
      </c>
      <c r="K485" s="11">
        <f>IF(A485="","",IF(I485=0,"never moved",IF(J485&lt;=30,"0-30",IF(J485&lt;=60,"31-60",IF(J485&lt;=90,"61-90","90+")))))</f>
        <v/>
      </c>
    </row>
    <row r="486">
      <c r="A486" s="11">
        <f>Products!A486</f>
        <v/>
      </c>
      <c r="B486" s="11">
        <f>Products!B486</f>
        <v/>
      </c>
      <c r="C486" s="11">
        <f>Products!C486</f>
        <v/>
      </c>
      <c r="D486" s="11">
        <f>IF(A486="","",SUMIFS(StockMovements!$E$2:$E$500,StockMovements!$B$2:$B$500,A486,StockMovements!$D$2:$D$500,"receipt")+SUMIFS(StockMovements!$E$2:$E$500,StockMovements!$B$2:$B$500,A486,StockMovements!$D$2:$D$500,"production_in")+SUMIFS(StockMovements!$E$2:$E$500,StockMovements!$B$2:$B$500,A486,StockMovements!$D$2:$D$500,"adjustment")-SUMIFS(StockMovements!$E$2:$E$500,StockMovements!$B$2:$B$500,A486,StockMovements!$D$2:$D$500,"issue")-SUMIFS(StockMovements!$E$2:$E$500,StockMovements!$B$2:$B$500,A486,StockMovements!$D$2:$D$500,"production_out")-SUMIFS(StockMovements!$E$2:$E$500,StockMovements!$B$2:$B$500,A486,StockMovements!$D$2:$D$500,"transfer")-SUMIFS(StockMovements!$E$2:$E$500,StockMovements!$B$2:$B$500,A486,StockMovements!$D$2:$D$500,"scrap"))</f>
        <v/>
      </c>
      <c r="E486" s="11">
        <f>IF(A486="","",Products!E486)</f>
        <v/>
      </c>
      <c r="F486" s="11">
        <f>IF(A486="","",D486*E486)</f>
        <v/>
      </c>
      <c r="G486" s="11">
        <f>IF(A486="","",Products!F486)</f>
        <v/>
      </c>
      <c r="H486" s="11">
        <f>IF(A486="","",IF(D486&lt;G486,"REORDER","OK"))</f>
        <v/>
      </c>
      <c r="I486" s="14">
        <f>IF(A486="","",IFERROR(_xlfn.MAXIFS(StockMovements!$A$2:$A$500,StockMovements!$B$2:$B$500,A486),0))</f>
        <v/>
      </c>
      <c r="J486" s="11">
        <f>IF(OR(A486="",I486=0),"",TODAY()-I486)</f>
        <v/>
      </c>
      <c r="K486" s="11">
        <f>IF(A486="","",IF(I486=0,"never moved",IF(J486&lt;=30,"0-30",IF(J486&lt;=60,"31-60",IF(J486&lt;=90,"61-90","90+")))))</f>
        <v/>
      </c>
    </row>
    <row r="487">
      <c r="A487" s="11">
        <f>Products!A487</f>
        <v/>
      </c>
      <c r="B487" s="11">
        <f>Products!B487</f>
        <v/>
      </c>
      <c r="C487" s="11">
        <f>Products!C487</f>
        <v/>
      </c>
      <c r="D487" s="11">
        <f>IF(A487="","",SUMIFS(StockMovements!$E$2:$E$500,StockMovements!$B$2:$B$500,A487,StockMovements!$D$2:$D$500,"receipt")+SUMIFS(StockMovements!$E$2:$E$500,StockMovements!$B$2:$B$500,A487,StockMovements!$D$2:$D$500,"production_in")+SUMIFS(StockMovements!$E$2:$E$500,StockMovements!$B$2:$B$500,A487,StockMovements!$D$2:$D$500,"adjustment")-SUMIFS(StockMovements!$E$2:$E$500,StockMovements!$B$2:$B$500,A487,StockMovements!$D$2:$D$500,"issue")-SUMIFS(StockMovements!$E$2:$E$500,StockMovements!$B$2:$B$500,A487,StockMovements!$D$2:$D$500,"production_out")-SUMIFS(StockMovements!$E$2:$E$500,StockMovements!$B$2:$B$500,A487,StockMovements!$D$2:$D$500,"transfer")-SUMIFS(StockMovements!$E$2:$E$500,StockMovements!$B$2:$B$500,A487,StockMovements!$D$2:$D$500,"scrap"))</f>
        <v/>
      </c>
      <c r="E487" s="11">
        <f>IF(A487="","",Products!E487)</f>
        <v/>
      </c>
      <c r="F487" s="11">
        <f>IF(A487="","",D487*E487)</f>
        <v/>
      </c>
      <c r="G487" s="11">
        <f>IF(A487="","",Products!F487)</f>
        <v/>
      </c>
      <c r="H487" s="11">
        <f>IF(A487="","",IF(D487&lt;G487,"REORDER","OK"))</f>
        <v/>
      </c>
      <c r="I487" s="14">
        <f>IF(A487="","",IFERROR(_xlfn.MAXIFS(StockMovements!$A$2:$A$500,StockMovements!$B$2:$B$500,A487),0))</f>
        <v/>
      </c>
      <c r="J487" s="11">
        <f>IF(OR(A487="",I487=0),"",TODAY()-I487)</f>
        <v/>
      </c>
      <c r="K487" s="11">
        <f>IF(A487="","",IF(I487=0,"never moved",IF(J487&lt;=30,"0-30",IF(J487&lt;=60,"31-60",IF(J487&lt;=90,"61-90","90+")))))</f>
        <v/>
      </c>
    </row>
    <row r="488">
      <c r="A488" s="11">
        <f>Products!A488</f>
        <v/>
      </c>
      <c r="B488" s="11">
        <f>Products!B488</f>
        <v/>
      </c>
      <c r="C488" s="11">
        <f>Products!C488</f>
        <v/>
      </c>
      <c r="D488" s="11">
        <f>IF(A488="","",SUMIFS(StockMovements!$E$2:$E$500,StockMovements!$B$2:$B$500,A488,StockMovements!$D$2:$D$500,"receipt")+SUMIFS(StockMovements!$E$2:$E$500,StockMovements!$B$2:$B$500,A488,StockMovements!$D$2:$D$500,"production_in")+SUMIFS(StockMovements!$E$2:$E$500,StockMovements!$B$2:$B$500,A488,StockMovements!$D$2:$D$500,"adjustment")-SUMIFS(StockMovements!$E$2:$E$500,StockMovements!$B$2:$B$500,A488,StockMovements!$D$2:$D$500,"issue")-SUMIFS(StockMovements!$E$2:$E$500,StockMovements!$B$2:$B$500,A488,StockMovements!$D$2:$D$500,"production_out")-SUMIFS(StockMovements!$E$2:$E$500,StockMovements!$B$2:$B$500,A488,StockMovements!$D$2:$D$500,"transfer")-SUMIFS(StockMovements!$E$2:$E$500,StockMovements!$B$2:$B$500,A488,StockMovements!$D$2:$D$500,"scrap"))</f>
        <v/>
      </c>
      <c r="E488" s="11">
        <f>IF(A488="","",Products!E488)</f>
        <v/>
      </c>
      <c r="F488" s="11">
        <f>IF(A488="","",D488*E488)</f>
        <v/>
      </c>
      <c r="G488" s="11">
        <f>IF(A488="","",Products!F488)</f>
        <v/>
      </c>
      <c r="H488" s="11">
        <f>IF(A488="","",IF(D488&lt;G488,"REORDER","OK"))</f>
        <v/>
      </c>
      <c r="I488" s="14">
        <f>IF(A488="","",IFERROR(_xlfn.MAXIFS(StockMovements!$A$2:$A$500,StockMovements!$B$2:$B$500,A488),0))</f>
        <v/>
      </c>
      <c r="J488" s="11">
        <f>IF(OR(A488="",I488=0),"",TODAY()-I488)</f>
        <v/>
      </c>
      <c r="K488" s="11">
        <f>IF(A488="","",IF(I488=0,"never moved",IF(J488&lt;=30,"0-30",IF(J488&lt;=60,"31-60",IF(J488&lt;=90,"61-90","90+")))))</f>
        <v/>
      </c>
    </row>
    <row r="489">
      <c r="A489" s="11">
        <f>Products!A489</f>
        <v/>
      </c>
      <c r="B489" s="11">
        <f>Products!B489</f>
        <v/>
      </c>
      <c r="C489" s="11">
        <f>Products!C489</f>
        <v/>
      </c>
      <c r="D489" s="11">
        <f>IF(A489="","",SUMIFS(StockMovements!$E$2:$E$500,StockMovements!$B$2:$B$500,A489,StockMovements!$D$2:$D$500,"receipt")+SUMIFS(StockMovements!$E$2:$E$500,StockMovements!$B$2:$B$500,A489,StockMovements!$D$2:$D$500,"production_in")+SUMIFS(StockMovements!$E$2:$E$500,StockMovements!$B$2:$B$500,A489,StockMovements!$D$2:$D$500,"adjustment")-SUMIFS(StockMovements!$E$2:$E$500,StockMovements!$B$2:$B$500,A489,StockMovements!$D$2:$D$500,"issue")-SUMIFS(StockMovements!$E$2:$E$500,StockMovements!$B$2:$B$500,A489,StockMovements!$D$2:$D$500,"production_out")-SUMIFS(StockMovements!$E$2:$E$500,StockMovements!$B$2:$B$500,A489,StockMovements!$D$2:$D$500,"transfer")-SUMIFS(StockMovements!$E$2:$E$500,StockMovements!$B$2:$B$500,A489,StockMovements!$D$2:$D$500,"scrap"))</f>
        <v/>
      </c>
      <c r="E489" s="11">
        <f>IF(A489="","",Products!E489)</f>
        <v/>
      </c>
      <c r="F489" s="11">
        <f>IF(A489="","",D489*E489)</f>
        <v/>
      </c>
      <c r="G489" s="11">
        <f>IF(A489="","",Products!F489)</f>
        <v/>
      </c>
      <c r="H489" s="11">
        <f>IF(A489="","",IF(D489&lt;G489,"REORDER","OK"))</f>
        <v/>
      </c>
      <c r="I489" s="14">
        <f>IF(A489="","",IFERROR(_xlfn.MAXIFS(StockMovements!$A$2:$A$500,StockMovements!$B$2:$B$500,A489),0))</f>
        <v/>
      </c>
      <c r="J489" s="11">
        <f>IF(OR(A489="",I489=0),"",TODAY()-I489)</f>
        <v/>
      </c>
      <c r="K489" s="11">
        <f>IF(A489="","",IF(I489=0,"never moved",IF(J489&lt;=30,"0-30",IF(J489&lt;=60,"31-60",IF(J489&lt;=90,"61-90","90+")))))</f>
        <v/>
      </c>
    </row>
    <row r="490">
      <c r="A490" s="11">
        <f>Products!A490</f>
        <v/>
      </c>
      <c r="B490" s="11">
        <f>Products!B490</f>
        <v/>
      </c>
      <c r="C490" s="11">
        <f>Products!C490</f>
        <v/>
      </c>
      <c r="D490" s="11">
        <f>IF(A490="","",SUMIFS(StockMovements!$E$2:$E$500,StockMovements!$B$2:$B$500,A490,StockMovements!$D$2:$D$500,"receipt")+SUMIFS(StockMovements!$E$2:$E$500,StockMovements!$B$2:$B$500,A490,StockMovements!$D$2:$D$500,"production_in")+SUMIFS(StockMovements!$E$2:$E$500,StockMovements!$B$2:$B$500,A490,StockMovements!$D$2:$D$500,"adjustment")-SUMIFS(StockMovements!$E$2:$E$500,StockMovements!$B$2:$B$500,A490,StockMovements!$D$2:$D$500,"issue")-SUMIFS(StockMovements!$E$2:$E$500,StockMovements!$B$2:$B$500,A490,StockMovements!$D$2:$D$500,"production_out")-SUMIFS(StockMovements!$E$2:$E$500,StockMovements!$B$2:$B$500,A490,StockMovements!$D$2:$D$500,"transfer")-SUMIFS(StockMovements!$E$2:$E$500,StockMovements!$B$2:$B$500,A490,StockMovements!$D$2:$D$500,"scrap"))</f>
        <v/>
      </c>
      <c r="E490" s="11">
        <f>IF(A490="","",Products!E490)</f>
        <v/>
      </c>
      <c r="F490" s="11">
        <f>IF(A490="","",D490*E490)</f>
        <v/>
      </c>
      <c r="G490" s="11">
        <f>IF(A490="","",Products!F490)</f>
        <v/>
      </c>
      <c r="H490" s="11">
        <f>IF(A490="","",IF(D490&lt;G490,"REORDER","OK"))</f>
        <v/>
      </c>
      <c r="I490" s="14">
        <f>IF(A490="","",IFERROR(_xlfn.MAXIFS(StockMovements!$A$2:$A$500,StockMovements!$B$2:$B$500,A490),0))</f>
        <v/>
      </c>
      <c r="J490" s="11">
        <f>IF(OR(A490="",I490=0),"",TODAY()-I490)</f>
        <v/>
      </c>
      <c r="K490" s="11">
        <f>IF(A490="","",IF(I490=0,"never moved",IF(J490&lt;=30,"0-30",IF(J490&lt;=60,"31-60",IF(J490&lt;=90,"61-90","90+")))))</f>
        <v/>
      </c>
    </row>
    <row r="491">
      <c r="A491" s="11">
        <f>Products!A491</f>
        <v/>
      </c>
      <c r="B491" s="11">
        <f>Products!B491</f>
        <v/>
      </c>
      <c r="C491" s="11">
        <f>Products!C491</f>
        <v/>
      </c>
      <c r="D491" s="11">
        <f>IF(A491="","",SUMIFS(StockMovements!$E$2:$E$500,StockMovements!$B$2:$B$500,A491,StockMovements!$D$2:$D$500,"receipt")+SUMIFS(StockMovements!$E$2:$E$500,StockMovements!$B$2:$B$500,A491,StockMovements!$D$2:$D$500,"production_in")+SUMIFS(StockMovements!$E$2:$E$500,StockMovements!$B$2:$B$500,A491,StockMovements!$D$2:$D$500,"adjustment")-SUMIFS(StockMovements!$E$2:$E$500,StockMovements!$B$2:$B$500,A491,StockMovements!$D$2:$D$500,"issue")-SUMIFS(StockMovements!$E$2:$E$500,StockMovements!$B$2:$B$500,A491,StockMovements!$D$2:$D$500,"production_out")-SUMIFS(StockMovements!$E$2:$E$500,StockMovements!$B$2:$B$500,A491,StockMovements!$D$2:$D$500,"transfer")-SUMIFS(StockMovements!$E$2:$E$500,StockMovements!$B$2:$B$500,A491,StockMovements!$D$2:$D$500,"scrap"))</f>
        <v/>
      </c>
      <c r="E491" s="11">
        <f>IF(A491="","",Products!E491)</f>
        <v/>
      </c>
      <c r="F491" s="11">
        <f>IF(A491="","",D491*E491)</f>
        <v/>
      </c>
      <c r="G491" s="11">
        <f>IF(A491="","",Products!F491)</f>
        <v/>
      </c>
      <c r="H491" s="11">
        <f>IF(A491="","",IF(D491&lt;G491,"REORDER","OK"))</f>
        <v/>
      </c>
      <c r="I491" s="14">
        <f>IF(A491="","",IFERROR(_xlfn.MAXIFS(StockMovements!$A$2:$A$500,StockMovements!$B$2:$B$500,A491),0))</f>
        <v/>
      </c>
      <c r="J491" s="11">
        <f>IF(OR(A491="",I491=0),"",TODAY()-I491)</f>
        <v/>
      </c>
      <c r="K491" s="11">
        <f>IF(A491="","",IF(I491=0,"never moved",IF(J491&lt;=30,"0-30",IF(J491&lt;=60,"31-60",IF(J491&lt;=90,"61-90","90+")))))</f>
        <v/>
      </c>
    </row>
    <row r="492">
      <c r="A492" s="11">
        <f>Products!A492</f>
        <v/>
      </c>
      <c r="B492" s="11">
        <f>Products!B492</f>
        <v/>
      </c>
      <c r="C492" s="11">
        <f>Products!C492</f>
        <v/>
      </c>
      <c r="D492" s="11">
        <f>IF(A492="","",SUMIFS(StockMovements!$E$2:$E$500,StockMovements!$B$2:$B$500,A492,StockMovements!$D$2:$D$500,"receipt")+SUMIFS(StockMovements!$E$2:$E$500,StockMovements!$B$2:$B$500,A492,StockMovements!$D$2:$D$500,"production_in")+SUMIFS(StockMovements!$E$2:$E$500,StockMovements!$B$2:$B$500,A492,StockMovements!$D$2:$D$500,"adjustment")-SUMIFS(StockMovements!$E$2:$E$500,StockMovements!$B$2:$B$500,A492,StockMovements!$D$2:$D$500,"issue")-SUMIFS(StockMovements!$E$2:$E$500,StockMovements!$B$2:$B$500,A492,StockMovements!$D$2:$D$500,"production_out")-SUMIFS(StockMovements!$E$2:$E$500,StockMovements!$B$2:$B$500,A492,StockMovements!$D$2:$D$500,"transfer")-SUMIFS(StockMovements!$E$2:$E$500,StockMovements!$B$2:$B$500,A492,StockMovements!$D$2:$D$500,"scrap"))</f>
        <v/>
      </c>
      <c r="E492" s="11">
        <f>IF(A492="","",Products!E492)</f>
        <v/>
      </c>
      <c r="F492" s="11">
        <f>IF(A492="","",D492*E492)</f>
        <v/>
      </c>
      <c r="G492" s="11">
        <f>IF(A492="","",Products!F492)</f>
        <v/>
      </c>
      <c r="H492" s="11">
        <f>IF(A492="","",IF(D492&lt;G492,"REORDER","OK"))</f>
        <v/>
      </c>
      <c r="I492" s="14">
        <f>IF(A492="","",IFERROR(_xlfn.MAXIFS(StockMovements!$A$2:$A$500,StockMovements!$B$2:$B$500,A492),0))</f>
        <v/>
      </c>
      <c r="J492" s="11">
        <f>IF(OR(A492="",I492=0),"",TODAY()-I492)</f>
        <v/>
      </c>
      <c r="K492" s="11">
        <f>IF(A492="","",IF(I492=0,"never moved",IF(J492&lt;=30,"0-30",IF(J492&lt;=60,"31-60",IF(J492&lt;=90,"61-90","90+")))))</f>
        <v/>
      </c>
    </row>
    <row r="493">
      <c r="A493" s="11">
        <f>Products!A493</f>
        <v/>
      </c>
      <c r="B493" s="11">
        <f>Products!B493</f>
        <v/>
      </c>
      <c r="C493" s="11">
        <f>Products!C493</f>
        <v/>
      </c>
      <c r="D493" s="11">
        <f>IF(A493="","",SUMIFS(StockMovements!$E$2:$E$500,StockMovements!$B$2:$B$500,A493,StockMovements!$D$2:$D$500,"receipt")+SUMIFS(StockMovements!$E$2:$E$500,StockMovements!$B$2:$B$500,A493,StockMovements!$D$2:$D$500,"production_in")+SUMIFS(StockMovements!$E$2:$E$500,StockMovements!$B$2:$B$500,A493,StockMovements!$D$2:$D$500,"adjustment")-SUMIFS(StockMovements!$E$2:$E$500,StockMovements!$B$2:$B$500,A493,StockMovements!$D$2:$D$500,"issue")-SUMIFS(StockMovements!$E$2:$E$500,StockMovements!$B$2:$B$500,A493,StockMovements!$D$2:$D$500,"production_out")-SUMIFS(StockMovements!$E$2:$E$500,StockMovements!$B$2:$B$500,A493,StockMovements!$D$2:$D$500,"transfer")-SUMIFS(StockMovements!$E$2:$E$500,StockMovements!$B$2:$B$500,A493,StockMovements!$D$2:$D$500,"scrap"))</f>
        <v/>
      </c>
      <c r="E493" s="11">
        <f>IF(A493="","",Products!E493)</f>
        <v/>
      </c>
      <c r="F493" s="11">
        <f>IF(A493="","",D493*E493)</f>
        <v/>
      </c>
      <c r="G493" s="11">
        <f>IF(A493="","",Products!F493)</f>
        <v/>
      </c>
      <c r="H493" s="11">
        <f>IF(A493="","",IF(D493&lt;G493,"REORDER","OK"))</f>
        <v/>
      </c>
      <c r="I493" s="14">
        <f>IF(A493="","",IFERROR(_xlfn.MAXIFS(StockMovements!$A$2:$A$500,StockMovements!$B$2:$B$500,A493),0))</f>
        <v/>
      </c>
      <c r="J493" s="11">
        <f>IF(OR(A493="",I493=0),"",TODAY()-I493)</f>
        <v/>
      </c>
      <c r="K493" s="11">
        <f>IF(A493="","",IF(I493=0,"never moved",IF(J493&lt;=30,"0-30",IF(J493&lt;=60,"31-60",IF(J493&lt;=90,"61-90","90+")))))</f>
        <v/>
      </c>
    </row>
    <row r="494">
      <c r="A494" s="11">
        <f>Products!A494</f>
        <v/>
      </c>
      <c r="B494" s="11">
        <f>Products!B494</f>
        <v/>
      </c>
      <c r="C494" s="11">
        <f>Products!C494</f>
        <v/>
      </c>
      <c r="D494" s="11">
        <f>IF(A494="","",SUMIFS(StockMovements!$E$2:$E$500,StockMovements!$B$2:$B$500,A494,StockMovements!$D$2:$D$500,"receipt")+SUMIFS(StockMovements!$E$2:$E$500,StockMovements!$B$2:$B$500,A494,StockMovements!$D$2:$D$500,"production_in")+SUMIFS(StockMovements!$E$2:$E$500,StockMovements!$B$2:$B$500,A494,StockMovements!$D$2:$D$500,"adjustment")-SUMIFS(StockMovements!$E$2:$E$500,StockMovements!$B$2:$B$500,A494,StockMovements!$D$2:$D$500,"issue")-SUMIFS(StockMovements!$E$2:$E$500,StockMovements!$B$2:$B$500,A494,StockMovements!$D$2:$D$500,"production_out")-SUMIFS(StockMovements!$E$2:$E$500,StockMovements!$B$2:$B$500,A494,StockMovements!$D$2:$D$500,"transfer")-SUMIFS(StockMovements!$E$2:$E$500,StockMovements!$B$2:$B$500,A494,StockMovements!$D$2:$D$500,"scrap"))</f>
        <v/>
      </c>
      <c r="E494" s="11">
        <f>IF(A494="","",Products!E494)</f>
        <v/>
      </c>
      <c r="F494" s="11">
        <f>IF(A494="","",D494*E494)</f>
        <v/>
      </c>
      <c r="G494" s="11">
        <f>IF(A494="","",Products!F494)</f>
        <v/>
      </c>
      <c r="H494" s="11">
        <f>IF(A494="","",IF(D494&lt;G494,"REORDER","OK"))</f>
        <v/>
      </c>
      <c r="I494" s="14">
        <f>IF(A494="","",IFERROR(_xlfn.MAXIFS(StockMovements!$A$2:$A$500,StockMovements!$B$2:$B$500,A494),0))</f>
        <v/>
      </c>
      <c r="J494" s="11">
        <f>IF(OR(A494="",I494=0),"",TODAY()-I494)</f>
        <v/>
      </c>
      <c r="K494" s="11">
        <f>IF(A494="","",IF(I494=0,"never moved",IF(J494&lt;=30,"0-30",IF(J494&lt;=60,"31-60",IF(J494&lt;=90,"61-90","90+")))))</f>
        <v/>
      </c>
    </row>
    <row r="495">
      <c r="A495" s="11">
        <f>Products!A495</f>
        <v/>
      </c>
      <c r="B495" s="11">
        <f>Products!B495</f>
        <v/>
      </c>
      <c r="C495" s="11">
        <f>Products!C495</f>
        <v/>
      </c>
      <c r="D495" s="11">
        <f>IF(A495="","",SUMIFS(StockMovements!$E$2:$E$500,StockMovements!$B$2:$B$500,A495,StockMovements!$D$2:$D$500,"receipt")+SUMIFS(StockMovements!$E$2:$E$500,StockMovements!$B$2:$B$500,A495,StockMovements!$D$2:$D$500,"production_in")+SUMIFS(StockMovements!$E$2:$E$500,StockMovements!$B$2:$B$500,A495,StockMovements!$D$2:$D$500,"adjustment")-SUMIFS(StockMovements!$E$2:$E$500,StockMovements!$B$2:$B$500,A495,StockMovements!$D$2:$D$500,"issue")-SUMIFS(StockMovements!$E$2:$E$500,StockMovements!$B$2:$B$500,A495,StockMovements!$D$2:$D$500,"production_out")-SUMIFS(StockMovements!$E$2:$E$500,StockMovements!$B$2:$B$500,A495,StockMovements!$D$2:$D$500,"transfer")-SUMIFS(StockMovements!$E$2:$E$500,StockMovements!$B$2:$B$500,A495,StockMovements!$D$2:$D$500,"scrap"))</f>
        <v/>
      </c>
      <c r="E495" s="11">
        <f>IF(A495="","",Products!E495)</f>
        <v/>
      </c>
      <c r="F495" s="11">
        <f>IF(A495="","",D495*E495)</f>
        <v/>
      </c>
      <c r="G495" s="11">
        <f>IF(A495="","",Products!F495)</f>
        <v/>
      </c>
      <c r="H495" s="11">
        <f>IF(A495="","",IF(D495&lt;G495,"REORDER","OK"))</f>
        <v/>
      </c>
      <c r="I495" s="14">
        <f>IF(A495="","",IFERROR(_xlfn.MAXIFS(StockMovements!$A$2:$A$500,StockMovements!$B$2:$B$500,A495),0))</f>
        <v/>
      </c>
      <c r="J495" s="11">
        <f>IF(OR(A495="",I495=0),"",TODAY()-I495)</f>
        <v/>
      </c>
      <c r="K495" s="11">
        <f>IF(A495="","",IF(I495=0,"never moved",IF(J495&lt;=30,"0-30",IF(J495&lt;=60,"31-60",IF(J495&lt;=90,"61-90","90+")))))</f>
        <v/>
      </c>
    </row>
    <row r="496">
      <c r="A496" s="11">
        <f>Products!A496</f>
        <v/>
      </c>
      <c r="B496" s="11">
        <f>Products!B496</f>
        <v/>
      </c>
      <c r="C496" s="11">
        <f>Products!C496</f>
        <v/>
      </c>
      <c r="D496" s="11">
        <f>IF(A496="","",SUMIFS(StockMovements!$E$2:$E$500,StockMovements!$B$2:$B$500,A496,StockMovements!$D$2:$D$500,"receipt")+SUMIFS(StockMovements!$E$2:$E$500,StockMovements!$B$2:$B$500,A496,StockMovements!$D$2:$D$500,"production_in")+SUMIFS(StockMovements!$E$2:$E$500,StockMovements!$B$2:$B$500,A496,StockMovements!$D$2:$D$500,"adjustment")-SUMIFS(StockMovements!$E$2:$E$500,StockMovements!$B$2:$B$500,A496,StockMovements!$D$2:$D$500,"issue")-SUMIFS(StockMovements!$E$2:$E$500,StockMovements!$B$2:$B$500,A496,StockMovements!$D$2:$D$500,"production_out")-SUMIFS(StockMovements!$E$2:$E$500,StockMovements!$B$2:$B$500,A496,StockMovements!$D$2:$D$500,"transfer")-SUMIFS(StockMovements!$E$2:$E$500,StockMovements!$B$2:$B$500,A496,StockMovements!$D$2:$D$500,"scrap"))</f>
        <v/>
      </c>
      <c r="E496" s="11">
        <f>IF(A496="","",Products!E496)</f>
        <v/>
      </c>
      <c r="F496" s="11">
        <f>IF(A496="","",D496*E496)</f>
        <v/>
      </c>
      <c r="G496" s="11">
        <f>IF(A496="","",Products!F496)</f>
        <v/>
      </c>
      <c r="H496" s="11">
        <f>IF(A496="","",IF(D496&lt;G496,"REORDER","OK"))</f>
        <v/>
      </c>
      <c r="I496" s="14">
        <f>IF(A496="","",IFERROR(_xlfn.MAXIFS(StockMovements!$A$2:$A$500,StockMovements!$B$2:$B$500,A496),0))</f>
        <v/>
      </c>
      <c r="J496" s="11">
        <f>IF(OR(A496="",I496=0),"",TODAY()-I496)</f>
        <v/>
      </c>
      <c r="K496" s="11">
        <f>IF(A496="","",IF(I496=0,"never moved",IF(J496&lt;=30,"0-30",IF(J496&lt;=60,"31-60",IF(J496&lt;=90,"61-90","90+")))))</f>
        <v/>
      </c>
    </row>
    <row r="497">
      <c r="A497" s="11">
        <f>Products!A497</f>
        <v/>
      </c>
      <c r="B497" s="11">
        <f>Products!B497</f>
        <v/>
      </c>
      <c r="C497" s="11">
        <f>Products!C497</f>
        <v/>
      </c>
      <c r="D497" s="11">
        <f>IF(A497="","",SUMIFS(StockMovements!$E$2:$E$500,StockMovements!$B$2:$B$500,A497,StockMovements!$D$2:$D$500,"receipt")+SUMIFS(StockMovements!$E$2:$E$500,StockMovements!$B$2:$B$500,A497,StockMovements!$D$2:$D$500,"production_in")+SUMIFS(StockMovements!$E$2:$E$500,StockMovements!$B$2:$B$500,A497,StockMovements!$D$2:$D$500,"adjustment")-SUMIFS(StockMovements!$E$2:$E$500,StockMovements!$B$2:$B$500,A497,StockMovements!$D$2:$D$500,"issue")-SUMIFS(StockMovements!$E$2:$E$500,StockMovements!$B$2:$B$500,A497,StockMovements!$D$2:$D$500,"production_out")-SUMIFS(StockMovements!$E$2:$E$500,StockMovements!$B$2:$B$500,A497,StockMovements!$D$2:$D$500,"transfer")-SUMIFS(StockMovements!$E$2:$E$500,StockMovements!$B$2:$B$500,A497,StockMovements!$D$2:$D$500,"scrap"))</f>
        <v/>
      </c>
      <c r="E497" s="11">
        <f>IF(A497="","",Products!E497)</f>
        <v/>
      </c>
      <c r="F497" s="11">
        <f>IF(A497="","",D497*E497)</f>
        <v/>
      </c>
      <c r="G497" s="11">
        <f>IF(A497="","",Products!F497)</f>
        <v/>
      </c>
      <c r="H497" s="11">
        <f>IF(A497="","",IF(D497&lt;G497,"REORDER","OK"))</f>
        <v/>
      </c>
      <c r="I497" s="14">
        <f>IF(A497="","",IFERROR(_xlfn.MAXIFS(StockMovements!$A$2:$A$500,StockMovements!$B$2:$B$500,A497),0))</f>
        <v/>
      </c>
      <c r="J497" s="11">
        <f>IF(OR(A497="",I497=0),"",TODAY()-I497)</f>
        <v/>
      </c>
      <c r="K497" s="11">
        <f>IF(A497="","",IF(I497=0,"never moved",IF(J497&lt;=30,"0-30",IF(J497&lt;=60,"31-60",IF(J497&lt;=90,"61-90","90+")))))</f>
        <v/>
      </c>
    </row>
    <row r="498">
      <c r="A498" s="11">
        <f>Products!A498</f>
        <v/>
      </c>
      <c r="B498" s="11">
        <f>Products!B498</f>
        <v/>
      </c>
      <c r="C498" s="11">
        <f>Products!C498</f>
        <v/>
      </c>
      <c r="D498" s="11">
        <f>IF(A498="","",SUMIFS(StockMovements!$E$2:$E$500,StockMovements!$B$2:$B$500,A498,StockMovements!$D$2:$D$500,"receipt")+SUMIFS(StockMovements!$E$2:$E$500,StockMovements!$B$2:$B$500,A498,StockMovements!$D$2:$D$500,"production_in")+SUMIFS(StockMovements!$E$2:$E$500,StockMovements!$B$2:$B$500,A498,StockMovements!$D$2:$D$500,"adjustment")-SUMIFS(StockMovements!$E$2:$E$500,StockMovements!$B$2:$B$500,A498,StockMovements!$D$2:$D$500,"issue")-SUMIFS(StockMovements!$E$2:$E$500,StockMovements!$B$2:$B$500,A498,StockMovements!$D$2:$D$500,"production_out")-SUMIFS(StockMovements!$E$2:$E$500,StockMovements!$B$2:$B$500,A498,StockMovements!$D$2:$D$500,"transfer")-SUMIFS(StockMovements!$E$2:$E$500,StockMovements!$B$2:$B$500,A498,StockMovements!$D$2:$D$500,"scrap"))</f>
        <v/>
      </c>
      <c r="E498" s="11">
        <f>IF(A498="","",Products!E498)</f>
        <v/>
      </c>
      <c r="F498" s="11">
        <f>IF(A498="","",D498*E498)</f>
        <v/>
      </c>
      <c r="G498" s="11">
        <f>IF(A498="","",Products!F498)</f>
        <v/>
      </c>
      <c r="H498" s="11">
        <f>IF(A498="","",IF(D498&lt;G498,"REORDER","OK"))</f>
        <v/>
      </c>
      <c r="I498" s="14">
        <f>IF(A498="","",IFERROR(_xlfn.MAXIFS(StockMovements!$A$2:$A$500,StockMovements!$B$2:$B$500,A498),0))</f>
        <v/>
      </c>
      <c r="J498" s="11">
        <f>IF(OR(A498="",I498=0),"",TODAY()-I498)</f>
        <v/>
      </c>
      <c r="K498" s="11">
        <f>IF(A498="","",IF(I498=0,"never moved",IF(J498&lt;=30,"0-30",IF(J498&lt;=60,"31-60",IF(J498&lt;=90,"61-90","90+")))))</f>
        <v/>
      </c>
    </row>
    <row r="499">
      <c r="A499" s="11">
        <f>Products!A499</f>
        <v/>
      </c>
      <c r="B499" s="11">
        <f>Products!B499</f>
        <v/>
      </c>
      <c r="C499" s="11">
        <f>Products!C499</f>
        <v/>
      </c>
      <c r="D499" s="11">
        <f>IF(A499="","",SUMIFS(StockMovements!$E$2:$E$500,StockMovements!$B$2:$B$500,A499,StockMovements!$D$2:$D$500,"receipt")+SUMIFS(StockMovements!$E$2:$E$500,StockMovements!$B$2:$B$500,A499,StockMovements!$D$2:$D$500,"production_in")+SUMIFS(StockMovements!$E$2:$E$500,StockMovements!$B$2:$B$500,A499,StockMovements!$D$2:$D$500,"adjustment")-SUMIFS(StockMovements!$E$2:$E$500,StockMovements!$B$2:$B$500,A499,StockMovements!$D$2:$D$500,"issue")-SUMIFS(StockMovements!$E$2:$E$500,StockMovements!$B$2:$B$500,A499,StockMovements!$D$2:$D$500,"production_out")-SUMIFS(StockMovements!$E$2:$E$500,StockMovements!$B$2:$B$500,A499,StockMovements!$D$2:$D$500,"transfer")-SUMIFS(StockMovements!$E$2:$E$500,StockMovements!$B$2:$B$500,A499,StockMovements!$D$2:$D$500,"scrap"))</f>
        <v/>
      </c>
      <c r="E499" s="11">
        <f>IF(A499="","",Products!E499)</f>
        <v/>
      </c>
      <c r="F499" s="11">
        <f>IF(A499="","",D499*E499)</f>
        <v/>
      </c>
      <c r="G499" s="11">
        <f>IF(A499="","",Products!F499)</f>
        <v/>
      </c>
      <c r="H499" s="11">
        <f>IF(A499="","",IF(D499&lt;G499,"REORDER","OK"))</f>
        <v/>
      </c>
      <c r="I499" s="14">
        <f>IF(A499="","",IFERROR(_xlfn.MAXIFS(StockMovements!$A$2:$A$500,StockMovements!$B$2:$B$500,A499),0))</f>
        <v/>
      </c>
      <c r="J499" s="11">
        <f>IF(OR(A499="",I499=0),"",TODAY()-I499)</f>
        <v/>
      </c>
      <c r="K499" s="11">
        <f>IF(A499="","",IF(I499=0,"never moved",IF(J499&lt;=30,"0-30",IF(J499&lt;=60,"31-60",IF(J499&lt;=90,"61-90","90+")))))</f>
        <v/>
      </c>
    </row>
    <row r="500">
      <c r="A500" s="11">
        <f>Products!A500</f>
        <v/>
      </c>
      <c r="B500" s="11">
        <f>Products!B500</f>
        <v/>
      </c>
      <c r="C500" s="11">
        <f>Products!C500</f>
        <v/>
      </c>
      <c r="D500" s="11">
        <f>IF(A500="","",SUMIFS(StockMovements!$E$2:$E$500,StockMovements!$B$2:$B$500,A500,StockMovements!$D$2:$D$500,"receipt")+SUMIFS(StockMovements!$E$2:$E$500,StockMovements!$B$2:$B$500,A500,StockMovements!$D$2:$D$500,"production_in")+SUMIFS(StockMovements!$E$2:$E$500,StockMovements!$B$2:$B$500,A500,StockMovements!$D$2:$D$500,"adjustment")-SUMIFS(StockMovements!$E$2:$E$500,StockMovements!$B$2:$B$500,A500,StockMovements!$D$2:$D$500,"issue")-SUMIFS(StockMovements!$E$2:$E$500,StockMovements!$B$2:$B$500,A500,StockMovements!$D$2:$D$500,"production_out")-SUMIFS(StockMovements!$E$2:$E$500,StockMovements!$B$2:$B$500,A500,StockMovements!$D$2:$D$500,"transfer")-SUMIFS(StockMovements!$E$2:$E$500,StockMovements!$B$2:$B$500,A500,StockMovements!$D$2:$D$500,"scrap"))</f>
        <v/>
      </c>
      <c r="E500" s="11">
        <f>IF(A500="","",Products!E500)</f>
        <v/>
      </c>
      <c r="F500" s="11">
        <f>IF(A500="","",D500*E500)</f>
        <v/>
      </c>
      <c r="G500" s="11">
        <f>IF(A500="","",Products!F500)</f>
        <v/>
      </c>
      <c r="H500" s="11">
        <f>IF(A500="","",IF(D500&lt;G500,"REORDER","OK"))</f>
        <v/>
      </c>
      <c r="I500" s="14">
        <f>IF(A500="","",IFERROR(_xlfn.MAXIFS(StockMovements!$A$2:$A$500,StockMovements!$B$2:$B$500,A500),0))</f>
        <v/>
      </c>
      <c r="J500" s="11">
        <f>IF(OR(A500="",I500=0),"",TODAY()-I500)</f>
        <v/>
      </c>
      <c r="K500" s="11">
        <f>IF(A500="","",IF(I500=0,"never moved",IF(J500&lt;=30,"0-30",IF(J500&lt;=60,"31-60",IF(J500&lt;=90,"61-90","90+")))))</f>
        <v/>
      </c>
    </row>
  </sheetData>
  <conditionalFormatting sqref="H2:H500">
    <cfRule type="cellIs" priority="1" operator="equal" dxfId="0">
      <formula>"REORDER"</formula>
    </cfRule>
  </conditionalFormatting>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00"/>
  <sheetViews>
    <sheetView workbookViewId="0">
      <selection activeCell="A1" sqref="A1"/>
    </sheetView>
  </sheetViews>
  <sheetFormatPr baseColWidth="8" defaultRowHeight="15"/>
  <cols>
    <col width="14" customWidth="1" min="1" max="1"/>
    <col width="2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7" t="inlineStr">
        <is>
          <t>Code</t>
        </is>
      </c>
      <c r="B1" s="7" t="inlineStr">
        <is>
          <t>Name</t>
        </is>
      </c>
      <c r="C1" s="7" t="inlineStr">
        <is>
          <t>RatedCapacityPerHour</t>
        </is>
      </c>
      <c r="D1" s="7" t="inlineStr">
        <is>
          <t>PlannedMinutes</t>
        </is>
      </c>
      <c r="E1" s="7" t="inlineStr">
        <is>
          <t>TotalOutput</t>
        </is>
      </c>
      <c r="F1" s="7" t="inlineStr">
        <is>
          <t>RejectedTotal</t>
        </is>
      </c>
      <c r="G1" s="7" t="inlineStr">
        <is>
          <t>GoodOutput</t>
        </is>
      </c>
      <c r="H1" s="7" t="inlineStr">
        <is>
          <t>DowntimeMinutes</t>
        </is>
      </c>
      <c r="I1" s="7" t="inlineStr">
        <is>
          <t>RunMinutes</t>
        </is>
      </c>
      <c r="J1" s="7" t="inlineStr">
        <is>
          <t>Availability</t>
        </is>
      </c>
      <c r="K1" s="7" t="inlineStr">
        <is>
          <t>Performance</t>
        </is>
      </c>
      <c r="L1" s="7" t="inlineStr">
        <is>
          <t>Quality</t>
        </is>
      </c>
      <c r="M1" s="7" t="inlineStr">
        <is>
          <t>OEE</t>
        </is>
      </c>
    </row>
    <row r="2">
      <c r="A2" s="11">
        <f>Machines!A2</f>
        <v/>
      </c>
      <c r="B2" s="11">
        <f>Machines!B2</f>
        <v/>
      </c>
      <c r="C2" s="11">
        <f>IF(A2="","",Machines!D2)</f>
        <v/>
      </c>
      <c r="D2" s="11">
        <f>SUMIFS(WorkOrders!$M$2:$M$500,WorkOrders!$C$2:$C$500,A2)</f>
        <v/>
      </c>
      <c r="E2" s="11">
        <f>SUMIFS(WorkOrders!$E$2:$E$500,WorkOrders!$C$2:$C$500,A2)</f>
        <v/>
      </c>
      <c r="F2" s="11">
        <f>SUMIFS(WorkOrders!$F$2:$F$500,WorkOrders!$C$2:$C$500,A2)</f>
        <v/>
      </c>
      <c r="G2" s="11">
        <f>E2-F2</f>
        <v/>
      </c>
      <c r="H2" s="11">
        <f>SUMIFS(Downtime!$G$2:$G$500,Downtime!$A$2:$A$500,A2)</f>
        <v/>
      </c>
      <c r="I2" s="11">
        <f>MAX(0,D2-H2)</f>
        <v/>
      </c>
      <c r="J2" s="15">
        <f>IF(A2="","",IF(D2=0,0,MIN(1,I2/D2)))</f>
        <v/>
      </c>
      <c r="K2" s="15">
        <f>IF(A2="","",IF(OR(I2=0,C2=0),0,MIN(1,E2/((I2/60)*C2))))</f>
        <v/>
      </c>
      <c r="L2" s="15">
        <f>IF(A2="","",IF(E2=0,0,MIN(1,MAX(0,G2/E2))))</f>
        <v/>
      </c>
      <c r="M2" s="15">
        <f>IF(A2="","",J2*K2*L2)</f>
        <v/>
      </c>
    </row>
    <row r="3">
      <c r="A3" s="11">
        <f>Machines!A3</f>
        <v/>
      </c>
      <c r="B3" s="11">
        <f>Machines!B3</f>
        <v/>
      </c>
      <c r="C3" s="11">
        <f>IF(A3="","",Machines!D3)</f>
        <v/>
      </c>
      <c r="D3" s="11">
        <f>SUMIFS(WorkOrders!$M$2:$M$500,WorkOrders!$C$2:$C$500,A3)</f>
        <v/>
      </c>
      <c r="E3" s="11">
        <f>SUMIFS(WorkOrders!$E$2:$E$500,WorkOrders!$C$2:$C$500,A3)</f>
        <v/>
      </c>
      <c r="F3" s="11">
        <f>SUMIFS(WorkOrders!$F$2:$F$500,WorkOrders!$C$2:$C$500,A3)</f>
        <v/>
      </c>
      <c r="G3" s="11">
        <f>E3-F3</f>
        <v/>
      </c>
      <c r="H3" s="11">
        <f>SUMIFS(Downtime!$G$2:$G$500,Downtime!$A$2:$A$500,A3)</f>
        <v/>
      </c>
      <c r="I3" s="11">
        <f>MAX(0,D3-H3)</f>
        <v/>
      </c>
      <c r="J3" s="15">
        <f>IF(A3="","",IF(D3=0,0,MIN(1,I3/D3)))</f>
        <v/>
      </c>
      <c r="K3" s="15">
        <f>IF(A3="","",IF(OR(I3=0,C3=0),0,MIN(1,E3/((I3/60)*C3))))</f>
        <v/>
      </c>
      <c r="L3" s="15">
        <f>IF(A3="","",IF(E3=0,0,MIN(1,MAX(0,G3/E3))))</f>
        <v/>
      </c>
      <c r="M3" s="15">
        <f>IF(A3="","",J3*K3*L3)</f>
        <v/>
      </c>
    </row>
    <row r="4">
      <c r="A4" s="11">
        <f>Machines!A4</f>
        <v/>
      </c>
      <c r="B4" s="11">
        <f>Machines!B4</f>
        <v/>
      </c>
      <c r="C4" s="11">
        <f>IF(A4="","",Machines!D4)</f>
        <v/>
      </c>
      <c r="D4" s="11">
        <f>SUMIFS(WorkOrders!$M$2:$M$500,WorkOrders!$C$2:$C$500,A4)</f>
        <v/>
      </c>
      <c r="E4" s="11">
        <f>SUMIFS(WorkOrders!$E$2:$E$500,WorkOrders!$C$2:$C$500,A4)</f>
        <v/>
      </c>
      <c r="F4" s="11">
        <f>SUMIFS(WorkOrders!$F$2:$F$500,WorkOrders!$C$2:$C$500,A4)</f>
        <v/>
      </c>
      <c r="G4" s="11">
        <f>E4-F4</f>
        <v/>
      </c>
      <c r="H4" s="11">
        <f>SUMIFS(Downtime!$G$2:$G$500,Downtime!$A$2:$A$500,A4)</f>
        <v/>
      </c>
      <c r="I4" s="11">
        <f>MAX(0,D4-H4)</f>
        <v/>
      </c>
      <c r="J4" s="15">
        <f>IF(A4="","",IF(D4=0,0,MIN(1,I4/D4)))</f>
        <v/>
      </c>
      <c r="K4" s="15">
        <f>IF(A4="","",IF(OR(I4=0,C4=0),0,MIN(1,E4/((I4/60)*C4))))</f>
        <v/>
      </c>
      <c r="L4" s="15">
        <f>IF(A4="","",IF(E4=0,0,MIN(1,MAX(0,G4/E4))))</f>
        <v/>
      </c>
      <c r="M4" s="15">
        <f>IF(A4="","",J4*K4*L4)</f>
        <v/>
      </c>
    </row>
    <row r="5">
      <c r="A5" s="11">
        <f>Machines!A5</f>
        <v/>
      </c>
      <c r="B5" s="11">
        <f>Machines!B5</f>
        <v/>
      </c>
      <c r="C5" s="11">
        <f>IF(A5="","",Machines!D5)</f>
        <v/>
      </c>
      <c r="D5" s="11">
        <f>SUMIFS(WorkOrders!$M$2:$M$500,WorkOrders!$C$2:$C$500,A5)</f>
        <v/>
      </c>
      <c r="E5" s="11">
        <f>SUMIFS(WorkOrders!$E$2:$E$500,WorkOrders!$C$2:$C$500,A5)</f>
        <v/>
      </c>
      <c r="F5" s="11">
        <f>SUMIFS(WorkOrders!$F$2:$F$500,WorkOrders!$C$2:$C$500,A5)</f>
        <v/>
      </c>
      <c r="G5" s="11">
        <f>E5-F5</f>
        <v/>
      </c>
      <c r="H5" s="11">
        <f>SUMIFS(Downtime!$G$2:$G$500,Downtime!$A$2:$A$500,A5)</f>
        <v/>
      </c>
      <c r="I5" s="11">
        <f>MAX(0,D5-H5)</f>
        <v/>
      </c>
      <c r="J5" s="15">
        <f>IF(A5="","",IF(D5=0,0,MIN(1,I5/D5)))</f>
        <v/>
      </c>
      <c r="K5" s="15">
        <f>IF(A5="","",IF(OR(I5=0,C5=0),0,MIN(1,E5/((I5/60)*C5))))</f>
        <v/>
      </c>
      <c r="L5" s="15">
        <f>IF(A5="","",IF(E5=0,0,MIN(1,MAX(0,G5/E5))))</f>
        <v/>
      </c>
      <c r="M5" s="15">
        <f>IF(A5="","",J5*K5*L5)</f>
        <v/>
      </c>
    </row>
    <row r="6">
      <c r="A6" s="11">
        <f>Machines!A6</f>
        <v/>
      </c>
      <c r="B6" s="11">
        <f>Machines!B6</f>
        <v/>
      </c>
      <c r="C6" s="11">
        <f>IF(A6="","",Machines!D6)</f>
        <v/>
      </c>
      <c r="D6" s="11">
        <f>SUMIFS(WorkOrders!$M$2:$M$500,WorkOrders!$C$2:$C$500,A6)</f>
        <v/>
      </c>
      <c r="E6" s="11">
        <f>SUMIFS(WorkOrders!$E$2:$E$500,WorkOrders!$C$2:$C$500,A6)</f>
        <v/>
      </c>
      <c r="F6" s="11">
        <f>SUMIFS(WorkOrders!$F$2:$F$500,WorkOrders!$C$2:$C$500,A6)</f>
        <v/>
      </c>
      <c r="G6" s="11">
        <f>E6-F6</f>
        <v/>
      </c>
      <c r="H6" s="11">
        <f>SUMIFS(Downtime!$G$2:$G$500,Downtime!$A$2:$A$500,A6)</f>
        <v/>
      </c>
      <c r="I6" s="11">
        <f>MAX(0,D6-H6)</f>
        <v/>
      </c>
      <c r="J6" s="15">
        <f>IF(A6="","",IF(D6=0,0,MIN(1,I6/D6)))</f>
        <v/>
      </c>
      <c r="K6" s="15">
        <f>IF(A6="","",IF(OR(I6=0,C6=0),0,MIN(1,E6/((I6/60)*C6))))</f>
        <v/>
      </c>
      <c r="L6" s="15">
        <f>IF(A6="","",IF(E6=0,0,MIN(1,MAX(0,G6/E6))))</f>
        <v/>
      </c>
      <c r="M6" s="15">
        <f>IF(A6="","",J6*K6*L6)</f>
        <v/>
      </c>
    </row>
    <row r="7">
      <c r="A7" s="11">
        <f>Machines!A7</f>
        <v/>
      </c>
      <c r="B7" s="11">
        <f>Machines!B7</f>
        <v/>
      </c>
      <c r="C7" s="11">
        <f>IF(A7="","",Machines!D7)</f>
        <v/>
      </c>
      <c r="D7" s="11">
        <f>SUMIFS(WorkOrders!$M$2:$M$500,WorkOrders!$C$2:$C$500,A7)</f>
        <v/>
      </c>
      <c r="E7" s="11">
        <f>SUMIFS(WorkOrders!$E$2:$E$500,WorkOrders!$C$2:$C$500,A7)</f>
        <v/>
      </c>
      <c r="F7" s="11">
        <f>SUMIFS(WorkOrders!$F$2:$F$500,WorkOrders!$C$2:$C$500,A7)</f>
        <v/>
      </c>
      <c r="G7" s="11">
        <f>E7-F7</f>
        <v/>
      </c>
      <c r="H7" s="11">
        <f>SUMIFS(Downtime!$G$2:$G$500,Downtime!$A$2:$A$500,A7)</f>
        <v/>
      </c>
      <c r="I7" s="11">
        <f>MAX(0,D7-H7)</f>
        <v/>
      </c>
      <c r="J7" s="15">
        <f>IF(A7="","",IF(D7=0,0,MIN(1,I7/D7)))</f>
        <v/>
      </c>
      <c r="K7" s="15">
        <f>IF(A7="","",IF(OR(I7=0,C7=0),0,MIN(1,E7/((I7/60)*C7))))</f>
        <v/>
      </c>
      <c r="L7" s="15">
        <f>IF(A7="","",IF(E7=0,0,MIN(1,MAX(0,G7/E7))))</f>
        <v/>
      </c>
      <c r="M7" s="15">
        <f>IF(A7="","",J7*K7*L7)</f>
        <v/>
      </c>
    </row>
    <row r="8">
      <c r="A8" s="11">
        <f>Machines!A8</f>
        <v/>
      </c>
      <c r="B8" s="11">
        <f>Machines!B8</f>
        <v/>
      </c>
      <c r="C8" s="11">
        <f>IF(A8="","",Machines!D8)</f>
        <v/>
      </c>
      <c r="D8" s="11">
        <f>SUMIFS(WorkOrders!$M$2:$M$500,WorkOrders!$C$2:$C$500,A8)</f>
        <v/>
      </c>
      <c r="E8" s="11">
        <f>SUMIFS(WorkOrders!$E$2:$E$500,WorkOrders!$C$2:$C$500,A8)</f>
        <v/>
      </c>
      <c r="F8" s="11">
        <f>SUMIFS(WorkOrders!$F$2:$F$500,WorkOrders!$C$2:$C$500,A8)</f>
        <v/>
      </c>
      <c r="G8" s="11">
        <f>E8-F8</f>
        <v/>
      </c>
      <c r="H8" s="11">
        <f>SUMIFS(Downtime!$G$2:$G$500,Downtime!$A$2:$A$500,A8)</f>
        <v/>
      </c>
      <c r="I8" s="11">
        <f>MAX(0,D8-H8)</f>
        <v/>
      </c>
      <c r="J8" s="15">
        <f>IF(A8="","",IF(D8=0,0,MIN(1,I8/D8)))</f>
        <v/>
      </c>
      <c r="K8" s="15">
        <f>IF(A8="","",IF(OR(I8=0,C8=0),0,MIN(1,E8/((I8/60)*C8))))</f>
        <v/>
      </c>
      <c r="L8" s="15">
        <f>IF(A8="","",IF(E8=0,0,MIN(1,MAX(0,G8/E8))))</f>
        <v/>
      </c>
      <c r="M8" s="15">
        <f>IF(A8="","",J8*K8*L8)</f>
        <v/>
      </c>
    </row>
    <row r="9">
      <c r="A9" s="11">
        <f>Machines!A9</f>
        <v/>
      </c>
      <c r="B9" s="11">
        <f>Machines!B9</f>
        <v/>
      </c>
      <c r="C9" s="11">
        <f>IF(A9="","",Machines!D9)</f>
        <v/>
      </c>
      <c r="D9" s="11">
        <f>SUMIFS(WorkOrders!$M$2:$M$500,WorkOrders!$C$2:$C$500,A9)</f>
        <v/>
      </c>
      <c r="E9" s="11">
        <f>SUMIFS(WorkOrders!$E$2:$E$500,WorkOrders!$C$2:$C$500,A9)</f>
        <v/>
      </c>
      <c r="F9" s="11">
        <f>SUMIFS(WorkOrders!$F$2:$F$500,WorkOrders!$C$2:$C$500,A9)</f>
        <v/>
      </c>
      <c r="G9" s="11">
        <f>E9-F9</f>
        <v/>
      </c>
      <c r="H9" s="11">
        <f>SUMIFS(Downtime!$G$2:$G$500,Downtime!$A$2:$A$500,A9)</f>
        <v/>
      </c>
      <c r="I9" s="11">
        <f>MAX(0,D9-H9)</f>
        <v/>
      </c>
      <c r="J9" s="15">
        <f>IF(A9="","",IF(D9=0,0,MIN(1,I9/D9)))</f>
        <v/>
      </c>
      <c r="K9" s="15">
        <f>IF(A9="","",IF(OR(I9=0,C9=0),0,MIN(1,E9/((I9/60)*C9))))</f>
        <v/>
      </c>
      <c r="L9" s="15">
        <f>IF(A9="","",IF(E9=0,0,MIN(1,MAX(0,G9/E9))))</f>
        <v/>
      </c>
      <c r="M9" s="15">
        <f>IF(A9="","",J9*K9*L9)</f>
        <v/>
      </c>
    </row>
    <row r="10">
      <c r="A10" s="11">
        <f>Machines!A10</f>
        <v/>
      </c>
      <c r="B10" s="11">
        <f>Machines!B10</f>
        <v/>
      </c>
      <c r="C10" s="11">
        <f>IF(A10="","",Machines!D10)</f>
        <v/>
      </c>
      <c r="D10" s="11">
        <f>SUMIFS(WorkOrders!$M$2:$M$500,WorkOrders!$C$2:$C$500,A10)</f>
        <v/>
      </c>
      <c r="E10" s="11">
        <f>SUMIFS(WorkOrders!$E$2:$E$500,WorkOrders!$C$2:$C$500,A10)</f>
        <v/>
      </c>
      <c r="F10" s="11">
        <f>SUMIFS(WorkOrders!$F$2:$F$500,WorkOrders!$C$2:$C$500,A10)</f>
        <v/>
      </c>
      <c r="G10" s="11">
        <f>E10-F10</f>
        <v/>
      </c>
      <c r="H10" s="11">
        <f>SUMIFS(Downtime!$G$2:$G$500,Downtime!$A$2:$A$500,A10)</f>
        <v/>
      </c>
      <c r="I10" s="11">
        <f>MAX(0,D10-H10)</f>
        <v/>
      </c>
      <c r="J10" s="15">
        <f>IF(A10="","",IF(D10=0,0,MIN(1,I10/D10)))</f>
        <v/>
      </c>
      <c r="K10" s="15">
        <f>IF(A10="","",IF(OR(I10=0,C10=0),0,MIN(1,E10/((I10/60)*C10))))</f>
        <v/>
      </c>
      <c r="L10" s="15">
        <f>IF(A10="","",IF(E10=0,0,MIN(1,MAX(0,G10/E10))))</f>
        <v/>
      </c>
      <c r="M10" s="15">
        <f>IF(A10="","",J10*K10*L10)</f>
        <v/>
      </c>
    </row>
    <row r="11">
      <c r="A11" s="11">
        <f>Machines!A11</f>
        <v/>
      </c>
      <c r="B11" s="11">
        <f>Machines!B11</f>
        <v/>
      </c>
      <c r="C11" s="11">
        <f>IF(A11="","",Machines!D11)</f>
        <v/>
      </c>
      <c r="D11" s="11">
        <f>SUMIFS(WorkOrders!$M$2:$M$500,WorkOrders!$C$2:$C$500,A11)</f>
        <v/>
      </c>
      <c r="E11" s="11">
        <f>SUMIFS(WorkOrders!$E$2:$E$500,WorkOrders!$C$2:$C$500,A11)</f>
        <v/>
      </c>
      <c r="F11" s="11">
        <f>SUMIFS(WorkOrders!$F$2:$F$500,WorkOrders!$C$2:$C$500,A11)</f>
        <v/>
      </c>
      <c r="G11" s="11">
        <f>E11-F11</f>
        <v/>
      </c>
      <c r="H11" s="11">
        <f>SUMIFS(Downtime!$G$2:$G$500,Downtime!$A$2:$A$500,A11)</f>
        <v/>
      </c>
      <c r="I11" s="11">
        <f>MAX(0,D11-H11)</f>
        <v/>
      </c>
      <c r="J11" s="15">
        <f>IF(A11="","",IF(D11=0,0,MIN(1,I11/D11)))</f>
        <v/>
      </c>
      <c r="K11" s="15">
        <f>IF(A11="","",IF(OR(I11=0,C11=0),0,MIN(1,E11/((I11/60)*C11))))</f>
        <v/>
      </c>
      <c r="L11" s="15">
        <f>IF(A11="","",IF(E11=0,0,MIN(1,MAX(0,G11/E11))))</f>
        <v/>
      </c>
      <c r="M11" s="15">
        <f>IF(A11="","",J11*K11*L11)</f>
        <v/>
      </c>
    </row>
    <row r="12">
      <c r="A12" s="11">
        <f>Machines!A12</f>
        <v/>
      </c>
      <c r="B12" s="11">
        <f>Machines!B12</f>
        <v/>
      </c>
      <c r="C12" s="11">
        <f>IF(A12="","",Machines!D12)</f>
        <v/>
      </c>
      <c r="D12" s="11">
        <f>SUMIFS(WorkOrders!$M$2:$M$500,WorkOrders!$C$2:$C$500,A12)</f>
        <v/>
      </c>
      <c r="E12" s="11">
        <f>SUMIFS(WorkOrders!$E$2:$E$500,WorkOrders!$C$2:$C$500,A12)</f>
        <v/>
      </c>
      <c r="F12" s="11">
        <f>SUMIFS(WorkOrders!$F$2:$F$500,WorkOrders!$C$2:$C$500,A12)</f>
        <v/>
      </c>
      <c r="G12" s="11">
        <f>E12-F12</f>
        <v/>
      </c>
      <c r="H12" s="11">
        <f>SUMIFS(Downtime!$G$2:$G$500,Downtime!$A$2:$A$500,A12)</f>
        <v/>
      </c>
      <c r="I12" s="11">
        <f>MAX(0,D12-H12)</f>
        <v/>
      </c>
      <c r="J12" s="15">
        <f>IF(A12="","",IF(D12=0,0,MIN(1,I12/D12)))</f>
        <v/>
      </c>
      <c r="K12" s="15">
        <f>IF(A12="","",IF(OR(I12=0,C12=0),0,MIN(1,E12/((I12/60)*C12))))</f>
        <v/>
      </c>
      <c r="L12" s="15">
        <f>IF(A12="","",IF(E12=0,0,MIN(1,MAX(0,G12/E12))))</f>
        <v/>
      </c>
      <c r="M12" s="15">
        <f>IF(A12="","",J12*K12*L12)</f>
        <v/>
      </c>
    </row>
    <row r="13">
      <c r="A13" s="11">
        <f>Machines!A13</f>
        <v/>
      </c>
      <c r="B13" s="11">
        <f>Machines!B13</f>
        <v/>
      </c>
      <c r="C13" s="11">
        <f>IF(A13="","",Machines!D13)</f>
        <v/>
      </c>
      <c r="D13" s="11">
        <f>SUMIFS(WorkOrders!$M$2:$M$500,WorkOrders!$C$2:$C$500,A13)</f>
        <v/>
      </c>
      <c r="E13" s="11">
        <f>SUMIFS(WorkOrders!$E$2:$E$500,WorkOrders!$C$2:$C$500,A13)</f>
        <v/>
      </c>
      <c r="F13" s="11">
        <f>SUMIFS(WorkOrders!$F$2:$F$500,WorkOrders!$C$2:$C$500,A13)</f>
        <v/>
      </c>
      <c r="G13" s="11">
        <f>E13-F13</f>
        <v/>
      </c>
      <c r="H13" s="11">
        <f>SUMIFS(Downtime!$G$2:$G$500,Downtime!$A$2:$A$500,A13)</f>
        <v/>
      </c>
      <c r="I13" s="11">
        <f>MAX(0,D13-H13)</f>
        <v/>
      </c>
      <c r="J13" s="15">
        <f>IF(A13="","",IF(D13=0,0,MIN(1,I13/D13)))</f>
        <v/>
      </c>
      <c r="K13" s="15">
        <f>IF(A13="","",IF(OR(I13=0,C13=0),0,MIN(1,E13/((I13/60)*C13))))</f>
        <v/>
      </c>
      <c r="L13" s="15">
        <f>IF(A13="","",IF(E13=0,0,MIN(1,MAX(0,G13/E13))))</f>
        <v/>
      </c>
      <c r="M13" s="15">
        <f>IF(A13="","",J13*K13*L13)</f>
        <v/>
      </c>
    </row>
    <row r="14">
      <c r="A14" s="11">
        <f>Machines!A14</f>
        <v/>
      </c>
      <c r="B14" s="11">
        <f>Machines!B14</f>
        <v/>
      </c>
      <c r="C14" s="11">
        <f>IF(A14="","",Machines!D14)</f>
        <v/>
      </c>
      <c r="D14" s="11">
        <f>SUMIFS(WorkOrders!$M$2:$M$500,WorkOrders!$C$2:$C$500,A14)</f>
        <v/>
      </c>
      <c r="E14" s="11">
        <f>SUMIFS(WorkOrders!$E$2:$E$500,WorkOrders!$C$2:$C$500,A14)</f>
        <v/>
      </c>
      <c r="F14" s="11">
        <f>SUMIFS(WorkOrders!$F$2:$F$500,WorkOrders!$C$2:$C$500,A14)</f>
        <v/>
      </c>
      <c r="G14" s="11">
        <f>E14-F14</f>
        <v/>
      </c>
      <c r="H14" s="11">
        <f>SUMIFS(Downtime!$G$2:$G$500,Downtime!$A$2:$A$500,A14)</f>
        <v/>
      </c>
      <c r="I14" s="11">
        <f>MAX(0,D14-H14)</f>
        <v/>
      </c>
      <c r="J14" s="15">
        <f>IF(A14="","",IF(D14=0,0,MIN(1,I14/D14)))</f>
        <v/>
      </c>
      <c r="K14" s="15">
        <f>IF(A14="","",IF(OR(I14=0,C14=0),0,MIN(1,E14/((I14/60)*C14))))</f>
        <v/>
      </c>
      <c r="L14" s="15">
        <f>IF(A14="","",IF(E14=0,0,MIN(1,MAX(0,G14/E14))))</f>
        <v/>
      </c>
      <c r="M14" s="15">
        <f>IF(A14="","",J14*K14*L14)</f>
        <v/>
      </c>
    </row>
    <row r="15">
      <c r="A15" s="11">
        <f>Machines!A15</f>
        <v/>
      </c>
      <c r="B15" s="11">
        <f>Machines!B15</f>
        <v/>
      </c>
      <c r="C15" s="11">
        <f>IF(A15="","",Machines!D15)</f>
        <v/>
      </c>
      <c r="D15" s="11">
        <f>SUMIFS(WorkOrders!$M$2:$M$500,WorkOrders!$C$2:$C$500,A15)</f>
        <v/>
      </c>
      <c r="E15" s="11">
        <f>SUMIFS(WorkOrders!$E$2:$E$500,WorkOrders!$C$2:$C$500,A15)</f>
        <v/>
      </c>
      <c r="F15" s="11">
        <f>SUMIFS(WorkOrders!$F$2:$F$500,WorkOrders!$C$2:$C$500,A15)</f>
        <v/>
      </c>
      <c r="G15" s="11">
        <f>E15-F15</f>
        <v/>
      </c>
      <c r="H15" s="11">
        <f>SUMIFS(Downtime!$G$2:$G$500,Downtime!$A$2:$A$500,A15)</f>
        <v/>
      </c>
      <c r="I15" s="11">
        <f>MAX(0,D15-H15)</f>
        <v/>
      </c>
      <c r="J15" s="15">
        <f>IF(A15="","",IF(D15=0,0,MIN(1,I15/D15)))</f>
        <v/>
      </c>
      <c r="K15" s="15">
        <f>IF(A15="","",IF(OR(I15=0,C15=0),0,MIN(1,E15/((I15/60)*C15))))</f>
        <v/>
      </c>
      <c r="L15" s="15">
        <f>IF(A15="","",IF(E15=0,0,MIN(1,MAX(0,G15/E15))))</f>
        <v/>
      </c>
      <c r="M15" s="15">
        <f>IF(A15="","",J15*K15*L15)</f>
        <v/>
      </c>
    </row>
    <row r="16">
      <c r="A16" s="11">
        <f>Machines!A16</f>
        <v/>
      </c>
      <c r="B16" s="11">
        <f>Machines!B16</f>
        <v/>
      </c>
      <c r="C16" s="11">
        <f>IF(A16="","",Machines!D16)</f>
        <v/>
      </c>
      <c r="D16" s="11">
        <f>SUMIFS(WorkOrders!$M$2:$M$500,WorkOrders!$C$2:$C$500,A16)</f>
        <v/>
      </c>
      <c r="E16" s="11">
        <f>SUMIFS(WorkOrders!$E$2:$E$500,WorkOrders!$C$2:$C$500,A16)</f>
        <v/>
      </c>
      <c r="F16" s="11">
        <f>SUMIFS(WorkOrders!$F$2:$F$500,WorkOrders!$C$2:$C$500,A16)</f>
        <v/>
      </c>
      <c r="G16" s="11">
        <f>E16-F16</f>
        <v/>
      </c>
      <c r="H16" s="11">
        <f>SUMIFS(Downtime!$G$2:$G$500,Downtime!$A$2:$A$500,A16)</f>
        <v/>
      </c>
      <c r="I16" s="11">
        <f>MAX(0,D16-H16)</f>
        <v/>
      </c>
      <c r="J16" s="15">
        <f>IF(A16="","",IF(D16=0,0,MIN(1,I16/D16)))</f>
        <v/>
      </c>
      <c r="K16" s="15">
        <f>IF(A16="","",IF(OR(I16=0,C16=0),0,MIN(1,E16/((I16/60)*C16))))</f>
        <v/>
      </c>
      <c r="L16" s="15">
        <f>IF(A16="","",IF(E16=0,0,MIN(1,MAX(0,G16/E16))))</f>
        <v/>
      </c>
      <c r="M16" s="15">
        <f>IF(A16="","",J16*K16*L16)</f>
        <v/>
      </c>
    </row>
    <row r="17">
      <c r="A17" s="11">
        <f>Machines!A17</f>
        <v/>
      </c>
      <c r="B17" s="11">
        <f>Machines!B17</f>
        <v/>
      </c>
      <c r="C17" s="11">
        <f>IF(A17="","",Machines!D17)</f>
        <v/>
      </c>
      <c r="D17" s="11">
        <f>SUMIFS(WorkOrders!$M$2:$M$500,WorkOrders!$C$2:$C$500,A17)</f>
        <v/>
      </c>
      <c r="E17" s="11">
        <f>SUMIFS(WorkOrders!$E$2:$E$500,WorkOrders!$C$2:$C$500,A17)</f>
        <v/>
      </c>
      <c r="F17" s="11">
        <f>SUMIFS(WorkOrders!$F$2:$F$500,WorkOrders!$C$2:$C$500,A17)</f>
        <v/>
      </c>
      <c r="G17" s="11">
        <f>E17-F17</f>
        <v/>
      </c>
      <c r="H17" s="11">
        <f>SUMIFS(Downtime!$G$2:$G$500,Downtime!$A$2:$A$500,A17)</f>
        <v/>
      </c>
      <c r="I17" s="11">
        <f>MAX(0,D17-H17)</f>
        <v/>
      </c>
      <c r="J17" s="15">
        <f>IF(A17="","",IF(D17=0,0,MIN(1,I17/D17)))</f>
        <v/>
      </c>
      <c r="K17" s="15">
        <f>IF(A17="","",IF(OR(I17=0,C17=0),0,MIN(1,E17/((I17/60)*C17))))</f>
        <v/>
      </c>
      <c r="L17" s="15">
        <f>IF(A17="","",IF(E17=0,0,MIN(1,MAX(0,G17/E17))))</f>
        <v/>
      </c>
      <c r="M17" s="15">
        <f>IF(A17="","",J17*K17*L17)</f>
        <v/>
      </c>
    </row>
    <row r="18">
      <c r="A18" s="11">
        <f>Machines!A18</f>
        <v/>
      </c>
      <c r="B18" s="11">
        <f>Machines!B18</f>
        <v/>
      </c>
      <c r="C18" s="11">
        <f>IF(A18="","",Machines!D18)</f>
        <v/>
      </c>
      <c r="D18" s="11">
        <f>SUMIFS(WorkOrders!$M$2:$M$500,WorkOrders!$C$2:$C$500,A18)</f>
        <v/>
      </c>
      <c r="E18" s="11">
        <f>SUMIFS(WorkOrders!$E$2:$E$500,WorkOrders!$C$2:$C$500,A18)</f>
        <v/>
      </c>
      <c r="F18" s="11">
        <f>SUMIFS(WorkOrders!$F$2:$F$500,WorkOrders!$C$2:$C$500,A18)</f>
        <v/>
      </c>
      <c r="G18" s="11">
        <f>E18-F18</f>
        <v/>
      </c>
      <c r="H18" s="11">
        <f>SUMIFS(Downtime!$G$2:$G$500,Downtime!$A$2:$A$500,A18)</f>
        <v/>
      </c>
      <c r="I18" s="11">
        <f>MAX(0,D18-H18)</f>
        <v/>
      </c>
      <c r="J18" s="15">
        <f>IF(A18="","",IF(D18=0,0,MIN(1,I18/D18)))</f>
        <v/>
      </c>
      <c r="K18" s="15">
        <f>IF(A18="","",IF(OR(I18=0,C18=0),0,MIN(1,E18/((I18/60)*C18))))</f>
        <v/>
      </c>
      <c r="L18" s="15">
        <f>IF(A18="","",IF(E18=0,0,MIN(1,MAX(0,G18/E18))))</f>
        <v/>
      </c>
      <c r="M18" s="15">
        <f>IF(A18="","",J18*K18*L18)</f>
        <v/>
      </c>
    </row>
    <row r="19">
      <c r="A19" s="11">
        <f>Machines!A19</f>
        <v/>
      </c>
      <c r="B19" s="11">
        <f>Machines!B19</f>
        <v/>
      </c>
      <c r="C19" s="11">
        <f>IF(A19="","",Machines!D19)</f>
        <v/>
      </c>
      <c r="D19" s="11">
        <f>SUMIFS(WorkOrders!$M$2:$M$500,WorkOrders!$C$2:$C$500,A19)</f>
        <v/>
      </c>
      <c r="E19" s="11">
        <f>SUMIFS(WorkOrders!$E$2:$E$500,WorkOrders!$C$2:$C$500,A19)</f>
        <v/>
      </c>
      <c r="F19" s="11">
        <f>SUMIFS(WorkOrders!$F$2:$F$500,WorkOrders!$C$2:$C$500,A19)</f>
        <v/>
      </c>
      <c r="G19" s="11">
        <f>E19-F19</f>
        <v/>
      </c>
      <c r="H19" s="11">
        <f>SUMIFS(Downtime!$G$2:$G$500,Downtime!$A$2:$A$500,A19)</f>
        <v/>
      </c>
      <c r="I19" s="11">
        <f>MAX(0,D19-H19)</f>
        <v/>
      </c>
      <c r="J19" s="15">
        <f>IF(A19="","",IF(D19=0,0,MIN(1,I19/D19)))</f>
        <v/>
      </c>
      <c r="K19" s="15">
        <f>IF(A19="","",IF(OR(I19=0,C19=0),0,MIN(1,E19/((I19/60)*C19))))</f>
        <v/>
      </c>
      <c r="L19" s="15">
        <f>IF(A19="","",IF(E19=0,0,MIN(1,MAX(0,G19/E19))))</f>
        <v/>
      </c>
      <c r="M19" s="15">
        <f>IF(A19="","",J19*K19*L19)</f>
        <v/>
      </c>
    </row>
    <row r="20">
      <c r="A20" s="11">
        <f>Machines!A20</f>
        <v/>
      </c>
      <c r="B20" s="11">
        <f>Machines!B20</f>
        <v/>
      </c>
      <c r="C20" s="11">
        <f>IF(A20="","",Machines!D20)</f>
        <v/>
      </c>
      <c r="D20" s="11">
        <f>SUMIFS(WorkOrders!$M$2:$M$500,WorkOrders!$C$2:$C$500,A20)</f>
        <v/>
      </c>
      <c r="E20" s="11">
        <f>SUMIFS(WorkOrders!$E$2:$E$500,WorkOrders!$C$2:$C$500,A20)</f>
        <v/>
      </c>
      <c r="F20" s="11">
        <f>SUMIFS(WorkOrders!$F$2:$F$500,WorkOrders!$C$2:$C$500,A20)</f>
        <v/>
      </c>
      <c r="G20" s="11">
        <f>E20-F20</f>
        <v/>
      </c>
      <c r="H20" s="11">
        <f>SUMIFS(Downtime!$G$2:$G$500,Downtime!$A$2:$A$500,A20)</f>
        <v/>
      </c>
      <c r="I20" s="11">
        <f>MAX(0,D20-H20)</f>
        <v/>
      </c>
      <c r="J20" s="15">
        <f>IF(A20="","",IF(D20=0,0,MIN(1,I20/D20)))</f>
        <v/>
      </c>
      <c r="K20" s="15">
        <f>IF(A20="","",IF(OR(I20=0,C20=0),0,MIN(1,E20/((I20/60)*C20))))</f>
        <v/>
      </c>
      <c r="L20" s="15">
        <f>IF(A20="","",IF(E20=0,0,MIN(1,MAX(0,G20/E20))))</f>
        <v/>
      </c>
      <c r="M20" s="15">
        <f>IF(A20="","",J20*K20*L20)</f>
        <v/>
      </c>
    </row>
    <row r="21">
      <c r="A21" s="11">
        <f>Machines!A21</f>
        <v/>
      </c>
      <c r="B21" s="11">
        <f>Machines!B21</f>
        <v/>
      </c>
      <c r="C21" s="11">
        <f>IF(A21="","",Machines!D21)</f>
        <v/>
      </c>
      <c r="D21" s="11">
        <f>SUMIFS(WorkOrders!$M$2:$M$500,WorkOrders!$C$2:$C$500,A21)</f>
        <v/>
      </c>
      <c r="E21" s="11">
        <f>SUMIFS(WorkOrders!$E$2:$E$500,WorkOrders!$C$2:$C$500,A21)</f>
        <v/>
      </c>
      <c r="F21" s="11">
        <f>SUMIFS(WorkOrders!$F$2:$F$500,WorkOrders!$C$2:$C$500,A21)</f>
        <v/>
      </c>
      <c r="G21" s="11">
        <f>E21-F21</f>
        <v/>
      </c>
      <c r="H21" s="11">
        <f>SUMIFS(Downtime!$G$2:$G$500,Downtime!$A$2:$A$500,A21)</f>
        <v/>
      </c>
      <c r="I21" s="11">
        <f>MAX(0,D21-H21)</f>
        <v/>
      </c>
      <c r="J21" s="15">
        <f>IF(A21="","",IF(D21=0,0,MIN(1,I21/D21)))</f>
        <v/>
      </c>
      <c r="K21" s="15">
        <f>IF(A21="","",IF(OR(I21=0,C21=0),0,MIN(1,E21/((I21/60)*C21))))</f>
        <v/>
      </c>
      <c r="L21" s="15">
        <f>IF(A21="","",IF(E21=0,0,MIN(1,MAX(0,G21/E21))))</f>
        <v/>
      </c>
      <c r="M21" s="15">
        <f>IF(A21="","",J21*K21*L21)</f>
        <v/>
      </c>
    </row>
    <row r="22">
      <c r="A22" s="11">
        <f>Machines!A22</f>
        <v/>
      </c>
      <c r="B22" s="11">
        <f>Machines!B22</f>
        <v/>
      </c>
      <c r="C22" s="11">
        <f>IF(A22="","",Machines!D22)</f>
        <v/>
      </c>
      <c r="D22" s="11">
        <f>SUMIFS(WorkOrders!$M$2:$M$500,WorkOrders!$C$2:$C$500,A22)</f>
        <v/>
      </c>
      <c r="E22" s="11">
        <f>SUMIFS(WorkOrders!$E$2:$E$500,WorkOrders!$C$2:$C$500,A22)</f>
        <v/>
      </c>
      <c r="F22" s="11">
        <f>SUMIFS(WorkOrders!$F$2:$F$500,WorkOrders!$C$2:$C$500,A22)</f>
        <v/>
      </c>
      <c r="G22" s="11">
        <f>E22-F22</f>
        <v/>
      </c>
      <c r="H22" s="11">
        <f>SUMIFS(Downtime!$G$2:$G$500,Downtime!$A$2:$A$500,A22)</f>
        <v/>
      </c>
      <c r="I22" s="11">
        <f>MAX(0,D22-H22)</f>
        <v/>
      </c>
      <c r="J22" s="15">
        <f>IF(A22="","",IF(D22=0,0,MIN(1,I22/D22)))</f>
        <v/>
      </c>
      <c r="K22" s="15">
        <f>IF(A22="","",IF(OR(I22=0,C22=0),0,MIN(1,E22/((I22/60)*C22))))</f>
        <v/>
      </c>
      <c r="L22" s="15">
        <f>IF(A22="","",IF(E22=0,0,MIN(1,MAX(0,G22/E22))))</f>
        <v/>
      </c>
      <c r="M22" s="15">
        <f>IF(A22="","",J22*K22*L22)</f>
        <v/>
      </c>
    </row>
    <row r="23">
      <c r="A23" s="11">
        <f>Machines!A23</f>
        <v/>
      </c>
      <c r="B23" s="11">
        <f>Machines!B23</f>
        <v/>
      </c>
      <c r="C23" s="11">
        <f>IF(A23="","",Machines!D23)</f>
        <v/>
      </c>
      <c r="D23" s="11">
        <f>SUMIFS(WorkOrders!$M$2:$M$500,WorkOrders!$C$2:$C$500,A23)</f>
        <v/>
      </c>
      <c r="E23" s="11">
        <f>SUMIFS(WorkOrders!$E$2:$E$500,WorkOrders!$C$2:$C$500,A23)</f>
        <v/>
      </c>
      <c r="F23" s="11">
        <f>SUMIFS(WorkOrders!$F$2:$F$500,WorkOrders!$C$2:$C$500,A23)</f>
        <v/>
      </c>
      <c r="G23" s="11">
        <f>E23-F23</f>
        <v/>
      </c>
      <c r="H23" s="11">
        <f>SUMIFS(Downtime!$G$2:$G$500,Downtime!$A$2:$A$500,A23)</f>
        <v/>
      </c>
      <c r="I23" s="11">
        <f>MAX(0,D23-H23)</f>
        <v/>
      </c>
      <c r="J23" s="15">
        <f>IF(A23="","",IF(D23=0,0,MIN(1,I23/D23)))</f>
        <v/>
      </c>
      <c r="K23" s="15">
        <f>IF(A23="","",IF(OR(I23=0,C23=0),0,MIN(1,E23/((I23/60)*C23))))</f>
        <v/>
      </c>
      <c r="L23" s="15">
        <f>IF(A23="","",IF(E23=0,0,MIN(1,MAX(0,G23/E23))))</f>
        <v/>
      </c>
      <c r="M23" s="15">
        <f>IF(A23="","",J23*K23*L23)</f>
        <v/>
      </c>
    </row>
    <row r="24">
      <c r="A24" s="11">
        <f>Machines!A24</f>
        <v/>
      </c>
      <c r="B24" s="11">
        <f>Machines!B24</f>
        <v/>
      </c>
      <c r="C24" s="11">
        <f>IF(A24="","",Machines!D24)</f>
        <v/>
      </c>
      <c r="D24" s="11">
        <f>SUMIFS(WorkOrders!$M$2:$M$500,WorkOrders!$C$2:$C$500,A24)</f>
        <v/>
      </c>
      <c r="E24" s="11">
        <f>SUMIFS(WorkOrders!$E$2:$E$500,WorkOrders!$C$2:$C$500,A24)</f>
        <v/>
      </c>
      <c r="F24" s="11">
        <f>SUMIFS(WorkOrders!$F$2:$F$500,WorkOrders!$C$2:$C$500,A24)</f>
        <v/>
      </c>
      <c r="G24" s="11">
        <f>E24-F24</f>
        <v/>
      </c>
      <c r="H24" s="11">
        <f>SUMIFS(Downtime!$G$2:$G$500,Downtime!$A$2:$A$500,A24)</f>
        <v/>
      </c>
      <c r="I24" s="11">
        <f>MAX(0,D24-H24)</f>
        <v/>
      </c>
      <c r="J24" s="15">
        <f>IF(A24="","",IF(D24=0,0,MIN(1,I24/D24)))</f>
        <v/>
      </c>
      <c r="K24" s="15">
        <f>IF(A24="","",IF(OR(I24=0,C24=0),0,MIN(1,E24/((I24/60)*C24))))</f>
        <v/>
      </c>
      <c r="L24" s="15">
        <f>IF(A24="","",IF(E24=0,0,MIN(1,MAX(0,G24/E24))))</f>
        <v/>
      </c>
      <c r="M24" s="15">
        <f>IF(A24="","",J24*K24*L24)</f>
        <v/>
      </c>
    </row>
    <row r="25">
      <c r="A25" s="11">
        <f>Machines!A25</f>
        <v/>
      </c>
      <c r="B25" s="11">
        <f>Machines!B25</f>
        <v/>
      </c>
      <c r="C25" s="11">
        <f>IF(A25="","",Machines!D25)</f>
        <v/>
      </c>
      <c r="D25" s="11">
        <f>SUMIFS(WorkOrders!$M$2:$M$500,WorkOrders!$C$2:$C$500,A25)</f>
        <v/>
      </c>
      <c r="E25" s="11">
        <f>SUMIFS(WorkOrders!$E$2:$E$500,WorkOrders!$C$2:$C$500,A25)</f>
        <v/>
      </c>
      <c r="F25" s="11">
        <f>SUMIFS(WorkOrders!$F$2:$F$500,WorkOrders!$C$2:$C$500,A25)</f>
        <v/>
      </c>
      <c r="G25" s="11">
        <f>E25-F25</f>
        <v/>
      </c>
      <c r="H25" s="11">
        <f>SUMIFS(Downtime!$G$2:$G$500,Downtime!$A$2:$A$500,A25)</f>
        <v/>
      </c>
      <c r="I25" s="11">
        <f>MAX(0,D25-H25)</f>
        <v/>
      </c>
      <c r="J25" s="15">
        <f>IF(A25="","",IF(D25=0,0,MIN(1,I25/D25)))</f>
        <v/>
      </c>
      <c r="K25" s="15">
        <f>IF(A25="","",IF(OR(I25=0,C25=0),0,MIN(1,E25/((I25/60)*C25))))</f>
        <v/>
      </c>
      <c r="L25" s="15">
        <f>IF(A25="","",IF(E25=0,0,MIN(1,MAX(0,G25/E25))))</f>
        <v/>
      </c>
      <c r="M25" s="15">
        <f>IF(A25="","",J25*K25*L25)</f>
        <v/>
      </c>
    </row>
    <row r="26">
      <c r="A26" s="11">
        <f>Machines!A26</f>
        <v/>
      </c>
      <c r="B26" s="11">
        <f>Machines!B26</f>
        <v/>
      </c>
      <c r="C26" s="11">
        <f>IF(A26="","",Machines!D26)</f>
        <v/>
      </c>
      <c r="D26" s="11">
        <f>SUMIFS(WorkOrders!$M$2:$M$500,WorkOrders!$C$2:$C$500,A26)</f>
        <v/>
      </c>
      <c r="E26" s="11">
        <f>SUMIFS(WorkOrders!$E$2:$E$500,WorkOrders!$C$2:$C$500,A26)</f>
        <v/>
      </c>
      <c r="F26" s="11">
        <f>SUMIFS(WorkOrders!$F$2:$F$500,WorkOrders!$C$2:$C$500,A26)</f>
        <v/>
      </c>
      <c r="G26" s="11">
        <f>E26-F26</f>
        <v/>
      </c>
      <c r="H26" s="11">
        <f>SUMIFS(Downtime!$G$2:$G$500,Downtime!$A$2:$A$500,A26)</f>
        <v/>
      </c>
      <c r="I26" s="11">
        <f>MAX(0,D26-H26)</f>
        <v/>
      </c>
      <c r="J26" s="15">
        <f>IF(A26="","",IF(D26=0,0,MIN(1,I26/D26)))</f>
        <v/>
      </c>
      <c r="K26" s="15">
        <f>IF(A26="","",IF(OR(I26=0,C26=0),0,MIN(1,E26/((I26/60)*C26))))</f>
        <v/>
      </c>
      <c r="L26" s="15">
        <f>IF(A26="","",IF(E26=0,0,MIN(1,MAX(0,G26/E26))))</f>
        <v/>
      </c>
      <c r="M26" s="15">
        <f>IF(A26="","",J26*K26*L26)</f>
        <v/>
      </c>
    </row>
    <row r="27">
      <c r="A27" s="11">
        <f>Machines!A27</f>
        <v/>
      </c>
      <c r="B27" s="11">
        <f>Machines!B27</f>
        <v/>
      </c>
      <c r="C27" s="11">
        <f>IF(A27="","",Machines!D27)</f>
        <v/>
      </c>
      <c r="D27" s="11">
        <f>SUMIFS(WorkOrders!$M$2:$M$500,WorkOrders!$C$2:$C$500,A27)</f>
        <v/>
      </c>
      <c r="E27" s="11">
        <f>SUMIFS(WorkOrders!$E$2:$E$500,WorkOrders!$C$2:$C$500,A27)</f>
        <v/>
      </c>
      <c r="F27" s="11">
        <f>SUMIFS(WorkOrders!$F$2:$F$500,WorkOrders!$C$2:$C$500,A27)</f>
        <v/>
      </c>
      <c r="G27" s="11">
        <f>E27-F27</f>
        <v/>
      </c>
      <c r="H27" s="11">
        <f>SUMIFS(Downtime!$G$2:$G$500,Downtime!$A$2:$A$500,A27)</f>
        <v/>
      </c>
      <c r="I27" s="11">
        <f>MAX(0,D27-H27)</f>
        <v/>
      </c>
      <c r="J27" s="15">
        <f>IF(A27="","",IF(D27=0,0,MIN(1,I27/D27)))</f>
        <v/>
      </c>
      <c r="K27" s="15">
        <f>IF(A27="","",IF(OR(I27=0,C27=0),0,MIN(1,E27/((I27/60)*C27))))</f>
        <v/>
      </c>
      <c r="L27" s="15">
        <f>IF(A27="","",IF(E27=0,0,MIN(1,MAX(0,G27/E27))))</f>
        <v/>
      </c>
      <c r="M27" s="15">
        <f>IF(A27="","",J27*K27*L27)</f>
        <v/>
      </c>
    </row>
    <row r="28">
      <c r="A28" s="11">
        <f>Machines!A28</f>
        <v/>
      </c>
      <c r="B28" s="11">
        <f>Machines!B28</f>
        <v/>
      </c>
      <c r="C28" s="11">
        <f>IF(A28="","",Machines!D28)</f>
        <v/>
      </c>
      <c r="D28" s="11">
        <f>SUMIFS(WorkOrders!$M$2:$M$500,WorkOrders!$C$2:$C$500,A28)</f>
        <v/>
      </c>
      <c r="E28" s="11">
        <f>SUMIFS(WorkOrders!$E$2:$E$500,WorkOrders!$C$2:$C$500,A28)</f>
        <v/>
      </c>
      <c r="F28" s="11">
        <f>SUMIFS(WorkOrders!$F$2:$F$500,WorkOrders!$C$2:$C$500,A28)</f>
        <v/>
      </c>
      <c r="G28" s="11">
        <f>E28-F28</f>
        <v/>
      </c>
      <c r="H28" s="11">
        <f>SUMIFS(Downtime!$G$2:$G$500,Downtime!$A$2:$A$500,A28)</f>
        <v/>
      </c>
      <c r="I28" s="11">
        <f>MAX(0,D28-H28)</f>
        <v/>
      </c>
      <c r="J28" s="15">
        <f>IF(A28="","",IF(D28=0,0,MIN(1,I28/D28)))</f>
        <v/>
      </c>
      <c r="K28" s="15">
        <f>IF(A28="","",IF(OR(I28=0,C28=0),0,MIN(1,E28/((I28/60)*C28))))</f>
        <v/>
      </c>
      <c r="L28" s="15">
        <f>IF(A28="","",IF(E28=0,0,MIN(1,MAX(0,G28/E28))))</f>
        <v/>
      </c>
      <c r="M28" s="15">
        <f>IF(A28="","",J28*K28*L28)</f>
        <v/>
      </c>
    </row>
    <row r="29">
      <c r="A29" s="11">
        <f>Machines!A29</f>
        <v/>
      </c>
      <c r="B29" s="11">
        <f>Machines!B29</f>
        <v/>
      </c>
      <c r="C29" s="11">
        <f>IF(A29="","",Machines!D29)</f>
        <v/>
      </c>
      <c r="D29" s="11">
        <f>SUMIFS(WorkOrders!$M$2:$M$500,WorkOrders!$C$2:$C$500,A29)</f>
        <v/>
      </c>
      <c r="E29" s="11">
        <f>SUMIFS(WorkOrders!$E$2:$E$500,WorkOrders!$C$2:$C$500,A29)</f>
        <v/>
      </c>
      <c r="F29" s="11">
        <f>SUMIFS(WorkOrders!$F$2:$F$500,WorkOrders!$C$2:$C$500,A29)</f>
        <v/>
      </c>
      <c r="G29" s="11">
        <f>E29-F29</f>
        <v/>
      </c>
      <c r="H29" s="11">
        <f>SUMIFS(Downtime!$G$2:$G$500,Downtime!$A$2:$A$500,A29)</f>
        <v/>
      </c>
      <c r="I29" s="11">
        <f>MAX(0,D29-H29)</f>
        <v/>
      </c>
      <c r="J29" s="15">
        <f>IF(A29="","",IF(D29=0,0,MIN(1,I29/D29)))</f>
        <v/>
      </c>
      <c r="K29" s="15">
        <f>IF(A29="","",IF(OR(I29=0,C29=0),0,MIN(1,E29/((I29/60)*C29))))</f>
        <v/>
      </c>
      <c r="L29" s="15">
        <f>IF(A29="","",IF(E29=0,0,MIN(1,MAX(0,G29/E29))))</f>
        <v/>
      </c>
      <c r="M29" s="15">
        <f>IF(A29="","",J29*K29*L29)</f>
        <v/>
      </c>
    </row>
    <row r="30">
      <c r="A30" s="11">
        <f>Machines!A30</f>
        <v/>
      </c>
      <c r="B30" s="11">
        <f>Machines!B30</f>
        <v/>
      </c>
      <c r="C30" s="11">
        <f>IF(A30="","",Machines!D30)</f>
        <v/>
      </c>
      <c r="D30" s="11">
        <f>SUMIFS(WorkOrders!$M$2:$M$500,WorkOrders!$C$2:$C$500,A30)</f>
        <v/>
      </c>
      <c r="E30" s="11">
        <f>SUMIFS(WorkOrders!$E$2:$E$500,WorkOrders!$C$2:$C$500,A30)</f>
        <v/>
      </c>
      <c r="F30" s="11">
        <f>SUMIFS(WorkOrders!$F$2:$F$500,WorkOrders!$C$2:$C$500,A30)</f>
        <v/>
      </c>
      <c r="G30" s="11">
        <f>E30-F30</f>
        <v/>
      </c>
      <c r="H30" s="11">
        <f>SUMIFS(Downtime!$G$2:$G$500,Downtime!$A$2:$A$500,A30)</f>
        <v/>
      </c>
      <c r="I30" s="11">
        <f>MAX(0,D30-H30)</f>
        <v/>
      </c>
      <c r="J30" s="15">
        <f>IF(A30="","",IF(D30=0,0,MIN(1,I30/D30)))</f>
        <v/>
      </c>
      <c r="K30" s="15">
        <f>IF(A30="","",IF(OR(I30=0,C30=0),0,MIN(1,E30/((I30/60)*C30))))</f>
        <v/>
      </c>
      <c r="L30" s="15">
        <f>IF(A30="","",IF(E30=0,0,MIN(1,MAX(0,G30/E30))))</f>
        <v/>
      </c>
      <c r="M30" s="15">
        <f>IF(A30="","",J30*K30*L30)</f>
        <v/>
      </c>
    </row>
    <row r="31">
      <c r="A31" s="11">
        <f>Machines!A31</f>
        <v/>
      </c>
      <c r="B31" s="11">
        <f>Machines!B31</f>
        <v/>
      </c>
      <c r="C31" s="11">
        <f>IF(A31="","",Machines!D31)</f>
        <v/>
      </c>
      <c r="D31" s="11">
        <f>SUMIFS(WorkOrders!$M$2:$M$500,WorkOrders!$C$2:$C$500,A31)</f>
        <v/>
      </c>
      <c r="E31" s="11">
        <f>SUMIFS(WorkOrders!$E$2:$E$500,WorkOrders!$C$2:$C$500,A31)</f>
        <v/>
      </c>
      <c r="F31" s="11">
        <f>SUMIFS(WorkOrders!$F$2:$F$500,WorkOrders!$C$2:$C$500,A31)</f>
        <v/>
      </c>
      <c r="G31" s="11">
        <f>E31-F31</f>
        <v/>
      </c>
      <c r="H31" s="11">
        <f>SUMIFS(Downtime!$G$2:$G$500,Downtime!$A$2:$A$500,A31)</f>
        <v/>
      </c>
      <c r="I31" s="11">
        <f>MAX(0,D31-H31)</f>
        <v/>
      </c>
      <c r="J31" s="15">
        <f>IF(A31="","",IF(D31=0,0,MIN(1,I31/D31)))</f>
        <v/>
      </c>
      <c r="K31" s="15">
        <f>IF(A31="","",IF(OR(I31=0,C31=0),0,MIN(1,E31/((I31/60)*C31))))</f>
        <v/>
      </c>
      <c r="L31" s="15">
        <f>IF(A31="","",IF(E31=0,0,MIN(1,MAX(0,G31/E31))))</f>
        <v/>
      </c>
      <c r="M31" s="15">
        <f>IF(A31="","",J31*K31*L31)</f>
        <v/>
      </c>
    </row>
    <row r="32">
      <c r="A32" s="11">
        <f>Machines!A32</f>
        <v/>
      </c>
      <c r="B32" s="11">
        <f>Machines!B32</f>
        <v/>
      </c>
      <c r="C32" s="11">
        <f>IF(A32="","",Machines!D32)</f>
        <v/>
      </c>
      <c r="D32" s="11">
        <f>SUMIFS(WorkOrders!$M$2:$M$500,WorkOrders!$C$2:$C$500,A32)</f>
        <v/>
      </c>
      <c r="E32" s="11">
        <f>SUMIFS(WorkOrders!$E$2:$E$500,WorkOrders!$C$2:$C$500,A32)</f>
        <v/>
      </c>
      <c r="F32" s="11">
        <f>SUMIFS(WorkOrders!$F$2:$F$500,WorkOrders!$C$2:$C$500,A32)</f>
        <v/>
      </c>
      <c r="G32" s="11">
        <f>E32-F32</f>
        <v/>
      </c>
      <c r="H32" s="11">
        <f>SUMIFS(Downtime!$G$2:$G$500,Downtime!$A$2:$A$500,A32)</f>
        <v/>
      </c>
      <c r="I32" s="11">
        <f>MAX(0,D32-H32)</f>
        <v/>
      </c>
      <c r="J32" s="15">
        <f>IF(A32="","",IF(D32=0,0,MIN(1,I32/D32)))</f>
        <v/>
      </c>
      <c r="K32" s="15">
        <f>IF(A32="","",IF(OR(I32=0,C32=0),0,MIN(1,E32/((I32/60)*C32))))</f>
        <v/>
      </c>
      <c r="L32" s="15">
        <f>IF(A32="","",IF(E32=0,0,MIN(1,MAX(0,G32/E32))))</f>
        <v/>
      </c>
      <c r="M32" s="15">
        <f>IF(A32="","",J32*K32*L32)</f>
        <v/>
      </c>
    </row>
    <row r="33">
      <c r="A33" s="11">
        <f>Machines!A33</f>
        <v/>
      </c>
      <c r="B33" s="11">
        <f>Machines!B33</f>
        <v/>
      </c>
      <c r="C33" s="11">
        <f>IF(A33="","",Machines!D33)</f>
        <v/>
      </c>
      <c r="D33" s="11">
        <f>SUMIFS(WorkOrders!$M$2:$M$500,WorkOrders!$C$2:$C$500,A33)</f>
        <v/>
      </c>
      <c r="E33" s="11">
        <f>SUMIFS(WorkOrders!$E$2:$E$500,WorkOrders!$C$2:$C$500,A33)</f>
        <v/>
      </c>
      <c r="F33" s="11">
        <f>SUMIFS(WorkOrders!$F$2:$F$500,WorkOrders!$C$2:$C$500,A33)</f>
        <v/>
      </c>
      <c r="G33" s="11">
        <f>E33-F33</f>
        <v/>
      </c>
      <c r="H33" s="11">
        <f>SUMIFS(Downtime!$G$2:$G$500,Downtime!$A$2:$A$500,A33)</f>
        <v/>
      </c>
      <c r="I33" s="11">
        <f>MAX(0,D33-H33)</f>
        <v/>
      </c>
      <c r="J33" s="15">
        <f>IF(A33="","",IF(D33=0,0,MIN(1,I33/D33)))</f>
        <v/>
      </c>
      <c r="K33" s="15">
        <f>IF(A33="","",IF(OR(I33=0,C33=0),0,MIN(1,E33/((I33/60)*C33))))</f>
        <v/>
      </c>
      <c r="L33" s="15">
        <f>IF(A33="","",IF(E33=0,0,MIN(1,MAX(0,G33/E33))))</f>
        <v/>
      </c>
      <c r="M33" s="15">
        <f>IF(A33="","",J33*K33*L33)</f>
        <v/>
      </c>
    </row>
    <row r="34">
      <c r="A34" s="11">
        <f>Machines!A34</f>
        <v/>
      </c>
      <c r="B34" s="11">
        <f>Machines!B34</f>
        <v/>
      </c>
      <c r="C34" s="11">
        <f>IF(A34="","",Machines!D34)</f>
        <v/>
      </c>
      <c r="D34" s="11">
        <f>SUMIFS(WorkOrders!$M$2:$M$500,WorkOrders!$C$2:$C$500,A34)</f>
        <v/>
      </c>
      <c r="E34" s="11">
        <f>SUMIFS(WorkOrders!$E$2:$E$500,WorkOrders!$C$2:$C$500,A34)</f>
        <v/>
      </c>
      <c r="F34" s="11">
        <f>SUMIFS(WorkOrders!$F$2:$F$500,WorkOrders!$C$2:$C$500,A34)</f>
        <v/>
      </c>
      <c r="G34" s="11">
        <f>E34-F34</f>
        <v/>
      </c>
      <c r="H34" s="11">
        <f>SUMIFS(Downtime!$G$2:$G$500,Downtime!$A$2:$A$500,A34)</f>
        <v/>
      </c>
      <c r="I34" s="11">
        <f>MAX(0,D34-H34)</f>
        <v/>
      </c>
      <c r="J34" s="15">
        <f>IF(A34="","",IF(D34=0,0,MIN(1,I34/D34)))</f>
        <v/>
      </c>
      <c r="K34" s="15">
        <f>IF(A34="","",IF(OR(I34=0,C34=0),0,MIN(1,E34/((I34/60)*C34))))</f>
        <v/>
      </c>
      <c r="L34" s="15">
        <f>IF(A34="","",IF(E34=0,0,MIN(1,MAX(0,G34/E34))))</f>
        <v/>
      </c>
      <c r="M34" s="15">
        <f>IF(A34="","",J34*K34*L34)</f>
        <v/>
      </c>
    </row>
    <row r="35">
      <c r="A35" s="11">
        <f>Machines!A35</f>
        <v/>
      </c>
      <c r="B35" s="11">
        <f>Machines!B35</f>
        <v/>
      </c>
      <c r="C35" s="11">
        <f>IF(A35="","",Machines!D35)</f>
        <v/>
      </c>
      <c r="D35" s="11">
        <f>SUMIFS(WorkOrders!$M$2:$M$500,WorkOrders!$C$2:$C$500,A35)</f>
        <v/>
      </c>
      <c r="E35" s="11">
        <f>SUMIFS(WorkOrders!$E$2:$E$500,WorkOrders!$C$2:$C$500,A35)</f>
        <v/>
      </c>
      <c r="F35" s="11">
        <f>SUMIFS(WorkOrders!$F$2:$F$500,WorkOrders!$C$2:$C$500,A35)</f>
        <v/>
      </c>
      <c r="G35" s="11">
        <f>E35-F35</f>
        <v/>
      </c>
      <c r="H35" s="11">
        <f>SUMIFS(Downtime!$G$2:$G$500,Downtime!$A$2:$A$500,A35)</f>
        <v/>
      </c>
      <c r="I35" s="11">
        <f>MAX(0,D35-H35)</f>
        <v/>
      </c>
      <c r="J35" s="15">
        <f>IF(A35="","",IF(D35=0,0,MIN(1,I35/D35)))</f>
        <v/>
      </c>
      <c r="K35" s="15">
        <f>IF(A35="","",IF(OR(I35=0,C35=0),0,MIN(1,E35/((I35/60)*C35))))</f>
        <v/>
      </c>
      <c r="L35" s="15">
        <f>IF(A35="","",IF(E35=0,0,MIN(1,MAX(0,G35/E35))))</f>
        <v/>
      </c>
      <c r="M35" s="15">
        <f>IF(A35="","",J35*K35*L35)</f>
        <v/>
      </c>
    </row>
    <row r="36">
      <c r="A36" s="11">
        <f>Machines!A36</f>
        <v/>
      </c>
      <c r="B36" s="11">
        <f>Machines!B36</f>
        <v/>
      </c>
      <c r="C36" s="11">
        <f>IF(A36="","",Machines!D36)</f>
        <v/>
      </c>
      <c r="D36" s="11">
        <f>SUMIFS(WorkOrders!$M$2:$M$500,WorkOrders!$C$2:$C$500,A36)</f>
        <v/>
      </c>
      <c r="E36" s="11">
        <f>SUMIFS(WorkOrders!$E$2:$E$500,WorkOrders!$C$2:$C$500,A36)</f>
        <v/>
      </c>
      <c r="F36" s="11">
        <f>SUMIFS(WorkOrders!$F$2:$F$500,WorkOrders!$C$2:$C$500,A36)</f>
        <v/>
      </c>
      <c r="G36" s="11">
        <f>E36-F36</f>
        <v/>
      </c>
      <c r="H36" s="11">
        <f>SUMIFS(Downtime!$G$2:$G$500,Downtime!$A$2:$A$500,A36)</f>
        <v/>
      </c>
      <c r="I36" s="11">
        <f>MAX(0,D36-H36)</f>
        <v/>
      </c>
      <c r="J36" s="15">
        <f>IF(A36="","",IF(D36=0,0,MIN(1,I36/D36)))</f>
        <v/>
      </c>
      <c r="K36" s="15">
        <f>IF(A36="","",IF(OR(I36=0,C36=0),0,MIN(1,E36/((I36/60)*C36))))</f>
        <v/>
      </c>
      <c r="L36" s="15">
        <f>IF(A36="","",IF(E36=0,0,MIN(1,MAX(0,G36/E36))))</f>
        <v/>
      </c>
      <c r="M36" s="15">
        <f>IF(A36="","",J36*K36*L36)</f>
        <v/>
      </c>
    </row>
    <row r="37">
      <c r="A37" s="11">
        <f>Machines!A37</f>
        <v/>
      </c>
      <c r="B37" s="11">
        <f>Machines!B37</f>
        <v/>
      </c>
      <c r="C37" s="11">
        <f>IF(A37="","",Machines!D37)</f>
        <v/>
      </c>
      <c r="D37" s="11">
        <f>SUMIFS(WorkOrders!$M$2:$M$500,WorkOrders!$C$2:$C$500,A37)</f>
        <v/>
      </c>
      <c r="E37" s="11">
        <f>SUMIFS(WorkOrders!$E$2:$E$500,WorkOrders!$C$2:$C$500,A37)</f>
        <v/>
      </c>
      <c r="F37" s="11">
        <f>SUMIFS(WorkOrders!$F$2:$F$500,WorkOrders!$C$2:$C$500,A37)</f>
        <v/>
      </c>
      <c r="G37" s="11">
        <f>E37-F37</f>
        <v/>
      </c>
      <c r="H37" s="11">
        <f>SUMIFS(Downtime!$G$2:$G$500,Downtime!$A$2:$A$500,A37)</f>
        <v/>
      </c>
      <c r="I37" s="11">
        <f>MAX(0,D37-H37)</f>
        <v/>
      </c>
      <c r="J37" s="15">
        <f>IF(A37="","",IF(D37=0,0,MIN(1,I37/D37)))</f>
        <v/>
      </c>
      <c r="K37" s="15">
        <f>IF(A37="","",IF(OR(I37=0,C37=0),0,MIN(1,E37/((I37/60)*C37))))</f>
        <v/>
      </c>
      <c r="L37" s="15">
        <f>IF(A37="","",IF(E37=0,0,MIN(1,MAX(0,G37/E37))))</f>
        <v/>
      </c>
      <c r="M37" s="15">
        <f>IF(A37="","",J37*K37*L37)</f>
        <v/>
      </c>
    </row>
    <row r="38">
      <c r="A38" s="11">
        <f>Machines!A38</f>
        <v/>
      </c>
      <c r="B38" s="11">
        <f>Machines!B38</f>
        <v/>
      </c>
      <c r="C38" s="11">
        <f>IF(A38="","",Machines!D38)</f>
        <v/>
      </c>
      <c r="D38" s="11">
        <f>SUMIFS(WorkOrders!$M$2:$M$500,WorkOrders!$C$2:$C$500,A38)</f>
        <v/>
      </c>
      <c r="E38" s="11">
        <f>SUMIFS(WorkOrders!$E$2:$E$500,WorkOrders!$C$2:$C$500,A38)</f>
        <v/>
      </c>
      <c r="F38" s="11">
        <f>SUMIFS(WorkOrders!$F$2:$F$500,WorkOrders!$C$2:$C$500,A38)</f>
        <v/>
      </c>
      <c r="G38" s="11">
        <f>E38-F38</f>
        <v/>
      </c>
      <c r="H38" s="11">
        <f>SUMIFS(Downtime!$G$2:$G$500,Downtime!$A$2:$A$500,A38)</f>
        <v/>
      </c>
      <c r="I38" s="11">
        <f>MAX(0,D38-H38)</f>
        <v/>
      </c>
      <c r="J38" s="15">
        <f>IF(A38="","",IF(D38=0,0,MIN(1,I38/D38)))</f>
        <v/>
      </c>
      <c r="K38" s="15">
        <f>IF(A38="","",IF(OR(I38=0,C38=0),0,MIN(1,E38/((I38/60)*C38))))</f>
        <v/>
      </c>
      <c r="L38" s="15">
        <f>IF(A38="","",IF(E38=0,0,MIN(1,MAX(0,G38/E38))))</f>
        <v/>
      </c>
      <c r="M38" s="15">
        <f>IF(A38="","",J38*K38*L38)</f>
        <v/>
      </c>
    </row>
    <row r="39">
      <c r="A39" s="11">
        <f>Machines!A39</f>
        <v/>
      </c>
      <c r="B39" s="11">
        <f>Machines!B39</f>
        <v/>
      </c>
      <c r="C39" s="11">
        <f>IF(A39="","",Machines!D39)</f>
        <v/>
      </c>
      <c r="D39" s="11">
        <f>SUMIFS(WorkOrders!$M$2:$M$500,WorkOrders!$C$2:$C$500,A39)</f>
        <v/>
      </c>
      <c r="E39" s="11">
        <f>SUMIFS(WorkOrders!$E$2:$E$500,WorkOrders!$C$2:$C$500,A39)</f>
        <v/>
      </c>
      <c r="F39" s="11">
        <f>SUMIFS(WorkOrders!$F$2:$F$500,WorkOrders!$C$2:$C$500,A39)</f>
        <v/>
      </c>
      <c r="G39" s="11">
        <f>E39-F39</f>
        <v/>
      </c>
      <c r="H39" s="11">
        <f>SUMIFS(Downtime!$G$2:$G$500,Downtime!$A$2:$A$500,A39)</f>
        <v/>
      </c>
      <c r="I39" s="11">
        <f>MAX(0,D39-H39)</f>
        <v/>
      </c>
      <c r="J39" s="15">
        <f>IF(A39="","",IF(D39=0,0,MIN(1,I39/D39)))</f>
        <v/>
      </c>
      <c r="K39" s="15">
        <f>IF(A39="","",IF(OR(I39=0,C39=0),0,MIN(1,E39/((I39/60)*C39))))</f>
        <v/>
      </c>
      <c r="L39" s="15">
        <f>IF(A39="","",IF(E39=0,0,MIN(1,MAX(0,G39/E39))))</f>
        <v/>
      </c>
      <c r="M39" s="15">
        <f>IF(A39="","",J39*K39*L39)</f>
        <v/>
      </c>
    </row>
    <row r="40">
      <c r="A40" s="11">
        <f>Machines!A40</f>
        <v/>
      </c>
      <c r="B40" s="11">
        <f>Machines!B40</f>
        <v/>
      </c>
      <c r="C40" s="11">
        <f>IF(A40="","",Machines!D40)</f>
        <v/>
      </c>
      <c r="D40" s="11">
        <f>SUMIFS(WorkOrders!$M$2:$M$500,WorkOrders!$C$2:$C$500,A40)</f>
        <v/>
      </c>
      <c r="E40" s="11">
        <f>SUMIFS(WorkOrders!$E$2:$E$500,WorkOrders!$C$2:$C$500,A40)</f>
        <v/>
      </c>
      <c r="F40" s="11">
        <f>SUMIFS(WorkOrders!$F$2:$F$500,WorkOrders!$C$2:$C$500,A40)</f>
        <v/>
      </c>
      <c r="G40" s="11">
        <f>E40-F40</f>
        <v/>
      </c>
      <c r="H40" s="11">
        <f>SUMIFS(Downtime!$G$2:$G$500,Downtime!$A$2:$A$500,A40)</f>
        <v/>
      </c>
      <c r="I40" s="11">
        <f>MAX(0,D40-H40)</f>
        <v/>
      </c>
      <c r="J40" s="15">
        <f>IF(A40="","",IF(D40=0,0,MIN(1,I40/D40)))</f>
        <v/>
      </c>
      <c r="K40" s="15">
        <f>IF(A40="","",IF(OR(I40=0,C40=0),0,MIN(1,E40/((I40/60)*C40))))</f>
        <v/>
      </c>
      <c r="L40" s="15">
        <f>IF(A40="","",IF(E40=0,0,MIN(1,MAX(0,G40/E40))))</f>
        <v/>
      </c>
      <c r="M40" s="15">
        <f>IF(A40="","",J40*K40*L40)</f>
        <v/>
      </c>
    </row>
    <row r="41">
      <c r="A41" s="11">
        <f>Machines!A41</f>
        <v/>
      </c>
      <c r="B41" s="11">
        <f>Machines!B41</f>
        <v/>
      </c>
      <c r="C41" s="11">
        <f>IF(A41="","",Machines!D41)</f>
        <v/>
      </c>
      <c r="D41" s="11">
        <f>SUMIFS(WorkOrders!$M$2:$M$500,WorkOrders!$C$2:$C$500,A41)</f>
        <v/>
      </c>
      <c r="E41" s="11">
        <f>SUMIFS(WorkOrders!$E$2:$E$500,WorkOrders!$C$2:$C$500,A41)</f>
        <v/>
      </c>
      <c r="F41" s="11">
        <f>SUMIFS(WorkOrders!$F$2:$F$500,WorkOrders!$C$2:$C$500,A41)</f>
        <v/>
      </c>
      <c r="G41" s="11">
        <f>E41-F41</f>
        <v/>
      </c>
      <c r="H41" s="11">
        <f>SUMIFS(Downtime!$G$2:$G$500,Downtime!$A$2:$A$500,A41)</f>
        <v/>
      </c>
      <c r="I41" s="11">
        <f>MAX(0,D41-H41)</f>
        <v/>
      </c>
      <c r="J41" s="15">
        <f>IF(A41="","",IF(D41=0,0,MIN(1,I41/D41)))</f>
        <v/>
      </c>
      <c r="K41" s="15">
        <f>IF(A41="","",IF(OR(I41=0,C41=0),0,MIN(1,E41/((I41/60)*C41))))</f>
        <v/>
      </c>
      <c r="L41" s="15">
        <f>IF(A41="","",IF(E41=0,0,MIN(1,MAX(0,G41/E41))))</f>
        <v/>
      </c>
      <c r="M41" s="15">
        <f>IF(A41="","",J41*K41*L41)</f>
        <v/>
      </c>
    </row>
    <row r="42">
      <c r="A42" s="11">
        <f>Machines!A42</f>
        <v/>
      </c>
      <c r="B42" s="11">
        <f>Machines!B42</f>
        <v/>
      </c>
      <c r="C42" s="11">
        <f>IF(A42="","",Machines!D42)</f>
        <v/>
      </c>
      <c r="D42" s="11">
        <f>SUMIFS(WorkOrders!$M$2:$M$500,WorkOrders!$C$2:$C$500,A42)</f>
        <v/>
      </c>
      <c r="E42" s="11">
        <f>SUMIFS(WorkOrders!$E$2:$E$500,WorkOrders!$C$2:$C$500,A42)</f>
        <v/>
      </c>
      <c r="F42" s="11">
        <f>SUMIFS(WorkOrders!$F$2:$F$500,WorkOrders!$C$2:$C$500,A42)</f>
        <v/>
      </c>
      <c r="G42" s="11">
        <f>E42-F42</f>
        <v/>
      </c>
      <c r="H42" s="11">
        <f>SUMIFS(Downtime!$G$2:$G$500,Downtime!$A$2:$A$500,A42)</f>
        <v/>
      </c>
      <c r="I42" s="11">
        <f>MAX(0,D42-H42)</f>
        <v/>
      </c>
      <c r="J42" s="15">
        <f>IF(A42="","",IF(D42=0,0,MIN(1,I42/D42)))</f>
        <v/>
      </c>
      <c r="K42" s="15">
        <f>IF(A42="","",IF(OR(I42=0,C42=0),0,MIN(1,E42/((I42/60)*C42))))</f>
        <v/>
      </c>
      <c r="L42" s="15">
        <f>IF(A42="","",IF(E42=0,0,MIN(1,MAX(0,G42/E42))))</f>
        <v/>
      </c>
      <c r="M42" s="15">
        <f>IF(A42="","",J42*K42*L42)</f>
        <v/>
      </c>
    </row>
    <row r="43">
      <c r="A43" s="11">
        <f>Machines!A43</f>
        <v/>
      </c>
      <c r="B43" s="11">
        <f>Machines!B43</f>
        <v/>
      </c>
      <c r="C43" s="11">
        <f>IF(A43="","",Machines!D43)</f>
        <v/>
      </c>
      <c r="D43" s="11">
        <f>SUMIFS(WorkOrders!$M$2:$M$500,WorkOrders!$C$2:$C$500,A43)</f>
        <v/>
      </c>
      <c r="E43" s="11">
        <f>SUMIFS(WorkOrders!$E$2:$E$500,WorkOrders!$C$2:$C$500,A43)</f>
        <v/>
      </c>
      <c r="F43" s="11">
        <f>SUMIFS(WorkOrders!$F$2:$F$500,WorkOrders!$C$2:$C$500,A43)</f>
        <v/>
      </c>
      <c r="G43" s="11">
        <f>E43-F43</f>
        <v/>
      </c>
      <c r="H43" s="11">
        <f>SUMIFS(Downtime!$G$2:$G$500,Downtime!$A$2:$A$500,A43)</f>
        <v/>
      </c>
      <c r="I43" s="11">
        <f>MAX(0,D43-H43)</f>
        <v/>
      </c>
      <c r="J43" s="15">
        <f>IF(A43="","",IF(D43=0,0,MIN(1,I43/D43)))</f>
        <v/>
      </c>
      <c r="K43" s="15">
        <f>IF(A43="","",IF(OR(I43=0,C43=0),0,MIN(1,E43/((I43/60)*C43))))</f>
        <v/>
      </c>
      <c r="L43" s="15">
        <f>IF(A43="","",IF(E43=0,0,MIN(1,MAX(0,G43/E43))))</f>
        <v/>
      </c>
      <c r="M43" s="15">
        <f>IF(A43="","",J43*K43*L43)</f>
        <v/>
      </c>
    </row>
    <row r="44">
      <c r="A44" s="11">
        <f>Machines!A44</f>
        <v/>
      </c>
      <c r="B44" s="11">
        <f>Machines!B44</f>
        <v/>
      </c>
      <c r="C44" s="11">
        <f>IF(A44="","",Machines!D44)</f>
        <v/>
      </c>
      <c r="D44" s="11">
        <f>SUMIFS(WorkOrders!$M$2:$M$500,WorkOrders!$C$2:$C$500,A44)</f>
        <v/>
      </c>
      <c r="E44" s="11">
        <f>SUMIFS(WorkOrders!$E$2:$E$500,WorkOrders!$C$2:$C$500,A44)</f>
        <v/>
      </c>
      <c r="F44" s="11">
        <f>SUMIFS(WorkOrders!$F$2:$F$500,WorkOrders!$C$2:$C$500,A44)</f>
        <v/>
      </c>
      <c r="G44" s="11">
        <f>E44-F44</f>
        <v/>
      </c>
      <c r="H44" s="11">
        <f>SUMIFS(Downtime!$G$2:$G$500,Downtime!$A$2:$A$500,A44)</f>
        <v/>
      </c>
      <c r="I44" s="11">
        <f>MAX(0,D44-H44)</f>
        <v/>
      </c>
      <c r="J44" s="15">
        <f>IF(A44="","",IF(D44=0,0,MIN(1,I44/D44)))</f>
        <v/>
      </c>
      <c r="K44" s="15">
        <f>IF(A44="","",IF(OR(I44=0,C44=0),0,MIN(1,E44/((I44/60)*C44))))</f>
        <v/>
      </c>
      <c r="L44" s="15">
        <f>IF(A44="","",IF(E44=0,0,MIN(1,MAX(0,G44/E44))))</f>
        <v/>
      </c>
      <c r="M44" s="15">
        <f>IF(A44="","",J44*K44*L44)</f>
        <v/>
      </c>
    </row>
    <row r="45">
      <c r="A45" s="11">
        <f>Machines!A45</f>
        <v/>
      </c>
      <c r="B45" s="11">
        <f>Machines!B45</f>
        <v/>
      </c>
      <c r="C45" s="11">
        <f>IF(A45="","",Machines!D45)</f>
        <v/>
      </c>
      <c r="D45" s="11">
        <f>SUMIFS(WorkOrders!$M$2:$M$500,WorkOrders!$C$2:$C$500,A45)</f>
        <v/>
      </c>
      <c r="E45" s="11">
        <f>SUMIFS(WorkOrders!$E$2:$E$500,WorkOrders!$C$2:$C$500,A45)</f>
        <v/>
      </c>
      <c r="F45" s="11">
        <f>SUMIFS(WorkOrders!$F$2:$F$500,WorkOrders!$C$2:$C$500,A45)</f>
        <v/>
      </c>
      <c r="G45" s="11">
        <f>E45-F45</f>
        <v/>
      </c>
      <c r="H45" s="11">
        <f>SUMIFS(Downtime!$G$2:$G$500,Downtime!$A$2:$A$500,A45)</f>
        <v/>
      </c>
      <c r="I45" s="11">
        <f>MAX(0,D45-H45)</f>
        <v/>
      </c>
      <c r="J45" s="15">
        <f>IF(A45="","",IF(D45=0,0,MIN(1,I45/D45)))</f>
        <v/>
      </c>
      <c r="K45" s="15">
        <f>IF(A45="","",IF(OR(I45=0,C45=0),0,MIN(1,E45/((I45/60)*C45))))</f>
        <v/>
      </c>
      <c r="L45" s="15">
        <f>IF(A45="","",IF(E45=0,0,MIN(1,MAX(0,G45/E45))))</f>
        <v/>
      </c>
      <c r="M45" s="15">
        <f>IF(A45="","",J45*K45*L45)</f>
        <v/>
      </c>
    </row>
    <row r="46">
      <c r="A46" s="11">
        <f>Machines!A46</f>
        <v/>
      </c>
      <c r="B46" s="11">
        <f>Machines!B46</f>
        <v/>
      </c>
      <c r="C46" s="11">
        <f>IF(A46="","",Machines!D46)</f>
        <v/>
      </c>
      <c r="D46" s="11">
        <f>SUMIFS(WorkOrders!$M$2:$M$500,WorkOrders!$C$2:$C$500,A46)</f>
        <v/>
      </c>
      <c r="E46" s="11">
        <f>SUMIFS(WorkOrders!$E$2:$E$500,WorkOrders!$C$2:$C$500,A46)</f>
        <v/>
      </c>
      <c r="F46" s="11">
        <f>SUMIFS(WorkOrders!$F$2:$F$500,WorkOrders!$C$2:$C$500,A46)</f>
        <v/>
      </c>
      <c r="G46" s="11">
        <f>E46-F46</f>
        <v/>
      </c>
      <c r="H46" s="11">
        <f>SUMIFS(Downtime!$G$2:$G$500,Downtime!$A$2:$A$500,A46)</f>
        <v/>
      </c>
      <c r="I46" s="11">
        <f>MAX(0,D46-H46)</f>
        <v/>
      </c>
      <c r="J46" s="15">
        <f>IF(A46="","",IF(D46=0,0,MIN(1,I46/D46)))</f>
        <v/>
      </c>
      <c r="K46" s="15">
        <f>IF(A46="","",IF(OR(I46=0,C46=0),0,MIN(1,E46/((I46/60)*C46))))</f>
        <v/>
      </c>
      <c r="L46" s="15">
        <f>IF(A46="","",IF(E46=0,0,MIN(1,MAX(0,G46/E46))))</f>
        <v/>
      </c>
      <c r="M46" s="15">
        <f>IF(A46="","",J46*K46*L46)</f>
        <v/>
      </c>
    </row>
    <row r="47">
      <c r="A47" s="11">
        <f>Machines!A47</f>
        <v/>
      </c>
      <c r="B47" s="11">
        <f>Machines!B47</f>
        <v/>
      </c>
      <c r="C47" s="11">
        <f>IF(A47="","",Machines!D47)</f>
        <v/>
      </c>
      <c r="D47" s="11">
        <f>SUMIFS(WorkOrders!$M$2:$M$500,WorkOrders!$C$2:$C$500,A47)</f>
        <v/>
      </c>
      <c r="E47" s="11">
        <f>SUMIFS(WorkOrders!$E$2:$E$500,WorkOrders!$C$2:$C$500,A47)</f>
        <v/>
      </c>
      <c r="F47" s="11">
        <f>SUMIFS(WorkOrders!$F$2:$F$500,WorkOrders!$C$2:$C$500,A47)</f>
        <v/>
      </c>
      <c r="G47" s="11">
        <f>E47-F47</f>
        <v/>
      </c>
      <c r="H47" s="11">
        <f>SUMIFS(Downtime!$G$2:$G$500,Downtime!$A$2:$A$500,A47)</f>
        <v/>
      </c>
      <c r="I47" s="11">
        <f>MAX(0,D47-H47)</f>
        <v/>
      </c>
      <c r="J47" s="15">
        <f>IF(A47="","",IF(D47=0,0,MIN(1,I47/D47)))</f>
        <v/>
      </c>
      <c r="K47" s="15">
        <f>IF(A47="","",IF(OR(I47=0,C47=0),0,MIN(1,E47/((I47/60)*C47))))</f>
        <v/>
      </c>
      <c r="L47" s="15">
        <f>IF(A47="","",IF(E47=0,0,MIN(1,MAX(0,G47/E47))))</f>
        <v/>
      </c>
      <c r="M47" s="15">
        <f>IF(A47="","",J47*K47*L47)</f>
        <v/>
      </c>
    </row>
    <row r="48">
      <c r="A48" s="11">
        <f>Machines!A48</f>
        <v/>
      </c>
      <c r="B48" s="11">
        <f>Machines!B48</f>
        <v/>
      </c>
      <c r="C48" s="11">
        <f>IF(A48="","",Machines!D48)</f>
        <v/>
      </c>
      <c r="D48" s="11">
        <f>SUMIFS(WorkOrders!$M$2:$M$500,WorkOrders!$C$2:$C$500,A48)</f>
        <v/>
      </c>
      <c r="E48" s="11">
        <f>SUMIFS(WorkOrders!$E$2:$E$500,WorkOrders!$C$2:$C$500,A48)</f>
        <v/>
      </c>
      <c r="F48" s="11">
        <f>SUMIFS(WorkOrders!$F$2:$F$500,WorkOrders!$C$2:$C$500,A48)</f>
        <v/>
      </c>
      <c r="G48" s="11">
        <f>E48-F48</f>
        <v/>
      </c>
      <c r="H48" s="11">
        <f>SUMIFS(Downtime!$G$2:$G$500,Downtime!$A$2:$A$500,A48)</f>
        <v/>
      </c>
      <c r="I48" s="11">
        <f>MAX(0,D48-H48)</f>
        <v/>
      </c>
      <c r="J48" s="15">
        <f>IF(A48="","",IF(D48=0,0,MIN(1,I48/D48)))</f>
        <v/>
      </c>
      <c r="K48" s="15">
        <f>IF(A48="","",IF(OR(I48=0,C48=0),0,MIN(1,E48/((I48/60)*C48))))</f>
        <v/>
      </c>
      <c r="L48" s="15">
        <f>IF(A48="","",IF(E48=0,0,MIN(1,MAX(0,G48/E48))))</f>
        <v/>
      </c>
      <c r="M48" s="15">
        <f>IF(A48="","",J48*K48*L48)</f>
        <v/>
      </c>
    </row>
    <row r="49">
      <c r="A49" s="11">
        <f>Machines!A49</f>
        <v/>
      </c>
      <c r="B49" s="11">
        <f>Machines!B49</f>
        <v/>
      </c>
      <c r="C49" s="11">
        <f>IF(A49="","",Machines!D49)</f>
        <v/>
      </c>
      <c r="D49" s="11">
        <f>SUMIFS(WorkOrders!$M$2:$M$500,WorkOrders!$C$2:$C$500,A49)</f>
        <v/>
      </c>
      <c r="E49" s="11">
        <f>SUMIFS(WorkOrders!$E$2:$E$500,WorkOrders!$C$2:$C$500,A49)</f>
        <v/>
      </c>
      <c r="F49" s="11">
        <f>SUMIFS(WorkOrders!$F$2:$F$500,WorkOrders!$C$2:$C$500,A49)</f>
        <v/>
      </c>
      <c r="G49" s="11">
        <f>E49-F49</f>
        <v/>
      </c>
      <c r="H49" s="11">
        <f>SUMIFS(Downtime!$G$2:$G$500,Downtime!$A$2:$A$500,A49)</f>
        <v/>
      </c>
      <c r="I49" s="11">
        <f>MAX(0,D49-H49)</f>
        <v/>
      </c>
      <c r="J49" s="15">
        <f>IF(A49="","",IF(D49=0,0,MIN(1,I49/D49)))</f>
        <v/>
      </c>
      <c r="K49" s="15">
        <f>IF(A49="","",IF(OR(I49=0,C49=0),0,MIN(1,E49/((I49/60)*C49))))</f>
        <v/>
      </c>
      <c r="L49" s="15">
        <f>IF(A49="","",IF(E49=0,0,MIN(1,MAX(0,G49/E49))))</f>
        <v/>
      </c>
      <c r="M49" s="15">
        <f>IF(A49="","",J49*K49*L49)</f>
        <v/>
      </c>
    </row>
    <row r="50">
      <c r="A50" s="11">
        <f>Machines!A50</f>
        <v/>
      </c>
      <c r="B50" s="11">
        <f>Machines!B50</f>
        <v/>
      </c>
      <c r="C50" s="11">
        <f>IF(A50="","",Machines!D50)</f>
        <v/>
      </c>
      <c r="D50" s="11">
        <f>SUMIFS(WorkOrders!$M$2:$M$500,WorkOrders!$C$2:$C$500,A50)</f>
        <v/>
      </c>
      <c r="E50" s="11">
        <f>SUMIFS(WorkOrders!$E$2:$E$500,WorkOrders!$C$2:$C$500,A50)</f>
        <v/>
      </c>
      <c r="F50" s="11">
        <f>SUMIFS(WorkOrders!$F$2:$F$500,WorkOrders!$C$2:$C$500,A50)</f>
        <v/>
      </c>
      <c r="G50" s="11">
        <f>E50-F50</f>
        <v/>
      </c>
      <c r="H50" s="11">
        <f>SUMIFS(Downtime!$G$2:$G$500,Downtime!$A$2:$A$500,A50)</f>
        <v/>
      </c>
      <c r="I50" s="11">
        <f>MAX(0,D50-H50)</f>
        <v/>
      </c>
      <c r="J50" s="15">
        <f>IF(A50="","",IF(D50=0,0,MIN(1,I50/D50)))</f>
        <v/>
      </c>
      <c r="K50" s="15">
        <f>IF(A50="","",IF(OR(I50=0,C50=0),0,MIN(1,E50/((I50/60)*C50))))</f>
        <v/>
      </c>
      <c r="L50" s="15">
        <f>IF(A50="","",IF(E50=0,0,MIN(1,MAX(0,G50/E50))))</f>
        <v/>
      </c>
      <c r="M50" s="15">
        <f>IF(A50="","",J50*K50*L50)</f>
        <v/>
      </c>
    </row>
    <row r="51">
      <c r="A51" s="11">
        <f>Machines!A51</f>
        <v/>
      </c>
      <c r="B51" s="11">
        <f>Machines!B51</f>
        <v/>
      </c>
      <c r="C51" s="11">
        <f>IF(A51="","",Machines!D51)</f>
        <v/>
      </c>
      <c r="D51" s="11">
        <f>SUMIFS(WorkOrders!$M$2:$M$500,WorkOrders!$C$2:$C$500,A51)</f>
        <v/>
      </c>
      <c r="E51" s="11">
        <f>SUMIFS(WorkOrders!$E$2:$E$500,WorkOrders!$C$2:$C$500,A51)</f>
        <v/>
      </c>
      <c r="F51" s="11">
        <f>SUMIFS(WorkOrders!$F$2:$F$500,WorkOrders!$C$2:$C$500,A51)</f>
        <v/>
      </c>
      <c r="G51" s="11">
        <f>E51-F51</f>
        <v/>
      </c>
      <c r="H51" s="11">
        <f>SUMIFS(Downtime!$G$2:$G$500,Downtime!$A$2:$A$500,A51)</f>
        <v/>
      </c>
      <c r="I51" s="11">
        <f>MAX(0,D51-H51)</f>
        <v/>
      </c>
      <c r="J51" s="15">
        <f>IF(A51="","",IF(D51=0,0,MIN(1,I51/D51)))</f>
        <v/>
      </c>
      <c r="K51" s="15">
        <f>IF(A51="","",IF(OR(I51=0,C51=0),0,MIN(1,E51/((I51/60)*C51))))</f>
        <v/>
      </c>
      <c r="L51" s="15">
        <f>IF(A51="","",IF(E51=0,0,MIN(1,MAX(0,G51/E51))))</f>
        <v/>
      </c>
      <c r="M51" s="15">
        <f>IF(A51="","",J51*K51*L51)</f>
        <v/>
      </c>
    </row>
    <row r="52">
      <c r="A52" s="11">
        <f>Machines!A52</f>
        <v/>
      </c>
      <c r="B52" s="11">
        <f>Machines!B52</f>
        <v/>
      </c>
      <c r="C52" s="11">
        <f>IF(A52="","",Machines!D52)</f>
        <v/>
      </c>
      <c r="D52" s="11">
        <f>SUMIFS(WorkOrders!$M$2:$M$500,WorkOrders!$C$2:$C$500,A52)</f>
        <v/>
      </c>
      <c r="E52" s="11">
        <f>SUMIFS(WorkOrders!$E$2:$E$500,WorkOrders!$C$2:$C$500,A52)</f>
        <v/>
      </c>
      <c r="F52" s="11">
        <f>SUMIFS(WorkOrders!$F$2:$F$500,WorkOrders!$C$2:$C$500,A52)</f>
        <v/>
      </c>
      <c r="G52" s="11">
        <f>E52-F52</f>
        <v/>
      </c>
      <c r="H52" s="11">
        <f>SUMIFS(Downtime!$G$2:$G$500,Downtime!$A$2:$A$500,A52)</f>
        <v/>
      </c>
      <c r="I52" s="11">
        <f>MAX(0,D52-H52)</f>
        <v/>
      </c>
      <c r="J52" s="15">
        <f>IF(A52="","",IF(D52=0,0,MIN(1,I52/D52)))</f>
        <v/>
      </c>
      <c r="K52" s="15">
        <f>IF(A52="","",IF(OR(I52=0,C52=0),0,MIN(1,E52/((I52/60)*C52))))</f>
        <v/>
      </c>
      <c r="L52" s="15">
        <f>IF(A52="","",IF(E52=0,0,MIN(1,MAX(0,G52/E52))))</f>
        <v/>
      </c>
      <c r="M52" s="15">
        <f>IF(A52="","",J52*K52*L52)</f>
        <v/>
      </c>
    </row>
    <row r="53">
      <c r="A53" s="11">
        <f>Machines!A53</f>
        <v/>
      </c>
      <c r="B53" s="11">
        <f>Machines!B53</f>
        <v/>
      </c>
      <c r="C53" s="11">
        <f>IF(A53="","",Machines!D53)</f>
        <v/>
      </c>
      <c r="D53" s="11">
        <f>SUMIFS(WorkOrders!$M$2:$M$500,WorkOrders!$C$2:$C$500,A53)</f>
        <v/>
      </c>
      <c r="E53" s="11">
        <f>SUMIFS(WorkOrders!$E$2:$E$500,WorkOrders!$C$2:$C$500,A53)</f>
        <v/>
      </c>
      <c r="F53" s="11">
        <f>SUMIFS(WorkOrders!$F$2:$F$500,WorkOrders!$C$2:$C$500,A53)</f>
        <v/>
      </c>
      <c r="G53" s="11">
        <f>E53-F53</f>
        <v/>
      </c>
      <c r="H53" s="11">
        <f>SUMIFS(Downtime!$G$2:$G$500,Downtime!$A$2:$A$500,A53)</f>
        <v/>
      </c>
      <c r="I53" s="11">
        <f>MAX(0,D53-H53)</f>
        <v/>
      </c>
      <c r="J53" s="15">
        <f>IF(A53="","",IF(D53=0,0,MIN(1,I53/D53)))</f>
        <v/>
      </c>
      <c r="K53" s="15">
        <f>IF(A53="","",IF(OR(I53=0,C53=0),0,MIN(1,E53/((I53/60)*C53))))</f>
        <v/>
      </c>
      <c r="L53" s="15">
        <f>IF(A53="","",IF(E53=0,0,MIN(1,MAX(0,G53/E53))))</f>
        <v/>
      </c>
      <c r="M53" s="15">
        <f>IF(A53="","",J53*K53*L53)</f>
        <v/>
      </c>
    </row>
    <row r="54">
      <c r="A54" s="11">
        <f>Machines!A54</f>
        <v/>
      </c>
      <c r="B54" s="11">
        <f>Machines!B54</f>
        <v/>
      </c>
      <c r="C54" s="11">
        <f>IF(A54="","",Machines!D54)</f>
        <v/>
      </c>
      <c r="D54" s="11">
        <f>SUMIFS(WorkOrders!$M$2:$M$500,WorkOrders!$C$2:$C$500,A54)</f>
        <v/>
      </c>
      <c r="E54" s="11">
        <f>SUMIFS(WorkOrders!$E$2:$E$500,WorkOrders!$C$2:$C$500,A54)</f>
        <v/>
      </c>
      <c r="F54" s="11">
        <f>SUMIFS(WorkOrders!$F$2:$F$500,WorkOrders!$C$2:$C$500,A54)</f>
        <v/>
      </c>
      <c r="G54" s="11">
        <f>E54-F54</f>
        <v/>
      </c>
      <c r="H54" s="11">
        <f>SUMIFS(Downtime!$G$2:$G$500,Downtime!$A$2:$A$500,A54)</f>
        <v/>
      </c>
      <c r="I54" s="11">
        <f>MAX(0,D54-H54)</f>
        <v/>
      </c>
      <c r="J54" s="15">
        <f>IF(A54="","",IF(D54=0,0,MIN(1,I54/D54)))</f>
        <v/>
      </c>
      <c r="K54" s="15">
        <f>IF(A54="","",IF(OR(I54=0,C54=0),0,MIN(1,E54/((I54/60)*C54))))</f>
        <v/>
      </c>
      <c r="L54" s="15">
        <f>IF(A54="","",IF(E54=0,0,MIN(1,MAX(0,G54/E54))))</f>
        <v/>
      </c>
      <c r="M54" s="15">
        <f>IF(A54="","",J54*K54*L54)</f>
        <v/>
      </c>
    </row>
    <row r="55">
      <c r="A55" s="11">
        <f>Machines!A55</f>
        <v/>
      </c>
      <c r="B55" s="11">
        <f>Machines!B55</f>
        <v/>
      </c>
      <c r="C55" s="11">
        <f>IF(A55="","",Machines!D55)</f>
        <v/>
      </c>
      <c r="D55" s="11">
        <f>SUMIFS(WorkOrders!$M$2:$M$500,WorkOrders!$C$2:$C$500,A55)</f>
        <v/>
      </c>
      <c r="E55" s="11">
        <f>SUMIFS(WorkOrders!$E$2:$E$500,WorkOrders!$C$2:$C$500,A55)</f>
        <v/>
      </c>
      <c r="F55" s="11">
        <f>SUMIFS(WorkOrders!$F$2:$F$500,WorkOrders!$C$2:$C$500,A55)</f>
        <v/>
      </c>
      <c r="G55" s="11">
        <f>E55-F55</f>
        <v/>
      </c>
      <c r="H55" s="11">
        <f>SUMIFS(Downtime!$G$2:$G$500,Downtime!$A$2:$A$500,A55)</f>
        <v/>
      </c>
      <c r="I55" s="11">
        <f>MAX(0,D55-H55)</f>
        <v/>
      </c>
      <c r="J55" s="15">
        <f>IF(A55="","",IF(D55=0,0,MIN(1,I55/D55)))</f>
        <v/>
      </c>
      <c r="K55" s="15">
        <f>IF(A55="","",IF(OR(I55=0,C55=0),0,MIN(1,E55/((I55/60)*C55))))</f>
        <v/>
      </c>
      <c r="L55" s="15">
        <f>IF(A55="","",IF(E55=0,0,MIN(1,MAX(0,G55/E55))))</f>
        <v/>
      </c>
      <c r="M55" s="15">
        <f>IF(A55="","",J55*K55*L55)</f>
        <v/>
      </c>
    </row>
    <row r="56">
      <c r="A56" s="11">
        <f>Machines!A56</f>
        <v/>
      </c>
      <c r="B56" s="11">
        <f>Machines!B56</f>
        <v/>
      </c>
      <c r="C56" s="11">
        <f>IF(A56="","",Machines!D56)</f>
        <v/>
      </c>
      <c r="D56" s="11">
        <f>SUMIFS(WorkOrders!$M$2:$M$500,WorkOrders!$C$2:$C$500,A56)</f>
        <v/>
      </c>
      <c r="E56" s="11">
        <f>SUMIFS(WorkOrders!$E$2:$E$500,WorkOrders!$C$2:$C$500,A56)</f>
        <v/>
      </c>
      <c r="F56" s="11">
        <f>SUMIFS(WorkOrders!$F$2:$F$500,WorkOrders!$C$2:$C$500,A56)</f>
        <v/>
      </c>
      <c r="G56" s="11">
        <f>E56-F56</f>
        <v/>
      </c>
      <c r="H56" s="11">
        <f>SUMIFS(Downtime!$G$2:$G$500,Downtime!$A$2:$A$500,A56)</f>
        <v/>
      </c>
      <c r="I56" s="11">
        <f>MAX(0,D56-H56)</f>
        <v/>
      </c>
      <c r="J56" s="15">
        <f>IF(A56="","",IF(D56=0,0,MIN(1,I56/D56)))</f>
        <v/>
      </c>
      <c r="K56" s="15">
        <f>IF(A56="","",IF(OR(I56=0,C56=0),0,MIN(1,E56/((I56/60)*C56))))</f>
        <v/>
      </c>
      <c r="L56" s="15">
        <f>IF(A56="","",IF(E56=0,0,MIN(1,MAX(0,G56/E56))))</f>
        <v/>
      </c>
      <c r="M56" s="15">
        <f>IF(A56="","",J56*K56*L56)</f>
        <v/>
      </c>
    </row>
    <row r="57">
      <c r="A57" s="11">
        <f>Machines!A57</f>
        <v/>
      </c>
      <c r="B57" s="11">
        <f>Machines!B57</f>
        <v/>
      </c>
      <c r="C57" s="11">
        <f>IF(A57="","",Machines!D57)</f>
        <v/>
      </c>
      <c r="D57" s="11">
        <f>SUMIFS(WorkOrders!$M$2:$M$500,WorkOrders!$C$2:$C$500,A57)</f>
        <v/>
      </c>
      <c r="E57" s="11">
        <f>SUMIFS(WorkOrders!$E$2:$E$500,WorkOrders!$C$2:$C$500,A57)</f>
        <v/>
      </c>
      <c r="F57" s="11">
        <f>SUMIFS(WorkOrders!$F$2:$F$500,WorkOrders!$C$2:$C$500,A57)</f>
        <v/>
      </c>
      <c r="G57" s="11">
        <f>E57-F57</f>
        <v/>
      </c>
      <c r="H57" s="11">
        <f>SUMIFS(Downtime!$G$2:$G$500,Downtime!$A$2:$A$500,A57)</f>
        <v/>
      </c>
      <c r="I57" s="11">
        <f>MAX(0,D57-H57)</f>
        <v/>
      </c>
      <c r="J57" s="15">
        <f>IF(A57="","",IF(D57=0,0,MIN(1,I57/D57)))</f>
        <v/>
      </c>
      <c r="K57" s="15">
        <f>IF(A57="","",IF(OR(I57=0,C57=0),0,MIN(1,E57/((I57/60)*C57))))</f>
        <v/>
      </c>
      <c r="L57" s="15">
        <f>IF(A57="","",IF(E57=0,0,MIN(1,MAX(0,G57/E57))))</f>
        <v/>
      </c>
      <c r="M57" s="15">
        <f>IF(A57="","",J57*K57*L57)</f>
        <v/>
      </c>
    </row>
    <row r="58">
      <c r="A58" s="11">
        <f>Machines!A58</f>
        <v/>
      </c>
      <c r="B58" s="11">
        <f>Machines!B58</f>
        <v/>
      </c>
      <c r="C58" s="11">
        <f>IF(A58="","",Machines!D58)</f>
        <v/>
      </c>
      <c r="D58" s="11">
        <f>SUMIFS(WorkOrders!$M$2:$M$500,WorkOrders!$C$2:$C$500,A58)</f>
        <v/>
      </c>
      <c r="E58" s="11">
        <f>SUMIFS(WorkOrders!$E$2:$E$500,WorkOrders!$C$2:$C$500,A58)</f>
        <v/>
      </c>
      <c r="F58" s="11">
        <f>SUMIFS(WorkOrders!$F$2:$F$500,WorkOrders!$C$2:$C$500,A58)</f>
        <v/>
      </c>
      <c r="G58" s="11">
        <f>E58-F58</f>
        <v/>
      </c>
      <c r="H58" s="11">
        <f>SUMIFS(Downtime!$G$2:$G$500,Downtime!$A$2:$A$500,A58)</f>
        <v/>
      </c>
      <c r="I58" s="11">
        <f>MAX(0,D58-H58)</f>
        <v/>
      </c>
      <c r="J58" s="15">
        <f>IF(A58="","",IF(D58=0,0,MIN(1,I58/D58)))</f>
        <v/>
      </c>
      <c r="K58" s="15">
        <f>IF(A58="","",IF(OR(I58=0,C58=0),0,MIN(1,E58/((I58/60)*C58))))</f>
        <v/>
      </c>
      <c r="L58" s="15">
        <f>IF(A58="","",IF(E58=0,0,MIN(1,MAX(0,G58/E58))))</f>
        <v/>
      </c>
      <c r="M58" s="15">
        <f>IF(A58="","",J58*K58*L58)</f>
        <v/>
      </c>
    </row>
    <row r="59">
      <c r="A59" s="11">
        <f>Machines!A59</f>
        <v/>
      </c>
      <c r="B59" s="11">
        <f>Machines!B59</f>
        <v/>
      </c>
      <c r="C59" s="11">
        <f>IF(A59="","",Machines!D59)</f>
        <v/>
      </c>
      <c r="D59" s="11">
        <f>SUMIFS(WorkOrders!$M$2:$M$500,WorkOrders!$C$2:$C$500,A59)</f>
        <v/>
      </c>
      <c r="E59" s="11">
        <f>SUMIFS(WorkOrders!$E$2:$E$500,WorkOrders!$C$2:$C$500,A59)</f>
        <v/>
      </c>
      <c r="F59" s="11">
        <f>SUMIFS(WorkOrders!$F$2:$F$500,WorkOrders!$C$2:$C$500,A59)</f>
        <v/>
      </c>
      <c r="G59" s="11">
        <f>E59-F59</f>
        <v/>
      </c>
      <c r="H59" s="11">
        <f>SUMIFS(Downtime!$G$2:$G$500,Downtime!$A$2:$A$500,A59)</f>
        <v/>
      </c>
      <c r="I59" s="11">
        <f>MAX(0,D59-H59)</f>
        <v/>
      </c>
      <c r="J59" s="15">
        <f>IF(A59="","",IF(D59=0,0,MIN(1,I59/D59)))</f>
        <v/>
      </c>
      <c r="K59" s="15">
        <f>IF(A59="","",IF(OR(I59=0,C59=0),0,MIN(1,E59/((I59/60)*C59))))</f>
        <v/>
      </c>
      <c r="L59" s="15">
        <f>IF(A59="","",IF(E59=0,0,MIN(1,MAX(0,G59/E59))))</f>
        <v/>
      </c>
      <c r="M59" s="15">
        <f>IF(A59="","",J59*K59*L59)</f>
        <v/>
      </c>
    </row>
    <row r="60">
      <c r="A60" s="11">
        <f>Machines!A60</f>
        <v/>
      </c>
      <c r="B60" s="11">
        <f>Machines!B60</f>
        <v/>
      </c>
      <c r="C60" s="11">
        <f>IF(A60="","",Machines!D60)</f>
        <v/>
      </c>
      <c r="D60" s="11">
        <f>SUMIFS(WorkOrders!$M$2:$M$500,WorkOrders!$C$2:$C$500,A60)</f>
        <v/>
      </c>
      <c r="E60" s="11">
        <f>SUMIFS(WorkOrders!$E$2:$E$500,WorkOrders!$C$2:$C$500,A60)</f>
        <v/>
      </c>
      <c r="F60" s="11">
        <f>SUMIFS(WorkOrders!$F$2:$F$500,WorkOrders!$C$2:$C$500,A60)</f>
        <v/>
      </c>
      <c r="G60" s="11">
        <f>E60-F60</f>
        <v/>
      </c>
      <c r="H60" s="11">
        <f>SUMIFS(Downtime!$G$2:$G$500,Downtime!$A$2:$A$500,A60)</f>
        <v/>
      </c>
      <c r="I60" s="11">
        <f>MAX(0,D60-H60)</f>
        <v/>
      </c>
      <c r="J60" s="15">
        <f>IF(A60="","",IF(D60=0,0,MIN(1,I60/D60)))</f>
        <v/>
      </c>
      <c r="K60" s="15">
        <f>IF(A60="","",IF(OR(I60=0,C60=0),0,MIN(1,E60/((I60/60)*C60))))</f>
        <v/>
      </c>
      <c r="L60" s="15">
        <f>IF(A60="","",IF(E60=0,0,MIN(1,MAX(0,G60/E60))))</f>
        <v/>
      </c>
      <c r="M60" s="15">
        <f>IF(A60="","",J60*K60*L60)</f>
        <v/>
      </c>
    </row>
    <row r="61">
      <c r="A61" s="11">
        <f>Machines!A61</f>
        <v/>
      </c>
      <c r="B61" s="11">
        <f>Machines!B61</f>
        <v/>
      </c>
      <c r="C61" s="11">
        <f>IF(A61="","",Machines!D61)</f>
        <v/>
      </c>
      <c r="D61" s="11">
        <f>SUMIFS(WorkOrders!$M$2:$M$500,WorkOrders!$C$2:$C$500,A61)</f>
        <v/>
      </c>
      <c r="E61" s="11">
        <f>SUMIFS(WorkOrders!$E$2:$E$500,WorkOrders!$C$2:$C$500,A61)</f>
        <v/>
      </c>
      <c r="F61" s="11">
        <f>SUMIFS(WorkOrders!$F$2:$F$500,WorkOrders!$C$2:$C$500,A61)</f>
        <v/>
      </c>
      <c r="G61" s="11">
        <f>E61-F61</f>
        <v/>
      </c>
      <c r="H61" s="11">
        <f>SUMIFS(Downtime!$G$2:$G$500,Downtime!$A$2:$A$500,A61)</f>
        <v/>
      </c>
      <c r="I61" s="11">
        <f>MAX(0,D61-H61)</f>
        <v/>
      </c>
      <c r="J61" s="15">
        <f>IF(A61="","",IF(D61=0,0,MIN(1,I61/D61)))</f>
        <v/>
      </c>
      <c r="K61" s="15">
        <f>IF(A61="","",IF(OR(I61=0,C61=0),0,MIN(1,E61/((I61/60)*C61))))</f>
        <v/>
      </c>
      <c r="L61" s="15">
        <f>IF(A61="","",IF(E61=0,0,MIN(1,MAX(0,G61/E61))))</f>
        <v/>
      </c>
      <c r="M61" s="15">
        <f>IF(A61="","",J61*K61*L61)</f>
        <v/>
      </c>
    </row>
    <row r="62">
      <c r="A62" s="11">
        <f>Machines!A62</f>
        <v/>
      </c>
      <c r="B62" s="11">
        <f>Machines!B62</f>
        <v/>
      </c>
      <c r="C62" s="11">
        <f>IF(A62="","",Machines!D62)</f>
        <v/>
      </c>
      <c r="D62" s="11">
        <f>SUMIFS(WorkOrders!$M$2:$M$500,WorkOrders!$C$2:$C$500,A62)</f>
        <v/>
      </c>
      <c r="E62" s="11">
        <f>SUMIFS(WorkOrders!$E$2:$E$500,WorkOrders!$C$2:$C$500,A62)</f>
        <v/>
      </c>
      <c r="F62" s="11">
        <f>SUMIFS(WorkOrders!$F$2:$F$500,WorkOrders!$C$2:$C$500,A62)</f>
        <v/>
      </c>
      <c r="G62" s="11">
        <f>E62-F62</f>
        <v/>
      </c>
      <c r="H62" s="11">
        <f>SUMIFS(Downtime!$G$2:$G$500,Downtime!$A$2:$A$500,A62)</f>
        <v/>
      </c>
      <c r="I62" s="11">
        <f>MAX(0,D62-H62)</f>
        <v/>
      </c>
      <c r="J62" s="15">
        <f>IF(A62="","",IF(D62=0,0,MIN(1,I62/D62)))</f>
        <v/>
      </c>
      <c r="K62" s="15">
        <f>IF(A62="","",IF(OR(I62=0,C62=0),0,MIN(1,E62/((I62/60)*C62))))</f>
        <v/>
      </c>
      <c r="L62" s="15">
        <f>IF(A62="","",IF(E62=0,0,MIN(1,MAX(0,G62/E62))))</f>
        <v/>
      </c>
      <c r="M62" s="15">
        <f>IF(A62="","",J62*K62*L62)</f>
        <v/>
      </c>
    </row>
    <row r="63">
      <c r="A63" s="11">
        <f>Machines!A63</f>
        <v/>
      </c>
      <c r="B63" s="11">
        <f>Machines!B63</f>
        <v/>
      </c>
      <c r="C63" s="11">
        <f>IF(A63="","",Machines!D63)</f>
        <v/>
      </c>
      <c r="D63" s="11">
        <f>SUMIFS(WorkOrders!$M$2:$M$500,WorkOrders!$C$2:$C$500,A63)</f>
        <v/>
      </c>
      <c r="E63" s="11">
        <f>SUMIFS(WorkOrders!$E$2:$E$500,WorkOrders!$C$2:$C$500,A63)</f>
        <v/>
      </c>
      <c r="F63" s="11">
        <f>SUMIFS(WorkOrders!$F$2:$F$500,WorkOrders!$C$2:$C$500,A63)</f>
        <v/>
      </c>
      <c r="G63" s="11">
        <f>E63-F63</f>
        <v/>
      </c>
      <c r="H63" s="11">
        <f>SUMIFS(Downtime!$G$2:$G$500,Downtime!$A$2:$A$500,A63)</f>
        <v/>
      </c>
      <c r="I63" s="11">
        <f>MAX(0,D63-H63)</f>
        <v/>
      </c>
      <c r="J63" s="15">
        <f>IF(A63="","",IF(D63=0,0,MIN(1,I63/D63)))</f>
        <v/>
      </c>
      <c r="K63" s="15">
        <f>IF(A63="","",IF(OR(I63=0,C63=0),0,MIN(1,E63/((I63/60)*C63))))</f>
        <v/>
      </c>
      <c r="L63" s="15">
        <f>IF(A63="","",IF(E63=0,0,MIN(1,MAX(0,G63/E63))))</f>
        <v/>
      </c>
      <c r="M63" s="15">
        <f>IF(A63="","",J63*K63*L63)</f>
        <v/>
      </c>
    </row>
    <row r="64">
      <c r="A64" s="11">
        <f>Machines!A64</f>
        <v/>
      </c>
      <c r="B64" s="11">
        <f>Machines!B64</f>
        <v/>
      </c>
      <c r="C64" s="11">
        <f>IF(A64="","",Machines!D64)</f>
        <v/>
      </c>
      <c r="D64" s="11">
        <f>SUMIFS(WorkOrders!$M$2:$M$500,WorkOrders!$C$2:$C$500,A64)</f>
        <v/>
      </c>
      <c r="E64" s="11">
        <f>SUMIFS(WorkOrders!$E$2:$E$500,WorkOrders!$C$2:$C$500,A64)</f>
        <v/>
      </c>
      <c r="F64" s="11">
        <f>SUMIFS(WorkOrders!$F$2:$F$500,WorkOrders!$C$2:$C$500,A64)</f>
        <v/>
      </c>
      <c r="G64" s="11">
        <f>E64-F64</f>
        <v/>
      </c>
      <c r="H64" s="11">
        <f>SUMIFS(Downtime!$G$2:$G$500,Downtime!$A$2:$A$500,A64)</f>
        <v/>
      </c>
      <c r="I64" s="11">
        <f>MAX(0,D64-H64)</f>
        <v/>
      </c>
      <c r="J64" s="15">
        <f>IF(A64="","",IF(D64=0,0,MIN(1,I64/D64)))</f>
        <v/>
      </c>
      <c r="K64" s="15">
        <f>IF(A64="","",IF(OR(I64=0,C64=0),0,MIN(1,E64/((I64/60)*C64))))</f>
        <v/>
      </c>
      <c r="L64" s="15">
        <f>IF(A64="","",IF(E64=0,0,MIN(1,MAX(0,G64/E64))))</f>
        <v/>
      </c>
      <c r="M64" s="15">
        <f>IF(A64="","",J64*K64*L64)</f>
        <v/>
      </c>
    </row>
    <row r="65">
      <c r="A65" s="11">
        <f>Machines!A65</f>
        <v/>
      </c>
      <c r="B65" s="11">
        <f>Machines!B65</f>
        <v/>
      </c>
      <c r="C65" s="11">
        <f>IF(A65="","",Machines!D65)</f>
        <v/>
      </c>
      <c r="D65" s="11">
        <f>SUMIFS(WorkOrders!$M$2:$M$500,WorkOrders!$C$2:$C$500,A65)</f>
        <v/>
      </c>
      <c r="E65" s="11">
        <f>SUMIFS(WorkOrders!$E$2:$E$500,WorkOrders!$C$2:$C$500,A65)</f>
        <v/>
      </c>
      <c r="F65" s="11">
        <f>SUMIFS(WorkOrders!$F$2:$F$500,WorkOrders!$C$2:$C$500,A65)</f>
        <v/>
      </c>
      <c r="G65" s="11">
        <f>E65-F65</f>
        <v/>
      </c>
      <c r="H65" s="11">
        <f>SUMIFS(Downtime!$G$2:$G$500,Downtime!$A$2:$A$500,A65)</f>
        <v/>
      </c>
      <c r="I65" s="11">
        <f>MAX(0,D65-H65)</f>
        <v/>
      </c>
      <c r="J65" s="15">
        <f>IF(A65="","",IF(D65=0,0,MIN(1,I65/D65)))</f>
        <v/>
      </c>
      <c r="K65" s="15">
        <f>IF(A65="","",IF(OR(I65=0,C65=0),0,MIN(1,E65/((I65/60)*C65))))</f>
        <v/>
      </c>
      <c r="L65" s="15">
        <f>IF(A65="","",IF(E65=0,0,MIN(1,MAX(0,G65/E65))))</f>
        <v/>
      </c>
      <c r="M65" s="15">
        <f>IF(A65="","",J65*K65*L65)</f>
        <v/>
      </c>
    </row>
    <row r="66">
      <c r="A66" s="11">
        <f>Machines!A66</f>
        <v/>
      </c>
      <c r="B66" s="11">
        <f>Machines!B66</f>
        <v/>
      </c>
      <c r="C66" s="11">
        <f>IF(A66="","",Machines!D66)</f>
        <v/>
      </c>
      <c r="D66" s="11">
        <f>SUMIFS(WorkOrders!$M$2:$M$500,WorkOrders!$C$2:$C$500,A66)</f>
        <v/>
      </c>
      <c r="E66" s="11">
        <f>SUMIFS(WorkOrders!$E$2:$E$500,WorkOrders!$C$2:$C$500,A66)</f>
        <v/>
      </c>
      <c r="F66" s="11">
        <f>SUMIFS(WorkOrders!$F$2:$F$500,WorkOrders!$C$2:$C$500,A66)</f>
        <v/>
      </c>
      <c r="G66" s="11">
        <f>E66-F66</f>
        <v/>
      </c>
      <c r="H66" s="11">
        <f>SUMIFS(Downtime!$G$2:$G$500,Downtime!$A$2:$A$500,A66)</f>
        <v/>
      </c>
      <c r="I66" s="11">
        <f>MAX(0,D66-H66)</f>
        <v/>
      </c>
      <c r="J66" s="15">
        <f>IF(A66="","",IF(D66=0,0,MIN(1,I66/D66)))</f>
        <v/>
      </c>
      <c r="K66" s="15">
        <f>IF(A66="","",IF(OR(I66=0,C66=0),0,MIN(1,E66/((I66/60)*C66))))</f>
        <v/>
      </c>
      <c r="L66" s="15">
        <f>IF(A66="","",IF(E66=0,0,MIN(1,MAX(0,G66/E66))))</f>
        <v/>
      </c>
      <c r="M66" s="15">
        <f>IF(A66="","",J66*K66*L66)</f>
        <v/>
      </c>
    </row>
    <row r="67">
      <c r="A67" s="11">
        <f>Machines!A67</f>
        <v/>
      </c>
      <c r="B67" s="11">
        <f>Machines!B67</f>
        <v/>
      </c>
      <c r="C67" s="11">
        <f>IF(A67="","",Machines!D67)</f>
        <v/>
      </c>
      <c r="D67" s="11">
        <f>SUMIFS(WorkOrders!$M$2:$M$500,WorkOrders!$C$2:$C$500,A67)</f>
        <v/>
      </c>
      <c r="E67" s="11">
        <f>SUMIFS(WorkOrders!$E$2:$E$500,WorkOrders!$C$2:$C$500,A67)</f>
        <v/>
      </c>
      <c r="F67" s="11">
        <f>SUMIFS(WorkOrders!$F$2:$F$500,WorkOrders!$C$2:$C$500,A67)</f>
        <v/>
      </c>
      <c r="G67" s="11">
        <f>E67-F67</f>
        <v/>
      </c>
      <c r="H67" s="11">
        <f>SUMIFS(Downtime!$G$2:$G$500,Downtime!$A$2:$A$500,A67)</f>
        <v/>
      </c>
      <c r="I67" s="11">
        <f>MAX(0,D67-H67)</f>
        <v/>
      </c>
      <c r="J67" s="15">
        <f>IF(A67="","",IF(D67=0,0,MIN(1,I67/D67)))</f>
        <v/>
      </c>
      <c r="K67" s="15">
        <f>IF(A67="","",IF(OR(I67=0,C67=0),0,MIN(1,E67/((I67/60)*C67))))</f>
        <v/>
      </c>
      <c r="L67" s="15">
        <f>IF(A67="","",IF(E67=0,0,MIN(1,MAX(0,G67/E67))))</f>
        <v/>
      </c>
      <c r="M67" s="15">
        <f>IF(A67="","",J67*K67*L67)</f>
        <v/>
      </c>
    </row>
    <row r="68">
      <c r="A68" s="11">
        <f>Machines!A68</f>
        <v/>
      </c>
      <c r="B68" s="11">
        <f>Machines!B68</f>
        <v/>
      </c>
      <c r="C68" s="11">
        <f>IF(A68="","",Machines!D68)</f>
        <v/>
      </c>
      <c r="D68" s="11">
        <f>SUMIFS(WorkOrders!$M$2:$M$500,WorkOrders!$C$2:$C$500,A68)</f>
        <v/>
      </c>
      <c r="E68" s="11">
        <f>SUMIFS(WorkOrders!$E$2:$E$500,WorkOrders!$C$2:$C$500,A68)</f>
        <v/>
      </c>
      <c r="F68" s="11">
        <f>SUMIFS(WorkOrders!$F$2:$F$500,WorkOrders!$C$2:$C$500,A68)</f>
        <v/>
      </c>
      <c r="G68" s="11">
        <f>E68-F68</f>
        <v/>
      </c>
      <c r="H68" s="11">
        <f>SUMIFS(Downtime!$G$2:$G$500,Downtime!$A$2:$A$500,A68)</f>
        <v/>
      </c>
      <c r="I68" s="11">
        <f>MAX(0,D68-H68)</f>
        <v/>
      </c>
      <c r="J68" s="15">
        <f>IF(A68="","",IF(D68=0,0,MIN(1,I68/D68)))</f>
        <v/>
      </c>
      <c r="K68" s="15">
        <f>IF(A68="","",IF(OR(I68=0,C68=0),0,MIN(1,E68/((I68/60)*C68))))</f>
        <v/>
      </c>
      <c r="L68" s="15">
        <f>IF(A68="","",IF(E68=0,0,MIN(1,MAX(0,G68/E68))))</f>
        <v/>
      </c>
      <c r="M68" s="15">
        <f>IF(A68="","",J68*K68*L68)</f>
        <v/>
      </c>
    </row>
    <row r="69">
      <c r="A69" s="11">
        <f>Machines!A69</f>
        <v/>
      </c>
      <c r="B69" s="11">
        <f>Machines!B69</f>
        <v/>
      </c>
      <c r="C69" s="11">
        <f>IF(A69="","",Machines!D69)</f>
        <v/>
      </c>
      <c r="D69" s="11">
        <f>SUMIFS(WorkOrders!$M$2:$M$500,WorkOrders!$C$2:$C$500,A69)</f>
        <v/>
      </c>
      <c r="E69" s="11">
        <f>SUMIFS(WorkOrders!$E$2:$E$500,WorkOrders!$C$2:$C$500,A69)</f>
        <v/>
      </c>
      <c r="F69" s="11">
        <f>SUMIFS(WorkOrders!$F$2:$F$500,WorkOrders!$C$2:$C$500,A69)</f>
        <v/>
      </c>
      <c r="G69" s="11">
        <f>E69-F69</f>
        <v/>
      </c>
      <c r="H69" s="11">
        <f>SUMIFS(Downtime!$G$2:$G$500,Downtime!$A$2:$A$500,A69)</f>
        <v/>
      </c>
      <c r="I69" s="11">
        <f>MAX(0,D69-H69)</f>
        <v/>
      </c>
      <c r="J69" s="15">
        <f>IF(A69="","",IF(D69=0,0,MIN(1,I69/D69)))</f>
        <v/>
      </c>
      <c r="K69" s="15">
        <f>IF(A69="","",IF(OR(I69=0,C69=0),0,MIN(1,E69/((I69/60)*C69))))</f>
        <v/>
      </c>
      <c r="L69" s="15">
        <f>IF(A69="","",IF(E69=0,0,MIN(1,MAX(0,G69/E69))))</f>
        <v/>
      </c>
      <c r="M69" s="15">
        <f>IF(A69="","",J69*K69*L69)</f>
        <v/>
      </c>
    </row>
    <row r="70">
      <c r="A70" s="11">
        <f>Machines!A70</f>
        <v/>
      </c>
      <c r="B70" s="11">
        <f>Machines!B70</f>
        <v/>
      </c>
      <c r="C70" s="11">
        <f>IF(A70="","",Machines!D70)</f>
        <v/>
      </c>
      <c r="D70" s="11">
        <f>SUMIFS(WorkOrders!$M$2:$M$500,WorkOrders!$C$2:$C$500,A70)</f>
        <v/>
      </c>
      <c r="E70" s="11">
        <f>SUMIFS(WorkOrders!$E$2:$E$500,WorkOrders!$C$2:$C$500,A70)</f>
        <v/>
      </c>
      <c r="F70" s="11">
        <f>SUMIFS(WorkOrders!$F$2:$F$500,WorkOrders!$C$2:$C$500,A70)</f>
        <v/>
      </c>
      <c r="G70" s="11">
        <f>E70-F70</f>
        <v/>
      </c>
      <c r="H70" s="11">
        <f>SUMIFS(Downtime!$G$2:$G$500,Downtime!$A$2:$A$500,A70)</f>
        <v/>
      </c>
      <c r="I70" s="11">
        <f>MAX(0,D70-H70)</f>
        <v/>
      </c>
      <c r="J70" s="15">
        <f>IF(A70="","",IF(D70=0,0,MIN(1,I70/D70)))</f>
        <v/>
      </c>
      <c r="K70" s="15">
        <f>IF(A70="","",IF(OR(I70=0,C70=0),0,MIN(1,E70/((I70/60)*C70))))</f>
        <v/>
      </c>
      <c r="L70" s="15">
        <f>IF(A70="","",IF(E70=0,0,MIN(1,MAX(0,G70/E70))))</f>
        <v/>
      </c>
      <c r="M70" s="15">
        <f>IF(A70="","",J70*K70*L70)</f>
        <v/>
      </c>
    </row>
    <row r="71">
      <c r="A71" s="11">
        <f>Machines!A71</f>
        <v/>
      </c>
      <c r="B71" s="11">
        <f>Machines!B71</f>
        <v/>
      </c>
      <c r="C71" s="11">
        <f>IF(A71="","",Machines!D71)</f>
        <v/>
      </c>
      <c r="D71" s="11">
        <f>SUMIFS(WorkOrders!$M$2:$M$500,WorkOrders!$C$2:$C$500,A71)</f>
        <v/>
      </c>
      <c r="E71" s="11">
        <f>SUMIFS(WorkOrders!$E$2:$E$500,WorkOrders!$C$2:$C$500,A71)</f>
        <v/>
      </c>
      <c r="F71" s="11">
        <f>SUMIFS(WorkOrders!$F$2:$F$500,WorkOrders!$C$2:$C$500,A71)</f>
        <v/>
      </c>
      <c r="G71" s="11">
        <f>E71-F71</f>
        <v/>
      </c>
      <c r="H71" s="11">
        <f>SUMIFS(Downtime!$G$2:$G$500,Downtime!$A$2:$A$500,A71)</f>
        <v/>
      </c>
      <c r="I71" s="11">
        <f>MAX(0,D71-H71)</f>
        <v/>
      </c>
      <c r="J71" s="15">
        <f>IF(A71="","",IF(D71=0,0,MIN(1,I71/D71)))</f>
        <v/>
      </c>
      <c r="K71" s="15">
        <f>IF(A71="","",IF(OR(I71=0,C71=0),0,MIN(1,E71/((I71/60)*C71))))</f>
        <v/>
      </c>
      <c r="L71" s="15">
        <f>IF(A71="","",IF(E71=0,0,MIN(1,MAX(0,G71/E71))))</f>
        <v/>
      </c>
      <c r="M71" s="15">
        <f>IF(A71="","",J71*K71*L71)</f>
        <v/>
      </c>
    </row>
    <row r="72">
      <c r="A72" s="11">
        <f>Machines!A72</f>
        <v/>
      </c>
      <c r="B72" s="11">
        <f>Machines!B72</f>
        <v/>
      </c>
      <c r="C72" s="11">
        <f>IF(A72="","",Machines!D72)</f>
        <v/>
      </c>
      <c r="D72" s="11">
        <f>SUMIFS(WorkOrders!$M$2:$M$500,WorkOrders!$C$2:$C$500,A72)</f>
        <v/>
      </c>
      <c r="E72" s="11">
        <f>SUMIFS(WorkOrders!$E$2:$E$500,WorkOrders!$C$2:$C$500,A72)</f>
        <v/>
      </c>
      <c r="F72" s="11">
        <f>SUMIFS(WorkOrders!$F$2:$F$500,WorkOrders!$C$2:$C$500,A72)</f>
        <v/>
      </c>
      <c r="G72" s="11">
        <f>E72-F72</f>
        <v/>
      </c>
      <c r="H72" s="11">
        <f>SUMIFS(Downtime!$G$2:$G$500,Downtime!$A$2:$A$500,A72)</f>
        <v/>
      </c>
      <c r="I72" s="11">
        <f>MAX(0,D72-H72)</f>
        <v/>
      </c>
      <c r="J72" s="15">
        <f>IF(A72="","",IF(D72=0,0,MIN(1,I72/D72)))</f>
        <v/>
      </c>
      <c r="K72" s="15">
        <f>IF(A72="","",IF(OR(I72=0,C72=0),0,MIN(1,E72/((I72/60)*C72))))</f>
        <v/>
      </c>
      <c r="L72" s="15">
        <f>IF(A72="","",IF(E72=0,0,MIN(1,MAX(0,G72/E72))))</f>
        <v/>
      </c>
      <c r="M72" s="15">
        <f>IF(A72="","",J72*K72*L72)</f>
        <v/>
      </c>
    </row>
    <row r="73">
      <c r="A73" s="11">
        <f>Machines!A73</f>
        <v/>
      </c>
      <c r="B73" s="11">
        <f>Machines!B73</f>
        <v/>
      </c>
      <c r="C73" s="11">
        <f>IF(A73="","",Machines!D73)</f>
        <v/>
      </c>
      <c r="D73" s="11">
        <f>SUMIFS(WorkOrders!$M$2:$M$500,WorkOrders!$C$2:$C$500,A73)</f>
        <v/>
      </c>
      <c r="E73" s="11">
        <f>SUMIFS(WorkOrders!$E$2:$E$500,WorkOrders!$C$2:$C$500,A73)</f>
        <v/>
      </c>
      <c r="F73" s="11">
        <f>SUMIFS(WorkOrders!$F$2:$F$500,WorkOrders!$C$2:$C$500,A73)</f>
        <v/>
      </c>
      <c r="G73" s="11">
        <f>E73-F73</f>
        <v/>
      </c>
      <c r="H73" s="11">
        <f>SUMIFS(Downtime!$G$2:$G$500,Downtime!$A$2:$A$500,A73)</f>
        <v/>
      </c>
      <c r="I73" s="11">
        <f>MAX(0,D73-H73)</f>
        <v/>
      </c>
      <c r="J73" s="15">
        <f>IF(A73="","",IF(D73=0,0,MIN(1,I73/D73)))</f>
        <v/>
      </c>
      <c r="K73" s="15">
        <f>IF(A73="","",IF(OR(I73=0,C73=0),0,MIN(1,E73/((I73/60)*C73))))</f>
        <v/>
      </c>
      <c r="L73" s="15">
        <f>IF(A73="","",IF(E73=0,0,MIN(1,MAX(0,G73/E73))))</f>
        <v/>
      </c>
      <c r="M73" s="15">
        <f>IF(A73="","",J73*K73*L73)</f>
        <v/>
      </c>
    </row>
    <row r="74">
      <c r="A74" s="11">
        <f>Machines!A74</f>
        <v/>
      </c>
      <c r="B74" s="11">
        <f>Machines!B74</f>
        <v/>
      </c>
      <c r="C74" s="11">
        <f>IF(A74="","",Machines!D74)</f>
        <v/>
      </c>
      <c r="D74" s="11">
        <f>SUMIFS(WorkOrders!$M$2:$M$500,WorkOrders!$C$2:$C$500,A74)</f>
        <v/>
      </c>
      <c r="E74" s="11">
        <f>SUMIFS(WorkOrders!$E$2:$E$500,WorkOrders!$C$2:$C$500,A74)</f>
        <v/>
      </c>
      <c r="F74" s="11">
        <f>SUMIFS(WorkOrders!$F$2:$F$500,WorkOrders!$C$2:$C$500,A74)</f>
        <v/>
      </c>
      <c r="G74" s="11">
        <f>E74-F74</f>
        <v/>
      </c>
      <c r="H74" s="11">
        <f>SUMIFS(Downtime!$G$2:$G$500,Downtime!$A$2:$A$500,A74)</f>
        <v/>
      </c>
      <c r="I74" s="11">
        <f>MAX(0,D74-H74)</f>
        <v/>
      </c>
      <c r="J74" s="15">
        <f>IF(A74="","",IF(D74=0,0,MIN(1,I74/D74)))</f>
        <v/>
      </c>
      <c r="K74" s="15">
        <f>IF(A74="","",IF(OR(I74=0,C74=0),0,MIN(1,E74/((I74/60)*C74))))</f>
        <v/>
      </c>
      <c r="L74" s="15">
        <f>IF(A74="","",IF(E74=0,0,MIN(1,MAX(0,G74/E74))))</f>
        <v/>
      </c>
      <c r="M74" s="15">
        <f>IF(A74="","",J74*K74*L74)</f>
        <v/>
      </c>
    </row>
    <row r="75">
      <c r="A75" s="11">
        <f>Machines!A75</f>
        <v/>
      </c>
      <c r="B75" s="11">
        <f>Machines!B75</f>
        <v/>
      </c>
      <c r="C75" s="11">
        <f>IF(A75="","",Machines!D75)</f>
        <v/>
      </c>
      <c r="D75" s="11">
        <f>SUMIFS(WorkOrders!$M$2:$M$500,WorkOrders!$C$2:$C$500,A75)</f>
        <v/>
      </c>
      <c r="E75" s="11">
        <f>SUMIFS(WorkOrders!$E$2:$E$500,WorkOrders!$C$2:$C$500,A75)</f>
        <v/>
      </c>
      <c r="F75" s="11">
        <f>SUMIFS(WorkOrders!$F$2:$F$500,WorkOrders!$C$2:$C$500,A75)</f>
        <v/>
      </c>
      <c r="G75" s="11">
        <f>E75-F75</f>
        <v/>
      </c>
      <c r="H75" s="11">
        <f>SUMIFS(Downtime!$G$2:$G$500,Downtime!$A$2:$A$500,A75)</f>
        <v/>
      </c>
      <c r="I75" s="11">
        <f>MAX(0,D75-H75)</f>
        <v/>
      </c>
      <c r="J75" s="15">
        <f>IF(A75="","",IF(D75=0,0,MIN(1,I75/D75)))</f>
        <v/>
      </c>
      <c r="K75" s="15">
        <f>IF(A75="","",IF(OR(I75=0,C75=0),0,MIN(1,E75/((I75/60)*C75))))</f>
        <v/>
      </c>
      <c r="L75" s="15">
        <f>IF(A75="","",IF(E75=0,0,MIN(1,MAX(0,G75/E75))))</f>
        <v/>
      </c>
      <c r="M75" s="15">
        <f>IF(A75="","",J75*K75*L75)</f>
        <v/>
      </c>
    </row>
    <row r="76">
      <c r="A76" s="11">
        <f>Machines!A76</f>
        <v/>
      </c>
      <c r="B76" s="11">
        <f>Machines!B76</f>
        <v/>
      </c>
      <c r="C76" s="11">
        <f>IF(A76="","",Machines!D76)</f>
        <v/>
      </c>
      <c r="D76" s="11">
        <f>SUMIFS(WorkOrders!$M$2:$M$500,WorkOrders!$C$2:$C$500,A76)</f>
        <v/>
      </c>
      <c r="E76" s="11">
        <f>SUMIFS(WorkOrders!$E$2:$E$500,WorkOrders!$C$2:$C$500,A76)</f>
        <v/>
      </c>
      <c r="F76" s="11">
        <f>SUMIFS(WorkOrders!$F$2:$F$500,WorkOrders!$C$2:$C$500,A76)</f>
        <v/>
      </c>
      <c r="G76" s="11">
        <f>E76-F76</f>
        <v/>
      </c>
      <c r="H76" s="11">
        <f>SUMIFS(Downtime!$G$2:$G$500,Downtime!$A$2:$A$500,A76)</f>
        <v/>
      </c>
      <c r="I76" s="11">
        <f>MAX(0,D76-H76)</f>
        <v/>
      </c>
      <c r="J76" s="15">
        <f>IF(A76="","",IF(D76=0,0,MIN(1,I76/D76)))</f>
        <v/>
      </c>
      <c r="K76" s="15">
        <f>IF(A76="","",IF(OR(I76=0,C76=0),0,MIN(1,E76/((I76/60)*C76))))</f>
        <v/>
      </c>
      <c r="L76" s="15">
        <f>IF(A76="","",IF(E76=0,0,MIN(1,MAX(0,G76/E76))))</f>
        <v/>
      </c>
      <c r="M76" s="15">
        <f>IF(A76="","",J76*K76*L76)</f>
        <v/>
      </c>
    </row>
    <row r="77">
      <c r="A77" s="11">
        <f>Machines!A77</f>
        <v/>
      </c>
      <c r="B77" s="11">
        <f>Machines!B77</f>
        <v/>
      </c>
      <c r="C77" s="11">
        <f>IF(A77="","",Machines!D77)</f>
        <v/>
      </c>
      <c r="D77" s="11">
        <f>SUMIFS(WorkOrders!$M$2:$M$500,WorkOrders!$C$2:$C$500,A77)</f>
        <v/>
      </c>
      <c r="E77" s="11">
        <f>SUMIFS(WorkOrders!$E$2:$E$500,WorkOrders!$C$2:$C$500,A77)</f>
        <v/>
      </c>
      <c r="F77" s="11">
        <f>SUMIFS(WorkOrders!$F$2:$F$500,WorkOrders!$C$2:$C$500,A77)</f>
        <v/>
      </c>
      <c r="G77" s="11">
        <f>E77-F77</f>
        <v/>
      </c>
      <c r="H77" s="11">
        <f>SUMIFS(Downtime!$G$2:$G$500,Downtime!$A$2:$A$500,A77)</f>
        <v/>
      </c>
      <c r="I77" s="11">
        <f>MAX(0,D77-H77)</f>
        <v/>
      </c>
      <c r="J77" s="15">
        <f>IF(A77="","",IF(D77=0,0,MIN(1,I77/D77)))</f>
        <v/>
      </c>
      <c r="K77" s="15">
        <f>IF(A77="","",IF(OR(I77=0,C77=0),0,MIN(1,E77/((I77/60)*C77))))</f>
        <v/>
      </c>
      <c r="L77" s="15">
        <f>IF(A77="","",IF(E77=0,0,MIN(1,MAX(0,G77/E77))))</f>
        <v/>
      </c>
      <c r="M77" s="15">
        <f>IF(A77="","",J77*K77*L77)</f>
        <v/>
      </c>
    </row>
    <row r="78">
      <c r="A78" s="11">
        <f>Machines!A78</f>
        <v/>
      </c>
      <c r="B78" s="11">
        <f>Machines!B78</f>
        <v/>
      </c>
      <c r="C78" s="11">
        <f>IF(A78="","",Machines!D78)</f>
        <v/>
      </c>
      <c r="D78" s="11">
        <f>SUMIFS(WorkOrders!$M$2:$M$500,WorkOrders!$C$2:$C$500,A78)</f>
        <v/>
      </c>
      <c r="E78" s="11">
        <f>SUMIFS(WorkOrders!$E$2:$E$500,WorkOrders!$C$2:$C$500,A78)</f>
        <v/>
      </c>
      <c r="F78" s="11">
        <f>SUMIFS(WorkOrders!$F$2:$F$500,WorkOrders!$C$2:$C$500,A78)</f>
        <v/>
      </c>
      <c r="G78" s="11">
        <f>E78-F78</f>
        <v/>
      </c>
      <c r="H78" s="11">
        <f>SUMIFS(Downtime!$G$2:$G$500,Downtime!$A$2:$A$500,A78)</f>
        <v/>
      </c>
      <c r="I78" s="11">
        <f>MAX(0,D78-H78)</f>
        <v/>
      </c>
      <c r="J78" s="15">
        <f>IF(A78="","",IF(D78=0,0,MIN(1,I78/D78)))</f>
        <v/>
      </c>
      <c r="K78" s="15">
        <f>IF(A78="","",IF(OR(I78=0,C78=0),0,MIN(1,E78/((I78/60)*C78))))</f>
        <v/>
      </c>
      <c r="L78" s="15">
        <f>IF(A78="","",IF(E78=0,0,MIN(1,MAX(0,G78/E78))))</f>
        <v/>
      </c>
      <c r="M78" s="15">
        <f>IF(A78="","",J78*K78*L78)</f>
        <v/>
      </c>
    </row>
    <row r="79">
      <c r="A79" s="11">
        <f>Machines!A79</f>
        <v/>
      </c>
      <c r="B79" s="11">
        <f>Machines!B79</f>
        <v/>
      </c>
      <c r="C79" s="11">
        <f>IF(A79="","",Machines!D79)</f>
        <v/>
      </c>
      <c r="D79" s="11">
        <f>SUMIFS(WorkOrders!$M$2:$M$500,WorkOrders!$C$2:$C$500,A79)</f>
        <v/>
      </c>
      <c r="E79" s="11">
        <f>SUMIFS(WorkOrders!$E$2:$E$500,WorkOrders!$C$2:$C$500,A79)</f>
        <v/>
      </c>
      <c r="F79" s="11">
        <f>SUMIFS(WorkOrders!$F$2:$F$500,WorkOrders!$C$2:$C$500,A79)</f>
        <v/>
      </c>
      <c r="G79" s="11">
        <f>E79-F79</f>
        <v/>
      </c>
      <c r="H79" s="11">
        <f>SUMIFS(Downtime!$G$2:$G$500,Downtime!$A$2:$A$500,A79)</f>
        <v/>
      </c>
      <c r="I79" s="11">
        <f>MAX(0,D79-H79)</f>
        <v/>
      </c>
      <c r="J79" s="15">
        <f>IF(A79="","",IF(D79=0,0,MIN(1,I79/D79)))</f>
        <v/>
      </c>
      <c r="K79" s="15">
        <f>IF(A79="","",IF(OR(I79=0,C79=0),0,MIN(1,E79/((I79/60)*C79))))</f>
        <v/>
      </c>
      <c r="L79" s="15">
        <f>IF(A79="","",IF(E79=0,0,MIN(1,MAX(0,G79/E79))))</f>
        <v/>
      </c>
      <c r="M79" s="15">
        <f>IF(A79="","",J79*K79*L79)</f>
        <v/>
      </c>
    </row>
    <row r="80">
      <c r="A80" s="11">
        <f>Machines!A80</f>
        <v/>
      </c>
      <c r="B80" s="11">
        <f>Machines!B80</f>
        <v/>
      </c>
      <c r="C80" s="11">
        <f>IF(A80="","",Machines!D80)</f>
        <v/>
      </c>
      <c r="D80" s="11">
        <f>SUMIFS(WorkOrders!$M$2:$M$500,WorkOrders!$C$2:$C$500,A80)</f>
        <v/>
      </c>
      <c r="E80" s="11">
        <f>SUMIFS(WorkOrders!$E$2:$E$500,WorkOrders!$C$2:$C$500,A80)</f>
        <v/>
      </c>
      <c r="F80" s="11">
        <f>SUMIFS(WorkOrders!$F$2:$F$500,WorkOrders!$C$2:$C$500,A80)</f>
        <v/>
      </c>
      <c r="G80" s="11">
        <f>E80-F80</f>
        <v/>
      </c>
      <c r="H80" s="11">
        <f>SUMIFS(Downtime!$G$2:$G$500,Downtime!$A$2:$A$500,A80)</f>
        <v/>
      </c>
      <c r="I80" s="11">
        <f>MAX(0,D80-H80)</f>
        <v/>
      </c>
      <c r="J80" s="15">
        <f>IF(A80="","",IF(D80=0,0,MIN(1,I80/D80)))</f>
        <v/>
      </c>
      <c r="K80" s="15">
        <f>IF(A80="","",IF(OR(I80=0,C80=0),0,MIN(1,E80/((I80/60)*C80))))</f>
        <v/>
      </c>
      <c r="L80" s="15">
        <f>IF(A80="","",IF(E80=0,0,MIN(1,MAX(0,G80/E80))))</f>
        <v/>
      </c>
      <c r="M80" s="15">
        <f>IF(A80="","",J80*K80*L80)</f>
        <v/>
      </c>
    </row>
    <row r="81">
      <c r="A81" s="11">
        <f>Machines!A81</f>
        <v/>
      </c>
      <c r="B81" s="11">
        <f>Machines!B81</f>
        <v/>
      </c>
      <c r="C81" s="11">
        <f>IF(A81="","",Machines!D81)</f>
        <v/>
      </c>
      <c r="D81" s="11">
        <f>SUMIFS(WorkOrders!$M$2:$M$500,WorkOrders!$C$2:$C$500,A81)</f>
        <v/>
      </c>
      <c r="E81" s="11">
        <f>SUMIFS(WorkOrders!$E$2:$E$500,WorkOrders!$C$2:$C$500,A81)</f>
        <v/>
      </c>
      <c r="F81" s="11">
        <f>SUMIFS(WorkOrders!$F$2:$F$500,WorkOrders!$C$2:$C$500,A81)</f>
        <v/>
      </c>
      <c r="G81" s="11">
        <f>E81-F81</f>
        <v/>
      </c>
      <c r="H81" s="11">
        <f>SUMIFS(Downtime!$G$2:$G$500,Downtime!$A$2:$A$500,A81)</f>
        <v/>
      </c>
      <c r="I81" s="11">
        <f>MAX(0,D81-H81)</f>
        <v/>
      </c>
      <c r="J81" s="15">
        <f>IF(A81="","",IF(D81=0,0,MIN(1,I81/D81)))</f>
        <v/>
      </c>
      <c r="K81" s="15">
        <f>IF(A81="","",IF(OR(I81=0,C81=0),0,MIN(1,E81/((I81/60)*C81))))</f>
        <v/>
      </c>
      <c r="L81" s="15">
        <f>IF(A81="","",IF(E81=0,0,MIN(1,MAX(0,G81/E81))))</f>
        <v/>
      </c>
      <c r="M81" s="15">
        <f>IF(A81="","",J81*K81*L81)</f>
        <v/>
      </c>
    </row>
    <row r="82">
      <c r="A82" s="11">
        <f>Machines!A82</f>
        <v/>
      </c>
      <c r="B82" s="11">
        <f>Machines!B82</f>
        <v/>
      </c>
      <c r="C82" s="11">
        <f>IF(A82="","",Machines!D82)</f>
        <v/>
      </c>
      <c r="D82" s="11">
        <f>SUMIFS(WorkOrders!$M$2:$M$500,WorkOrders!$C$2:$C$500,A82)</f>
        <v/>
      </c>
      <c r="E82" s="11">
        <f>SUMIFS(WorkOrders!$E$2:$E$500,WorkOrders!$C$2:$C$500,A82)</f>
        <v/>
      </c>
      <c r="F82" s="11">
        <f>SUMIFS(WorkOrders!$F$2:$F$500,WorkOrders!$C$2:$C$500,A82)</f>
        <v/>
      </c>
      <c r="G82" s="11">
        <f>E82-F82</f>
        <v/>
      </c>
      <c r="H82" s="11">
        <f>SUMIFS(Downtime!$G$2:$G$500,Downtime!$A$2:$A$500,A82)</f>
        <v/>
      </c>
      <c r="I82" s="11">
        <f>MAX(0,D82-H82)</f>
        <v/>
      </c>
      <c r="J82" s="15">
        <f>IF(A82="","",IF(D82=0,0,MIN(1,I82/D82)))</f>
        <v/>
      </c>
      <c r="K82" s="15">
        <f>IF(A82="","",IF(OR(I82=0,C82=0),0,MIN(1,E82/((I82/60)*C82))))</f>
        <v/>
      </c>
      <c r="L82" s="15">
        <f>IF(A82="","",IF(E82=0,0,MIN(1,MAX(0,G82/E82))))</f>
        <v/>
      </c>
      <c r="M82" s="15">
        <f>IF(A82="","",J82*K82*L82)</f>
        <v/>
      </c>
    </row>
    <row r="83">
      <c r="A83" s="11">
        <f>Machines!A83</f>
        <v/>
      </c>
      <c r="B83" s="11">
        <f>Machines!B83</f>
        <v/>
      </c>
      <c r="C83" s="11">
        <f>IF(A83="","",Machines!D83)</f>
        <v/>
      </c>
      <c r="D83" s="11">
        <f>SUMIFS(WorkOrders!$M$2:$M$500,WorkOrders!$C$2:$C$500,A83)</f>
        <v/>
      </c>
      <c r="E83" s="11">
        <f>SUMIFS(WorkOrders!$E$2:$E$500,WorkOrders!$C$2:$C$500,A83)</f>
        <v/>
      </c>
      <c r="F83" s="11">
        <f>SUMIFS(WorkOrders!$F$2:$F$500,WorkOrders!$C$2:$C$500,A83)</f>
        <v/>
      </c>
      <c r="G83" s="11">
        <f>E83-F83</f>
        <v/>
      </c>
      <c r="H83" s="11">
        <f>SUMIFS(Downtime!$G$2:$G$500,Downtime!$A$2:$A$500,A83)</f>
        <v/>
      </c>
      <c r="I83" s="11">
        <f>MAX(0,D83-H83)</f>
        <v/>
      </c>
      <c r="J83" s="15">
        <f>IF(A83="","",IF(D83=0,0,MIN(1,I83/D83)))</f>
        <v/>
      </c>
      <c r="K83" s="15">
        <f>IF(A83="","",IF(OR(I83=0,C83=0),0,MIN(1,E83/((I83/60)*C83))))</f>
        <v/>
      </c>
      <c r="L83" s="15">
        <f>IF(A83="","",IF(E83=0,0,MIN(1,MAX(0,G83/E83))))</f>
        <v/>
      </c>
      <c r="M83" s="15">
        <f>IF(A83="","",J83*K83*L83)</f>
        <v/>
      </c>
    </row>
    <row r="84">
      <c r="A84" s="11">
        <f>Machines!A84</f>
        <v/>
      </c>
      <c r="B84" s="11">
        <f>Machines!B84</f>
        <v/>
      </c>
      <c r="C84" s="11">
        <f>IF(A84="","",Machines!D84)</f>
        <v/>
      </c>
      <c r="D84" s="11">
        <f>SUMIFS(WorkOrders!$M$2:$M$500,WorkOrders!$C$2:$C$500,A84)</f>
        <v/>
      </c>
      <c r="E84" s="11">
        <f>SUMIFS(WorkOrders!$E$2:$E$500,WorkOrders!$C$2:$C$500,A84)</f>
        <v/>
      </c>
      <c r="F84" s="11">
        <f>SUMIFS(WorkOrders!$F$2:$F$500,WorkOrders!$C$2:$C$500,A84)</f>
        <v/>
      </c>
      <c r="G84" s="11">
        <f>E84-F84</f>
        <v/>
      </c>
      <c r="H84" s="11">
        <f>SUMIFS(Downtime!$G$2:$G$500,Downtime!$A$2:$A$500,A84)</f>
        <v/>
      </c>
      <c r="I84" s="11">
        <f>MAX(0,D84-H84)</f>
        <v/>
      </c>
      <c r="J84" s="15">
        <f>IF(A84="","",IF(D84=0,0,MIN(1,I84/D84)))</f>
        <v/>
      </c>
      <c r="K84" s="15">
        <f>IF(A84="","",IF(OR(I84=0,C84=0),0,MIN(1,E84/((I84/60)*C84))))</f>
        <v/>
      </c>
      <c r="L84" s="15">
        <f>IF(A84="","",IF(E84=0,0,MIN(1,MAX(0,G84/E84))))</f>
        <v/>
      </c>
      <c r="M84" s="15">
        <f>IF(A84="","",J84*K84*L84)</f>
        <v/>
      </c>
    </row>
    <row r="85">
      <c r="A85" s="11">
        <f>Machines!A85</f>
        <v/>
      </c>
      <c r="B85" s="11">
        <f>Machines!B85</f>
        <v/>
      </c>
      <c r="C85" s="11">
        <f>IF(A85="","",Machines!D85)</f>
        <v/>
      </c>
      <c r="D85" s="11">
        <f>SUMIFS(WorkOrders!$M$2:$M$500,WorkOrders!$C$2:$C$500,A85)</f>
        <v/>
      </c>
      <c r="E85" s="11">
        <f>SUMIFS(WorkOrders!$E$2:$E$500,WorkOrders!$C$2:$C$500,A85)</f>
        <v/>
      </c>
      <c r="F85" s="11">
        <f>SUMIFS(WorkOrders!$F$2:$F$500,WorkOrders!$C$2:$C$500,A85)</f>
        <v/>
      </c>
      <c r="G85" s="11">
        <f>E85-F85</f>
        <v/>
      </c>
      <c r="H85" s="11">
        <f>SUMIFS(Downtime!$G$2:$G$500,Downtime!$A$2:$A$500,A85)</f>
        <v/>
      </c>
      <c r="I85" s="11">
        <f>MAX(0,D85-H85)</f>
        <v/>
      </c>
      <c r="J85" s="15">
        <f>IF(A85="","",IF(D85=0,0,MIN(1,I85/D85)))</f>
        <v/>
      </c>
      <c r="K85" s="15">
        <f>IF(A85="","",IF(OR(I85=0,C85=0),0,MIN(1,E85/((I85/60)*C85))))</f>
        <v/>
      </c>
      <c r="L85" s="15">
        <f>IF(A85="","",IF(E85=0,0,MIN(1,MAX(0,G85/E85))))</f>
        <v/>
      </c>
      <c r="M85" s="15">
        <f>IF(A85="","",J85*K85*L85)</f>
        <v/>
      </c>
    </row>
    <row r="86">
      <c r="A86" s="11">
        <f>Machines!A86</f>
        <v/>
      </c>
      <c r="B86" s="11">
        <f>Machines!B86</f>
        <v/>
      </c>
      <c r="C86" s="11">
        <f>IF(A86="","",Machines!D86)</f>
        <v/>
      </c>
      <c r="D86" s="11">
        <f>SUMIFS(WorkOrders!$M$2:$M$500,WorkOrders!$C$2:$C$500,A86)</f>
        <v/>
      </c>
      <c r="E86" s="11">
        <f>SUMIFS(WorkOrders!$E$2:$E$500,WorkOrders!$C$2:$C$500,A86)</f>
        <v/>
      </c>
      <c r="F86" s="11">
        <f>SUMIFS(WorkOrders!$F$2:$F$500,WorkOrders!$C$2:$C$500,A86)</f>
        <v/>
      </c>
      <c r="G86" s="11">
        <f>E86-F86</f>
        <v/>
      </c>
      <c r="H86" s="11">
        <f>SUMIFS(Downtime!$G$2:$G$500,Downtime!$A$2:$A$500,A86)</f>
        <v/>
      </c>
      <c r="I86" s="11">
        <f>MAX(0,D86-H86)</f>
        <v/>
      </c>
      <c r="J86" s="15">
        <f>IF(A86="","",IF(D86=0,0,MIN(1,I86/D86)))</f>
        <v/>
      </c>
      <c r="K86" s="15">
        <f>IF(A86="","",IF(OR(I86=0,C86=0),0,MIN(1,E86/((I86/60)*C86))))</f>
        <v/>
      </c>
      <c r="L86" s="15">
        <f>IF(A86="","",IF(E86=0,0,MIN(1,MAX(0,G86/E86))))</f>
        <v/>
      </c>
      <c r="M86" s="15">
        <f>IF(A86="","",J86*K86*L86)</f>
        <v/>
      </c>
    </row>
    <row r="87">
      <c r="A87" s="11">
        <f>Machines!A87</f>
        <v/>
      </c>
      <c r="B87" s="11">
        <f>Machines!B87</f>
        <v/>
      </c>
      <c r="C87" s="11">
        <f>IF(A87="","",Machines!D87)</f>
        <v/>
      </c>
      <c r="D87" s="11">
        <f>SUMIFS(WorkOrders!$M$2:$M$500,WorkOrders!$C$2:$C$500,A87)</f>
        <v/>
      </c>
      <c r="E87" s="11">
        <f>SUMIFS(WorkOrders!$E$2:$E$500,WorkOrders!$C$2:$C$500,A87)</f>
        <v/>
      </c>
      <c r="F87" s="11">
        <f>SUMIFS(WorkOrders!$F$2:$F$500,WorkOrders!$C$2:$C$500,A87)</f>
        <v/>
      </c>
      <c r="G87" s="11">
        <f>E87-F87</f>
        <v/>
      </c>
      <c r="H87" s="11">
        <f>SUMIFS(Downtime!$G$2:$G$500,Downtime!$A$2:$A$500,A87)</f>
        <v/>
      </c>
      <c r="I87" s="11">
        <f>MAX(0,D87-H87)</f>
        <v/>
      </c>
      <c r="J87" s="15">
        <f>IF(A87="","",IF(D87=0,0,MIN(1,I87/D87)))</f>
        <v/>
      </c>
      <c r="K87" s="15">
        <f>IF(A87="","",IF(OR(I87=0,C87=0),0,MIN(1,E87/((I87/60)*C87))))</f>
        <v/>
      </c>
      <c r="L87" s="15">
        <f>IF(A87="","",IF(E87=0,0,MIN(1,MAX(0,G87/E87))))</f>
        <v/>
      </c>
      <c r="M87" s="15">
        <f>IF(A87="","",J87*K87*L87)</f>
        <v/>
      </c>
    </row>
    <row r="88">
      <c r="A88" s="11">
        <f>Machines!A88</f>
        <v/>
      </c>
      <c r="B88" s="11">
        <f>Machines!B88</f>
        <v/>
      </c>
      <c r="C88" s="11">
        <f>IF(A88="","",Machines!D88)</f>
        <v/>
      </c>
      <c r="D88" s="11">
        <f>SUMIFS(WorkOrders!$M$2:$M$500,WorkOrders!$C$2:$C$500,A88)</f>
        <v/>
      </c>
      <c r="E88" s="11">
        <f>SUMIFS(WorkOrders!$E$2:$E$500,WorkOrders!$C$2:$C$500,A88)</f>
        <v/>
      </c>
      <c r="F88" s="11">
        <f>SUMIFS(WorkOrders!$F$2:$F$500,WorkOrders!$C$2:$C$500,A88)</f>
        <v/>
      </c>
      <c r="G88" s="11">
        <f>E88-F88</f>
        <v/>
      </c>
      <c r="H88" s="11">
        <f>SUMIFS(Downtime!$G$2:$G$500,Downtime!$A$2:$A$500,A88)</f>
        <v/>
      </c>
      <c r="I88" s="11">
        <f>MAX(0,D88-H88)</f>
        <v/>
      </c>
      <c r="J88" s="15">
        <f>IF(A88="","",IF(D88=0,0,MIN(1,I88/D88)))</f>
        <v/>
      </c>
      <c r="K88" s="15">
        <f>IF(A88="","",IF(OR(I88=0,C88=0),0,MIN(1,E88/((I88/60)*C88))))</f>
        <v/>
      </c>
      <c r="L88" s="15">
        <f>IF(A88="","",IF(E88=0,0,MIN(1,MAX(0,G88/E88))))</f>
        <v/>
      </c>
      <c r="M88" s="15">
        <f>IF(A88="","",J88*K88*L88)</f>
        <v/>
      </c>
    </row>
    <row r="89">
      <c r="A89" s="11">
        <f>Machines!A89</f>
        <v/>
      </c>
      <c r="B89" s="11">
        <f>Machines!B89</f>
        <v/>
      </c>
      <c r="C89" s="11">
        <f>IF(A89="","",Machines!D89)</f>
        <v/>
      </c>
      <c r="D89" s="11">
        <f>SUMIFS(WorkOrders!$M$2:$M$500,WorkOrders!$C$2:$C$500,A89)</f>
        <v/>
      </c>
      <c r="E89" s="11">
        <f>SUMIFS(WorkOrders!$E$2:$E$500,WorkOrders!$C$2:$C$500,A89)</f>
        <v/>
      </c>
      <c r="F89" s="11">
        <f>SUMIFS(WorkOrders!$F$2:$F$500,WorkOrders!$C$2:$C$500,A89)</f>
        <v/>
      </c>
      <c r="G89" s="11">
        <f>E89-F89</f>
        <v/>
      </c>
      <c r="H89" s="11">
        <f>SUMIFS(Downtime!$G$2:$G$500,Downtime!$A$2:$A$500,A89)</f>
        <v/>
      </c>
      <c r="I89" s="11">
        <f>MAX(0,D89-H89)</f>
        <v/>
      </c>
      <c r="J89" s="15">
        <f>IF(A89="","",IF(D89=0,0,MIN(1,I89/D89)))</f>
        <v/>
      </c>
      <c r="K89" s="15">
        <f>IF(A89="","",IF(OR(I89=0,C89=0),0,MIN(1,E89/((I89/60)*C89))))</f>
        <v/>
      </c>
      <c r="L89" s="15">
        <f>IF(A89="","",IF(E89=0,0,MIN(1,MAX(0,G89/E89))))</f>
        <v/>
      </c>
      <c r="M89" s="15">
        <f>IF(A89="","",J89*K89*L89)</f>
        <v/>
      </c>
    </row>
    <row r="90">
      <c r="A90" s="11">
        <f>Machines!A90</f>
        <v/>
      </c>
      <c r="B90" s="11">
        <f>Machines!B90</f>
        <v/>
      </c>
      <c r="C90" s="11">
        <f>IF(A90="","",Machines!D90)</f>
        <v/>
      </c>
      <c r="D90" s="11">
        <f>SUMIFS(WorkOrders!$M$2:$M$500,WorkOrders!$C$2:$C$500,A90)</f>
        <v/>
      </c>
      <c r="E90" s="11">
        <f>SUMIFS(WorkOrders!$E$2:$E$500,WorkOrders!$C$2:$C$500,A90)</f>
        <v/>
      </c>
      <c r="F90" s="11">
        <f>SUMIFS(WorkOrders!$F$2:$F$500,WorkOrders!$C$2:$C$500,A90)</f>
        <v/>
      </c>
      <c r="G90" s="11">
        <f>E90-F90</f>
        <v/>
      </c>
      <c r="H90" s="11">
        <f>SUMIFS(Downtime!$G$2:$G$500,Downtime!$A$2:$A$500,A90)</f>
        <v/>
      </c>
      <c r="I90" s="11">
        <f>MAX(0,D90-H90)</f>
        <v/>
      </c>
      <c r="J90" s="15">
        <f>IF(A90="","",IF(D90=0,0,MIN(1,I90/D90)))</f>
        <v/>
      </c>
      <c r="K90" s="15">
        <f>IF(A90="","",IF(OR(I90=0,C90=0),0,MIN(1,E90/((I90/60)*C90))))</f>
        <v/>
      </c>
      <c r="L90" s="15">
        <f>IF(A90="","",IF(E90=0,0,MIN(1,MAX(0,G90/E90))))</f>
        <v/>
      </c>
      <c r="M90" s="15">
        <f>IF(A90="","",J90*K90*L90)</f>
        <v/>
      </c>
    </row>
    <row r="91">
      <c r="A91" s="11">
        <f>Machines!A91</f>
        <v/>
      </c>
      <c r="B91" s="11">
        <f>Machines!B91</f>
        <v/>
      </c>
      <c r="C91" s="11">
        <f>IF(A91="","",Machines!D91)</f>
        <v/>
      </c>
      <c r="D91" s="11">
        <f>SUMIFS(WorkOrders!$M$2:$M$500,WorkOrders!$C$2:$C$500,A91)</f>
        <v/>
      </c>
      <c r="E91" s="11">
        <f>SUMIFS(WorkOrders!$E$2:$E$500,WorkOrders!$C$2:$C$500,A91)</f>
        <v/>
      </c>
      <c r="F91" s="11">
        <f>SUMIFS(WorkOrders!$F$2:$F$500,WorkOrders!$C$2:$C$500,A91)</f>
        <v/>
      </c>
      <c r="G91" s="11">
        <f>E91-F91</f>
        <v/>
      </c>
      <c r="H91" s="11">
        <f>SUMIFS(Downtime!$G$2:$G$500,Downtime!$A$2:$A$500,A91)</f>
        <v/>
      </c>
      <c r="I91" s="11">
        <f>MAX(0,D91-H91)</f>
        <v/>
      </c>
      <c r="J91" s="15">
        <f>IF(A91="","",IF(D91=0,0,MIN(1,I91/D91)))</f>
        <v/>
      </c>
      <c r="K91" s="15">
        <f>IF(A91="","",IF(OR(I91=0,C91=0),0,MIN(1,E91/((I91/60)*C91))))</f>
        <v/>
      </c>
      <c r="L91" s="15">
        <f>IF(A91="","",IF(E91=0,0,MIN(1,MAX(0,G91/E91))))</f>
        <v/>
      </c>
      <c r="M91" s="15">
        <f>IF(A91="","",J91*K91*L91)</f>
        <v/>
      </c>
    </row>
    <row r="92">
      <c r="A92" s="11">
        <f>Machines!A92</f>
        <v/>
      </c>
      <c r="B92" s="11">
        <f>Machines!B92</f>
        <v/>
      </c>
      <c r="C92" s="11">
        <f>IF(A92="","",Machines!D92)</f>
        <v/>
      </c>
      <c r="D92" s="11">
        <f>SUMIFS(WorkOrders!$M$2:$M$500,WorkOrders!$C$2:$C$500,A92)</f>
        <v/>
      </c>
      <c r="E92" s="11">
        <f>SUMIFS(WorkOrders!$E$2:$E$500,WorkOrders!$C$2:$C$500,A92)</f>
        <v/>
      </c>
      <c r="F92" s="11">
        <f>SUMIFS(WorkOrders!$F$2:$F$500,WorkOrders!$C$2:$C$500,A92)</f>
        <v/>
      </c>
      <c r="G92" s="11">
        <f>E92-F92</f>
        <v/>
      </c>
      <c r="H92" s="11">
        <f>SUMIFS(Downtime!$G$2:$G$500,Downtime!$A$2:$A$500,A92)</f>
        <v/>
      </c>
      <c r="I92" s="11">
        <f>MAX(0,D92-H92)</f>
        <v/>
      </c>
      <c r="J92" s="15">
        <f>IF(A92="","",IF(D92=0,0,MIN(1,I92/D92)))</f>
        <v/>
      </c>
      <c r="K92" s="15">
        <f>IF(A92="","",IF(OR(I92=0,C92=0),0,MIN(1,E92/((I92/60)*C92))))</f>
        <v/>
      </c>
      <c r="L92" s="15">
        <f>IF(A92="","",IF(E92=0,0,MIN(1,MAX(0,G92/E92))))</f>
        <v/>
      </c>
      <c r="M92" s="15">
        <f>IF(A92="","",J92*K92*L92)</f>
        <v/>
      </c>
    </row>
    <row r="93">
      <c r="A93" s="11">
        <f>Machines!A93</f>
        <v/>
      </c>
      <c r="B93" s="11">
        <f>Machines!B93</f>
        <v/>
      </c>
      <c r="C93" s="11">
        <f>IF(A93="","",Machines!D93)</f>
        <v/>
      </c>
      <c r="D93" s="11">
        <f>SUMIFS(WorkOrders!$M$2:$M$500,WorkOrders!$C$2:$C$500,A93)</f>
        <v/>
      </c>
      <c r="E93" s="11">
        <f>SUMIFS(WorkOrders!$E$2:$E$500,WorkOrders!$C$2:$C$500,A93)</f>
        <v/>
      </c>
      <c r="F93" s="11">
        <f>SUMIFS(WorkOrders!$F$2:$F$500,WorkOrders!$C$2:$C$500,A93)</f>
        <v/>
      </c>
      <c r="G93" s="11">
        <f>E93-F93</f>
        <v/>
      </c>
      <c r="H93" s="11">
        <f>SUMIFS(Downtime!$G$2:$G$500,Downtime!$A$2:$A$500,A93)</f>
        <v/>
      </c>
      <c r="I93" s="11">
        <f>MAX(0,D93-H93)</f>
        <v/>
      </c>
      <c r="J93" s="15">
        <f>IF(A93="","",IF(D93=0,0,MIN(1,I93/D93)))</f>
        <v/>
      </c>
      <c r="K93" s="15">
        <f>IF(A93="","",IF(OR(I93=0,C93=0),0,MIN(1,E93/((I93/60)*C93))))</f>
        <v/>
      </c>
      <c r="L93" s="15">
        <f>IF(A93="","",IF(E93=0,0,MIN(1,MAX(0,G93/E93))))</f>
        <v/>
      </c>
      <c r="M93" s="15">
        <f>IF(A93="","",J93*K93*L93)</f>
        <v/>
      </c>
    </row>
    <row r="94">
      <c r="A94" s="11">
        <f>Machines!A94</f>
        <v/>
      </c>
      <c r="B94" s="11">
        <f>Machines!B94</f>
        <v/>
      </c>
      <c r="C94" s="11">
        <f>IF(A94="","",Machines!D94)</f>
        <v/>
      </c>
      <c r="D94" s="11">
        <f>SUMIFS(WorkOrders!$M$2:$M$500,WorkOrders!$C$2:$C$500,A94)</f>
        <v/>
      </c>
      <c r="E94" s="11">
        <f>SUMIFS(WorkOrders!$E$2:$E$500,WorkOrders!$C$2:$C$500,A94)</f>
        <v/>
      </c>
      <c r="F94" s="11">
        <f>SUMIFS(WorkOrders!$F$2:$F$500,WorkOrders!$C$2:$C$500,A94)</f>
        <v/>
      </c>
      <c r="G94" s="11">
        <f>E94-F94</f>
        <v/>
      </c>
      <c r="H94" s="11">
        <f>SUMIFS(Downtime!$G$2:$G$500,Downtime!$A$2:$A$500,A94)</f>
        <v/>
      </c>
      <c r="I94" s="11">
        <f>MAX(0,D94-H94)</f>
        <v/>
      </c>
      <c r="J94" s="15">
        <f>IF(A94="","",IF(D94=0,0,MIN(1,I94/D94)))</f>
        <v/>
      </c>
      <c r="K94" s="15">
        <f>IF(A94="","",IF(OR(I94=0,C94=0),0,MIN(1,E94/((I94/60)*C94))))</f>
        <v/>
      </c>
      <c r="L94" s="15">
        <f>IF(A94="","",IF(E94=0,0,MIN(1,MAX(0,G94/E94))))</f>
        <v/>
      </c>
      <c r="M94" s="15">
        <f>IF(A94="","",J94*K94*L94)</f>
        <v/>
      </c>
    </row>
    <row r="95">
      <c r="A95" s="11">
        <f>Machines!A95</f>
        <v/>
      </c>
      <c r="B95" s="11">
        <f>Machines!B95</f>
        <v/>
      </c>
      <c r="C95" s="11">
        <f>IF(A95="","",Machines!D95)</f>
        <v/>
      </c>
      <c r="D95" s="11">
        <f>SUMIFS(WorkOrders!$M$2:$M$500,WorkOrders!$C$2:$C$500,A95)</f>
        <v/>
      </c>
      <c r="E95" s="11">
        <f>SUMIFS(WorkOrders!$E$2:$E$500,WorkOrders!$C$2:$C$500,A95)</f>
        <v/>
      </c>
      <c r="F95" s="11">
        <f>SUMIFS(WorkOrders!$F$2:$F$500,WorkOrders!$C$2:$C$500,A95)</f>
        <v/>
      </c>
      <c r="G95" s="11">
        <f>E95-F95</f>
        <v/>
      </c>
      <c r="H95" s="11">
        <f>SUMIFS(Downtime!$G$2:$G$500,Downtime!$A$2:$A$500,A95)</f>
        <v/>
      </c>
      <c r="I95" s="11">
        <f>MAX(0,D95-H95)</f>
        <v/>
      </c>
      <c r="J95" s="15">
        <f>IF(A95="","",IF(D95=0,0,MIN(1,I95/D95)))</f>
        <v/>
      </c>
      <c r="K95" s="15">
        <f>IF(A95="","",IF(OR(I95=0,C95=0),0,MIN(1,E95/((I95/60)*C95))))</f>
        <v/>
      </c>
      <c r="L95" s="15">
        <f>IF(A95="","",IF(E95=0,0,MIN(1,MAX(0,G95/E95))))</f>
        <v/>
      </c>
      <c r="M95" s="15">
        <f>IF(A95="","",J95*K95*L95)</f>
        <v/>
      </c>
    </row>
    <row r="96">
      <c r="A96" s="11">
        <f>Machines!A96</f>
        <v/>
      </c>
      <c r="B96" s="11">
        <f>Machines!B96</f>
        <v/>
      </c>
      <c r="C96" s="11">
        <f>IF(A96="","",Machines!D96)</f>
        <v/>
      </c>
      <c r="D96" s="11">
        <f>SUMIFS(WorkOrders!$M$2:$M$500,WorkOrders!$C$2:$C$500,A96)</f>
        <v/>
      </c>
      <c r="E96" s="11">
        <f>SUMIFS(WorkOrders!$E$2:$E$500,WorkOrders!$C$2:$C$500,A96)</f>
        <v/>
      </c>
      <c r="F96" s="11">
        <f>SUMIFS(WorkOrders!$F$2:$F$500,WorkOrders!$C$2:$C$500,A96)</f>
        <v/>
      </c>
      <c r="G96" s="11">
        <f>E96-F96</f>
        <v/>
      </c>
      <c r="H96" s="11">
        <f>SUMIFS(Downtime!$G$2:$G$500,Downtime!$A$2:$A$500,A96)</f>
        <v/>
      </c>
      <c r="I96" s="11">
        <f>MAX(0,D96-H96)</f>
        <v/>
      </c>
      <c r="J96" s="15">
        <f>IF(A96="","",IF(D96=0,0,MIN(1,I96/D96)))</f>
        <v/>
      </c>
      <c r="K96" s="15">
        <f>IF(A96="","",IF(OR(I96=0,C96=0),0,MIN(1,E96/((I96/60)*C96))))</f>
        <v/>
      </c>
      <c r="L96" s="15">
        <f>IF(A96="","",IF(E96=0,0,MIN(1,MAX(0,G96/E96))))</f>
        <v/>
      </c>
      <c r="M96" s="15">
        <f>IF(A96="","",J96*K96*L96)</f>
        <v/>
      </c>
    </row>
    <row r="97">
      <c r="A97" s="11">
        <f>Machines!A97</f>
        <v/>
      </c>
      <c r="B97" s="11">
        <f>Machines!B97</f>
        <v/>
      </c>
      <c r="C97" s="11">
        <f>IF(A97="","",Machines!D97)</f>
        <v/>
      </c>
      <c r="D97" s="11">
        <f>SUMIFS(WorkOrders!$M$2:$M$500,WorkOrders!$C$2:$C$500,A97)</f>
        <v/>
      </c>
      <c r="E97" s="11">
        <f>SUMIFS(WorkOrders!$E$2:$E$500,WorkOrders!$C$2:$C$500,A97)</f>
        <v/>
      </c>
      <c r="F97" s="11">
        <f>SUMIFS(WorkOrders!$F$2:$F$500,WorkOrders!$C$2:$C$500,A97)</f>
        <v/>
      </c>
      <c r="G97" s="11">
        <f>E97-F97</f>
        <v/>
      </c>
      <c r="H97" s="11">
        <f>SUMIFS(Downtime!$G$2:$G$500,Downtime!$A$2:$A$500,A97)</f>
        <v/>
      </c>
      <c r="I97" s="11">
        <f>MAX(0,D97-H97)</f>
        <v/>
      </c>
      <c r="J97" s="15">
        <f>IF(A97="","",IF(D97=0,0,MIN(1,I97/D97)))</f>
        <v/>
      </c>
      <c r="K97" s="15">
        <f>IF(A97="","",IF(OR(I97=0,C97=0),0,MIN(1,E97/((I97/60)*C97))))</f>
        <v/>
      </c>
      <c r="L97" s="15">
        <f>IF(A97="","",IF(E97=0,0,MIN(1,MAX(0,G97/E97))))</f>
        <v/>
      </c>
      <c r="M97" s="15">
        <f>IF(A97="","",J97*K97*L97)</f>
        <v/>
      </c>
    </row>
    <row r="98">
      <c r="A98" s="11">
        <f>Machines!A98</f>
        <v/>
      </c>
      <c r="B98" s="11">
        <f>Machines!B98</f>
        <v/>
      </c>
      <c r="C98" s="11">
        <f>IF(A98="","",Machines!D98)</f>
        <v/>
      </c>
      <c r="D98" s="11">
        <f>SUMIFS(WorkOrders!$M$2:$M$500,WorkOrders!$C$2:$C$500,A98)</f>
        <v/>
      </c>
      <c r="E98" s="11">
        <f>SUMIFS(WorkOrders!$E$2:$E$500,WorkOrders!$C$2:$C$500,A98)</f>
        <v/>
      </c>
      <c r="F98" s="11">
        <f>SUMIFS(WorkOrders!$F$2:$F$500,WorkOrders!$C$2:$C$500,A98)</f>
        <v/>
      </c>
      <c r="G98" s="11">
        <f>E98-F98</f>
        <v/>
      </c>
      <c r="H98" s="11">
        <f>SUMIFS(Downtime!$G$2:$G$500,Downtime!$A$2:$A$500,A98)</f>
        <v/>
      </c>
      <c r="I98" s="11">
        <f>MAX(0,D98-H98)</f>
        <v/>
      </c>
      <c r="J98" s="15">
        <f>IF(A98="","",IF(D98=0,0,MIN(1,I98/D98)))</f>
        <v/>
      </c>
      <c r="K98" s="15">
        <f>IF(A98="","",IF(OR(I98=0,C98=0),0,MIN(1,E98/((I98/60)*C98))))</f>
        <v/>
      </c>
      <c r="L98" s="15">
        <f>IF(A98="","",IF(E98=0,0,MIN(1,MAX(0,G98/E98))))</f>
        <v/>
      </c>
      <c r="M98" s="15">
        <f>IF(A98="","",J98*K98*L98)</f>
        <v/>
      </c>
    </row>
    <row r="99">
      <c r="A99" s="11">
        <f>Machines!A99</f>
        <v/>
      </c>
      <c r="B99" s="11">
        <f>Machines!B99</f>
        <v/>
      </c>
      <c r="C99" s="11">
        <f>IF(A99="","",Machines!D99)</f>
        <v/>
      </c>
      <c r="D99" s="11">
        <f>SUMIFS(WorkOrders!$M$2:$M$500,WorkOrders!$C$2:$C$500,A99)</f>
        <v/>
      </c>
      <c r="E99" s="11">
        <f>SUMIFS(WorkOrders!$E$2:$E$500,WorkOrders!$C$2:$C$500,A99)</f>
        <v/>
      </c>
      <c r="F99" s="11">
        <f>SUMIFS(WorkOrders!$F$2:$F$500,WorkOrders!$C$2:$C$500,A99)</f>
        <v/>
      </c>
      <c r="G99" s="11">
        <f>E99-F99</f>
        <v/>
      </c>
      <c r="H99" s="11">
        <f>SUMIFS(Downtime!$G$2:$G$500,Downtime!$A$2:$A$500,A99)</f>
        <v/>
      </c>
      <c r="I99" s="11">
        <f>MAX(0,D99-H99)</f>
        <v/>
      </c>
      <c r="J99" s="15">
        <f>IF(A99="","",IF(D99=0,0,MIN(1,I99/D99)))</f>
        <v/>
      </c>
      <c r="K99" s="15">
        <f>IF(A99="","",IF(OR(I99=0,C99=0),0,MIN(1,E99/((I99/60)*C99))))</f>
        <v/>
      </c>
      <c r="L99" s="15">
        <f>IF(A99="","",IF(E99=0,0,MIN(1,MAX(0,G99/E99))))</f>
        <v/>
      </c>
      <c r="M99" s="15">
        <f>IF(A99="","",J99*K99*L99)</f>
        <v/>
      </c>
    </row>
    <row r="100">
      <c r="A100" s="11">
        <f>Machines!A100</f>
        <v/>
      </c>
      <c r="B100" s="11">
        <f>Machines!B100</f>
        <v/>
      </c>
      <c r="C100" s="11">
        <f>IF(A100="","",Machines!D100)</f>
        <v/>
      </c>
      <c r="D100" s="11">
        <f>SUMIFS(WorkOrders!$M$2:$M$500,WorkOrders!$C$2:$C$500,A100)</f>
        <v/>
      </c>
      <c r="E100" s="11">
        <f>SUMIFS(WorkOrders!$E$2:$E$500,WorkOrders!$C$2:$C$500,A100)</f>
        <v/>
      </c>
      <c r="F100" s="11">
        <f>SUMIFS(WorkOrders!$F$2:$F$500,WorkOrders!$C$2:$C$500,A100)</f>
        <v/>
      </c>
      <c r="G100" s="11">
        <f>E100-F100</f>
        <v/>
      </c>
      <c r="H100" s="11">
        <f>SUMIFS(Downtime!$G$2:$G$500,Downtime!$A$2:$A$500,A100)</f>
        <v/>
      </c>
      <c r="I100" s="11">
        <f>MAX(0,D100-H100)</f>
        <v/>
      </c>
      <c r="J100" s="15">
        <f>IF(A100="","",IF(D100=0,0,MIN(1,I100/D100)))</f>
        <v/>
      </c>
      <c r="K100" s="15">
        <f>IF(A100="","",IF(OR(I100=0,C100=0),0,MIN(1,E100/((I100/60)*C100))))</f>
        <v/>
      </c>
      <c r="L100" s="15">
        <f>IF(A100="","",IF(E100=0,0,MIN(1,MAX(0,G100/E100))))</f>
        <v/>
      </c>
      <c r="M100" s="15">
        <f>IF(A100="","",J100*K100*L100)</f>
        <v/>
      </c>
    </row>
    <row r="101">
      <c r="A101" s="11">
        <f>Machines!A101</f>
        <v/>
      </c>
      <c r="B101" s="11">
        <f>Machines!B101</f>
        <v/>
      </c>
      <c r="C101" s="11">
        <f>IF(A101="","",Machines!D101)</f>
        <v/>
      </c>
      <c r="D101" s="11">
        <f>SUMIFS(WorkOrders!$M$2:$M$500,WorkOrders!$C$2:$C$500,A101)</f>
        <v/>
      </c>
      <c r="E101" s="11">
        <f>SUMIFS(WorkOrders!$E$2:$E$500,WorkOrders!$C$2:$C$500,A101)</f>
        <v/>
      </c>
      <c r="F101" s="11">
        <f>SUMIFS(WorkOrders!$F$2:$F$500,WorkOrders!$C$2:$C$500,A101)</f>
        <v/>
      </c>
      <c r="G101" s="11">
        <f>E101-F101</f>
        <v/>
      </c>
      <c r="H101" s="11">
        <f>SUMIFS(Downtime!$G$2:$G$500,Downtime!$A$2:$A$500,A101)</f>
        <v/>
      </c>
      <c r="I101" s="11">
        <f>MAX(0,D101-H101)</f>
        <v/>
      </c>
      <c r="J101" s="15">
        <f>IF(A101="","",IF(D101=0,0,MIN(1,I101/D101)))</f>
        <v/>
      </c>
      <c r="K101" s="15">
        <f>IF(A101="","",IF(OR(I101=0,C101=0),0,MIN(1,E101/((I101/60)*C101))))</f>
        <v/>
      </c>
      <c r="L101" s="15">
        <f>IF(A101="","",IF(E101=0,0,MIN(1,MAX(0,G101/E101))))</f>
        <v/>
      </c>
      <c r="M101" s="15">
        <f>IF(A101="","",J101*K101*L101)</f>
        <v/>
      </c>
    </row>
    <row r="102">
      <c r="A102" s="11">
        <f>Machines!A102</f>
        <v/>
      </c>
      <c r="B102" s="11">
        <f>Machines!B102</f>
        <v/>
      </c>
      <c r="C102" s="11">
        <f>IF(A102="","",Machines!D102)</f>
        <v/>
      </c>
      <c r="D102" s="11">
        <f>SUMIFS(WorkOrders!$M$2:$M$500,WorkOrders!$C$2:$C$500,A102)</f>
        <v/>
      </c>
      <c r="E102" s="11">
        <f>SUMIFS(WorkOrders!$E$2:$E$500,WorkOrders!$C$2:$C$500,A102)</f>
        <v/>
      </c>
      <c r="F102" s="11">
        <f>SUMIFS(WorkOrders!$F$2:$F$500,WorkOrders!$C$2:$C$500,A102)</f>
        <v/>
      </c>
      <c r="G102" s="11">
        <f>E102-F102</f>
        <v/>
      </c>
      <c r="H102" s="11">
        <f>SUMIFS(Downtime!$G$2:$G$500,Downtime!$A$2:$A$500,A102)</f>
        <v/>
      </c>
      <c r="I102" s="11">
        <f>MAX(0,D102-H102)</f>
        <v/>
      </c>
      <c r="J102" s="15">
        <f>IF(A102="","",IF(D102=0,0,MIN(1,I102/D102)))</f>
        <v/>
      </c>
      <c r="K102" s="15">
        <f>IF(A102="","",IF(OR(I102=0,C102=0),0,MIN(1,E102/((I102/60)*C102))))</f>
        <v/>
      </c>
      <c r="L102" s="15">
        <f>IF(A102="","",IF(E102=0,0,MIN(1,MAX(0,G102/E102))))</f>
        <v/>
      </c>
      <c r="M102" s="15">
        <f>IF(A102="","",J102*K102*L102)</f>
        <v/>
      </c>
    </row>
    <row r="103">
      <c r="A103" s="11">
        <f>Machines!A103</f>
        <v/>
      </c>
      <c r="B103" s="11">
        <f>Machines!B103</f>
        <v/>
      </c>
      <c r="C103" s="11">
        <f>IF(A103="","",Machines!D103)</f>
        <v/>
      </c>
      <c r="D103" s="11">
        <f>SUMIFS(WorkOrders!$M$2:$M$500,WorkOrders!$C$2:$C$500,A103)</f>
        <v/>
      </c>
      <c r="E103" s="11">
        <f>SUMIFS(WorkOrders!$E$2:$E$500,WorkOrders!$C$2:$C$500,A103)</f>
        <v/>
      </c>
      <c r="F103" s="11">
        <f>SUMIFS(WorkOrders!$F$2:$F$500,WorkOrders!$C$2:$C$500,A103)</f>
        <v/>
      </c>
      <c r="G103" s="11">
        <f>E103-F103</f>
        <v/>
      </c>
      <c r="H103" s="11">
        <f>SUMIFS(Downtime!$G$2:$G$500,Downtime!$A$2:$A$500,A103)</f>
        <v/>
      </c>
      <c r="I103" s="11">
        <f>MAX(0,D103-H103)</f>
        <v/>
      </c>
      <c r="J103" s="15">
        <f>IF(A103="","",IF(D103=0,0,MIN(1,I103/D103)))</f>
        <v/>
      </c>
      <c r="K103" s="15">
        <f>IF(A103="","",IF(OR(I103=0,C103=0),0,MIN(1,E103/((I103/60)*C103))))</f>
        <v/>
      </c>
      <c r="L103" s="15">
        <f>IF(A103="","",IF(E103=0,0,MIN(1,MAX(0,G103/E103))))</f>
        <v/>
      </c>
      <c r="M103" s="15">
        <f>IF(A103="","",J103*K103*L103)</f>
        <v/>
      </c>
    </row>
    <row r="104">
      <c r="A104" s="11">
        <f>Machines!A104</f>
        <v/>
      </c>
      <c r="B104" s="11">
        <f>Machines!B104</f>
        <v/>
      </c>
      <c r="C104" s="11">
        <f>IF(A104="","",Machines!D104)</f>
        <v/>
      </c>
      <c r="D104" s="11">
        <f>SUMIFS(WorkOrders!$M$2:$M$500,WorkOrders!$C$2:$C$500,A104)</f>
        <v/>
      </c>
      <c r="E104" s="11">
        <f>SUMIFS(WorkOrders!$E$2:$E$500,WorkOrders!$C$2:$C$500,A104)</f>
        <v/>
      </c>
      <c r="F104" s="11">
        <f>SUMIFS(WorkOrders!$F$2:$F$500,WorkOrders!$C$2:$C$500,A104)</f>
        <v/>
      </c>
      <c r="G104" s="11">
        <f>E104-F104</f>
        <v/>
      </c>
      <c r="H104" s="11">
        <f>SUMIFS(Downtime!$G$2:$G$500,Downtime!$A$2:$A$500,A104)</f>
        <v/>
      </c>
      <c r="I104" s="11">
        <f>MAX(0,D104-H104)</f>
        <v/>
      </c>
      <c r="J104" s="15">
        <f>IF(A104="","",IF(D104=0,0,MIN(1,I104/D104)))</f>
        <v/>
      </c>
      <c r="K104" s="15">
        <f>IF(A104="","",IF(OR(I104=0,C104=0),0,MIN(1,E104/((I104/60)*C104))))</f>
        <v/>
      </c>
      <c r="L104" s="15">
        <f>IF(A104="","",IF(E104=0,0,MIN(1,MAX(0,G104/E104))))</f>
        <v/>
      </c>
      <c r="M104" s="15">
        <f>IF(A104="","",J104*K104*L104)</f>
        <v/>
      </c>
    </row>
    <row r="105">
      <c r="A105" s="11">
        <f>Machines!A105</f>
        <v/>
      </c>
      <c r="B105" s="11">
        <f>Machines!B105</f>
        <v/>
      </c>
      <c r="C105" s="11">
        <f>IF(A105="","",Machines!D105)</f>
        <v/>
      </c>
      <c r="D105" s="11">
        <f>SUMIFS(WorkOrders!$M$2:$M$500,WorkOrders!$C$2:$C$500,A105)</f>
        <v/>
      </c>
      <c r="E105" s="11">
        <f>SUMIFS(WorkOrders!$E$2:$E$500,WorkOrders!$C$2:$C$500,A105)</f>
        <v/>
      </c>
      <c r="F105" s="11">
        <f>SUMIFS(WorkOrders!$F$2:$F$500,WorkOrders!$C$2:$C$500,A105)</f>
        <v/>
      </c>
      <c r="G105" s="11">
        <f>E105-F105</f>
        <v/>
      </c>
      <c r="H105" s="11">
        <f>SUMIFS(Downtime!$G$2:$G$500,Downtime!$A$2:$A$500,A105)</f>
        <v/>
      </c>
      <c r="I105" s="11">
        <f>MAX(0,D105-H105)</f>
        <v/>
      </c>
      <c r="J105" s="15">
        <f>IF(A105="","",IF(D105=0,0,MIN(1,I105/D105)))</f>
        <v/>
      </c>
      <c r="K105" s="15">
        <f>IF(A105="","",IF(OR(I105=0,C105=0),0,MIN(1,E105/((I105/60)*C105))))</f>
        <v/>
      </c>
      <c r="L105" s="15">
        <f>IF(A105="","",IF(E105=0,0,MIN(1,MAX(0,G105/E105))))</f>
        <v/>
      </c>
      <c r="M105" s="15">
        <f>IF(A105="","",J105*K105*L105)</f>
        <v/>
      </c>
    </row>
    <row r="106">
      <c r="A106" s="11">
        <f>Machines!A106</f>
        <v/>
      </c>
      <c r="B106" s="11">
        <f>Machines!B106</f>
        <v/>
      </c>
      <c r="C106" s="11">
        <f>IF(A106="","",Machines!D106)</f>
        <v/>
      </c>
      <c r="D106" s="11">
        <f>SUMIFS(WorkOrders!$M$2:$M$500,WorkOrders!$C$2:$C$500,A106)</f>
        <v/>
      </c>
      <c r="E106" s="11">
        <f>SUMIFS(WorkOrders!$E$2:$E$500,WorkOrders!$C$2:$C$500,A106)</f>
        <v/>
      </c>
      <c r="F106" s="11">
        <f>SUMIFS(WorkOrders!$F$2:$F$500,WorkOrders!$C$2:$C$500,A106)</f>
        <v/>
      </c>
      <c r="G106" s="11">
        <f>E106-F106</f>
        <v/>
      </c>
      <c r="H106" s="11">
        <f>SUMIFS(Downtime!$G$2:$G$500,Downtime!$A$2:$A$500,A106)</f>
        <v/>
      </c>
      <c r="I106" s="11">
        <f>MAX(0,D106-H106)</f>
        <v/>
      </c>
      <c r="J106" s="15">
        <f>IF(A106="","",IF(D106=0,0,MIN(1,I106/D106)))</f>
        <v/>
      </c>
      <c r="K106" s="15">
        <f>IF(A106="","",IF(OR(I106=0,C106=0),0,MIN(1,E106/((I106/60)*C106))))</f>
        <v/>
      </c>
      <c r="L106" s="15">
        <f>IF(A106="","",IF(E106=0,0,MIN(1,MAX(0,G106/E106))))</f>
        <v/>
      </c>
      <c r="M106" s="15">
        <f>IF(A106="","",J106*K106*L106)</f>
        <v/>
      </c>
    </row>
    <row r="107">
      <c r="A107" s="11">
        <f>Machines!A107</f>
        <v/>
      </c>
      <c r="B107" s="11">
        <f>Machines!B107</f>
        <v/>
      </c>
      <c r="C107" s="11">
        <f>IF(A107="","",Machines!D107)</f>
        <v/>
      </c>
      <c r="D107" s="11">
        <f>SUMIFS(WorkOrders!$M$2:$M$500,WorkOrders!$C$2:$C$500,A107)</f>
        <v/>
      </c>
      <c r="E107" s="11">
        <f>SUMIFS(WorkOrders!$E$2:$E$500,WorkOrders!$C$2:$C$500,A107)</f>
        <v/>
      </c>
      <c r="F107" s="11">
        <f>SUMIFS(WorkOrders!$F$2:$F$500,WorkOrders!$C$2:$C$500,A107)</f>
        <v/>
      </c>
      <c r="G107" s="11">
        <f>E107-F107</f>
        <v/>
      </c>
      <c r="H107" s="11">
        <f>SUMIFS(Downtime!$G$2:$G$500,Downtime!$A$2:$A$500,A107)</f>
        <v/>
      </c>
      <c r="I107" s="11">
        <f>MAX(0,D107-H107)</f>
        <v/>
      </c>
      <c r="J107" s="15">
        <f>IF(A107="","",IF(D107=0,0,MIN(1,I107/D107)))</f>
        <v/>
      </c>
      <c r="K107" s="15">
        <f>IF(A107="","",IF(OR(I107=0,C107=0),0,MIN(1,E107/((I107/60)*C107))))</f>
        <v/>
      </c>
      <c r="L107" s="15">
        <f>IF(A107="","",IF(E107=0,0,MIN(1,MAX(0,G107/E107))))</f>
        <v/>
      </c>
      <c r="M107" s="15">
        <f>IF(A107="","",J107*K107*L107)</f>
        <v/>
      </c>
    </row>
    <row r="108">
      <c r="A108" s="11">
        <f>Machines!A108</f>
        <v/>
      </c>
      <c r="B108" s="11">
        <f>Machines!B108</f>
        <v/>
      </c>
      <c r="C108" s="11">
        <f>IF(A108="","",Machines!D108)</f>
        <v/>
      </c>
      <c r="D108" s="11">
        <f>SUMIFS(WorkOrders!$M$2:$M$500,WorkOrders!$C$2:$C$500,A108)</f>
        <v/>
      </c>
      <c r="E108" s="11">
        <f>SUMIFS(WorkOrders!$E$2:$E$500,WorkOrders!$C$2:$C$500,A108)</f>
        <v/>
      </c>
      <c r="F108" s="11">
        <f>SUMIFS(WorkOrders!$F$2:$F$500,WorkOrders!$C$2:$C$500,A108)</f>
        <v/>
      </c>
      <c r="G108" s="11">
        <f>E108-F108</f>
        <v/>
      </c>
      <c r="H108" s="11">
        <f>SUMIFS(Downtime!$G$2:$G$500,Downtime!$A$2:$A$500,A108)</f>
        <v/>
      </c>
      <c r="I108" s="11">
        <f>MAX(0,D108-H108)</f>
        <v/>
      </c>
      <c r="J108" s="15">
        <f>IF(A108="","",IF(D108=0,0,MIN(1,I108/D108)))</f>
        <v/>
      </c>
      <c r="K108" s="15">
        <f>IF(A108="","",IF(OR(I108=0,C108=0),0,MIN(1,E108/((I108/60)*C108))))</f>
        <v/>
      </c>
      <c r="L108" s="15">
        <f>IF(A108="","",IF(E108=0,0,MIN(1,MAX(0,G108/E108))))</f>
        <v/>
      </c>
      <c r="M108" s="15">
        <f>IF(A108="","",J108*K108*L108)</f>
        <v/>
      </c>
    </row>
    <row r="109">
      <c r="A109" s="11">
        <f>Machines!A109</f>
        <v/>
      </c>
      <c r="B109" s="11">
        <f>Machines!B109</f>
        <v/>
      </c>
      <c r="C109" s="11">
        <f>IF(A109="","",Machines!D109)</f>
        <v/>
      </c>
      <c r="D109" s="11">
        <f>SUMIFS(WorkOrders!$M$2:$M$500,WorkOrders!$C$2:$C$500,A109)</f>
        <v/>
      </c>
      <c r="E109" s="11">
        <f>SUMIFS(WorkOrders!$E$2:$E$500,WorkOrders!$C$2:$C$500,A109)</f>
        <v/>
      </c>
      <c r="F109" s="11">
        <f>SUMIFS(WorkOrders!$F$2:$F$500,WorkOrders!$C$2:$C$500,A109)</f>
        <v/>
      </c>
      <c r="G109" s="11">
        <f>E109-F109</f>
        <v/>
      </c>
      <c r="H109" s="11">
        <f>SUMIFS(Downtime!$G$2:$G$500,Downtime!$A$2:$A$500,A109)</f>
        <v/>
      </c>
      <c r="I109" s="11">
        <f>MAX(0,D109-H109)</f>
        <v/>
      </c>
      <c r="J109" s="15">
        <f>IF(A109="","",IF(D109=0,0,MIN(1,I109/D109)))</f>
        <v/>
      </c>
      <c r="K109" s="15">
        <f>IF(A109="","",IF(OR(I109=0,C109=0),0,MIN(1,E109/((I109/60)*C109))))</f>
        <v/>
      </c>
      <c r="L109" s="15">
        <f>IF(A109="","",IF(E109=0,0,MIN(1,MAX(0,G109/E109))))</f>
        <v/>
      </c>
      <c r="M109" s="15">
        <f>IF(A109="","",J109*K109*L109)</f>
        <v/>
      </c>
    </row>
    <row r="110">
      <c r="A110" s="11">
        <f>Machines!A110</f>
        <v/>
      </c>
      <c r="B110" s="11">
        <f>Machines!B110</f>
        <v/>
      </c>
      <c r="C110" s="11">
        <f>IF(A110="","",Machines!D110)</f>
        <v/>
      </c>
      <c r="D110" s="11">
        <f>SUMIFS(WorkOrders!$M$2:$M$500,WorkOrders!$C$2:$C$500,A110)</f>
        <v/>
      </c>
      <c r="E110" s="11">
        <f>SUMIFS(WorkOrders!$E$2:$E$500,WorkOrders!$C$2:$C$500,A110)</f>
        <v/>
      </c>
      <c r="F110" s="11">
        <f>SUMIFS(WorkOrders!$F$2:$F$500,WorkOrders!$C$2:$C$500,A110)</f>
        <v/>
      </c>
      <c r="G110" s="11">
        <f>E110-F110</f>
        <v/>
      </c>
      <c r="H110" s="11">
        <f>SUMIFS(Downtime!$G$2:$G$500,Downtime!$A$2:$A$500,A110)</f>
        <v/>
      </c>
      <c r="I110" s="11">
        <f>MAX(0,D110-H110)</f>
        <v/>
      </c>
      <c r="J110" s="15">
        <f>IF(A110="","",IF(D110=0,0,MIN(1,I110/D110)))</f>
        <v/>
      </c>
      <c r="K110" s="15">
        <f>IF(A110="","",IF(OR(I110=0,C110=0),0,MIN(1,E110/((I110/60)*C110))))</f>
        <v/>
      </c>
      <c r="L110" s="15">
        <f>IF(A110="","",IF(E110=0,0,MIN(1,MAX(0,G110/E110))))</f>
        <v/>
      </c>
      <c r="M110" s="15">
        <f>IF(A110="","",J110*K110*L110)</f>
        <v/>
      </c>
    </row>
    <row r="111">
      <c r="A111" s="11">
        <f>Machines!A111</f>
        <v/>
      </c>
      <c r="B111" s="11">
        <f>Machines!B111</f>
        <v/>
      </c>
      <c r="C111" s="11">
        <f>IF(A111="","",Machines!D111)</f>
        <v/>
      </c>
      <c r="D111" s="11">
        <f>SUMIFS(WorkOrders!$M$2:$M$500,WorkOrders!$C$2:$C$500,A111)</f>
        <v/>
      </c>
      <c r="E111" s="11">
        <f>SUMIFS(WorkOrders!$E$2:$E$500,WorkOrders!$C$2:$C$500,A111)</f>
        <v/>
      </c>
      <c r="F111" s="11">
        <f>SUMIFS(WorkOrders!$F$2:$F$500,WorkOrders!$C$2:$C$500,A111)</f>
        <v/>
      </c>
      <c r="G111" s="11">
        <f>E111-F111</f>
        <v/>
      </c>
      <c r="H111" s="11">
        <f>SUMIFS(Downtime!$G$2:$G$500,Downtime!$A$2:$A$500,A111)</f>
        <v/>
      </c>
      <c r="I111" s="11">
        <f>MAX(0,D111-H111)</f>
        <v/>
      </c>
      <c r="J111" s="15">
        <f>IF(A111="","",IF(D111=0,0,MIN(1,I111/D111)))</f>
        <v/>
      </c>
      <c r="K111" s="15">
        <f>IF(A111="","",IF(OR(I111=0,C111=0),0,MIN(1,E111/((I111/60)*C111))))</f>
        <v/>
      </c>
      <c r="L111" s="15">
        <f>IF(A111="","",IF(E111=0,0,MIN(1,MAX(0,G111/E111))))</f>
        <v/>
      </c>
      <c r="M111" s="15">
        <f>IF(A111="","",J111*K111*L111)</f>
        <v/>
      </c>
    </row>
    <row r="112">
      <c r="A112" s="11">
        <f>Machines!A112</f>
        <v/>
      </c>
      <c r="B112" s="11">
        <f>Machines!B112</f>
        <v/>
      </c>
      <c r="C112" s="11">
        <f>IF(A112="","",Machines!D112)</f>
        <v/>
      </c>
      <c r="D112" s="11">
        <f>SUMIFS(WorkOrders!$M$2:$M$500,WorkOrders!$C$2:$C$500,A112)</f>
        <v/>
      </c>
      <c r="E112" s="11">
        <f>SUMIFS(WorkOrders!$E$2:$E$500,WorkOrders!$C$2:$C$500,A112)</f>
        <v/>
      </c>
      <c r="F112" s="11">
        <f>SUMIFS(WorkOrders!$F$2:$F$500,WorkOrders!$C$2:$C$500,A112)</f>
        <v/>
      </c>
      <c r="G112" s="11">
        <f>E112-F112</f>
        <v/>
      </c>
      <c r="H112" s="11">
        <f>SUMIFS(Downtime!$G$2:$G$500,Downtime!$A$2:$A$500,A112)</f>
        <v/>
      </c>
      <c r="I112" s="11">
        <f>MAX(0,D112-H112)</f>
        <v/>
      </c>
      <c r="J112" s="15">
        <f>IF(A112="","",IF(D112=0,0,MIN(1,I112/D112)))</f>
        <v/>
      </c>
      <c r="K112" s="15">
        <f>IF(A112="","",IF(OR(I112=0,C112=0),0,MIN(1,E112/((I112/60)*C112))))</f>
        <v/>
      </c>
      <c r="L112" s="15">
        <f>IF(A112="","",IF(E112=0,0,MIN(1,MAX(0,G112/E112))))</f>
        <v/>
      </c>
      <c r="M112" s="15">
        <f>IF(A112="","",J112*K112*L112)</f>
        <v/>
      </c>
    </row>
    <row r="113">
      <c r="A113" s="11">
        <f>Machines!A113</f>
        <v/>
      </c>
      <c r="B113" s="11">
        <f>Machines!B113</f>
        <v/>
      </c>
      <c r="C113" s="11">
        <f>IF(A113="","",Machines!D113)</f>
        <v/>
      </c>
      <c r="D113" s="11">
        <f>SUMIFS(WorkOrders!$M$2:$M$500,WorkOrders!$C$2:$C$500,A113)</f>
        <v/>
      </c>
      <c r="E113" s="11">
        <f>SUMIFS(WorkOrders!$E$2:$E$500,WorkOrders!$C$2:$C$500,A113)</f>
        <v/>
      </c>
      <c r="F113" s="11">
        <f>SUMIFS(WorkOrders!$F$2:$F$500,WorkOrders!$C$2:$C$500,A113)</f>
        <v/>
      </c>
      <c r="G113" s="11">
        <f>E113-F113</f>
        <v/>
      </c>
      <c r="H113" s="11">
        <f>SUMIFS(Downtime!$G$2:$G$500,Downtime!$A$2:$A$500,A113)</f>
        <v/>
      </c>
      <c r="I113" s="11">
        <f>MAX(0,D113-H113)</f>
        <v/>
      </c>
      <c r="J113" s="15">
        <f>IF(A113="","",IF(D113=0,0,MIN(1,I113/D113)))</f>
        <v/>
      </c>
      <c r="K113" s="15">
        <f>IF(A113="","",IF(OR(I113=0,C113=0),0,MIN(1,E113/((I113/60)*C113))))</f>
        <v/>
      </c>
      <c r="L113" s="15">
        <f>IF(A113="","",IF(E113=0,0,MIN(1,MAX(0,G113/E113))))</f>
        <v/>
      </c>
      <c r="M113" s="15">
        <f>IF(A113="","",J113*K113*L113)</f>
        <v/>
      </c>
    </row>
    <row r="114">
      <c r="A114" s="11">
        <f>Machines!A114</f>
        <v/>
      </c>
      <c r="B114" s="11">
        <f>Machines!B114</f>
        <v/>
      </c>
      <c r="C114" s="11">
        <f>IF(A114="","",Machines!D114)</f>
        <v/>
      </c>
      <c r="D114" s="11">
        <f>SUMIFS(WorkOrders!$M$2:$M$500,WorkOrders!$C$2:$C$500,A114)</f>
        <v/>
      </c>
      <c r="E114" s="11">
        <f>SUMIFS(WorkOrders!$E$2:$E$500,WorkOrders!$C$2:$C$500,A114)</f>
        <v/>
      </c>
      <c r="F114" s="11">
        <f>SUMIFS(WorkOrders!$F$2:$F$500,WorkOrders!$C$2:$C$500,A114)</f>
        <v/>
      </c>
      <c r="G114" s="11">
        <f>E114-F114</f>
        <v/>
      </c>
      <c r="H114" s="11">
        <f>SUMIFS(Downtime!$G$2:$G$500,Downtime!$A$2:$A$500,A114)</f>
        <v/>
      </c>
      <c r="I114" s="11">
        <f>MAX(0,D114-H114)</f>
        <v/>
      </c>
      <c r="J114" s="15">
        <f>IF(A114="","",IF(D114=0,0,MIN(1,I114/D114)))</f>
        <v/>
      </c>
      <c r="K114" s="15">
        <f>IF(A114="","",IF(OR(I114=0,C114=0),0,MIN(1,E114/((I114/60)*C114))))</f>
        <v/>
      </c>
      <c r="L114" s="15">
        <f>IF(A114="","",IF(E114=0,0,MIN(1,MAX(0,G114/E114))))</f>
        <v/>
      </c>
      <c r="M114" s="15">
        <f>IF(A114="","",J114*K114*L114)</f>
        <v/>
      </c>
    </row>
    <row r="115">
      <c r="A115" s="11">
        <f>Machines!A115</f>
        <v/>
      </c>
      <c r="B115" s="11">
        <f>Machines!B115</f>
        <v/>
      </c>
      <c r="C115" s="11">
        <f>IF(A115="","",Machines!D115)</f>
        <v/>
      </c>
      <c r="D115" s="11">
        <f>SUMIFS(WorkOrders!$M$2:$M$500,WorkOrders!$C$2:$C$500,A115)</f>
        <v/>
      </c>
      <c r="E115" s="11">
        <f>SUMIFS(WorkOrders!$E$2:$E$500,WorkOrders!$C$2:$C$500,A115)</f>
        <v/>
      </c>
      <c r="F115" s="11">
        <f>SUMIFS(WorkOrders!$F$2:$F$500,WorkOrders!$C$2:$C$500,A115)</f>
        <v/>
      </c>
      <c r="G115" s="11">
        <f>E115-F115</f>
        <v/>
      </c>
      <c r="H115" s="11">
        <f>SUMIFS(Downtime!$G$2:$G$500,Downtime!$A$2:$A$500,A115)</f>
        <v/>
      </c>
      <c r="I115" s="11">
        <f>MAX(0,D115-H115)</f>
        <v/>
      </c>
      <c r="J115" s="15">
        <f>IF(A115="","",IF(D115=0,0,MIN(1,I115/D115)))</f>
        <v/>
      </c>
      <c r="K115" s="15">
        <f>IF(A115="","",IF(OR(I115=0,C115=0),0,MIN(1,E115/((I115/60)*C115))))</f>
        <v/>
      </c>
      <c r="L115" s="15">
        <f>IF(A115="","",IF(E115=0,0,MIN(1,MAX(0,G115/E115))))</f>
        <v/>
      </c>
      <c r="M115" s="15">
        <f>IF(A115="","",J115*K115*L115)</f>
        <v/>
      </c>
    </row>
    <row r="116">
      <c r="A116" s="11">
        <f>Machines!A116</f>
        <v/>
      </c>
      <c r="B116" s="11">
        <f>Machines!B116</f>
        <v/>
      </c>
      <c r="C116" s="11">
        <f>IF(A116="","",Machines!D116)</f>
        <v/>
      </c>
      <c r="D116" s="11">
        <f>SUMIFS(WorkOrders!$M$2:$M$500,WorkOrders!$C$2:$C$500,A116)</f>
        <v/>
      </c>
      <c r="E116" s="11">
        <f>SUMIFS(WorkOrders!$E$2:$E$500,WorkOrders!$C$2:$C$500,A116)</f>
        <v/>
      </c>
      <c r="F116" s="11">
        <f>SUMIFS(WorkOrders!$F$2:$F$500,WorkOrders!$C$2:$C$500,A116)</f>
        <v/>
      </c>
      <c r="G116" s="11">
        <f>E116-F116</f>
        <v/>
      </c>
      <c r="H116" s="11">
        <f>SUMIFS(Downtime!$G$2:$G$500,Downtime!$A$2:$A$500,A116)</f>
        <v/>
      </c>
      <c r="I116" s="11">
        <f>MAX(0,D116-H116)</f>
        <v/>
      </c>
      <c r="J116" s="15">
        <f>IF(A116="","",IF(D116=0,0,MIN(1,I116/D116)))</f>
        <v/>
      </c>
      <c r="K116" s="15">
        <f>IF(A116="","",IF(OR(I116=0,C116=0),0,MIN(1,E116/((I116/60)*C116))))</f>
        <v/>
      </c>
      <c r="L116" s="15">
        <f>IF(A116="","",IF(E116=0,0,MIN(1,MAX(0,G116/E116))))</f>
        <v/>
      </c>
      <c r="M116" s="15">
        <f>IF(A116="","",J116*K116*L116)</f>
        <v/>
      </c>
    </row>
    <row r="117">
      <c r="A117" s="11">
        <f>Machines!A117</f>
        <v/>
      </c>
      <c r="B117" s="11">
        <f>Machines!B117</f>
        <v/>
      </c>
      <c r="C117" s="11">
        <f>IF(A117="","",Machines!D117)</f>
        <v/>
      </c>
      <c r="D117" s="11">
        <f>SUMIFS(WorkOrders!$M$2:$M$500,WorkOrders!$C$2:$C$500,A117)</f>
        <v/>
      </c>
      <c r="E117" s="11">
        <f>SUMIFS(WorkOrders!$E$2:$E$500,WorkOrders!$C$2:$C$500,A117)</f>
        <v/>
      </c>
      <c r="F117" s="11">
        <f>SUMIFS(WorkOrders!$F$2:$F$500,WorkOrders!$C$2:$C$500,A117)</f>
        <v/>
      </c>
      <c r="G117" s="11">
        <f>E117-F117</f>
        <v/>
      </c>
      <c r="H117" s="11">
        <f>SUMIFS(Downtime!$G$2:$G$500,Downtime!$A$2:$A$500,A117)</f>
        <v/>
      </c>
      <c r="I117" s="11">
        <f>MAX(0,D117-H117)</f>
        <v/>
      </c>
      <c r="J117" s="15">
        <f>IF(A117="","",IF(D117=0,0,MIN(1,I117/D117)))</f>
        <v/>
      </c>
      <c r="K117" s="15">
        <f>IF(A117="","",IF(OR(I117=0,C117=0),0,MIN(1,E117/((I117/60)*C117))))</f>
        <v/>
      </c>
      <c r="L117" s="15">
        <f>IF(A117="","",IF(E117=0,0,MIN(1,MAX(0,G117/E117))))</f>
        <v/>
      </c>
      <c r="M117" s="15">
        <f>IF(A117="","",J117*K117*L117)</f>
        <v/>
      </c>
    </row>
    <row r="118">
      <c r="A118" s="11">
        <f>Machines!A118</f>
        <v/>
      </c>
      <c r="B118" s="11">
        <f>Machines!B118</f>
        <v/>
      </c>
      <c r="C118" s="11">
        <f>IF(A118="","",Machines!D118)</f>
        <v/>
      </c>
      <c r="D118" s="11">
        <f>SUMIFS(WorkOrders!$M$2:$M$500,WorkOrders!$C$2:$C$500,A118)</f>
        <v/>
      </c>
      <c r="E118" s="11">
        <f>SUMIFS(WorkOrders!$E$2:$E$500,WorkOrders!$C$2:$C$500,A118)</f>
        <v/>
      </c>
      <c r="F118" s="11">
        <f>SUMIFS(WorkOrders!$F$2:$F$500,WorkOrders!$C$2:$C$500,A118)</f>
        <v/>
      </c>
      <c r="G118" s="11">
        <f>E118-F118</f>
        <v/>
      </c>
      <c r="H118" s="11">
        <f>SUMIFS(Downtime!$G$2:$G$500,Downtime!$A$2:$A$500,A118)</f>
        <v/>
      </c>
      <c r="I118" s="11">
        <f>MAX(0,D118-H118)</f>
        <v/>
      </c>
      <c r="J118" s="15">
        <f>IF(A118="","",IF(D118=0,0,MIN(1,I118/D118)))</f>
        <v/>
      </c>
      <c r="K118" s="15">
        <f>IF(A118="","",IF(OR(I118=0,C118=0),0,MIN(1,E118/((I118/60)*C118))))</f>
        <v/>
      </c>
      <c r="L118" s="15">
        <f>IF(A118="","",IF(E118=0,0,MIN(1,MAX(0,G118/E118))))</f>
        <v/>
      </c>
      <c r="M118" s="15">
        <f>IF(A118="","",J118*K118*L118)</f>
        <v/>
      </c>
    </row>
    <row r="119">
      <c r="A119" s="11">
        <f>Machines!A119</f>
        <v/>
      </c>
      <c r="B119" s="11">
        <f>Machines!B119</f>
        <v/>
      </c>
      <c r="C119" s="11">
        <f>IF(A119="","",Machines!D119)</f>
        <v/>
      </c>
      <c r="D119" s="11">
        <f>SUMIFS(WorkOrders!$M$2:$M$500,WorkOrders!$C$2:$C$500,A119)</f>
        <v/>
      </c>
      <c r="E119" s="11">
        <f>SUMIFS(WorkOrders!$E$2:$E$500,WorkOrders!$C$2:$C$500,A119)</f>
        <v/>
      </c>
      <c r="F119" s="11">
        <f>SUMIFS(WorkOrders!$F$2:$F$500,WorkOrders!$C$2:$C$500,A119)</f>
        <v/>
      </c>
      <c r="G119" s="11">
        <f>E119-F119</f>
        <v/>
      </c>
      <c r="H119" s="11">
        <f>SUMIFS(Downtime!$G$2:$G$500,Downtime!$A$2:$A$500,A119)</f>
        <v/>
      </c>
      <c r="I119" s="11">
        <f>MAX(0,D119-H119)</f>
        <v/>
      </c>
      <c r="J119" s="15">
        <f>IF(A119="","",IF(D119=0,0,MIN(1,I119/D119)))</f>
        <v/>
      </c>
      <c r="K119" s="15">
        <f>IF(A119="","",IF(OR(I119=0,C119=0),0,MIN(1,E119/((I119/60)*C119))))</f>
        <v/>
      </c>
      <c r="L119" s="15">
        <f>IF(A119="","",IF(E119=0,0,MIN(1,MAX(0,G119/E119))))</f>
        <v/>
      </c>
      <c r="M119" s="15">
        <f>IF(A119="","",J119*K119*L119)</f>
        <v/>
      </c>
    </row>
    <row r="120">
      <c r="A120" s="11">
        <f>Machines!A120</f>
        <v/>
      </c>
      <c r="B120" s="11">
        <f>Machines!B120</f>
        <v/>
      </c>
      <c r="C120" s="11">
        <f>IF(A120="","",Machines!D120)</f>
        <v/>
      </c>
      <c r="D120" s="11">
        <f>SUMIFS(WorkOrders!$M$2:$M$500,WorkOrders!$C$2:$C$500,A120)</f>
        <v/>
      </c>
      <c r="E120" s="11">
        <f>SUMIFS(WorkOrders!$E$2:$E$500,WorkOrders!$C$2:$C$500,A120)</f>
        <v/>
      </c>
      <c r="F120" s="11">
        <f>SUMIFS(WorkOrders!$F$2:$F$500,WorkOrders!$C$2:$C$500,A120)</f>
        <v/>
      </c>
      <c r="G120" s="11">
        <f>E120-F120</f>
        <v/>
      </c>
      <c r="H120" s="11">
        <f>SUMIFS(Downtime!$G$2:$G$500,Downtime!$A$2:$A$500,A120)</f>
        <v/>
      </c>
      <c r="I120" s="11">
        <f>MAX(0,D120-H120)</f>
        <v/>
      </c>
      <c r="J120" s="15">
        <f>IF(A120="","",IF(D120=0,0,MIN(1,I120/D120)))</f>
        <v/>
      </c>
      <c r="K120" s="15">
        <f>IF(A120="","",IF(OR(I120=0,C120=0),0,MIN(1,E120/((I120/60)*C120))))</f>
        <v/>
      </c>
      <c r="L120" s="15">
        <f>IF(A120="","",IF(E120=0,0,MIN(1,MAX(0,G120/E120))))</f>
        <v/>
      </c>
      <c r="M120" s="15">
        <f>IF(A120="","",J120*K120*L120)</f>
        <v/>
      </c>
    </row>
    <row r="121">
      <c r="A121" s="11">
        <f>Machines!A121</f>
        <v/>
      </c>
      <c r="B121" s="11">
        <f>Machines!B121</f>
        <v/>
      </c>
      <c r="C121" s="11">
        <f>IF(A121="","",Machines!D121)</f>
        <v/>
      </c>
      <c r="D121" s="11">
        <f>SUMIFS(WorkOrders!$M$2:$M$500,WorkOrders!$C$2:$C$500,A121)</f>
        <v/>
      </c>
      <c r="E121" s="11">
        <f>SUMIFS(WorkOrders!$E$2:$E$500,WorkOrders!$C$2:$C$500,A121)</f>
        <v/>
      </c>
      <c r="F121" s="11">
        <f>SUMIFS(WorkOrders!$F$2:$F$500,WorkOrders!$C$2:$C$500,A121)</f>
        <v/>
      </c>
      <c r="G121" s="11">
        <f>E121-F121</f>
        <v/>
      </c>
      <c r="H121" s="11">
        <f>SUMIFS(Downtime!$G$2:$G$500,Downtime!$A$2:$A$500,A121)</f>
        <v/>
      </c>
      <c r="I121" s="11">
        <f>MAX(0,D121-H121)</f>
        <v/>
      </c>
      <c r="J121" s="15">
        <f>IF(A121="","",IF(D121=0,0,MIN(1,I121/D121)))</f>
        <v/>
      </c>
      <c r="K121" s="15">
        <f>IF(A121="","",IF(OR(I121=0,C121=0),0,MIN(1,E121/((I121/60)*C121))))</f>
        <v/>
      </c>
      <c r="L121" s="15">
        <f>IF(A121="","",IF(E121=0,0,MIN(1,MAX(0,G121/E121))))</f>
        <v/>
      </c>
      <c r="M121" s="15">
        <f>IF(A121="","",J121*K121*L121)</f>
        <v/>
      </c>
    </row>
    <row r="122">
      <c r="A122" s="11">
        <f>Machines!A122</f>
        <v/>
      </c>
      <c r="B122" s="11">
        <f>Machines!B122</f>
        <v/>
      </c>
      <c r="C122" s="11">
        <f>IF(A122="","",Machines!D122)</f>
        <v/>
      </c>
      <c r="D122" s="11">
        <f>SUMIFS(WorkOrders!$M$2:$M$500,WorkOrders!$C$2:$C$500,A122)</f>
        <v/>
      </c>
      <c r="E122" s="11">
        <f>SUMIFS(WorkOrders!$E$2:$E$500,WorkOrders!$C$2:$C$500,A122)</f>
        <v/>
      </c>
      <c r="F122" s="11">
        <f>SUMIFS(WorkOrders!$F$2:$F$500,WorkOrders!$C$2:$C$500,A122)</f>
        <v/>
      </c>
      <c r="G122" s="11">
        <f>E122-F122</f>
        <v/>
      </c>
      <c r="H122" s="11">
        <f>SUMIFS(Downtime!$G$2:$G$500,Downtime!$A$2:$A$500,A122)</f>
        <v/>
      </c>
      <c r="I122" s="11">
        <f>MAX(0,D122-H122)</f>
        <v/>
      </c>
      <c r="J122" s="15">
        <f>IF(A122="","",IF(D122=0,0,MIN(1,I122/D122)))</f>
        <v/>
      </c>
      <c r="K122" s="15">
        <f>IF(A122="","",IF(OR(I122=0,C122=0),0,MIN(1,E122/((I122/60)*C122))))</f>
        <v/>
      </c>
      <c r="L122" s="15">
        <f>IF(A122="","",IF(E122=0,0,MIN(1,MAX(0,G122/E122))))</f>
        <v/>
      </c>
      <c r="M122" s="15">
        <f>IF(A122="","",J122*K122*L122)</f>
        <v/>
      </c>
    </row>
    <row r="123">
      <c r="A123" s="11">
        <f>Machines!A123</f>
        <v/>
      </c>
      <c r="B123" s="11">
        <f>Machines!B123</f>
        <v/>
      </c>
      <c r="C123" s="11">
        <f>IF(A123="","",Machines!D123)</f>
        <v/>
      </c>
      <c r="D123" s="11">
        <f>SUMIFS(WorkOrders!$M$2:$M$500,WorkOrders!$C$2:$C$500,A123)</f>
        <v/>
      </c>
      <c r="E123" s="11">
        <f>SUMIFS(WorkOrders!$E$2:$E$500,WorkOrders!$C$2:$C$500,A123)</f>
        <v/>
      </c>
      <c r="F123" s="11">
        <f>SUMIFS(WorkOrders!$F$2:$F$500,WorkOrders!$C$2:$C$500,A123)</f>
        <v/>
      </c>
      <c r="G123" s="11">
        <f>E123-F123</f>
        <v/>
      </c>
      <c r="H123" s="11">
        <f>SUMIFS(Downtime!$G$2:$G$500,Downtime!$A$2:$A$500,A123)</f>
        <v/>
      </c>
      <c r="I123" s="11">
        <f>MAX(0,D123-H123)</f>
        <v/>
      </c>
      <c r="J123" s="15">
        <f>IF(A123="","",IF(D123=0,0,MIN(1,I123/D123)))</f>
        <v/>
      </c>
      <c r="K123" s="15">
        <f>IF(A123="","",IF(OR(I123=0,C123=0),0,MIN(1,E123/((I123/60)*C123))))</f>
        <v/>
      </c>
      <c r="L123" s="15">
        <f>IF(A123="","",IF(E123=0,0,MIN(1,MAX(0,G123/E123))))</f>
        <v/>
      </c>
      <c r="M123" s="15">
        <f>IF(A123="","",J123*K123*L123)</f>
        <v/>
      </c>
    </row>
    <row r="124">
      <c r="A124" s="11">
        <f>Machines!A124</f>
        <v/>
      </c>
      <c r="B124" s="11">
        <f>Machines!B124</f>
        <v/>
      </c>
      <c r="C124" s="11">
        <f>IF(A124="","",Machines!D124)</f>
        <v/>
      </c>
      <c r="D124" s="11">
        <f>SUMIFS(WorkOrders!$M$2:$M$500,WorkOrders!$C$2:$C$500,A124)</f>
        <v/>
      </c>
      <c r="E124" s="11">
        <f>SUMIFS(WorkOrders!$E$2:$E$500,WorkOrders!$C$2:$C$500,A124)</f>
        <v/>
      </c>
      <c r="F124" s="11">
        <f>SUMIFS(WorkOrders!$F$2:$F$500,WorkOrders!$C$2:$C$500,A124)</f>
        <v/>
      </c>
      <c r="G124" s="11">
        <f>E124-F124</f>
        <v/>
      </c>
      <c r="H124" s="11">
        <f>SUMIFS(Downtime!$G$2:$G$500,Downtime!$A$2:$A$500,A124)</f>
        <v/>
      </c>
      <c r="I124" s="11">
        <f>MAX(0,D124-H124)</f>
        <v/>
      </c>
      <c r="J124" s="15">
        <f>IF(A124="","",IF(D124=0,0,MIN(1,I124/D124)))</f>
        <v/>
      </c>
      <c r="K124" s="15">
        <f>IF(A124="","",IF(OR(I124=0,C124=0),0,MIN(1,E124/((I124/60)*C124))))</f>
        <v/>
      </c>
      <c r="L124" s="15">
        <f>IF(A124="","",IF(E124=0,0,MIN(1,MAX(0,G124/E124))))</f>
        <v/>
      </c>
      <c r="M124" s="15">
        <f>IF(A124="","",J124*K124*L124)</f>
        <v/>
      </c>
    </row>
    <row r="125">
      <c r="A125" s="11">
        <f>Machines!A125</f>
        <v/>
      </c>
      <c r="B125" s="11">
        <f>Machines!B125</f>
        <v/>
      </c>
      <c r="C125" s="11">
        <f>IF(A125="","",Machines!D125)</f>
        <v/>
      </c>
      <c r="D125" s="11">
        <f>SUMIFS(WorkOrders!$M$2:$M$500,WorkOrders!$C$2:$C$500,A125)</f>
        <v/>
      </c>
      <c r="E125" s="11">
        <f>SUMIFS(WorkOrders!$E$2:$E$500,WorkOrders!$C$2:$C$500,A125)</f>
        <v/>
      </c>
      <c r="F125" s="11">
        <f>SUMIFS(WorkOrders!$F$2:$F$500,WorkOrders!$C$2:$C$500,A125)</f>
        <v/>
      </c>
      <c r="G125" s="11">
        <f>E125-F125</f>
        <v/>
      </c>
      <c r="H125" s="11">
        <f>SUMIFS(Downtime!$G$2:$G$500,Downtime!$A$2:$A$500,A125)</f>
        <v/>
      </c>
      <c r="I125" s="11">
        <f>MAX(0,D125-H125)</f>
        <v/>
      </c>
      <c r="J125" s="15">
        <f>IF(A125="","",IF(D125=0,0,MIN(1,I125/D125)))</f>
        <v/>
      </c>
      <c r="K125" s="15">
        <f>IF(A125="","",IF(OR(I125=0,C125=0),0,MIN(1,E125/((I125/60)*C125))))</f>
        <v/>
      </c>
      <c r="L125" s="15">
        <f>IF(A125="","",IF(E125=0,0,MIN(1,MAX(0,G125/E125))))</f>
        <v/>
      </c>
      <c r="M125" s="15">
        <f>IF(A125="","",J125*K125*L125)</f>
        <v/>
      </c>
    </row>
    <row r="126">
      <c r="A126" s="11">
        <f>Machines!A126</f>
        <v/>
      </c>
      <c r="B126" s="11">
        <f>Machines!B126</f>
        <v/>
      </c>
      <c r="C126" s="11">
        <f>IF(A126="","",Machines!D126)</f>
        <v/>
      </c>
      <c r="D126" s="11">
        <f>SUMIFS(WorkOrders!$M$2:$M$500,WorkOrders!$C$2:$C$500,A126)</f>
        <v/>
      </c>
      <c r="E126" s="11">
        <f>SUMIFS(WorkOrders!$E$2:$E$500,WorkOrders!$C$2:$C$500,A126)</f>
        <v/>
      </c>
      <c r="F126" s="11">
        <f>SUMIFS(WorkOrders!$F$2:$F$500,WorkOrders!$C$2:$C$500,A126)</f>
        <v/>
      </c>
      <c r="G126" s="11">
        <f>E126-F126</f>
        <v/>
      </c>
      <c r="H126" s="11">
        <f>SUMIFS(Downtime!$G$2:$G$500,Downtime!$A$2:$A$500,A126)</f>
        <v/>
      </c>
      <c r="I126" s="11">
        <f>MAX(0,D126-H126)</f>
        <v/>
      </c>
      <c r="J126" s="15">
        <f>IF(A126="","",IF(D126=0,0,MIN(1,I126/D126)))</f>
        <v/>
      </c>
      <c r="K126" s="15">
        <f>IF(A126="","",IF(OR(I126=0,C126=0),0,MIN(1,E126/((I126/60)*C126))))</f>
        <v/>
      </c>
      <c r="L126" s="15">
        <f>IF(A126="","",IF(E126=0,0,MIN(1,MAX(0,G126/E126))))</f>
        <v/>
      </c>
      <c r="M126" s="15">
        <f>IF(A126="","",J126*K126*L126)</f>
        <v/>
      </c>
    </row>
    <row r="127">
      <c r="A127" s="11">
        <f>Machines!A127</f>
        <v/>
      </c>
      <c r="B127" s="11">
        <f>Machines!B127</f>
        <v/>
      </c>
      <c r="C127" s="11">
        <f>IF(A127="","",Machines!D127)</f>
        <v/>
      </c>
      <c r="D127" s="11">
        <f>SUMIFS(WorkOrders!$M$2:$M$500,WorkOrders!$C$2:$C$500,A127)</f>
        <v/>
      </c>
      <c r="E127" s="11">
        <f>SUMIFS(WorkOrders!$E$2:$E$500,WorkOrders!$C$2:$C$500,A127)</f>
        <v/>
      </c>
      <c r="F127" s="11">
        <f>SUMIFS(WorkOrders!$F$2:$F$500,WorkOrders!$C$2:$C$500,A127)</f>
        <v/>
      </c>
      <c r="G127" s="11">
        <f>E127-F127</f>
        <v/>
      </c>
      <c r="H127" s="11">
        <f>SUMIFS(Downtime!$G$2:$G$500,Downtime!$A$2:$A$500,A127)</f>
        <v/>
      </c>
      <c r="I127" s="11">
        <f>MAX(0,D127-H127)</f>
        <v/>
      </c>
      <c r="J127" s="15">
        <f>IF(A127="","",IF(D127=0,0,MIN(1,I127/D127)))</f>
        <v/>
      </c>
      <c r="K127" s="15">
        <f>IF(A127="","",IF(OR(I127=0,C127=0),0,MIN(1,E127/((I127/60)*C127))))</f>
        <v/>
      </c>
      <c r="L127" s="15">
        <f>IF(A127="","",IF(E127=0,0,MIN(1,MAX(0,G127/E127))))</f>
        <v/>
      </c>
      <c r="M127" s="15">
        <f>IF(A127="","",J127*K127*L127)</f>
        <v/>
      </c>
    </row>
    <row r="128">
      <c r="A128" s="11">
        <f>Machines!A128</f>
        <v/>
      </c>
      <c r="B128" s="11">
        <f>Machines!B128</f>
        <v/>
      </c>
      <c r="C128" s="11">
        <f>IF(A128="","",Machines!D128)</f>
        <v/>
      </c>
      <c r="D128" s="11">
        <f>SUMIFS(WorkOrders!$M$2:$M$500,WorkOrders!$C$2:$C$500,A128)</f>
        <v/>
      </c>
      <c r="E128" s="11">
        <f>SUMIFS(WorkOrders!$E$2:$E$500,WorkOrders!$C$2:$C$500,A128)</f>
        <v/>
      </c>
      <c r="F128" s="11">
        <f>SUMIFS(WorkOrders!$F$2:$F$500,WorkOrders!$C$2:$C$500,A128)</f>
        <v/>
      </c>
      <c r="G128" s="11">
        <f>E128-F128</f>
        <v/>
      </c>
      <c r="H128" s="11">
        <f>SUMIFS(Downtime!$G$2:$G$500,Downtime!$A$2:$A$500,A128)</f>
        <v/>
      </c>
      <c r="I128" s="11">
        <f>MAX(0,D128-H128)</f>
        <v/>
      </c>
      <c r="J128" s="15">
        <f>IF(A128="","",IF(D128=0,0,MIN(1,I128/D128)))</f>
        <v/>
      </c>
      <c r="K128" s="15">
        <f>IF(A128="","",IF(OR(I128=0,C128=0),0,MIN(1,E128/((I128/60)*C128))))</f>
        <v/>
      </c>
      <c r="L128" s="15">
        <f>IF(A128="","",IF(E128=0,0,MIN(1,MAX(0,G128/E128))))</f>
        <v/>
      </c>
      <c r="M128" s="15">
        <f>IF(A128="","",J128*K128*L128)</f>
        <v/>
      </c>
    </row>
    <row r="129">
      <c r="A129" s="11">
        <f>Machines!A129</f>
        <v/>
      </c>
      <c r="B129" s="11">
        <f>Machines!B129</f>
        <v/>
      </c>
      <c r="C129" s="11">
        <f>IF(A129="","",Machines!D129)</f>
        <v/>
      </c>
      <c r="D129" s="11">
        <f>SUMIFS(WorkOrders!$M$2:$M$500,WorkOrders!$C$2:$C$500,A129)</f>
        <v/>
      </c>
      <c r="E129" s="11">
        <f>SUMIFS(WorkOrders!$E$2:$E$500,WorkOrders!$C$2:$C$500,A129)</f>
        <v/>
      </c>
      <c r="F129" s="11">
        <f>SUMIFS(WorkOrders!$F$2:$F$500,WorkOrders!$C$2:$C$500,A129)</f>
        <v/>
      </c>
      <c r="G129" s="11">
        <f>E129-F129</f>
        <v/>
      </c>
      <c r="H129" s="11">
        <f>SUMIFS(Downtime!$G$2:$G$500,Downtime!$A$2:$A$500,A129)</f>
        <v/>
      </c>
      <c r="I129" s="11">
        <f>MAX(0,D129-H129)</f>
        <v/>
      </c>
      <c r="J129" s="15">
        <f>IF(A129="","",IF(D129=0,0,MIN(1,I129/D129)))</f>
        <v/>
      </c>
      <c r="K129" s="15">
        <f>IF(A129="","",IF(OR(I129=0,C129=0),0,MIN(1,E129/((I129/60)*C129))))</f>
        <v/>
      </c>
      <c r="L129" s="15">
        <f>IF(A129="","",IF(E129=0,0,MIN(1,MAX(0,G129/E129))))</f>
        <v/>
      </c>
      <c r="M129" s="15">
        <f>IF(A129="","",J129*K129*L129)</f>
        <v/>
      </c>
    </row>
    <row r="130">
      <c r="A130" s="11">
        <f>Machines!A130</f>
        <v/>
      </c>
      <c r="B130" s="11">
        <f>Machines!B130</f>
        <v/>
      </c>
      <c r="C130" s="11">
        <f>IF(A130="","",Machines!D130)</f>
        <v/>
      </c>
      <c r="D130" s="11">
        <f>SUMIFS(WorkOrders!$M$2:$M$500,WorkOrders!$C$2:$C$500,A130)</f>
        <v/>
      </c>
      <c r="E130" s="11">
        <f>SUMIFS(WorkOrders!$E$2:$E$500,WorkOrders!$C$2:$C$500,A130)</f>
        <v/>
      </c>
      <c r="F130" s="11">
        <f>SUMIFS(WorkOrders!$F$2:$F$500,WorkOrders!$C$2:$C$500,A130)</f>
        <v/>
      </c>
      <c r="G130" s="11">
        <f>E130-F130</f>
        <v/>
      </c>
      <c r="H130" s="11">
        <f>SUMIFS(Downtime!$G$2:$G$500,Downtime!$A$2:$A$500,A130)</f>
        <v/>
      </c>
      <c r="I130" s="11">
        <f>MAX(0,D130-H130)</f>
        <v/>
      </c>
      <c r="J130" s="15">
        <f>IF(A130="","",IF(D130=0,0,MIN(1,I130/D130)))</f>
        <v/>
      </c>
      <c r="K130" s="15">
        <f>IF(A130="","",IF(OR(I130=0,C130=0),0,MIN(1,E130/((I130/60)*C130))))</f>
        <v/>
      </c>
      <c r="L130" s="15">
        <f>IF(A130="","",IF(E130=0,0,MIN(1,MAX(0,G130/E130))))</f>
        <v/>
      </c>
      <c r="M130" s="15">
        <f>IF(A130="","",J130*K130*L130)</f>
        <v/>
      </c>
    </row>
    <row r="131">
      <c r="A131" s="11">
        <f>Machines!A131</f>
        <v/>
      </c>
      <c r="B131" s="11">
        <f>Machines!B131</f>
        <v/>
      </c>
      <c r="C131" s="11">
        <f>IF(A131="","",Machines!D131)</f>
        <v/>
      </c>
      <c r="D131" s="11">
        <f>SUMIFS(WorkOrders!$M$2:$M$500,WorkOrders!$C$2:$C$500,A131)</f>
        <v/>
      </c>
      <c r="E131" s="11">
        <f>SUMIFS(WorkOrders!$E$2:$E$500,WorkOrders!$C$2:$C$500,A131)</f>
        <v/>
      </c>
      <c r="F131" s="11">
        <f>SUMIFS(WorkOrders!$F$2:$F$500,WorkOrders!$C$2:$C$500,A131)</f>
        <v/>
      </c>
      <c r="G131" s="11">
        <f>E131-F131</f>
        <v/>
      </c>
      <c r="H131" s="11">
        <f>SUMIFS(Downtime!$G$2:$G$500,Downtime!$A$2:$A$500,A131)</f>
        <v/>
      </c>
      <c r="I131" s="11">
        <f>MAX(0,D131-H131)</f>
        <v/>
      </c>
      <c r="J131" s="15">
        <f>IF(A131="","",IF(D131=0,0,MIN(1,I131/D131)))</f>
        <v/>
      </c>
      <c r="K131" s="15">
        <f>IF(A131="","",IF(OR(I131=0,C131=0),0,MIN(1,E131/((I131/60)*C131))))</f>
        <v/>
      </c>
      <c r="L131" s="15">
        <f>IF(A131="","",IF(E131=0,0,MIN(1,MAX(0,G131/E131))))</f>
        <v/>
      </c>
      <c r="M131" s="15">
        <f>IF(A131="","",J131*K131*L131)</f>
        <v/>
      </c>
    </row>
    <row r="132">
      <c r="A132" s="11">
        <f>Machines!A132</f>
        <v/>
      </c>
      <c r="B132" s="11">
        <f>Machines!B132</f>
        <v/>
      </c>
      <c r="C132" s="11">
        <f>IF(A132="","",Machines!D132)</f>
        <v/>
      </c>
      <c r="D132" s="11">
        <f>SUMIFS(WorkOrders!$M$2:$M$500,WorkOrders!$C$2:$C$500,A132)</f>
        <v/>
      </c>
      <c r="E132" s="11">
        <f>SUMIFS(WorkOrders!$E$2:$E$500,WorkOrders!$C$2:$C$500,A132)</f>
        <v/>
      </c>
      <c r="F132" s="11">
        <f>SUMIFS(WorkOrders!$F$2:$F$500,WorkOrders!$C$2:$C$500,A132)</f>
        <v/>
      </c>
      <c r="G132" s="11">
        <f>E132-F132</f>
        <v/>
      </c>
      <c r="H132" s="11">
        <f>SUMIFS(Downtime!$G$2:$G$500,Downtime!$A$2:$A$500,A132)</f>
        <v/>
      </c>
      <c r="I132" s="11">
        <f>MAX(0,D132-H132)</f>
        <v/>
      </c>
      <c r="J132" s="15">
        <f>IF(A132="","",IF(D132=0,0,MIN(1,I132/D132)))</f>
        <v/>
      </c>
      <c r="K132" s="15">
        <f>IF(A132="","",IF(OR(I132=0,C132=0),0,MIN(1,E132/((I132/60)*C132))))</f>
        <v/>
      </c>
      <c r="L132" s="15">
        <f>IF(A132="","",IF(E132=0,0,MIN(1,MAX(0,G132/E132))))</f>
        <v/>
      </c>
      <c r="M132" s="15">
        <f>IF(A132="","",J132*K132*L132)</f>
        <v/>
      </c>
    </row>
    <row r="133">
      <c r="A133" s="11">
        <f>Machines!A133</f>
        <v/>
      </c>
      <c r="B133" s="11">
        <f>Machines!B133</f>
        <v/>
      </c>
      <c r="C133" s="11">
        <f>IF(A133="","",Machines!D133)</f>
        <v/>
      </c>
      <c r="D133" s="11">
        <f>SUMIFS(WorkOrders!$M$2:$M$500,WorkOrders!$C$2:$C$500,A133)</f>
        <v/>
      </c>
      <c r="E133" s="11">
        <f>SUMIFS(WorkOrders!$E$2:$E$500,WorkOrders!$C$2:$C$500,A133)</f>
        <v/>
      </c>
      <c r="F133" s="11">
        <f>SUMIFS(WorkOrders!$F$2:$F$500,WorkOrders!$C$2:$C$500,A133)</f>
        <v/>
      </c>
      <c r="G133" s="11">
        <f>E133-F133</f>
        <v/>
      </c>
      <c r="H133" s="11">
        <f>SUMIFS(Downtime!$G$2:$G$500,Downtime!$A$2:$A$500,A133)</f>
        <v/>
      </c>
      <c r="I133" s="11">
        <f>MAX(0,D133-H133)</f>
        <v/>
      </c>
      <c r="J133" s="15">
        <f>IF(A133="","",IF(D133=0,0,MIN(1,I133/D133)))</f>
        <v/>
      </c>
      <c r="K133" s="15">
        <f>IF(A133="","",IF(OR(I133=0,C133=0),0,MIN(1,E133/((I133/60)*C133))))</f>
        <v/>
      </c>
      <c r="L133" s="15">
        <f>IF(A133="","",IF(E133=0,0,MIN(1,MAX(0,G133/E133))))</f>
        <v/>
      </c>
      <c r="M133" s="15">
        <f>IF(A133="","",J133*K133*L133)</f>
        <v/>
      </c>
    </row>
    <row r="134">
      <c r="A134" s="11">
        <f>Machines!A134</f>
        <v/>
      </c>
      <c r="B134" s="11">
        <f>Machines!B134</f>
        <v/>
      </c>
      <c r="C134" s="11">
        <f>IF(A134="","",Machines!D134)</f>
        <v/>
      </c>
      <c r="D134" s="11">
        <f>SUMIFS(WorkOrders!$M$2:$M$500,WorkOrders!$C$2:$C$500,A134)</f>
        <v/>
      </c>
      <c r="E134" s="11">
        <f>SUMIFS(WorkOrders!$E$2:$E$500,WorkOrders!$C$2:$C$500,A134)</f>
        <v/>
      </c>
      <c r="F134" s="11">
        <f>SUMIFS(WorkOrders!$F$2:$F$500,WorkOrders!$C$2:$C$500,A134)</f>
        <v/>
      </c>
      <c r="G134" s="11">
        <f>E134-F134</f>
        <v/>
      </c>
      <c r="H134" s="11">
        <f>SUMIFS(Downtime!$G$2:$G$500,Downtime!$A$2:$A$500,A134)</f>
        <v/>
      </c>
      <c r="I134" s="11">
        <f>MAX(0,D134-H134)</f>
        <v/>
      </c>
      <c r="J134" s="15">
        <f>IF(A134="","",IF(D134=0,0,MIN(1,I134/D134)))</f>
        <v/>
      </c>
      <c r="K134" s="15">
        <f>IF(A134="","",IF(OR(I134=0,C134=0),0,MIN(1,E134/((I134/60)*C134))))</f>
        <v/>
      </c>
      <c r="L134" s="15">
        <f>IF(A134="","",IF(E134=0,0,MIN(1,MAX(0,G134/E134))))</f>
        <v/>
      </c>
      <c r="M134" s="15">
        <f>IF(A134="","",J134*K134*L134)</f>
        <v/>
      </c>
    </row>
    <row r="135">
      <c r="A135" s="11">
        <f>Machines!A135</f>
        <v/>
      </c>
      <c r="B135" s="11">
        <f>Machines!B135</f>
        <v/>
      </c>
      <c r="C135" s="11">
        <f>IF(A135="","",Machines!D135)</f>
        <v/>
      </c>
      <c r="D135" s="11">
        <f>SUMIFS(WorkOrders!$M$2:$M$500,WorkOrders!$C$2:$C$500,A135)</f>
        <v/>
      </c>
      <c r="E135" s="11">
        <f>SUMIFS(WorkOrders!$E$2:$E$500,WorkOrders!$C$2:$C$500,A135)</f>
        <v/>
      </c>
      <c r="F135" s="11">
        <f>SUMIFS(WorkOrders!$F$2:$F$500,WorkOrders!$C$2:$C$500,A135)</f>
        <v/>
      </c>
      <c r="G135" s="11">
        <f>E135-F135</f>
        <v/>
      </c>
      <c r="H135" s="11">
        <f>SUMIFS(Downtime!$G$2:$G$500,Downtime!$A$2:$A$500,A135)</f>
        <v/>
      </c>
      <c r="I135" s="11">
        <f>MAX(0,D135-H135)</f>
        <v/>
      </c>
      <c r="J135" s="15">
        <f>IF(A135="","",IF(D135=0,0,MIN(1,I135/D135)))</f>
        <v/>
      </c>
      <c r="K135" s="15">
        <f>IF(A135="","",IF(OR(I135=0,C135=0),0,MIN(1,E135/((I135/60)*C135))))</f>
        <v/>
      </c>
      <c r="L135" s="15">
        <f>IF(A135="","",IF(E135=0,0,MIN(1,MAX(0,G135/E135))))</f>
        <v/>
      </c>
      <c r="M135" s="15">
        <f>IF(A135="","",J135*K135*L135)</f>
        <v/>
      </c>
    </row>
    <row r="136">
      <c r="A136" s="11">
        <f>Machines!A136</f>
        <v/>
      </c>
      <c r="B136" s="11">
        <f>Machines!B136</f>
        <v/>
      </c>
      <c r="C136" s="11">
        <f>IF(A136="","",Machines!D136)</f>
        <v/>
      </c>
      <c r="D136" s="11">
        <f>SUMIFS(WorkOrders!$M$2:$M$500,WorkOrders!$C$2:$C$500,A136)</f>
        <v/>
      </c>
      <c r="E136" s="11">
        <f>SUMIFS(WorkOrders!$E$2:$E$500,WorkOrders!$C$2:$C$500,A136)</f>
        <v/>
      </c>
      <c r="F136" s="11">
        <f>SUMIFS(WorkOrders!$F$2:$F$500,WorkOrders!$C$2:$C$500,A136)</f>
        <v/>
      </c>
      <c r="G136" s="11">
        <f>E136-F136</f>
        <v/>
      </c>
      <c r="H136" s="11">
        <f>SUMIFS(Downtime!$G$2:$G$500,Downtime!$A$2:$A$500,A136)</f>
        <v/>
      </c>
      <c r="I136" s="11">
        <f>MAX(0,D136-H136)</f>
        <v/>
      </c>
      <c r="J136" s="15">
        <f>IF(A136="","",IF(D136=0,0,MIN(1,I136/D136)))</f>
        <v/>
      </c>
      <c r="K136" s="15">
        <f>IF(A136="","",IF(OR(I136=0,C136=0),0,MIN(1,E136/((I136/60)*C136))))</f>
        <v/>
      </c>
      <c r="L136" s="15">
        <f>IF(A136="","",IF(E136=0,0,MIN(1,MAX(0,G136/E136))))</f>
        <v/>
      </c>
      <c r="M136" s="15">
        <f>IF(A136="","",J136*K136*L136)</f>
        <v/>
      </c>
    </row>
    <row r="137">
      <c r="A137" s="11">
        <f>Machines!A137</f>
        <v/>
      </c>
      <c r="B137" s="11">
        <f>Machines!B137</f>
        <v/>
      </c>
      <c r="C137" s="11">
        <f>IF(A137="","",Machines!D137)</f>
        <v/>
      </c>
      <c r="D137" s="11">
        <f>SUMIFS(WorkOrders!$M$2:$M$500,WorkOrders!$C$2:$C$500,A137)</f>
        <v/>
      </c>
      <c r="E137" s="11">
        <f>SUMIFS(WorkOrders!$E$2:$E$500,WorkOrders!$C$2:$C$500,A137)</f>
        <v/>
      </c>
      <c r="F137" s="11">
        <f>SUMIFS(WorkOrders!$F$2:$F$500,WorkOrders!$C$2:$C$500,A137)</f>
        <v/>
      </c>
      <c r="G137" s="11">
        <f>E137-F137</f>
        <v/>
      </c>
      <c r="H137" s="11">
        <f>SUMIFS(Downtime!$G$2:$G$500,Downtime!$A$2:$A$500,A137)</f>
        <v/>
      </c>
      <c r="I137" s="11">
        <f>MAX(0,D137-H137)</f>
        <v/>
      </c>
      <c r="J137" s="15">
        <f>IF(A137="","",IF(D137=0,0,MIN(1,I137/D137)))</f>
        <v/>
      </c>
      <c r="K137" s="15">
        <f>IF(A137="","",IF(OR(I137=0,C137=0),0,MIN(1,E137/((I137/60)*C137))))</f>
        <v/>
      </c>
      <c r="L137" s="15">
        <f>IF(A137="","",IF(E137=0,0,MIN(1,MAX(0,G137/E137))))</f>
        <v/>
      </c>
      <c r="M137" s="15">
        <f>IF(A137="","",J137*K137*L137)</f>
        <v/>
      </c>
    </row>
    <row r="138">
      <c r="A138" s="11">
        <f>Machines!A138</f>
        <v/>
      </c>
      <c r="B138" s="11">
        <f>Machines!B138</f>
        <v/>
      </c>
      <c r="C138" s="11">
        <f>IF(A138="","",Machines!D138)</f>
        <v/>
      </c>
      <c r="D138" s="11">
        <f>SUMIFS(WorkOrders!$M$2:$M$500,WorkOrders!$C$2:$C$500,A138)</f>
        <v/>
      </c>
      <c r="E138" s="11">
        <f>SUMIFS(WorkOrders!$E$2:$E$500,WorkOrders!$C$2:$C$500,A138)</f>
        <v/>
      </c>
      <c r="F138" s="11">
        <f>SUMIFS(WorkOrders!$F$2:$F$500,WorkOrders!$C$2:$C$500,A138)</f>
        <v/>
      </c>
      <c r="G138" s="11">
        <f>E138-F138</f>
        <v/>
      </c>
      <c r="H138" s="11">
        <f>SUMIFS(Downtime!$G$2:$G$500,Downtime!$A$2:$A$500,A138)</f>
        <v/>
      </c>
      <c r="I138" s="11">
        <f>MAX(0,D138-H138)</f>
        <v/>
      </c>
      <c r="J138" s="15">
        <f>IF(A138="","",IF(D138=0,0,MIN(1,I138/D138)))</f>
        <v/>
      </c>
      <c r="K138" s="15">
        <f>IF(A138="","",IF(OR(I138=0,C138=0),0,MIN(1,E138/((I138/60)*C138))))</f>
        <v/>
      </c>
      <c r="L138" s="15">
        <f>IF(A138="","",IF(E138=0,0,MIN(1,MAX(0,G138/E138))))</f>
        <v/>
      </c>
      <c r="M138" s="15">
        <f>IF(A138="","",J138*K138*L138)</f>
        <v/>
      </c>
    </row>
    <row r="139">
      <c r="A139" s="11">
        <f>Machines!A139</f>
        <v/>
      </c>
      <c r="B139" s="11">
        <f>Machines!B139</f>
        <v/>
      </c>
      <c r="C139" s="11">
        <f>IF(A139="","",Machines!D139)</f>
        <v/>
      </c>
      <c r="D139" s="11">
        <f>SUMIFS(WorkOrders!$M$2:$M$500,WorkOrders!$C$2:$C$500,A139)</f>
        <v/>
      </c>
      <c r="E139" s="11">
        <f>SUMIFS(WorkOrders!$E$2:$E$500,WorkOrders!$C$2:$C$500,A139)</f>
        <v/>
      </c>
      <c r="F139" s="11">
        <f>SUMIFS(WorkOrders!$F$2:$F$500,WorkOrders!$C$2:$C$500,A139)</f>
        <v/>
      </c>
      <c r="G139" s="11">
        <f>E139-F139</f>
        <v/>
      </c>
      <c r="H139" s="11">
        <f>SUMIFS(Downtime!$G$2:$G$500,Downtime!$A$2:$A$500,A139)</f>
        <v/>
      </c>
      <c r="I139" s="11">
        <f>MAX(0,D139-H139)</f>
        <v/>
      </c>
      <c r="J139" s="15">
        <f>IF(A139="","",IF(D139=0,0,MIN(1,I139/D139)))</f>
        <v/>
      </c>
      <c r="K139" s="15">
        <f>IF(A139="","",IF(OR(I139=0,C139=0),0,MIN(1,E139/((I139/60)*C139))))</f>
        <v/>
      </c>
      <c r="L139" s="15">
        <f>IF(A139="","",IF(E139=0,0,MIN(1,MAX(0,G139/E139))))</f>
        <v/>
      </c>
      <c r="M139" s="15">
        <f>IF(A139="","",J139*K139*L139)</f>
        <v/>
      </c>
    </row>
    <row r="140">
      <c r="A140" s="11">
        <f>Machines!A140</f>
        <v/>
      </c>
      <c r="B140" s="11">
        <f>Machines!B140</f>
        <v/>
      </c>
      <c r="C140" s="11">
        <f>IF(A140="","",Machines!D140)</f>
        <v/>
      </c>
      <c r="D140" s="11">
        <f>SUMIFS(WorkOrders!$M$2:$M$500,WorkOrders!$C$2:$C$500,A140)</f>
        <v/>
      </c>
      <c r="E140" s="11">
        <f>SUMIFS(WorkOrders!$E$2:$E$500,WorkOrders!$C$2:$C$500,A140)</f>
        <v/>
      </c>
      <c r="F140" s="11">
        <f>SUMIFS(WorkOrders!$F$2:$F$500,WorkOrders!$C$2:$C$500,A140)</f>
        <v/>
      </c>
      <c r="G140" s="11">
        <f>E140-F140</f>
        <v/>
      </c>
      <c r="H140" s="11">
        <f>SUMIFS(Downtime!$G$2:$G$500,Downtime!$A$2:$A$500,A140)</f>
        <v/>
      </c>
      <c r="I140" s="11">
        <f>MAX(0,D140-H140)</f>
        <v/>
      </c>
      <c r="J140" s="15">
        <f>IF(A140="","",IF(D140=0,0,MIN(1,I140/D140)))</f>
        <v/>
      </c>
      <c r="K140" s="15">
        <f>IF(A140="","",IF(OR(I140=0,C140=0),0,MIN(1,E140/((I140/60)*C140))))</f>
        <v/>
      </c>
      <c r="L140" s="15">
        <f>IF(A140="","",IF(E140=0,0,MIN(1,MAX(0,G140/E140))))</f>
        <v/>
      </c>
      <c r="M140" s="15">
        <f>IF(A140="","",J140*K140*L140)</f>
        <v/>
      </c>
    </row>
    <row r="141">
      <c r="A141" s="11">
        <f>Machines!A141</f>
        <v/>
      </c>
      <c r="B141" s="11">
        <f>Machines!B141</f>
        <v/>
      </c>
      <c r="C141" s="11">
        <f>IF(A141="","",Machines!D141)</f>
        <v/>
      </c>
      <c r="D141" s="11">
        <f>SUMIFS(WorkOrders!$M$2:$M$500,WorkOrders!$C$2:$C$500,A141)</f>
        <v/>
      </c>
      <c r="E141" s="11">
        <f>SUMIFS(WorkOrders!$E$2:$E$500,WorkOrders!$C$2:$C$500,A141)</f>
        <v/>
      </c>
      <c r="F141" s="11">
        <f>SUMIFS(WorkOrders!$F$2:$F$500,WorkOrders!$C$2:$C$500,A141)</f>
        <v/>
      </c>
      <c r="G141" s="11">
        <f>E141-F141</f>
        <v/>
      </c>
      <c r="H141" s="11">
        <f>SUMIFS(Downtime!$G$2:$G$500,Downtime!$A$2:$A$500,A141)</f>
        <v/>
      </c>
      <c r="I141" s="11">
        <f>MAX(0,D141-H141)</f>
        <v/>
      </c>
      <c r="J141" s="15">
        <f>IF(A141="","",IF(D141=0,0,MIN(1,I141/D141)))</f>
        <v/>
      </c>
      <c r="K141" s="15">
        <f>IF(A141="","",IF(OR(I141=0,C141=0),0,MIN(1,E141/((I141/60)*C141))))</f>
        <v/>
      </c>
      <c r="L141" s="15">
        <f>IF(A141="","",IF(E141=0,0,MIN(1,MAX(0,G141/E141))))</f>
        <v/>
      </c>
      <c r="M141" s="15">
        <f>IF(A141="","",J141*K141*L141)</f>
        <v/>
      </c>
    </row>
    <row r="142">
      <c r="A142" s="11">
        <f>Machines!A142</f>
        <v/>
      </c>
      <c r="B142" s="11">
        <f>Machines!B142</f>
        <v/>
      </c>
      <c r="C142" s="11">
        <f>IF(A142="","",Machines!D142)</f>
        <v/>
      </c>
      <c r="D142" s="11">
        <f>SUMIFS(WorkOrders!$M$2:$M$500,WorkOrders!$C$2:$C$500,A142)</f>
        <v/>
      </c>
      <c r="E142" s="11">
        <f>SUMIFS(WorkOrders!$E$2:$E$500,WorkOrders!$C$2:$C$500,A142)</f>
        <v/>
      </c>
      <c r="F142" s="11">
        <f>SUMIFS(WorkOrders!$F$2:$F$500,WorkOrders!$C$2:$C$500,A142)</f>
        <v/>
      </c>
      <c r="G142" s="11">
        <f>E142-F142</f>
        <v/>
      </c>
      <c r="H142" s="11">
        <f>SUMIFS(Downtime!$G$2:$G$500,Downtime!$A$2:$A$500,A142)</f>
        <v/>
      </c>
      <c r="I142" s="11">
        <f>MAX(0,D142-H142)</f>
        <v/>
      </c>
      <c r="J142" s="15">
        <f>IF(A142="","",IF(D142=0,0,MIN(1,I142/D142)))</f>
        <v/>
      </c>
      <c r="K142" s="15">
        <f>IF(A142="","",IF(OR(I142=0,C142=0),0,MIN(1,E142/((I142/60)*C142))))</f>
        <v/>
      </c>
      <c r="L142" s="15">
        <f>IF(A142="","",IF(E142=0,0,MIN(1,MAX(0,G142/E142))))</f>
        <v/>
      </c>
      <c r="M142" s="15">
        <f>IF(A142="","",J142*K142*L142)</f>
        <v/>
      </c>
    </row>
    <row r="143">
      <c r="A143" s="11">
        <f>Machines!A143</f>
        <v/>
      </c>
      <c r="B143" s="11">
        <f>Machines!B143</f>
        <v/>
      </c>
      <c r="C143" s="11">
        <f>IF(A143="","",Machines!D143)</f>
        <v/>
      </c>
      <c r="D143" s="11">
        <f>SUMIFS(WorkOrders!$M$2:$M$500,WorkOrders!$C$2:$C$500,A143)</f>
        <v/>
      </c>
      <c r="E143" s="11">
        <f>SUMIFS(WorkOrders!$E$2:$E$500,WorkOrders!$C$2:$C$500,A143)</f>
        <v/>
      </c>
      <c r="F143" s="11">
        <f>SUMIFS(WorkOrders!$F$2:$F$500,WorkOrders!$C$2:$C$500,A143)</f>
        <v/>
      </c>
      <c r="G143" s="11">
        <f>E143-F143</f>
        <v/>
      </c>
      <c r="H143" s="11">
        <f>SUMIFS(Downtime!$G$2:$G$500,Downtime!$A$2:$A$500,A143)</f>
        <v/>
      </c>
      <c r="I143" s="11">
        <f>MAX(0,D143-H143)</f>
        <v/>
      </c>
      <c r="J143" s="15">
        <f>IF(A143="","",IF(D143=0,0,MIN(1,I143/D143)))</f>
        <v/>
      </c>
      <c r="K143" s="15">
        <f>IF(A143="","",IF(OR(I143=0,C143=0),0,MIN(1,E143/((I143/60)*C143))))</f>
        <v/>
      </c>
      <c r="L143" s="15">
        <f>IF(A143="","",IF(E143=0,0,MIN(1,MAX(0,G143/E143))))</f>
        <v/>
      </c>
      <c r="M143" s="15">
        <f>IF(A143="","",J143*K143*L143)</f>
        <v/>
      </c>
    </row>
    <row r="144">
      <c r="A144" s="11">
        <f>Machines!A144</f>
        <v/>
      </c>
      <c r="B144" s="11">
        <f>Machines!B144</f>
        <v/>
      </c>
      <c r="C144" s="11">
        <f>IF(A144="","",Machines!D144)</f>
        <v/>
      </c>
      <c r="D144" s="11">
        <f>SUMIFS(WorkOrders!$M$2:$M$500,WorkOrders!$C$2:$C$500,A144)</f>
        <v/>
      </c>
      <c r="E144" s="11">
        <f>SUMIFS(WorkOrders!$E$2:$E$500,WorkOrders!$C$2:$C$500,A144)</f>
        <v/>
      </c>
      <c r="F144" s="11">
        <f>SUMIFS(WorkOrders!$F$2:$F$500,WorkOrders!$C$2:$C$500,A144)</f>
        <v/>
      </c>
      <c r="G144" s="11">
        <f>E144-F144</f>
        <v/>
      </c>
      <c r="H144" s="11">
        <f>SUMIFS(Downtime!$G$2:$G$500,Downtime!$A$2:$A$500,A144)</f>
        <v/>
      </c>
      <c r="I144" s="11">
        <f>MAX(0,D144-H144)</f>
        <v/>
      </c>
      <c r="J144" s="15">
        <f>IF(A144="","",IF(D144=0,0,MIN(1,I144/D144)))</f>
        <v/>
      </c>
      <c r="K144" s="15">
        <f>IF(A144="","",IF(OR(I144=0,C144=0),0,MIN(1,E144/((I144/60)*C144))))</f>
        <v/>
      </c>
      <c r="L144" s="15">
        <f>IF(A144="","",IF(E144=0,0,MIN(1,MAX(0,G144/E144))))</f>
        <v/>
      </c>
      <c r="M144" s="15">
        <f>IF(A144="","",J144*K144*L144)</f>
        <v/>
      </c>
    </row>
    <row r="145">
      <c r="A145" s="11">
        <f>Machines!A145</f>
        <v/>
      </c>
      <c r="B145" s="11">
        <f>Machines!B145</f>
        <v/>
      </c>
      <c r="C145" s="11">
        <f>IF(A145="","",Machines!D145)</f>
        <v/>
      </c>
      <c r="D145" s="11">
        <f>SUMIFS(WorkOrders!$M$2:$M$500,WorkOrders!$C$2:$C$500,A145)</f>
        <v/>
      </c>
      <c r="E145" s="11">
        <f>SUMIFS(WorkOrders!$E$2:$E$500,WorkOrders!$C$2:$C$500,A145)</f>
        <v/>
      </c>
      <c r="F145" s="11">
        <f>SUMIFS(WorkOrders!$F$2:$F$500,WorkOrders!$C$2:$C$500,A145)</f>
        <v/>
      </c>
      <c r="G145" s="11">
        <f>E145-F145</f>
        <v/>
      </c>
      <c r="H145" s="11">
        <f>SUMIFS(Downtime!$G$2:$G$500,Downtime!$A$2:$A$500,A145)</f>
        <v/>
      </c>
      <c r="I145" s="11">
        <f>MAX(0,D145-H145)</f>
        <v/>
      </c>
      <c r="J145" s="15">
        <f>IF(A145="","",IF(D145=0,0,MIN(1,I145/D145)))</f>
        <v/>
      </c>
      <c r="K145" s="15">
        <f>IF(A145="","",IF(OR(I145=0,C145=0),0,MIN(1,E145/((I145/60)*C145))))</f>
        <v/>
      </c>
      <c r="L145" s="15">
        <f>IF(A145="","",IF(E145=0,0,MIN(1,MAX(0,G145/E145))))</f>
        <v/>
      </c>
      <c r="M145" s="15">
        <f>IF(A145="","",J145*K145*L145)</f>
        <v/>
      </c>
    </row>
    <row r="146">
      <c r="A146" s="11">
        <f>Machines!A146</f>
        <v/>
      </c>
      <c r="B146" s="11">
        <f>Machines!B146</f>
        <v/>
      </c>
      <c r="C146" s="11">
        <f>IF(A146="","",Machines!D146)</f>
        <v/>
      </c>
      <c r="D146" s="11">
        <f>SUMIFS(WorkOrders!$M$2:$M$500,WorkOrders!$C$2:$C$500,A146)</f>
        <v/>
      </c>
      <c r="E146" s="11">
        <f>SUMIFS(WorkOrders!$E$2:$E$500,WorkOrders!$C$2:$C$500,A146)</f>
        <v/>
      </c>
      <c r="F146" s="11">
        <f>SUMIFS(WorkOrders!$F$2:$F$500,WorkOrders!$C$2:$C$500,A146)</f>
        <v/>
      </c>
      <c r="G146" s="11">
        <f>E146-F146</f>
        <v/>
      </c>
      <c r="H146" s="11">
        <f>SUMIFS(Downtime!$G$2:$G$500,Downtime!$A$2:$A$500,A146)</f>
        <v/>
      </c>
      <c r="I146" s="11">
        <f>MAX(0,D146-H146)</f>
        <v/>
      </c>
      <c r="J146" s="15">
        <f>IF(A146="","",IF(D146=0,0,MIN(1,I146/D146)))</f>
        <v/>
      </c>
      <c r="K146" s="15">
        <f>IF(A146="","",IF(OR(I146=0,C146=0),0,MIN(1,E146/((I146/60)*C146))))</f>
        <v/>
      </c>
      <c r="L146" s="15">
        <f>IF(A146="","",IF(E146=0,0,MIN(1,MAX(0,G146/E146))))</f>
        <v/>
      </c>
      <c r="M146" s="15">
        <f>IF(A146="","",J146*K146*L146)</f>
        <v/>
      </c>
    </row>
    <row r="147">
      <c r="A147" s="11">
        <f>Machines!A147</f>
        <v/>
      </c>
      <c r="B147" s="11">
        <f>Machines!B147</f>
        <v/>
      </c>
      <c r="C147" s="11">
        <f>IF(A147="","",Machines!D147)</f>
        <v/>
      </c>
      <c r="D147" s="11">
        <f>SUMIFS(WorkOrders!$M$2:$M$500,WorkOrders!$C$2:$C$500,A147)</f>
        <v/>
      </c>
      <c r="E147" s="11">
        <f>SUMIFS(WorkOrders!$E$2:$E$500,WorkOrders!$C$2:$C$500,A147)</f>
        <v/>
      </c>
      <c r="F147" s="11">
        <f>SUMIFS(WorkOrders!$F$2:$F$500,WorkOrders!$C$2:$C$500,A147)</f>
        <v/>
      </c>
      <c r="G147" s="11">
        <f>E147-F147</f>
        <v/>
      </c>
      <c r="H147" s="11">
        <f>SUMIFS(Downtime!$G$2:$G$500,Downtime!$A$2:$A$500,A147)</f>
        <v/>
      </c>
      <c r="I147" s="11">
        <f>MAX(0,D147-H147)</f>
        <v/>
      </c>
      <c r="J147" s="15">
        <f>IF(A147="","",IF(D147=0,0,MIN(1,I147/D147)))</f>
        <v/>
      </c>
      <c r="K147" s="15">
        <f>IF(A147="","",IF(OR(I147=0,C147=0),0,MIN(1,E147/((I147/60)*C147))))</f>
        <v/>
      </c>
      <c r="L147" s="15">
        <f>IF(A147="","",IF(E147=0,0,MIN(1,MAX(0,G147/E147))))</f>
        <v/>
      </c>
      <c r="M147" s="15">
        <f>IF(A147="","",J147*K147*L147)</f>
        <v/>
      </c>
    </row>
    <row r="148">
      <c r="A148" s="11">
        <f>Machines!A148</f>
        <v/>
      </c>
      <c r="B148" s="11">
        <f>Machines!B148</f>
        <v/>
      </c>
      <c r="C148" s="11">
        <f>IF(A148="","",Machines!D148)</f>
        <v/>
      </c>
      <c r="D148" s="11">
        <f>SUMIFS(WorkOrders!$M$2:$M$500,WorkOrders!$C$2:$C$500,A148)</f>
        <v/>
      </c>
      <c r="E148" s="11">
        <f>SUMIFS(WorkOrders!$E$2:$E$500,WorkOrders!$C$2:$C$500,A148)</f>
        <v/>
      </c>
      <c r="F148" s="11">
        <f>SUMIFS(WorkOrders!$F$2:$F$500,WorkOrders!$C$2:$C$500,A148)</f>
        <v/>
      </c>
      <c r="G148" s="11">
        <f>E148-F148</f>
        <v/>
      </c>
      <c r="H148" s="11">
        <f>SUMIFS(Downtime!$G$2:$G$500,Downtime!$A$2:$A$500,A148)</f>
        <v/>
      </c>
      <c r="I148" s="11">
        <f>MAX(0,D148-H148)</f>
        <v/>
      </c>
      <c r="J148" s="15">
        <f>IF(A148="","",IF(D148=0,0,MIN(1,I148/D148)))</f>
        <v/>
      </c>
      <c r="K148" s="15">
        <f>IF(A148="","",IF(OR(I148=0,C148=0),0,MIN(1,E148/((I148/60)*C148))))</f>
        <v/>
      </c>
      <c r="L148" s="15">
        <f>IF(A148="","",IF(E148=0,0,MIN(1,MAX(0,G148/E148))))</f>
        <v/>
      </c>
      <c r="M148" s="15">
        <f>IF(A148="","",J148*K148*L148)</f>
        <v/>
      </c>
    </row>
    <row r="149">
      <c r="A149" s="11">
        <f>Machines!A149</f>
        <v/>
      </c>
      <c r="B149" s="11">
        <f>Machines!B149</f>
        <v/>
      </c>
      <c r="C149" s="11">
        <f>IF(A149="","",Machines!D149)</f>
        <v/>
      </c>
      <c r="D149" s="11">
        <f>SUMIFS(WorkOrders!$M$2:$M$500,WorkOrders!$C$2:$C$500,A149)</f>
        <v/>
      </c>
      <c r="E149" s="11">
        <f>SUMIFS(WorkOrders!$E$2:$E$500,WorkOrders!$C$2:$C$500,A149)</f>
        <v/>
      </c>
      <c r="F149" s="11">
        <f>SUMIFS(WorkOrders!$F$2:$F$500,WorkOrders!$C$2:$C$500,A149)</f>
        <v/>
      </c>
      <c r="G149" s="11">
        <f>E149-F149</f>
        <v/>
      </c>
      <c r="H149" s="11">
        <f>SUMIFS(Downtime!$G$2:$G$500,Downtime!$A$2:$A$500,A149)</f>
        <v/>
      </c>
      <c r="I149" s="11">
        <f>MAX(0,D149-H149)</f>
        <v/>
      </c>
      <c r="J149" s="15">
        <f>IF(A149="","",IF(D149=0,0,MIN(1,I149/D149)))</f>
        <v/>
      </c>
      <c r="K149" s="15">
        <f>IF(A149="","",IF(OR(I149=0,C149=0),0,MIN(1,E149/((I149/60)*C149))))</f>
        <v/>
      </c>
      <c r="L149" s="15">
        <f>IF(A149="","",IF(E149=0,0,MIN(1,MAX(0,G149/E149))))</f>
        <v/>
      </c>
      <c r="M149" s="15">
        <f>IF(A149="","",J149*K149*L149)</f>
        <v/>
      </c>
    </row>
    <row r="150">
      <c r="A150" s="11">
        <f>Machines!A150</f>
        <v/>
      </c>
      <c r="B150" s="11">
        <f>Machines!B150</f>
        <v/>
      </c>
      <c r="C150" s="11">
        <f>IF(A150="","",Machines!D150)</f>
        <v/>
      </c>
      <c r="D150" s="11">
        <f>SUMIFS(WorkOrders!$M$2:$M$500,WorkOrders!$C$2:$C$500,A150)</f>
        <v/>
      </c>
      <c r="E150" s="11">
        <f>SUMIFS(WorkOrders!$E$2:$E$500,WorkOrders!$C$2:$C$500,A150)</f>
        <v/>
      </c>
      <c r="F150" s="11">
        <f>SUMIFS(WorkOrders!$F$2:$F$500,WorkOrders!$C$2:$C$500,A150)</f>
        <v/>
      </c>
      <c r="G150" s="11">
        <f>E150-F150</f>
        <v/>
      </c>
      <c r="H150" s="11">
        <f>SUMIFS(Downtime!$G$2:$G$500,Downtime!$A$2:$A$500,A150)</f>
        <v/>
      </c>
      <c r="I150" s="11">
        <f>MAX(0,D150-H150)</f>
        <v/>
      </c>
      <c r="J150" s="15">
        <f>IF(A150="","",IF(D150=0,0,MIN(1,I150/D150)))</f>
        <v/>
      </c>
      <c r="K150" s="15">
        <f>IF(A150="","",IF(OR(I150=0,C150=0),0,MIN(1,E150/((I150/60)*C150))))</f>
        <v/>
      </c>
      <c r="L150" s="15">
        <f>IF(A150="","",IF(E150=0,0,MIN(1,MAX(0,G150/E150))))</f>
        <v/>
      </c>
      <c r="M150" s="15">
        <f>IF(A150="","",J150*K150*L150)</f>
        <v/>
      </c>
    </row>
    <row r="151">
      <c r="A151" s="11">
        <f>Machines!A151</f>
        <v/>
      </c>
      <c r="B151" s="11">
        <f>Machines!B151</f>
        <v/>
      </c>
      <c r="C151" s="11">
        <f>IF(A151="","",Machines!D151)</f>
        <v/>
      </c>
      <c r="D151" s="11">
        <f>SUMIFS(WorkOrders!$M$2:$M$500,WorkOrders!$C$2:$C$500,A151)</f>
        <v/>
      </c>
      <c r="E151" s="11">
        <f>SUMIFS(WorkOrders!$E$2:$E$500,WorkOrders!$C$2:$C$500,A151)</f>
        <v/>
      </c>
      <c r="F151" s="11">
        <f>SUMIFS(WorkOrders!$F$2:$F$500,WorkOrders!$C$2:$C$500,A151)</f>
        <v/>
      </c>
      <c r="G151" s="11">
        <f>E151-F151</f>
        <v/>
      </c>
      <c r="H151" s="11">
        <f>SUMIFS(Downtime!$G$2:$G$500,Downtime!$A$2:$A$500,A151)</f>
        <v/>
      </c>
      <c r="I151" s="11">
        <f>MAX(0,D151-H151)</f>
        <v/>
      </c>
      <c r="J151" s="15">
        <f>IF(A151="","",IF(D151=0,0,MIN(1,I151/D151)))</f>
        <v/>
      </c>
      <c r="K151" s="15">
        <f>IF(A151="","",IF(OR(I151=0,C151=0),0,MIN(1,E151/((I151/60)*C151))))</f>
        <v/>
      </c>
      <c r="L151" s="15">
        <f>IF(A151="","",IF(E151=0,0,MIN(1,MAX(0,G151/E151))))</f>
        <v/>
      </c>
      <c r="M151" s="15">
        <f>IF(A151="","",J151*K151*L151)</f>
        <v/>
      </c>
    </row>
    <row r="152">
      <c r="A152" s="11">
        <f>Machines!A152</f>
        <v/>
      </c>
      <c r="B152" s="11">
        <f>Machines!B152</f>
        <v/>
      </c>
      <c r="C152" s="11">
        <f>IF(A152="","",Machines!D152)</f>
        <v/>
      </c>
      <c r="D152" s="11">
        <f>SUMIFS(WorkOrders!$M$2:$M$500,WorkOrders!$C$2:$C$500,A152)</f>
        <v/>
      </c>
      <c r="E152" s="11">
        <f>SUMIFS(WorkOrders!$E$2:$E$500,WorkOrders!$C$2:$C$500,A152)</f>
        <v/>
      </c>
      <c r="F152" s="11">
        <f>SUMIFS(WorkOrders!$F$2:$F$500,WorkOrders!$C$2:$C$500,A152)</f>
        <v/>
      </c>
      <c r="G152" s="11">
        <f>E152-F152</f>
        <v/>
      </c>
      <c r="H152" s="11">
        <f>SUMIFS(Downtime!$G$2:$G$500,Downtime!$A$2:$A$500,A152)</f>
        <v/>
      </c>
      <c r="I152" s="11">
        <f>MAX(0,D152-H152)</f>
        <v/>
      </c>
      <c r="J152" s="15">
        <f>IF(A152="","",IF(D152=0,0,MIN(1,I152/D152)))</f>
        <v/>
      </c>
      <c r="K152" s="15">
        <f>IF(A152="","",IF(OR(I152=0,C152=0),0,MIN(1,E152/((I152/60)*C152))))</f>
        <v/>
      </c>
      <c r="L152" s="15">
        <f>IF(A152="","",IF(E152=0,0,MIN(1,MAX(0,G152/E152))))</f>
        <v/>
      </c>
      <c r="M152" s="15">
        <f>IF(A152="","",J152*K152*L152)</f>
        <v/>
      </c>
    </row>
    <row r="153">
      <c r="A153" s="11">
        <f>Machines!A153</f>
        <v/>
      </c>
      <c r="B153" s="11">
        <f>Machines!B153</f>
        <v/>
      </c>
      <c r="C153" s="11">
        <f>IF(A153="","",Machines!D153)</f>
        <v/>
      </c>
      <c r="D153" s="11">
        <f>SUMIFS(WorkOrders!$M$2:$M$500,WorkOrders!$C$2:$C$500,A153)</f>
        <v/>
      </c>
      <c r="E153" s="11">
        <f>SUMIFS(WorkOrders!$E$2:$E$500,WorkOrders!$C$2:$C$500,A153)</f>
        <v/>
      </c>
      <c r="F153" s="11">
        <f>SUMIFS(WorkOrders!$F$2:$F$500,WorkOrders!$C$2:$C$500,A153)</f>
        <v/>
      </c>
      <c r="G153" s="11">
        <f>E153-F153</f>
        <v/>
      </c>
      <c r="H153" s="11">
        <f>SUMIFS(Downtime!$G$2:$G$500,Downtime!$A$2:$A$500,A153)</f>
        <v/>
      </c>
      <c r="I153" s="11">
        <f>MAX(0,D153-H153)</f>
        <v/>
      </c>
      <c r="J153" s="15">
        <f>IF(A153="","",IF(D153=0,0,MIN(1,I153/D153)))</f>
        <v/>
      </c>
      <c r="K153" s="15">
        <f>IF(A153="","",IF(OR(I153=0,C153=0),0,MIN(1,E153/((I153/60)*C153))))</f>
        <v/>
      </c>
      <c r="L153" s="15">
        <f>IF(A153="","",IF(E153=0,0,MIN(1,MAX(0,G153/E153))))</f>
        <v/>
      </c>
      <c r="M153" s="15">
        <f>IF(A153="","",J153*K153*L153)</f>
        <v/>
      </c>
    </row>
    <row r="154">
      <c r="A154" s="11">
        <f>Machines!A154</f>
        <v/>
      </c>
      <c r="B154" s="11">
        <f>Machines!B154</f>
        <v/>
      </c>
      <c r="C154" s="11">
        <f>IF(A154="","",Machines!D154)</f>
        <v/>
      </c>
      <c r="D154" s="11">
        <f>SUMIFS(WorkOrders!$M$2:$M$500,WorkOrders!$C$2:$C$500,A154)</f>
        <v/>
      </c>
      <c r="E154" s="11">
        <f>SUMIFS(WorkOrders!$E$2:$E$500,WorkOrders!$C$2:$C$500,A154)</f>
        <v/>
      </c>
      <c r="F154" s="11">
        <f>SUMIFS(WorkOrders!$F$2:$F$500,WorkOrders!$C$2:$C$500,A154)</f>
        <v/>
      </c>
      <c r="G154" s="11">
        <f>E154-F154</f>
        <v/>
      </c>
      <c r="H154" s="11">
        <f>SUMIFS(Downtime!$G$2:$G$500,Downtime!$A$2:$A$500,A154)</f>
        <v/>
      </c>
      <c r="I154" s="11">
        <f>MAX(0,D154-H154)</f>
        <v/>
      </c>
      <c r="J154" s="15">
        <f>IF(A154="","",IF(D154=0,0,MIN(1,I154/D154)))</f>
        <v/>
      </c>
      <c r="K154" s="15">
        <f>IF(A154="","",IF(OR(I154=0,C154=0),0,MIN(1,E154/((I154/60)*C154))))</f>
        <v/>
      </c>
      <c r="L154" s="15">
        <f>IF(A154="","",IF(E154=0,0,MIN(1,MAX(0,G154/E154))))</f>
        <v/>
      </c>
      <c r="M154" s="15">
        <f>IF(A154="","",J154*K154*L154)</f>
        <v/>
      </c>
    </row>
    <row r="155">
      <c r="A155" s="11">
        <f>Machines!A155</f>
        <v/>
      </c>
      <c r="B155" s="11">
        <f>Machines!B155</f>
        <v/>
      </c>
      <c r="C155" s="11">
        <f>IF(A155="","",Machines!D155)</f>
        <v/>
      </c>
      <c r="D155" s="11">
        <f>SUMIFS(WorkOrders!$M$2:$M$500,WorkOrders!$C$2:$C$500,A155)</f>
        <v/>
      </c>
      <c r="E155" s="11">
        <f>SUMIFS(WorkOrders!$E$2:$E$500,WorkOrders!$C$2:$C$500,A155)</f>
        <v/>
      </c>
      <c r="F155" s="11">
        <f>SUMIFS(WorkOrders!$F$2:$F$500,WorkOrders!$C$2:$C$500,A155)</f>
        <v/>
      </c>
      <c r="G155" s="11">
        <f>E155-F155</f>
        <v/>
      </c>
      <c r="H155" s="11">
        <f>SUMIFS(Downtime!$G$2:$G$500,Downtime!$A$2:$A$500,A155)</f>
        <v/>
      </c>
      <c r="I155" s="11">
        <f>MAX(0,D155-H155)</f>
        <v/>
      </c>
      <c r="J155" s="15">
        <f>IF(A155="","",IF(D155=0,0,MIN(1,I155/D155)))</f>
        <v/>
      </c>
      <c r="K155" s="15">
        <f>IF(A155="","",IF(OR(I155=0,C155=0),0,MIN(1,E155/((I155/60)*C155))))</f>
        <v/>
      </c>
      <c r="L155" s="15">
        <f>IF(A155="","",IF(E155=0,0,MIN(1,MAX(0,G155/E155))))</f>
        <v/>
      </c>
      <c r="M155" s="15">
        <f>IF(A155="","",J155*K155*L155)</f>
        <v/>
      </c>
    </row>
    <row r="156">
      <c r="A156" s="11">
        <f>Machines!A156</f>
        <v/>
      </c>
      <c r="B156" s="11">
        <f>Machines!B156</f>
        <v/>
      </c>
      <c r="C156" s="11">
        <f>IF(A156="","",Machines!D156)</f>
        <v/>
      </c>
      <c r="D156" s="11">
        <f>SUMIFS(WorkOrders!$M$2:$M$500,WorkOrders!$C$2:$C$500,A156)</f>
        <v/>
      </c>
      <c r="E156" s="11">
        <f>SUMIFS(WorkOrders!$E$2:$E$500,WorkOrders!$C$2:$C$500,A156)</f>
        <v/>
      </c>
      <c r="F156" s="11">
        <f>SUMIFS(WorkOrders!$F$2:$F$500,WorkOrders!$C$2:$C$500,A156)</f>
        <v/>
      </c>
      <c r="G156" s="11">
        <f>E156-F156</f>
        <v/>
      </c>
      <c r="H156" s="11">
        <f>SUMIFS(Downtime!$G$2:$G$500,Downtime!$A$2:$A$500,A156)</f>
        <v/>
      </c>
      <c r="I156" s="11">
        <f>MAX(0,D156-H156)</f>
        <v/>
      </c>
      <c r="J156" s="15">
        <f>IF(A156="","",IF(D156=0,0,MIN(1,I156/D156)))</f>
        <v/>
      </c>
      <c r="K156" s="15">
        <f>IF(A156="","",IF(OR(I156=0,C156=0),0,MIN(1,E156/((I156/60)*C156))))</f>
        <v/>
      </c>
      <c r="L156" s="15">
        <f>IF(A156="","",IF(E156=0,0,MIN(1,MAX(0,G156/E156))))</f>
        <v/>
      </c>
      <c r="M156" s="15">
        <f>IF(A156="","",J156*K156*L156)</f>
        <v/>
      </c>
    </row>
    <row r="157">
      <c r="A157" s="11">
        <f>Machines!A157</f>
        <v/>
      </c>
      <c r="B157" s="11">
        <f>Machines!B157</f>
        <v/>
      </c>
      <c r="C157" s="11">
        <f>IF(A157="","",Machines!D157)</f>
        <v/>
      </c>
      <c r="D157" s="11">
        <f>SUMIFS(WorkOrders!$M$2:$M$500,WorkOrders!$C$2:$C$500,A157)</f>
        <v/>
      </c>
      <c r="E157" s="11">
        <f>SUMIFS(WorkOrders!$E$2:$E$500,WorkOrders!$C$2:$C$500,A157)</f>
        <v/>
      </c>
      <c r="F157" s="11">
        <f>SUMIFS(WorkOrders!$F$2:$F$500,WorkOrders!$C$2:$C$500,A157)</f>
        <v/>
      </c>
      <c r="G157" s="11">
        <f>E157-F157</f>
        <v/>
      </c>
      <c r="H157" s="11">
        <f>SUMIFS(Downtime!$G$2:$G$500,Downtime!$A$2:$A$500,A157)</f>
        <v/>
      </c>
      <c r="I157" s="11">
        <f>MAX(0,D157-H157)</f>
        <v/>
      </c>
      <c r="J157" s="15">
        <f>IF(A157="","",IF(D157=0,0,MIN(1,I157/D157)))</f>
        <v/>
      </c>
      <c r="K157" s="15">
        <f>IF(A157="","",IF(OR(I157=0,C157=0),0,MIN(1,E157/((I157/60)*C157))))</f>
        <v/>
      </c>
      <c r="L157" s="15">
        <f>IF(A157="","",IF(E157=0,0,MIN(1,MAX(0,G157/E157))))</f>
        <v/>
      </c>
      <c r="M157" s="15">
        <f>IF(A157="","",J157*K157*L157)</f>
        <v/>
      </c>
    </row>
    <row r="158">
      <c r="A158" s="11">
        <f>Machines!A158</f>
        <v/>
      </c>
      <c r="B158" s="11">
        <f>Machines!B158</f>
        <v/>
      </c>
      <c r="C158" s="11">
        <f>IF(A158="","",Machines!D158)</f>
        <v/>
      </c>
      <c r="D158" s="11">
        <f>SUMIFS(WorkOrders!$M$2:$M$500,WorkOrders!$C$2:$C$500,A158)</f>
        <v/>
      </c>
      <c r="E158" s="11">
        <f>SUMIFS(WorkOrders!$E$2:$E$500,WorkOrders!$C$2:$C$500,A158)</f>
        <v/>
      </c>
      <c r="F158" s="11">
        <f>SUMIFS(WorkOrders!$F$2:$F$500,WorkOrders!$C$2:$C$500,A158)</f>
        <v/>
      </c>
      <c r="G158" s="11">
        <f>E158-F158</f>
        <v/>
      </c>
      <c r="H158" s="11">
        <f>SUMIFS(Downtime!$G$2:$G$500,Downtime!$A$2:$A$500,A158)</f>
        <v/>
      </c>
      <c r="I158" s="11">
        <f>MAX(0,D158-H158)</f>
        <v/>
      </c>
      <c r="J158" s="15">
        <f>IF(A158="","",IF(D158=0,0,MIN(1,I158/D158)))</f>
        <v/>
      </c>
      <c r="K158" s="15">
        <f>IF(A158="","",IF(OR(I158=0,C158=0),0,MIN(1,E158/((I158/60)*C158))))</f>
        <v/>
      </c>
      <c r="L158" s="15">
        <f>IF(A158="","",IF(E158=0,0,MIN(1,MAX(0,G158/E158))))</f>
        <v/>
      </c>
      <c r="M158" s="15">
        <f>IF(A158="","",J158*K158*L158)</f>
        <v/>
      </c>
    </row>
    <row r="159">
      <c r="A159" s="11">
        <f>Machines!A159</f>
        <v/>
      </c>
      <c r="B159" s="11">
        <f>Machines!B159</f>
        <v/>
      </c>
      <c r="C159" s="11">
        <f>IF(A159="","",Machines!D159)</f>
        <v/>
      </c>
      <c r="D159" s="11">
        <f>SUMIFS(WorkOrders!$M$2:$M$500,WorkOrders!$C$2:$C$500,A159)</f>
        <v/>
      </c>
      <c r="E159" s="11">
        <f>SUMIFS(WorkOrders!$E$2:$E$500,WorkOrders!$C$2:$C$500,A159)</f>
        <v/>
      </c>
      <c r="F159" s="11">
        <f>SUMIFS(WorkOrders!$F$2:$F$500,WorkOrders!$C$2:$C$500,A159)</f>
        <v/>
      </c>
      <c r="G159" s="11">
        <f>E159-F159</f>
        <v/>
      </c>
      <c r="H159" s="11">
        <f>SUMIFS(Downtime!$G$2:$G$500,Downtime!$A$2:$A$500,A159)</f>
        <v/>
      </c>
      <c r="I159" s="11">
        <f>MAX(0,D159-H159)</f>
        <v/>
      </c>
      <c r="J159" s="15">
        <f>IF(A159="","",IF(D159=0,0,MIN(1,I159/D159)))</f>
        <v/>
      </c>
      <c r="K159" s="15">
        <f>IF(A159="","",IF(OR(I159=0,C159=0),0,MIN(1,E159/((I159/60)*C159))))</f>
        <v/>
      </c>
      <c r="L159" s="15">
        <f>IF(A159="","",IF(E159=0,0,MIN(1,MAX(0,G159/E159))))</f>
        <v/>
      </c>
      <c r="M159" s="15">
        <f>IF(A159="","",J159*K159*L159)</f>
        <v/>
      </c>
    </row>
    <row r="160">
      <c r="A160" s="11">
        <f>Machines!A160</f>
        <v/>
      </c>
      <c r="B160" s="11">
        <f>Machines!B160</f>
        <v/>
      </c>
      <c r="C160" s="11">
        <f>IF(A160="","",Machines!D160)</f>
        <v/>
      </c>
      <c r="D160" s="11">
        <f>SUMIFS(WorkOrders!$M$2:$M$500,WorkOrders!$C$2:$C$500,A160)</f>
        <v/>
      </c>
      <c r="E160" s="11">
        <f>SUMIFS(WorkOrders!$E$2:$E$500,WorkOrders!$C$2:$C$500,A160)</f>
        <v/>
      </c>
      <c r="F160" s="11">
        <f>SUMIFS(WorkOrders!$F$2:$F$500,WorkOrders!$C$2:$C$500,A160)</f>
        <v/>
      </c>
      <c r="G160" s="11">
        <f>E160-F160</f>
        <v/>
      </c>
      <c r="H160" s="11">
        <f>SUMIFS(Downtime!$G$2:$G$500,Downtime!$A$2:$A$500,A160)</f>
        <v/>
      </c>
      <c r="I160" s="11">
        <f>MAX(0,D160-H160)</f>
        <v/>
      </c>
      <c r="J160" s="15">
        <f>IF(A160="","",IF(D160=0,0,MIN(1,I160/D160)))</f>
        <v/>
      </c>
      <c r="K160" s="15">
        <f>IF(A160="","",IF(OR(I160=0,C160=0),0,MIN(1,E160/((I160/60)*C160))))</f>
        <v/>
      </c>
      <c r="L160" s="15">
        <f>IF(A160="","",IF(E160=0,0,MIN(1,MAX(0,G160/E160))))</f>
        <v/>
      </c>
      <c r="M160" s="15">
        <f>IF(A160="","",J160*K160*L160)</f>
        <v/>
      </c>
    </row>
    <row r="161">
      <c r="A161" s="11">
        <f>Machines!A161</f>
        <v/>
      </c>
      <c r="B161" s="11">
        <f>Machines!B161</f>
        <v/>
      </c>
      <c r="C161" s="11">
        <f>IF(A161="","",Machines!D161)</f>
        <v/>
      </c>
      <c r="D161" s="11">
        <f>SUMIFS(WorkOrders!$M$2:$M$500,WorkOrders!$C$2:$C$500,A161)</f>
        <v/>
      </c>
      <c r="E161" s="11">
        <f>SUMIFS(WorkOrders!$E$2:$E$500,WorkOrders!$C$2:$C$500,A161)</f>
        <v/>
      </c>
      <c r="F161" s="11">
        <f>SUMIFS(WorkOrders!$F$2:$F$500,WorkOrders!$C$2:$C$500,A161)</f>
        <v/>
      </c>
      <c r="G161" s="11">
        <f>E161-F161</f>
        <v/>
      </c>
      <c r="H161" s="11">
        <f>SUMIFS(Downtime!$G$2:$G$500,Downtime!$A$2:$A$500,A161)</f>
        <v/>
      </c>
      <c r="I161" s="11">
        <f>MAX(0,D161-H161)</f>
        <v/>
      </c>
      <c r="J161" s="15">
        <f>IF(A161="","",IF(D161=0,0,MIN(1,I161/D161)))</f>
        <v/>
      </c>
      <c r="K161" s="15">
        <f>IF(A161="","",IF(OR(I161=0,C161=0),0,MIN(1,E161/((I161/60)*C161))))</f>
        <v/>
      </c>
      <c r="L161" s="15">
        <f>IF(A161="","",IF(E161=0,0,MIN(1,MAX(0,G161/E161))))</f>
        <v/>
      </c>
      <c r="M161" s="15">
        <f>IF(A161="","",J161*K161*L161)</f>
        <v/>
      </c>
    </row>
    <row r="162">
      <c r="A162" s="11">
        <f>Machines!A162</f>
        <v/>
      </c>
      <c r="B162" s="11">
        <f>Machines!B162</f>
        <v/>
      </c>
      <c r="C162" s="11">
        <f>IF(A162="","",Machines!D162)</f>
        <v/>
      </c>
      <c r="D162" s="11">
        <f>SUMIFS(WorkOrders!$M$2:$M$500,WorkOrders!$C$2:$C$500,A162)</f>
        <v/>
      </c>
      <c r="E162" s="11">
        <f>SUMIFS(WorkOrders!$E$2:$E$500,WorkOrders!$C$2:$C$500,A162)</f>
        <v/>
      </c>
      <c r="F162" s="11">
        <f>SUMIFS(WorkOrders!$F$2:$F$500,WorkOrders!$C$2:$C$500,A162)</f>
        <v/>
      </c>
      <c r="G162" s="11">
        <f>E162-F162</f>
        <v/>
      </c>
      <c r="H162" s="11">
        <f>SUMIFS(Downtime!$G$2:$G$500,Downtime!$A$2:$A$500,A162)</f>
        <v/>
      </c>
      <c r="I162" s="11">
        <f>MAX(0,D162-H162)</f>
        <v/>
      </c>
      <c r="J162" s="15">
        <f>IF(A162="","",IF(D162=0,0,MIN(1,I162/D162)))</f>
        <v/>
      </c>
      <c r="K162" s="15">
        <f>IF(A162="","",IF(OR(I162=0,C162=0),0,MIN(1,E162/((I162/60)*C162))))</f>
        <v/>
      </c>
      <c r="L162" s="15">
        <f>IF(A162="","",IF(E162=0,0,MIN(1,MAX(0,G162/E162))))</f>
        <v/>
      </c>
      <c r="M162" s="15">
        <f>IF(A162="","",J162*K162*L162)</f>
        <v/>
      </c>
    </row>
    <row r="163">
      <c r="A163" s="11">
        <f>Machines!A163</f>
        <v/>
      </c>
      <c r="B163" s="11">
        <f>Machines!B163</f>
        <v/>
      </c>
      <c r="C163" s="11">
        <f>IF(A163="","",Machines!D163)</f>
        <v/>
      </c>
      <c r="D163" s="11">
        <f>SUMIFS(WorkOrders!$M$2:$M$500,WorkOrders!$C$2:$C$500,A163)</f>
        <v/>
      </c>
      <c r="E163" s="11">
        <f>SUMIFS(WorkOrders!$E$2:$E$500,WorkOrders!$C$2:$C$500,A163)</f>
        <v/>
      </c>
      <c r="F163" s="11">
        <f>SUMIFS(WorkOrders!$F$2:$F$500,WorkOrders!$C$2:$C$500,A163)</f>
        <v/>
      </c>
      <c r="G163" s="11">
        <f>E163-F163</f>
        <v/>
      </c>
      <c r="H163" s="11">
        <f>SUMIFS(Downtime!$G$2:$G$500,Downtime!$A$2:$A$500,A163)</f>
        <v/>
      </c>
      <c r="I163" s="11">
        <f>MAX(0,D163-H163)</f>
        <v/>
      </c>
      <c r="J163" s="15">
        <f>IF(A163="","",IF(D163=0,0,MIN(1,I163/D163)))</f>
        <v/>
      </c>
      <c r="K163" s="15">
        <f>IF(A163="","",IF(OR(I163=0,C163=0),0,MIN(1,E163/((I163/60)*C163))))</f>
        <v/>
      </c>
      <c r="L163" s="15">
        <f>IF(A163="","",IF(E163=0,0,MIN(1,MAX(0,G163/E163))))</f>
        <v/>
      </c>
      <c r="M163" s="15">
        <f>IF(A163="","",J163*K163*L163)</f>
        <v/>
      </c>
    </row>
    <row r="164">
      <c r="A164" s="11">
        <f>Machines!A164</f>
        <v/>
      </c>
      <c r="B164" s="11">
        <f>Machines!B164</f>
        <v/>
      </c>
      <c r="C164" s="11">
        <f>IF(A164="","",Machines!D164)</f>
        <v/>
      </c>
      <c r="D164" s="11">
        <f>SUMIFS(WorkOrders!$M$2:$M$500,WorkOrders!$C$2:$C$500,A164)</f>
        <v/>
      </c>
      <c r="E164" s="11">
        <f>SUMIFS(WorkOrders!$E$2:$E$500,WorkOrders!$C$2:$C$500,A164)</f>
        <v/>
      </c>
      <c r="F164" s="11">
        <f>SUMIFS(WorkOrders!$F$2:$F$500,WorkOrders!$C$2:$C$500,A164)</f>
        <v/>
      </c>
      <c r="G164" s="11">
        <f>E164-F164</f>
        <v/>
      </c>
      <c r="H164" s="11">
        <f>SUMIFS(Downtime!$G$2:$G$500,Downtime!$A$2:$A$500,A164)</f>
        <v/>
      </c>
      <c r="I164" s="11">
        <f>MAX(0,D164-H164)</f>
        <v/>
      </c>
      <c r="J164" s="15">
        <f>IF(A164="","",IF(D164=0,0,MIN(1,I164/D164)))</f>
        <v/>
      </c>
      <c r="K164" s="15">
        <f>IF(A164="","",IF(OR(I164=0,C164=0),0,MIN(1,E164/((I164/60)*C164))))</f>
        <v/>
      </c>
      <c r="L164" s="15">
        <f>IF(A164="","",IF(E164=0,0,MIN(1,MAX(0,G164/E164))))</f>
        <v/>
      </c>
      <c r="M164" s="15">
        <f>IF(A164="","",J164*K164*L164)</f>
        <v/>
      </c>
    </row>
    <row r="165">
      <c r="A165" s="11">
        <f>Machines!A165</f>
        <v/>
      </c>
      <c r="B165" s="11">
        <f>Machines!B165</f>
        <v/>
      </c>
      <c r="C165" s="11">
        <f>IF(A165="","",Machines!D165)</f>
        <v/>
      </c>
      <c r="D165" s="11">
        <f>SUMIFS(WorkOrders!$M$2:$M$500,WorkOrders!$C$2:$C$500,A165)</f>
        <v/>
      </c>
      <c r="E165" s="11">
        <f>SUMIFS(WorkOrders!$E$2:$E$500,WorkOrders!$C$2:$C$500,A165)</f>
        <v/>
      </c>
      <c r="F165" s="11">
        <f>SUMIFS(WorkOrders!$F$2:$F$500,WorkOrders!$C$2:$C$500,A165)</f>
        <v/>
      </c>
      <c r="G165" s="11">
        <f>E165-F165</f>
        <v/>
      </c>
      <c r="H165" s="11">
        <f>SUMIFS(Downtime!$G$2:$G$500,Downtime!$A$2:$A$500,A165)</f>
        <v/>
      </c>
      <c r="I165" s="11">
        <f>MAX(0,D165-H165)</f>
        <v/>
      </c>
      <c r="J165" s="15">
        <f>IF(A165="","",IF(D165=0,0,MIN(1,I165/D165)))</f>
        <v/>
      </c>
      <c r="K165" s="15">
        <f>IF(A165="","",IF(OR(I165=0,C165=0),0,MIN(1,E165/((I165/60)*C165))))</f>
        <v/>
      </c>
      <c r="L165" s="15">
        <f>IF(A165="","",IF(E165=0,0,MIN(1,MAX(0,G165/E165))))</f>
        <v/>
      </c>
      <c r="M165" s="15">
        <f>IF(A165="","",J165*K165*L165)</f>
        <v/>
      </c>
    </row>
    <row r="166">
      <c r="A166" s="11">
        <f>Machines!A166</f>
        <v/>
      </c>
      <c r="B166" s="11">
        <f>Machines!B166</f>
        <v/>
      </c>
      <c r="C166" s="11">
        <f>IF(A166="","",Machines!D166)</f>
        <v/>
      </c>
      <c r="D166" s="11">
        <f>SUMIFS(WorkOrders!$M$2:$M$500,WorkOrders!$C$2:$C$500,A166)</f>
        <v/>
      </c>
      <c r="E166" s="11">
        <f>SUMIFS(WorkOrders!$E$2:$E$500,WorkOrders!$C$2:$C$500,A166)</f>
        <v/>
      </c>
      <c r="F166" s="11">
        <f>SUMIFS(WorkOrders!$F$2:$F$500,WorkOrders!$C$2:$C$500,A166)</f>
        <v/>
      </c>
      <c r="G166" s="11">
        <f>E166-F166</f>
        <v/>
      </c>
      <c r="H166" s="11">
        <f>SUMIFS(Downtime!$G$2:$G$500,Downtime!$A$2:$A$500,A166)</f>
        <v/>
      </c>
      <c r="I166" s="11">
        <f>MAX(0,D166-H166)</f>
        <v/>
      </c>
      <c r="J166" s="15">
        <f>IF(A166="","",IF(D166=0,0,MIN(1,I166/D166)))</f>
        <v/>
      </c>
      <c r="K166" s="15">
        <f>IF(A166="","",IF(OR(I166=0,C166=0),0,MIN(1,E166/((I166/60)*C166))))</f>
        <v/>
      </c>
      <c r="L166" s="15">
        <f>IF(A166="","",IF(E166=0,0,MIN(1,MAX(0,G166/E166))))</f>
        <v/>
      </c>
      <c r="M166" s="15">
        <f>IF(A166="","",J166*K166*L166)</f>
        <v/>
      </c>
    </row>
    <row r="167">
      <c r="A167" s="11">
        <f>Machines!A167</f>
        <v/>
      </c>
      <c r="B167" s="11">
        <f>Machines!B167</f>
        <v/>
      </c>
      <c r="C167" s="11">
        <f>IF(A167="","",Machines!D167)</f>
        <v/>
      </c>
      <c r="D167" s="11">
        <f>SUMIFS(WorkOrders!$M$2:$M$500,WorkOrders!$C$2:$C$500,A167)</f>
        <v/>
      </c>
      <c r="E167" s="11">
        <f>SUMIFS(WorkOrders!$E$2:$E$500,WorkOrders!$C$2:$C$500,A167)</f>
        <v/>
      </c>
      <c r="F167" s="11">
        <f>SUMIFS(WorkOrders!$F$2:$F$500,WorkOrders!$C$2:$C$500,A167)</f>
        <v/>
      </c>
      <c r="G167" s="11">
        <f>E167-F167</f>
        <v/>
      </c>
      <c r="H167" s="11">
        <f>SUMIFS(Downtime!$G$2:$G$500,Downtime!$A$2:$A$500,A167)</f>
        <v/>
      </c>
      <c r="I167" s="11">
        <f>MAX(0,D167-H167)</f>
        <v/>
      </c>
      <c r="J167" s="15">
        <f>IF(A167="","",IF(D167=0,0,MIN(1,I167/D167)))</f>
        <v/>
      </c>
      <c r="K167" s="15">
        <f>IF(A167="","",IF(OR(I167=0,C167=0),0,MIN(1,E167/((I167/60)*C167))))</f>
        <v/>
      </c>
      <c r="L167" s="15">
        <f>IF(A167="","",IF(E167=0,0,MIN(1,MAX(0,G167/E167))))</f>
        <v/>
      </c>
      <c r="M167" s="15">
        <f>IF(A167="","",J167*K167*L167)</f>
        <v/>
      </c>
    </row>
    <row r="168">
      <c r="A168" s="11">
        <f>Machines!A168</f>
        <v/>
      </c>
      <c r="B168" s="11">
        <f>Machines!B168</f>
        <v/>
      </c>
      <c r="C168" s="11">
        <f>IF(A168="","",Machines!D168)</f>
        <v/>
      </c>
      <c r="D168" s="11">
        <f>SUMIFS(WorkOrders!$M$2:$M$500,WorkOrders!$C$2:$C$500,A168)</f>
        <v/>
      </c>
      <c r="E168" s="11">
        <f>SUMIFS(WorkOrders!$E$2:$E$500,WorkOrders!$C$2:$C$500,A168)</f>
        <v/>
      </c>
      <c r="F168" s="11">
        <f>SUMIFS(WorkOrders!$F$2:$F$500,WorkOrders!$C$2:$C$500,A168)</f>
        <v/>
      </c>
      <c r="G168" s="11">
        <f>E168-F168</f>
        <v/>
      </c>
      <c r="H168" s="11">
        <f>SUMIFS(Downtime!$G$2:$G$500,Downtime!$A$2:$A$500,A168)</f>
        <v/>
      </c>
      <c r="I168" s="11">
        <f>MAX(0,D168-H168)</f>
        <v/>
      </c>
      <c r="J168" s="15">
        <f>IF(A168="","",IF(D168=0,0,MIN(1,I168/D168)))</f>
        <v/>
      </c>
      <c r="K168" s="15">
        <f>IF(A168="","",IF(OR(I168=0,C168=0),0,MIN(1,E168/((I168/60)*C168))))</f>
        <v/>
      </c>
      <c r="L168" s="15">
        <f>IF(A168="","",IF(E168=0,0,MIN(1,MAX(0,G168/E168))))</f>
        <v/>
      </c>
      <c r="M168" s="15">
        <f>IF(A168="","",J168*K168*L168)</f>
        <v/>
      </c>
    </row>
    <row r="169">
      <c r="A169" s="11">
        <f>Machines!A169</f>
        <v/>
      </c>
      <c r="B169" s="11">
        <f>Machines!B169</f>
        <v/>
      </c>
      <c r="C169" s="11">
        <f>IF(A169="","",Machines!D169)</f>
        <v/>
      </c>
      <c r="D169" s="11">
        <f>SUMIFS(WorkOrders!$M$2:$M$500,WorkOrders!$C$2:$C$500,A169)</f>
        <v/>
      </c>
      <c r="E169" s="11">
        <f>SUMIFS(WorkOrders!$E$2:$E$500,WorkOrders!$C$2:$C$500,A169)</f>
        <v/>
      </c>
      <c r="F169" s="11">
        <f>SUMIFS(WorkOrders!$F$2:$F$500,WorkOrders!$C$2:$C$500,A169)</f>
        <v/>
      </c>
      <c r="G169" s="11">
        <f>E169-F169</f>
        <v/>
      </c>
      <c r="H169" s="11">
        <f>SUMIFS(Downtime!$G$2:$G$500,Downtime!$A$2:$A$500,A169)</f>
        <v/>
      </c>
      <c r="I169" s="11">
        <f>MAX(0,D169-H169)</f>
        <v/>
      </c>
      <c r="J169" s="15">
        <f>IF(A169="","",IF(D169=0,0,MIN(1,I169/D169)))</f>
        <v/>
      </c>
      <c r="K169" s="15">
        <f>IF(A169="","",IF(OR(I169=0,C169=0),0,MIN(1,E169/((I169/60)*C169))))</f>
        <v/>
      </c>
      <c r="L169" s="15">
        <f>IF(A169="","",IF(E169=0,0,MIN(1,MAX(0,G169/E169))))</f>
        <v/>
      </c>
      <c r="M169" s="15">
        <f>IF(A169="","",J169*K169*L169)</f>
        <v/>
      </c>
    </row>
    <row r="170">
      <c r="A170" s="11">
        <f>Machines!A170</f>
        <v/>
      </c>
      <c r="B170" s="11">
        <f>Machines!B170</f>
        <v/>
      </c>
      <c r="C170" s="11">
        <f>IF(A170="","",Machines!D170)</f>
        <v/>
      </c>
      <c r="D170" s="11">
        <f>SUMIFS(WorkOrders!$M$2:$M$500,WorkOrders!$C$2:$C$500,A170)</f>
        <v/>
      </c>
      <c r="E170" s="11">
        <f>SUMIFS(WorkOrders!$E$2:$E$500,WorkOrders!$C$2:$C$500,A170)</f>
        <v/>
      </c>
      <c r="F170" s="11">
        <f>SUMIFS(WorkOrders!$F$2:$F$500,WorkOrders!$C$2:$C$500,A170)</f>
        <v/>
      </c>
      <c r="G170" s="11">
        <f>E170-F170</f>
        <v/>
      </c>
      <c r="H170" s="11">
        <f>SUMIFS(Downtime!$G$2:$G$500,Downtime!$A$2:$A$500,A170)</f>
        <v/>
      </c>
      <c r="I170" s="11">
        <f>MAX(0,D170-H170)</f>
        <v/>
      </c>
      <c r="J170" s="15">
        <f>IF(A170="","",IF(D170=0,0,MIN(1,I170/D170)))</f>
        <v/>
      </c>
      <c r="K170" s="15">
        <f>IF(A170="","",IF(OR(I170=0,C170=0),0,MIN(1,E170/((I170/60)*C170))))</f>
        <v/>
      </c>
      <c r="L170" s="15">
        <f>IF(A170="","",IF(E170=0,0,MIN(1,MAX(0,G170/E170))))</f>
        <v/>
      </c>
      <c r="M170" s="15">
        <f>IF(A170="","",J170*K170*L170)</f>
        <v/>
      </c>
    </row>
    <row r="171">
      <c r="A171" s="11">
        <f>Machines!A171</f>
        <v/>
      </c>
      <c r="B171" s="11">
        <f>Machines!B171</f>
        <v/>
      </c>
      <c r="C171" s="11">
        <f>IF(A171="","",Machines!D171)</f>
        <v/>
      </c>
      <c r="D171" s="11">
        <f>SUMIFS(WorkOrders!$M$2:$M$500,WorkOrders!$C$2:$C$500,A171)</f>
        <v/>
      </c>
      <c r="E171" s="11">
        <f>SUMIFS(WorkOrders!$E$2:$E$500,WorkOrders!$C$2:$C$500,A171)</f>
        <v/>
      </c>
      <c r="F171" s="11">
        <f>SUMIFS(WorkOrders!$F$2:$F$500,WorkOrders!$C$2:$C$500,A171)</f>
        <v/>
      </c>
      <c r="G171" s="11">
        <f>E171-F171</f>
        <v/>
      </c>
      <c r="H171" s="11">
        <f>SUMIFS(Downtime!$G$2:$G$500,Downtime!$A$2:$A$500,A171)</f>
        <v/>
      </c>
      <c r="I171" s="11">
        <f>MAX(0,D171-H171)</f>
        <v/>
      </c>
      <c r="J171" s="15">
        <f>IF(A171="","",IF(D171=0,0,MIN(1,I171/D171)))</f>
        <v/>
      </c>
      <c r="K171" s="15">
        <f>IF(A171="","",IF(OR(I171=0,C171=0),0,MIN(1,E171/((I171/60)*C171))))</f>
        <v/>
      </c>
      <c r="L171" s="15">
        <f>IF(A171="","",IF(E171=0,0,MIN(1,MAX(0,G171/E171))))</f>
        <v/>
      </c>
      <c r="M171" s="15">
        <f>IF(A171="","",J171*K171*L171)</f>
        <v/>
      </c>
    </row>
    <row r="172">
      <c r="A172" s="11">
        <f>Machines!A172</f>
        <v/>
      </c>
      <c r="B172" s="11">
        <f>Machines!B172</f>
        <v/>
      </c>
      <c r="C172" s="11">
        <f>IF(A172="","",Machines!D172)</f>
        <v/>
      </c>
      <c r="D172" s="11">
        <f>SUMIFS(WorkOrders!$M$2:$M$500,WorkOrders!$C$2:$C$500,A172)</f>
        <v/>
      </c>
      <c r="E172" s="11">
        <f>SUMIFS(WorkOrders!$E$2:$E$500,WorkOrders!$C$2:$C$500,A172)</f>
        <v/>
      </c>
      <c r="F172" s="11">
        <f>SUMIFS(WorkOrders!$F$2:$F$500,WorkOrders!$C$2:$C$500,A172)</f>
        <v/>
      </c>
      <c r="G172" s="11">
        <f>E172-F172</f>
        <v/>
      </c>
      <c r="H172" s="11">
        <f>SUMIFS(Downtime!$G$2:$G$500,Downtime!$A$2:$A$500,A172)</f>
        <v/>
      </c>
      <c r="I172" s="11">
        <f>MAX(0,D172-H172)</f>
        <v/>
      </c>
      <c r="J172" s="15">
        <f>IF(A172="","",IF(D172=0,0,MIN(1,I172/D172)))</f>
        <v/>
      </c>
      <c r="K172" s="15">
        <f>IF(A172="","",IF(OR(I172=0,C172=0),0,MIN(1,E172/((I172/60)*C172))))</f>
        <v/>
      </c>
      <c r="L172" s="15">
        <f>IF(A172="","",IF(E172=0,0,MIN(1,MAX(0,G172/E172))))</f>
        <v/>
      </c>
      <c r="M172" s="15">
        <f>IF(A172="","",J172*K172*L172)</f>
        <v/>
      </c>
    </row>
    <row r="173">
      <c r="A173" s="11">
        <f>Machines!A173</f>
        <v/>
      </c>
      <c r="B173" s="11">
        <f>Machines!B173</f>
        <v/>
      </c>
      <c r="C173" s="11">
        <f>IF(A173="","",Machines!D173)</f>
        <v/>
      </c>
      <c r="D173" s="11">
        <f>SUMIFS(WorkOrders!$M$2:$M$500,WorkOrders!$C$2:$C$500,A173)</f>
        <v/>
      </c>
      <c r="E173" s="11">
        <f>SUMIFS(WorkOrders!$E$2:$E$500,WorkOrders!$C$2:$C$500,A173)</f>
        <v/>
      </c>
      <c r="F173" s="11">
        <f>SUMIFS(WorkOrders!$F$2:$F$500,WorkOrders!$C$2:$C$500,A173)</f>
        <v/>
      </c>
      <c r="G173" s="11">
        <f>E173-F173</f>
        <v/>
      </c>
      <c r="H173" s="11">
        <f>SUMIFS(Downtime!$G$2:$G$500,Downtime!$A$2:$A$500,A173)</f>
        <v/>
      </c>
      <c r="I173" s="11">
        <f>MAX(0,D173-H173)</f>
        <v/>
      </c>
      <c r="J173" s="15">
        <f>IF(A173="","",IF(D173=0,0,MIN(1,I173/D173)))</f>
        <v/>
      </c>
      <c r="K173" s="15">
        <f>IF(A173="","",IF(OR(I173=0,C173=0),0,MIN(1,E173/((I173/60)*C173))))</f>
        <v/>
      </c>
      <c r="L173" s="15">
        <f>IF(A173="","",IF(E173=0,0,MIN(1,MAX(0,G173/E173))))</f>
        <v/>
      </c>
      <c r="M173" s="15">
        <f>IF(A173="","",J173*K173*L173)</f>
        <v/>
      </c>
    </row>
    <row r="174">
      <c r="A174" s="11">
        <f>Machines!A174</f>
        <v/>
      </c>
      <c r="B174" s="11">
        <f>Machines!B174</f>
        <v/>
      </c>
      <c r="C174" s="11">
        <f>IF(A174="","",Machines!D174)</f>
        <v/>
      </c>
      <c r="D174" s="11">
        <f>SUMIFS(WorkOrders!$M$2:$M$500,WorkOrders!$C$2:$C$500,A174)</f>
        <v/>
      </c>
      <c r="E174" s="11">
        <f>SUMIFS(WorkOrders!$E$2:$E$500,WorkOrders!$C$2:$C$500,A174)</f>
        <v/>
      </c>
      <c r="F174" s="11">
        <f>SUMIFS(WorkOrders!$F$2:$F$500,WorkOrders!$C$2:$C$500,A174)</f>
        <v/>
      </c>
      <c r="G174" s="11">
        <f>E174-F174</f>
        <v/>
      </c>
      <c r="H174" s="11">
        <f>SUMIFS(Downtime!$G$2:$G$500,Downtime!$A$2:$A$500,A174)</f>
        <v/>
      </c>
      <c r="I174" s="11">
        <f>MAX(0,D174-H174)</f>
        <v/>
      </c>
      <c r="J174" s="15">
        <f>IF(A174="","",IF(D174=0,0,MIN(1,I174/D174)))</f>
        <v/>
      </c>
      <c r="K174" s="15">
        <f>IF(A174="","",IF(OR(I174=0,C174=0),0,MIN(1,E174/((I174/60)*C174))))</f>
        <v/>
      </c>
      <c r="L174" s="15">
        <f>IF(A174="","",IF(E174=0,0,MIN(1,MAX(0,G174/E174))))</f>
        <v/>
      </c>
      <c r="M174" s="15">
        <f>IF(A174="","",J174*K174*L174)</f>
        <v/>
      </c>
    </row>
    <row r="175">
      <c r="A175" s="11">
        <f>Machines!A175</f>
        <v/>
      </c>
      <c r="B175" s="11">
        <f>Machines!B175</f>
        <v/>
      </c>
      <c r="C175" s="11">
        <f>IF(A175="","",Machines!D175)</f>
        <v/>
      </c>
      <c r="D175" s="11">
        <f>SUMIFS(WorkOrders!$M$2:$M$500,WorkOrders!$C$2:$C$500,A175)</f>
        <v/>
      </c>
      <c r="E175" s="11">
        <f>SUMIFS(WorkOrders!$E$2:$E$500,WorkOrders!$C$2:$C$500,A175)</f>
        <v/>
      </c>
      <c r="F175" s="11">
        <f>SUMIFS(WorkOrders!$F$2:$F$500,WorkOrders!$C$2:$C$500,A175)</f>
        <v/>
      </c>
      <c r="G175" s="11">
        <f>E175-F175</f>
        <v/>
      </c>
      <c r="H175" s="11">
        <f>SUMIFS(Downtime!$G$2:$G$500,Downtime!$A$2:$A$500,A175)</f>
        <v/>
      </c>
      <c r="I175" s="11">
        <f>MAX(0,D175-H175)</f>
        <v/>
      </c>
      <c r="J175" s="15">
        <f>IF(A175="","",IF(D175=0,0,MIN(1,I175/D175)))</f>
        <v/>
      </c>
      <c r="K175" s="15">
        <f>IF(A175="","",IF(OR(I175=0,C175=0),0,MIN(1,E175/((I175/60)*C175))))</f>
        <v/>
      </c>
      <c r="L175" s="15">
        <f>IF(A175="","",IF(E175=0,0,MIN(1,MAX(0,G175/E175))))</f>
        <v/>
      </c>
      <c r="M175" s="15">
        <f>IF(A175="","",J175*K175*L175)</f>
        <v/>
      </c>
    </row>
    <row r="176">
      <c r="A176" s="11">
        <f>Machines!A176</f>
        <v/>
      </c>
      <c r="B176" s="11">
        <f>Machines!B176</f>
        <v/>
      </c>
      <c r="C176" s="11">
        <f>IF(A176="","",Machines!D176)</f>
        <v/>
      </c>
      <c r="D176" s="11">
        <f>SUMIFS(WorkOrders!$M$2:$M$500,WorkOrders!$C$2:$C$500,A176)</f>
        <v/>
      </c>
      <c r="E176" s="11">
        <f>SUMIFS(WorkOrders!$E$2:$E$500,WorkOrders!$C$2:$C$500,A176)</f>
        <v/>
      </c>
      <c r="F176" s="11">
        <f>SUMIFS(WorkOrders!$F$2:$F$500,WorkOrders!$C$2:$C$500,A176)</f>
        <v/>
      </c>
      <c r="G176" s="11">
        <f>E176-F176</f>
        <v/>
      </c>
      <c r="H176" s="11">
        <f>SUMIFS(Downtime!$G$2:$G$500,Downtime!$A$2:$A$500,A176)</f>
        <v/>
      </c>
      <c r="I176" s="11">
        <f>MAX(0,D176-H176)</f>
        <v/>
      </c>
      <c r="J176" s="15">
        <f>IF(A176="","",IF(D176=0,0,MIN(1,I176/D176)))</f>
        <v/>
      </c>
      <c r="K176" s="15">
        <f>IF(A176="","",IF(OR(I176=0,C176=0),0,MIN(1,E176/((I176/60)*C176))))</f>
        <v/>
      </c>
      <c r="L176" s="15">
        <f>IF(A176="","",IF(E176=0,0,MIN(1,MAX(0,G176/E176))))</f>
        <v/>
      </c>
      <c r="M176" s="15">
        <f>IF(A176="","",J176*K176*L176)</f>
        <v/>
      </c>
    </row>
    <row r="177">
      <c r="A177" s="11">
        <f>Machines!A177</f>
        <v/>
      </c>
      <c r="B177" s="11">
        <f>Machines!B177</f>
        <v/>
      </c>
      <c r="C177" s="11">
        <f>IF(A177="","",Machines!D177)</f>
        <v/>
      </c>
      <c r="D177" s="11">
        <f>SUMIFS(WorkOrders!$M$2:$M$500,WorkOrders!$C$2:$C$500,A177)</f>
        <v/>
      </c>
      <c r="E177" s="11">
        <f>SUMIFS(WorkOrders!$E$2:$E$500,WorkOrders!$C$2:$C$500,A177)</f>
        <v/>
      </c>
      <c r="F177" s="11">
        <f>SUMIFS(WorkOrders!$F$2:$F$500,WorkOrders!$C$2:$C$500,A177)</f>
        <v/>
      </c>
      <c r="G177" s="11">
        <f>E177-F177</f>
        <v/>
      </c>
      <c r="H177" s="11">
        <f>SUMIFS(Downtime!$G$2:$G$500,Downtime!$A$2:$A$500,A177)</f>
        <v/>
      </c>
      <c r="I177" s="11">
        <f>MAX(0,D177-H177)</f>
        <v/>
      </c>
      <c r="J177" s="15">
        <f>IF(A177="","",IF(D177=0,0,MIN(1,I177/D177)))</f>
        <v/>
      </c>
      <c r="K177" s="15">
        <f>IF(A177="","",IF(OR(I177=0,C177=0),0,MIN(1,E177/((I177/60)*C177))))</f>
        <v/>
      </c>
      <c r="L177" s="15">
        <f>IF(A177="","",IF(E177=0,0,MIN(1,MAX(0,G177/E177))))</f>
        <v/>
      </c>
      <c r="M177" s="15">
        <f>IF(A177="","",J177*K177*L177)</f>
        <v/>
      </c>
    </row>
    <row r="178">
      <c r="A178" s="11">
        <f>Machines!A178</f>
        <v/>
      </c>
      <c r="B178" s="11">
        <f>Machines!B178</f>
        <v/>
      </c>
      <c r="C178" s="11">
        <f>IF(A178="","",Machines!D178)</f>
        <v/>
      </c>
      <c r="D178" s="11">
        <f>SUMIFS(WorkOrders!$M$2:$M$500,WorkOrders!$C$2:$C$500,A178)</f>
        <v/>
      </c>
      <c r="E178" s="11">
        <f>SUMIFS(WorkOrders!$E$2:$E$500,WorkOrders!$C$2:$C$500,A178)</f>
        <v/>
      </c>
      <c r="F178" s="11">
        <f>SUMIFS(WorkOrders!$F$2:$F$500,WorkOrders!$C$2:$C$500,A178)</f>
        <v/>
      </c>
      <c r="G178" s="11">
        <f>E178-F178</f>
        <v/>
      </c>
      <c r="H178" s="11">
        <f>SUMIFS(Downtime!$G$2:$G$500,Downtime!$A$2:$A$500,A178)</f>
        <v/>
      </c>
      <c r="I178" s="11">
        <f>MAX(0,D178-H178)</f>
        <v/>
      </c>
      <c r="J178" s="15">
        <f>IF(A178="","",IF(D178=0,0,MIN(1,I178/D178)))</f>
        <v/>
      </c>
      <c r="K178" s="15">
        <f>IF(A178="","",IF(OR(I178=0,C178=0),0,MIN(1,E178/((I178/60)*C178))))</f>
        <v/>
      </c>
      <c r="L178" s="15">
        <f>IF(A178="","",IF(E178=0,0,MIN(1,MAX(0,G178/E178))))</f>
        <v/>
      </c>
      <c r="M178" s="15">
        <f>IF(A178="","",J178*K178*L178)</f>
        <v/>
      </c>
    </row>
    <row r="179">
      <c r="A179" s="11">
        <f>Machines!A179</f>
        <v/>
      </c>
      <c r="B179" s="11">
        <f>Machines!B179</f>
        <v/>
      </c>
      <c r="C179" s="11">
        <f>IF(A179="","",Machines!D179)</f>
        <v/>
      </c>
      <c r="D179" s="11">
        <f>SUMIFS(WorkOrders!$M$2:$M$500,WorkOrders!$C$2:$C$500,A179)</f>
        <v/>
      </c>
      <c r="E179" s="11">
        <f>SUMIFS(WorkOrders!$E$2:$E$500,WorkOrders!$C$2:$C$500,A179)</f>
        <v/>
      </c>
      <c r="F179" s="11">
        <f>SUMIFS(WorkOrders!$F$2:$F$500,WorkOrders!$C$2:$C$500,A179)</f>
        <v/>
      </c>
      <c r="G179" s="11">
        <f>E179-F179</f>
        <v/>
      </c>
      <c r="H179" s="11">
        <f>SUMIFS(Downtime!$G$2:$G$500,Downtime!$A$2:$A$500,A179)</f>
        <v/>
      </c>
      <c r="I179" s="11">
        <f>MAX(0,D179-H179)</f>
        <v/>
      </c>
      <c r="J179" s="15">
        <f>IF(A179="","",IF(D179=0,0,MIN(1,I179/D179)))</f>
        <v/>
      </c>
      <c r="K179" s="15">
        <f>IF(A179="","",IF(OR(I179=0,C179=0),0,MIN(1,E179/((I179/60)*C179))))</f>
        <v/>
      </c>
      <c r="L179" s="15">
        <f>IF(A179="","",IF(E179=0,0,MIN(1,MAX(0,G179/E179))))</f>
        <v/>
      </c>
      <c r="M179" s="15">
        <f>IF(A179="","",J179*K179*L179)</f>
        <v/>
      </c>
    </row>
    <row r="180">
      <c r="A180" s="11">
        <f>Machines!A180</f>
        <v/>
      </c>
      <c r="B180" s="11">
        <f>Machines!B180</f>
        <v/>
      </c>
      <c r="C180" s="11">
        <f>IF(A180="","",Machines!D180)</f>
        <v/>
      </c>
      <c r="D180" s="11">
        <f>SUMIFS(WorkOrders!$M$2:$M$500,WorkOrders!$C$2:$C$500,A180)</f>
        <v/>
      </c>
      <c r="E180" s="11">
        <f>SUMIFS(WorkOrders!$E$2:$E$500,WorkOrders!$C$2:$C$500,A180)</f>
        <v/>
      </c>
      <c r="F180" s="11">
        <f>SUMIFS(WorkOrders!$F$2:$F$500,WorkOrders!$C$2:$C$500,A180)</f>
        <v/>
      </c>
      <c r="G180" s="11">
        <f>E180-F180</f>
        <v/>
      </c>
      <c r="H180" s="11">
        <f>SUMIFS(Downtime!$G$2:$G$500,Downtime!$A$2:$A$500,A180)</f>
        <v/>
      </c>
      <c r="I180" s="11">
        <f>MAX(0,D180-H180)</f>
        <v/>
      </c>
      <c r="J180" s="15">
        <f>IF(A180="","",IF(D180=0,0,MIN(1,I180/D180)))</f>
        <v/>
      </c>
      <c r="K180" s="15">
        <f>IF(A180="","",IF(OR(I180=0,C180=0),0,MIN(1,E180/((I180/60)*C180))))</f>
        <v/>
      </c>
      <c r="L180" s="15">
        <f>IF(A180="","",IF(E180=0,0,MIN(1,MAX(0,G180/E180))))</f>
        <v/>
      </c>
      <c r="M180" s="15">
        <f>IF(A180="","",J180*K180*L180)</f>
        <v/>
      </c>
    </row>
    <row r="181">
      <c r="A181" s="11">
        <f>Machines!A181</f>
        <v/>
      </c>
      <c r="B181" s="11">
        <f>Machines!B181</f>
        <v/>
      </c>
      <c r="C181" s="11">
        <f>IF(A181="","",Machines!D181)</f>
        <v/>
      </c>
      <c r="D181" s="11">
        <f>SUMIFS(WorkOrders!$M$2:$M$500,WorkOrders!$C$2:$C$500,A181)</f>
        <v/>
      </c>
      <c r="E181" s="11">
        <f>SUMIFS(WorkOrders!$E$2:$E$500,WorkOrders!$C$2:$C$500,A181)</f>
        <v/>
      </c>
      <c r="F181" s="11">
        <f>SUMIFS(WorkOrders!$F$2:$F$500,WorkOrders!$C$2:$C$500,A181)</f>
        <v/>
      </c>
      <c r="G181" s="11">
        <f>E181-F181</f>
        <v/>
      </c>
      <c r="H181" s="11">
        <f>SUMIFS(Downtime!$G$2:$G$500,Downtime!$A$2:$A$500,A181)</f>
        <v/>
      </c>
      <c r="I181" s="11">
        <f>MAX(0,D181-H181)</f>
        <v/>
      </c>
      <c r="J181" s="15">
        <f>IF(A181="","",IF(D181=0,0,MIN(1,I181/D181)))</f>
        <v/>
      </c>
      <c r="K181" s="15">
        <f>IF(A181="","",IF(OR(I181=0,C181=0),0,MIN(1,E181/((I181/60)*C181))))</f>
        <v/>
      </c>
      <c r="L181" s="15">
        <f>IF(A181="","",IF(E181=0,0,MIN(1,MAX(0,G181/E181))))</f>
        <v/>
      </c>
      <c r="M181" s="15">
        <f>IF(A181="","",J181*K181*L181)</f>
        <v/>
      </c>
    </row>
    <row r="182">
      <c r="A182" s="11">
        <f>Machines!A182</f>
        <v/>
      </c>
      <c r="B182" s="11">
        <f>Machines!B182</f>
        <v/>
      </c>
      <c r="C182" s="11">
        <f>IF(A182="","",Machines!D182)</f>
        <v/>
      </c>
      <c r="D182" s="11">
        <f>SUMIFS(WorkOrders!$M$2:$M$500,WorkOrders!$C$2:$C$500,A182)</f>
        <v/>
      </c>
      <c r="E182" s="11">
        <f>SUMIFS(WorkOrders!$E$2:$E$500,WorkOrders!$C$2:$C$500,A182)</f>
        <v/>
      </c>
      <c r="F182" s="11">
        <f>SUMIFS(WorkOrders!$F$2:$F$500,WorkOrders!$C$2:$C$500,A182)</f>
        <v/>
      </c>
      <c r="G182" s="11">
        <f>E182-F182</f>
        <v/>
      </c>
      <c r="H182" s="11">
        <f>SUMIFS(Downtime!$G$2:$G$500,Downtime!$A$2:$A$500,A182)</f>
        <v/>
      </c>
      <c r="I182" s="11">
        <f>MAX(0,D182-H182)</f>
        <v/>
      </c>
      <c r="J182" s="15">
        <f>IF(A182="","",IF(D182=0,0,MIN(1,I182/D182)))</f>
        <v/>
      </c>
      <c r="K182" s="15">
        <f>IF(A182="","",IF(OR(I182=0,C182=0),0,MIN(1,E182/((I182/60)*C182))))</f>
        <v/>
      </c>
      <c r="L182" s="15">
        <f>IF(A182="","",IF(E182=0,0,MIN(1,MAX(0,G182/E182))))</f>
        <v/>
      </c>
      <c r="M182" s="15">
        <f>IF(A182="","",J182*K182*L182)</f>
        <v/>
      </c>
    </row>
    <row r="183">
      <c r="A183" s="11">
        <f>Machines!A183</f>
        <v/>
      </c>
      <c r="B183" s="11">
        <f>Machines!B183</f>
        <v/>
      </c>
      <c r="C183" s="11">
        <f>IF(A183="","",Machines!D183)</f>
        <v/>
      </c>
      <c r="D183" s="11">
        <f>SUMIFS(WorkOrders!$M$2:$M$500,WorkOrders!$C$2:$C$500,A183)</f>
        <v/>
      </c>
      <c r="E183" s="11">
        <f>SUMIFS(WorkOrders!$E$2:$E$500,WorkOrders!$C$2:$C$500,A183)</f>
        <v/>
      </c>
      <c r="F183" s="11">
        <f>SUMIFS(WorkOrders!$F$2:$F$500,WorkOrders!$C$2:$C$500,A183)</f>
        <v/>
      </c>
      <c r="G183" s="11">
        <f>E183-F183</f>
        <v/>
      </c>
      <c r="H183" s="11">
        <f>SUMIFS(Downtime!$G$2:$G$500,Downtime!$A$2:$A$500,A183)</f>
        <v/>
      </c>
      <c r="I183" s="11">
        <f>MAX(0,D183-H183)</f>
        <v/>
      </c>
      <c r="J183" s="15">
        <f>IF(A183="","",IF(D183=0,0,MIN(1,I183/D183)))</f>
        <v/>
      </c>
      <c r="K183" s="15">
        <f>IF(A183="","",IF(OR(I183=0,C183=0),0,MIN(1,E183/((I183/60)*C183))))</f>
        <v/>
      </c>
      <c r="L183" s="15">
        <f>IF(A183="","",IF(E183=0,0,MIN(1,MAX(0,G183/E183))))</f>
        <v/>
      </c>
      <c r="M183" s="15">
        <f>IF(A183="","",J183*K183*L183)</f>
        <v/>
      </c>
    </row>
    <row r="184">
      <c r="A184" s="11">
        <f>Machines!A184</f>
        <v/>
      </c>
      <c r="B184" s="11">
        <f>Machines!B184</f>
        <v/>
      </c>
      <c r="C184" s="11">
        <f>IF(A184="","",Machines!D184)</f>
        <v/>
      </c>
      <c r="D184" s="11">
        <f>SUMIFS(WorkOrders!$M$2:$M$500,WorkOrders!$C$2:$C$500,A184)</f>
        <v/>
      </c>
      <c r="E184" s="11">
        <f>SUMIFS(WorkOrders!$E$2:$E$500,WorkOrders!$C$2:$C$500,A184)</f>
        <v/>
      </c>
      <c r="F184" s="11">
        <f>SUMIFS(WorkOrders!$F$2:$F$500,WorkOrders!$C$2:$C$500,A184)</f>
        <v/>
      </c>
      <c r="G184" s="11">
        <f>E184-F184</f>
        <v/>
      </c>
      <c r="H184" s="11">
        <f>SUMIFS(Downtime!$G$2:$G$500,Downtime!$A$2:$A$500,A184)</f>
        <v/>
      </c>
      <c r="I184" s="11">
        <f>MAX(0,D184-H184)</f>
        <v/>
      </c>
      <c r="J184" s="15">
        <f>IF(A184="","",IF(D184=0,0,MIN(1,I184/D184)))</f>
        <v/>
      </c>
      <c r="K184" s="15">
        <f>IF(A184="","",IF(OR(I184=0,C184=0),0,MIN(1,E184/((I184/60)*C184))))</f>
        <v/>
      </c>
      <c r="L184" s="15">
        <f>IF(A184="","",IF(E184=0,0,MIN(1,MAX(0,G184/E184))))</f>
        <v/>
      </c>
      <c r="M184" s="15">
        <f>IF(A184="","",J184*K184*L184)</f>
        <v/>
      </c>
    </row>
    <row r="185">
      <c r="A185" s="11">
        <f>Machines!A185</f>
        <v/>
      </c>
      <c r="B185" s="11">
        <f>Machines!B185</f>
        <v/>
      </c>
      <c r="C185" s="11">
        <f>IF(A185="","",Machines!D185)</f>
        <v/>
      </c>
      <c r="D185" s="11">
        <f>SUMIFS(WorkOrders!$M$2:$M$500,WorkOrders!$C$2:$C$500,A185)</f>
        <v/>
      </c>
      <c r="E185" s="11">
        <f>SUMIFS(WorkOrders!$E$2:$E$500,WorkOrders!$C$2:$C$500,A185)</f>
        <v/>
      </c>
      <c r="F185" s="11">
        <f>SUMIFS(WorkOrders!$F$2:$F$500,WorkOrders!$C$2:$C$500,A185)</f>
        <v/>
      </c>
      <c r="G185" s="11">
        <f>E185-F185</f>
        <v/>
      </c>
      <c r="H185" s="11">
        <f>SUMIFS(Downtime!$G$2:$G$500,Downtime!$A$2:$A$500,A185)</f>
        <v/>
      </c>
      <c r="I185" s="11">
        <f>MAX(0,D185-H185)</f>
        <v/>
      </c>
      <c r="J185" s="15">
        <f>IF(A185="","",IF(D185=0,0,MIN(1,I185/D185)))</f>
        <v/>
      </c>
      <c r="K185" s="15">
        <f>IF(A185="","",IF(OR(I185=0,C185=0),0,MIN(1,E185/((I185/60)*C185))))</f>
        <v/>
      </c>
      <c r="L185" s="15">
        <f>IF(A185="","",IF(E185=0,0,MIN(1,MAX(0,G185/E185))))</f>
        <v/>
      </c>
      <c r="M185" s="15">
        <f>IF(A185="","",J185*K185*L185)</f>
        <v/>
      </c>
    </row>
    <row r="186">
      <c r="A186" s="11">
        <f>Machines!A186</f>
        <v/>
      </c>
      <c r="B186" s="11">
        <f>Machines!B186</f>
        <v/>
      </c>
      <c r="C186" s="11">
        <f>IF(A186="","",Machines!D186)</f>
        <v/>
      </c>
      <c r="D186" s="11">
        <f>SUMIFS(WorkOrders!$M$2:$M$500,WorkOrders!$C$2:$C$500,A186)</f>
        <v/>
      </c>
      <c r="E186" s="11">
        <f>SUMIFS(WorkOrders!$E$2:$E$500,WorkOrders!$C$2:$C$500,A186)</f>
        <v/>
      </c>
      <c r="F186" s="11">
        <f>SUMIFS(WorkOrders!$F$2:$F$500,WorkOrders!$C$2:$C$500,A186)</f>
        <v/>
      </c>
      <c r="G186" s="11">
        <f>E186-F186</f>
        <v/>
      </c>
      <c r="H186" s="11">
        <f>SUMIFS(Downtime!$G$2:$G$500,Downtime!$A$2:$A$500,A186)</f>
        <v/>
      </c>
      <c r="I186" s="11">
        <f>MAX(0,D186-H186)</f>
        <v/>
      </c>
      <c r="J186" s="15">
        <f>IF(A186="","",IF(D186=0,0,MIN(1,I186/D186)))</f>
        <v/>
      </c>
      <c r="K186" s="15">
        <f>IF(A186="","",IF(OR(I186=0,C186=0),0,MIN(1,E186/((I186/60)*C186))))</f>
        <v/>
      </c>
      <c r="L186" s="15">
        <f>IF(A186="","",IF(E186=0,0,MIN(1,MAX(0,G186/E186))))</f>
        <v/>
      </c>
      <c r="M186" s="15">
        <f>IF(A186="","",J186*K186*L186)</f>
        <v/>
      </c>
    </row>
    <row r="187">
      <c r="A187" s="11">
        <f>Machines!A187</f>
        <v/>
      </c>
      <c r="B187" s="11">
        <f>Machines!B187</f>
        <v/>
      </c>
      <c r="C187" s="11">
        <f>IF(A187="","",Machines!D187)</f>
        <v/>
      </c>
      <c r="D187" s="11">
        <f>SUMIFS(WorkOrders!$M$2:$M$500,WorkOrders!$C$2:$C$500,A187)</f>
        <v/>
      </c>
      <c r="E187" s="11">
        <f>SUMIFS(WorkOrders!$E$2:$E$500,WorkOrders!$C$2:$C$500,A187)</f>
        <v/>
      </c>
      <c r="F187" s="11">
        <f>SUMIFS(WorkOrders!$F$2:$F$500,WorkOrders!$C$2:$C$500,A187)</f>
        <v/>
      </c>
      <c r="G187" s="11">
        <f>E187-F187</f>
        <v/>
      </c>
      <c r="H187" s="11">
        <f>SUMIFS(Downtime!$G$2:$G$500,Downtime!$A$2:$A$500,A187)</f>
        <v/>
      </c>
      <c r="I187" s="11">
        <f>MAX(0,D187-H187)</f>
        <v/>
      </c>
      <c r="J187" s="15">
        <f>IF(A187="","",IF(D187=0,0,MIN(1,I187/D187)))</f>
        <v/>
      </c>
      <c r="K187" s="15">
        <f>IF(A187="","",IF(OR(I187=0,C187=0),0,MIN(1,E187/((I187/60)*C187))))</f>
        <v/>
      </c>
      <c r="L187" s="15">
        <f>IF(A187="","",IF(E187=0,0,MIN(1,MAX(0,G187/E187))))</f>
        <v/>
      </c>
      <c r="M187" s="15">
        <f>IF(A187="","",J187*K187*L187)</f>
        <v/>
      </c>
    </row>
    <row r="188">
      <c r="A188" s="11">
        <f>Machines!A188</f>
        <v/>
      </c>
      <c r="B188" s="11">
        <f>Machines!B188</f>
        <v/>
      </c>
      <c r="C188" s="11">
        <f>IF(A188="","",Machines!D188)</f>
        <v/>
      </c>
      <c r="D188" s="11">
        <f>SUMIFS(WorkOrders!$M$2:$M$500,WorkOrders!$C$2:$C$500,A188)</f>
        <v/>
      </c>
      <c r="E188" s="11">
        <f>SUMIFS(WorkOrders!$E$2:$E$500,WorkOrders!$C$2:$C$500,A188)</f>
        <v/>
      </c>
      <c r="F188" s="11">
        <f>SUMIFS(WorkOrders!$F$2:$F$500,WorkOrders!$C$2:$C$500,A188)</f>
        <v/>
      </c>
      <c r="G188" s="11">
        <f>E188-F188</f>
        <v/>
      </c>
      <c r="H188" s="11">
        <f>SUMIFS(Downtime!$G$2:$G$500,Downtime!$A$2:$A$500,A188)</f>
        <v/>
      </c>
      <c r="I188" s="11">
        <f>MAX(0,D188-H188)</f>
        <v/>
      </c>
      <c r="J188" s="15">
        <f>IF(A188="","",IF(D188=0,0,MIN(1,I188/D188)))</f>
        <v/>
      </c>
      <c r="K188" s="15">
        <f>IF(A188="","",IF(OR(I188=0,C188=0),0,MIN(1,E188/((I188/60)*C188))))</f>
        <v/>
      </c>
      <c r="L188" s="15">
        <f>IF(A188="","",IF(E188=0,0,MIN(1,MAX(0,G188/E188))))</f>
        <v/>
      </c>
      <c r="M188" s="15">
        <f>IF(A188="","",J188*K188*L188)</f>
        <v/>
      </c>
    </row>
    <row r="189">
      <c r="A189" s="11">
        <f>Machines!A189</f>
        <v/>
      </c>
      <c r="B189" s="11">
        <f>Machines!B189</f>
        <v/>
      </c>
      <c r="C189" s="11">
        <f>IF(A189="","",Machines!D189)</f>
        <v/>
      </c>
      <c r="D189" s="11">
        <f>SUMIFS(WorkOrders!$M$2:$M$500,WorkOrders!$C$2:$C$500,A189)</f>
        <v/>
      </c>
      <c r="E189" s="11">
        <f>SUMIFS(WorkOrders!$E$2:$E$500,WorkOrders!$C$2:$C$500,A189)</f>
        <v/>
      </c>
      <c r="F189" s="11">
        <f>SUMIFS(WorkOrders!$F$2:$F$500,WorkOrders!$C$2:$C$500,A189)</f>
        <v/>
      </c>
      <c r="G189" s="11">
        <f>E189-F189</f>
        <v/>
      </c>
      <c r="H189" s="11">
        <f>SUMIFS(Downtime!$G$2:$G$500,Downtime!$A$2:$A$500,A189)</f>
        <v/>
      </c>
      <c r="I189" s="11">
        <f>MAX(0,D189-H189)</f>
        <v/>
      </c>
      <c r="J189" s="15">
        <f>IF(A189="","",IF(D189=0,0,MIN(1,I189/D189)))</f>
        <v/>
      </c>
      <c r="K189" s="15">
        <f>IF(A189="","",IF(OR(I189=0,C189=0),0,MIN(1,E189/((I189/60)*C189))))</f>
        <v/>
      </c>
      <c r="L189" s="15">
        <f>IF(A189="","",IF(E189=0,0,MIN(1,MAX(0,G189/E189))))</f>
        <v/>
      </c>
      <c r="M189" s="15">
        <f>IF(A189="","",J189*K189*L189)</f>
        <v/>
      </c>
    </row>
    <row r="190">
      <c r="A190" s="11">
        <f>Machines!A190</f>
        <v/>
      </c>
      <c r="B190" s="11">
        <f>Machines!B190</f>
        <v/>
      </c>
      <c r="C190" s="11">
        <f>IF(A190="","",Machines!D190)</f>
        <v/>
      </c>
      <c r="D190" s="11">
        <f>SUMIFS(WorkOrders!$M$2:$M$500,WorkOrders!$C$2:$C$500,A190)</f>
        <v/>
      </c>
      <c r="E190" s="11">
        <f>SUMIFS(WorkOrders!$E$2:$E$500,WorkOrders!$C$2:$C$500,A190)</f>
        <v/>
      </c>
      <c r="F190" s="11">
        <f>SUMIFS(WorkOrders!$F$2:$F$500,WorkOrders!$C$2:$C$500,A190)</f>
        <v/>
      </c>
      <c r="G190" s="11">
        <f>E190-F190</f>
        <v/>
      </c>
      <c r="H190" s="11">
        <f>SUMIFS(Downtime!$G$2:$G$500,Downtime!$A$2:$A$500,A190)</f>
        <v/>
      </c>
      <c r="I190" s="11">
        <f>MAX(0,D190-H190)</f>
        <v/>
      </c>
      <c r="J190" s="15">
        <f>IF(A190="","",IF(D190=0,0,MIN(1,I190/D190)))</f>
        <v/>
      </c>
      <c r="K190" s="15">
        <f>IF(A190="","",IF(OR(I190=0,C190=0),0,MIN(1,E190/((I190/60)*C190))))</f>
        <v/>
      </c>
      <c r="L190" s="15">
        <f>IF(A190="","",IF(E190=0,0,MIN(1,MAX(0,G190/E190))))</f>
        <v/>
      </c>
      <c r="M190" s="15">
        <f>IF(A190="","",J190*K190*L190)</f>
        <v/>
      </c>
    </row>
    <row r="191">
      <c r="A191" s="11">
        <f>Machines!A191</f>
        <v/>
      </c>
      <c r="B191" s="11">
        <f>Machines!B191</f>
        <v/>
      </c>
      <c r="C191" s="11">
        <f>IF(A191="","",Machines!D191)</f>
        <v/>
      </c>
      <c r="D191" s="11">
        <f>SUMIFS(WorkOrders!$M$2:$M$500,WorkOrders!$C$2:$C$500,A191)</f>
        <v/>
      </c>
      <c r="E191" s="11">
        <f>SUMIFS(WorkOrders!$E$2:$E$500,WorkOrders!$C$2:$C$500,A191)</f>
        <v/>
      </c>
      <c r="F191" s="11">
        <f>SUMIFS(WorkOrders!$F$2:$F$500,WorkOrders!$C$2:$C$500,A191)</f>
        <v/>
      </c>
      <c r="G191" s="11">
        <f>E191-F191</f>
        <v/>
      </c>
      <c r="H191" s="11">
        <f>SUMIFS(Downtime!$G$2:$G$500,Downtime!$A$2:$A$500,A191)</f>
        <v/>
      </c>
      <c r="I191" s="11">
        <f>MAX(0,D191-H191)</f>
        <v/>
      </c>
      <c r="J191" s="15">
        <f>IF(A191="","",IF(D191=0,0,MIN(1,I191/D191)))</f>
        <v/>
      </c>
      <c r="K191" s="15">
        <f>IF(A191="","",IF(OR(I191=0,C191=0),0,MIN(1,E191/((I191/60)*C191))))</f>
        <v/>
      </c>
      <c r="L191" s="15">
        <f>IF(A191="","",IF(E191=0,0,MIN(1,MAX(0,G191/E191))))</f>
        <v/>
      </c>
      <c r="M191" s="15">
        <f>IF(A191="","",J191*K191*L191)</f>
        <v/>
      </c>
    </row>
    <row r="192">
      <c r="A192" s="11">
        <f>Machines!A192</f>
        <v/>
      </c>
      <c r="B192" s="11">
        <f>Machines!B192</f>
        <v/>
      </c>
      <c r="C192" s="11">
        <f>IF(A192="","",Machines!D192)</f>
        <v/>
      </c>
      <c r="D192" s="11">
        <f>SUMIFS(WorkOrders!$M$2:$M$500,WorkOrders!$C$2:$C$500,A192)</f>
        <v/>
      </c>
      <c r="E192" s="11">
        <f>SUMIFS(WorkOrders!$E$2:$E$500,WorkOrders!$C$2:$C$500,A192)</f>
        <v/>
      </c>
      <c r="F192" s="11">
        <f>SUMIFS(WorkOrders!$F$2:$F$500,WorkOrders!$C$2:$C$500,A192)</f>
        <v/>
      </c>
      <c r="G192" s="11">
        <f>E192-F192</f>
        <v/>
      </c>
      <c r="H192" s="11">
        <f>SUMIFS(Downtime!$G$2:$G$500,Downtime!$A$2:$A$500,A192)</f>
        <v/>
      </c>
      <c r="I192" s="11">
        <f>MAX(0,D192-H192)</f>
        <v/>
      </c>
      <c r="J192" s="15">
        <f>IF(A192="","",IF(D192=0,0,MIN(1,I192/D192)))</f>
        <v/>
      </c>
      <c r="K192" s="15">
        <f>IF(A192="","",IF(OR(I192=0,C192=0),0,MIN(1,E192/((I192/60)*C192))))</f>
        <v/>
      </c>
      <c r="L192" s="15">
        <f>IF(A192="","",IF(E192=0,0,MIN(1,MAX(0,G192/E192))))</f>
        <v/>
      </c>
      <c r="M192" s="15">
        <f>IF(A192="","",J192*K192*L192)</f>
        <v/>
      </c>
    </row>
    <row r="193">
      <c r="A193" s="11">
        <f>Machines!A193</f>
        <v/>
      </c>
      <c r="B193" s="11">
        <f>Machines!B193</f>
        <v/>
      </c>
      <c r="C193" s="11">
        <f>IF(A193="","",Machines!D193)</f>
        <v/>
      </c>
      <c r="D193" s="11">
        <f>SUMIFS(WorkOrders!$M$2:$M$500,WorkOrders!$C$2:$C$500,A193)</f>
        <v/>
      </c>
      <c r="E193" s="11">
        <f>SUMIFS(WorkOrders!$E$2:$E$500,WorkOrders!$C$2:$C$500,A193)</f>
        <v/>
      </c>
      <c r="F193" s="11">
        <f>SUMIFS(WorkOrders!$F$2:$F$500,WorkOrders!$C$2:$C$500,A193)</f>
        <v/>
      </c>
      <c r="G193" s="11">
        <f>E193-F193</f>
        <v/>
      </c>
      <c r="H193" s="11">
        <f>SUMIFS(Downtime!$G$2:$G$500,Downtime!$A$2:$A$500,A193)</f>
        <v/>
      </c>
      <c r="I193" s="11">
        <f>MAX(0,D193-H193)</f>
        <v/>
      </c>
      <c r="J193" s="15">
        <f>IF(A193="","",IF(D193=0,0,MIN(1,I193/D193)))</f>
        <v/>
      </c>
      <c r="K193" s="15">
        <f>IF(A193="","",IF(OR(I193=0,C193=0),0,MIN(1,E193/((I193/60)*C193))))</f>
        <v/>
      </c>
      <c r="L193" s="15">
        <f>IF(A193="","",IF(E193=0,0,MIN(1,MAX(0,G193/E193))))</f>
        <v/>
      </c>
      <c r="M193" s="15">
        <f>IF(A193="","",J193*K193*L193)</f>
        <v/>
      </c>
    </row>
    <row r="194">
      <c r="A194" s="11">
        <f>Machines!A194</f>
        <v/>
      </c>
      <c r="B194" s="11">
        <f>Machines!B194</f>
        <v/>
      </c>
      <c r="C194" s="11">
        <f>IF(A194="","",Machines!D194)</f>
        <v/>
      </c>
      <c r="D194" s="11">
        <f>SUMIFS(WorkOrders!$M$2:$M$500,WorkOrders!$C$2:$C$500,A194)</f>
        <v/>
      </c>
      <c r="E194" s="11">
        <f>SUMIFS(WorkOrders!$E$2:$E$500,WorkOrders!$C$2:$C$500,A194)</f>
        <v/>
      </c>
      <c r="F194" s="11">
        <f>SUMIFS(WorkOrders!$F$2:$F$500,WorkOrders!$C$2:$C$500,A194)</f>
        <v/>
      </c>
      <c r="G194" s="11">
        <f>E194-F194</f>
        <v/>
      </c>
      <c r="H194" s="11">
        <f>SUMIFS(Downtime!$G$2:$G$500,Downtime!$A$2:$A$500,A194)</f>
        <v/>
      </c>
      <c r="I194" s="11">
        <f>MAX(0,D194-H194)</f>
        <v/>
      </c>
      <c r="J194" s="15">
        <f>IF(A194="","",IF(D194=0,0,MIN(1,I194/D194)))</f>
        <v/>
      </c>
      <c r="K194" s="15">
        <f>IF(A194="","",IF(OR(I194=0,C194=0),0,MIN(1,E194/((I194/60)*C194))))</f>
        <v/>
      </c>
      <c r="L194" s="15">
        <f>IF(A194="","",IF(E194=0,0,MIN(1,MAX(0,G194/E194))))</f>
        <v/>
      </c>
      <c r="M194" s="15">
        <f>IF(A194="","",J194*K194*L194)</f>
        <v/>
      </c>
    </row>
    <row r="195">
      <c r="A195" s="11">
        <f>Machines!A195</f>
        <v/>
      </c>
      <c r="B195" s="11">
        <f>Machines!B195</f>
        <v/>
      </c>
      <c r="C195" s="11">
        <f>IF(A195="","",Machines!D195)</f>
        <v/>
      </c>
      <c r="D195" s="11">
        <f>SUMIFS(WorkOrders!$M$2:$M$500,WorkOrders!$C$2:$C$500,A195)</f>
        <v/>
      </c>
      <c r="E195" s="11">
        <f>SUMIFS(WorkOrders!$E$2:$E$500,WorkOrders!$C$2:$C$500,A195)</f>
        <v/>
      </c>
      <c r="F195" s="11">
        <f>SUMIFS(WorkOrders!$F$2:$F$500,WorkOrders!$C$2:$C$500,A195)</f>
        <v/>
      </c>
      <c r="G195" s="11">
        <f>E195-F195</f>
        <v/>
      </c>
      <c r="H195" s="11">
        <f>SUMIFS(Downtime!$G$2:$G$500,Downtime!$A$2:$A$500,A195)</f>
        <v/>
      </c>
      <c r="I195" s="11">
        <f>MAX(0,D195-H195)</f>
        <v/>
      </c>
      <c r="J195" s="15">
        <f>IF(A195="","",IF(D195=0,0,MIN(1,I195/D195)))</f>
        <v/>
      </c>
      <c r="K195" s="15">
        <f>IF(A195="","",IF(OR(I195=0,C195=0),0,MIN(1,E195/((I195/60)*C195))))</f>
        <v/>
      </c>
      <c r="L195" s="15">
        <f>IF(A195="","",IF(E195=0,0,MIN(1,MAX(0,G195/E195))))</f>
        <v/>
      </c>
      <c r="M195" s="15">
        <f>IF(A195="","",J195*K195*L195)</f>
        <v/>
      </c>
    </row>
    <row r="196">
      <c r="A196" s="11">
        <f>Machines!A196</f>
        <v/>
      </c>
      <c r="B196" s="11">
        <f>Machines!B196</f>
        <v/>
      </c>
      <c r="C196" s="11">
        <f>IF(A196="","",Machines!D196)</f>
        <v/>
      </c>
      <c r="D196" s="11">
        <f>SUMIFS(WorkOrders!$M$2:$M$500,WorkOrders!$C$2:$C$500,A196)</f>
        <v/>
      </c>
      <c r="E196" s="11">
        <f>SUMIFS(WorkOrders!$E$2:$E$500,WorkOrders!$C$2:$C$500,A196)</f>
        <v/>
      </c>
      <c r="F196" s="11">
        <f>SUMIFS(WorkOrders!$F$2:$F$500,WorkOrders!$C$2:$C$500,A196)</f>
        <v/>
      </c>
      <c r="G196" s="11">
        <f>E196-F196</f>
        <v/>
      </c>
      <c r="H196" s="11">
        <f>SUMIFS(Downtime!$G$2:$G$500,Downtime!$A$2:$A$500,A196)</f>
        <v/>
      </c>
      <c r="I196" s="11">
        <f>MAX(0,D196-H196)</f>
        <v/>
      </c>
      <c r="J196" s="15">
        <f>IF(A196="","",IF(D196=0,0,MIN(1,I196/D196)))</f>
        <v/>
      </c>
      <c r="K196" s="15">
        <f>IF(A196="","",IF(OR(I196=0,C196=0),0,MIN(1,E196/((I196/60)*C196))))</f>
        <v/>
      </c>
      <c r="L196" s="15">
        <f>IF(A196="","",IF(E196=0,0,MIN(1,MAX(0,G196/E196))))</f>
        <v/>
      </c>
      <c r="M196" s="15">
        <f>IF(A196="","",J196*K196*L196)</f>
        <v/>
      </c>
    </row>
    <row r="197">
      <c r="A197" s="11">
        <f>Machines!A197</f>
        <v/>
      </c>
      <c r="B197" s="11">
        <f>Machines!B197</f>
        <v/>
      </c>
      <c r="C197" s="11">
        <f>IF(A197="","",Machines!D197)</f>
        <v/>
      </c>
      <c r="D197" s="11">
        <f>SUMIFS(WorkOrders!$M$2:$M$500,WorkOrders!$C$2:$C$500,A197)</f>
        <v/>
      </c>
      <c r="E197" s="11">
        <f>SUMIFS(WorkOrders!$E$2:$E$500,WorkOrders!$C$2:$C$500,A197)</f>
        <v/>
      </c>
      <c r="F197" s="11">
        <f>SUMIFS(WorkOrders!$F$2:$F$500,WorkOrders!$C$2:$C$500,A197)</f>
        <v/>
      </c>
      <c r="G197" s="11">
        <f>E197-F197</f>
        <v/>
      </c>
      <c r="H197" s="11">
        <f>SUMIFS(Downtime!$G$2:$G$500,Downtime!$A$2:$A$500,A197)</f>
        <v/>
      </c>
      <c r="I197" s="11">
        <f>MAX(0,D197-H197)</f>
        <v/>
      </c>
      <c r="J197" s="15">
        <f>IF(A197="","",IF(D197=0,0,MIN(1,I197/D197)))</f>
        <v/>
      </c>
      <c r="K197" s="15">
        <f>IF(A197="","",IF(OR(I197=0,C197=0),0,MIN(1,E197/((I197/60)*C197))))</f>
        <v/>
      </c>
      <c r="L197" s="15">
        <f>IF(A197="","",IF(E197=0,0,MIN(1,MAX(0,G197/E197))))</f>
        <v/>
      </c>
      <c r="M197" s="15">
        <f>IF(A197="","",J197*K197*L197)</f>
        <v/>
      </c>
    </row>
    <row r="198">
      <c r="A198" s="11">
        <f>Machines!A198</f>
        <v/>
      </c>
      <c r="B198" s="11">
        <f>Machines!B198</f>
        <v/>
      </c>
      <c r="C198" s="11">
        <f>IF(A198="","",Machines!D198)</f>
        <v/>
      </c>
      <c r="D198" s="11">
        <f>SUMIFS(WorkOrders!$M$2:$M$500,WorkOrders!$C$2:$C$500,A198)</f>
        <v/>
      </c>
      <c r="E198" s="11">
        <f>SUMIFS(WorkOrders!$E$2:$E$500,WorkOrders!$C$2:$C$500,A198)</f>
        <v/>
      </c>
      <c r="F198" s="11">
        <f>SUMIFS(WorkOrders!$F$2:$F$500,WorkOrders!$C$2:$C$500,A198)</f>
        <v/>
      </c>
      <c r="G198" s="11">
        <f>E198-F198</f>
        <v/>
      </c>
      <c r="H198" s="11">
        <f>SUMIFS(Downtime!$G$2:$G$500,Downtime!$A$2:$A$500,A198)</f>
        <v/>
      </c>
      <c r="I198" s="11">
        <f>MAX(0,D198-H198)</f>
        <v/>
      </c>
      <c r="J198" s="15">
        <f>IF(A198="","",IF(D198=0,0,MIN(1,I198/D198)))</f>
        <v/>
      </c>
      <c r="K198" s="15">
        <f>IF(A198="","",IF(OR(I198=0,C198=0),0,MIN(1,E198/((I198/60)*C198))))</f>
        <v/>
      </c>
      <c r="L198" s="15">
        <f>IF(A198="","",IF(E198=0,0,MIN(1,MAX(0,G198/E198))))</f>
        <v/>
      </c>
      <c r="M198" s="15">
        <f>IF(A198="","",J198*K198*L198)</f>
        <v/>
      </c>
    </row>
    <row r="199">
      <c r="A199" s="11">
        <f>Machines!A199</f>
        <v/>
      </c>
      <c r="B199" s="11">
        <f>Machines!B199</f>
        <v/>
      </c>
      <c r="C199" s="11">
        <f>IF(A199="","",Machines!D199)</f>
        <v/>
      </c>
      <c r="D199" s="11">
        <f>SUMIFS(WorkOrders!$M$2:$M$500,WorkOrders!$C$2:$C$500,A199)</f>
        <v/>
      </c>
      <c r="E199" s="11">
        <f>SUMIFS(WorkOrders!$E$2:$E$500,WorkOrders!$C$2:$C$500,A199)</f>
        <v/>
      </c>
      <c r="F199" s="11">
        <f>SUMIFS(WorkOrders!$F$2:$F$500,WorkOrders!$C$2:$C$500,A199)</f>
        <v/>
      </c>
      <c r="G199" s="11">
        <f>E199-F199</f>
        <v/>
      </c>
      <c r="H199" s="11">
        <f>SUMIFS(Downtime!$G$2:$G$500,Downtime!$A$2:$A$500,A199)</f>
        <v/>
      </c>
      <c r="I199" s="11">
        <f>MAX(0,D199-H199)</f>
        <v/>
      </c>
      <c r="J199" s="15">
        <f>IF(A199="","",IF(D199=0,0,MIN(1,I199/D199)))</f>
        <v/>
      </c>
      <c r="K199" s="15">
        <f>IF(A199="","",IF(OR(I199=0,C199=0),0,MIN(1,E199/((I199/60)*C199))))</f>
        <v/>
      </c>
      <c r="L199" s="15">
        <f>IF(A199="","",IF(E199=0,0,MIN(1,MAX(0,G199/E199))))</f>
        <v/>
      </c>
      <c r="M199" s="15">
        <f>IF(A199="","",J199*K199*L199)</f>
        <v/>
      </c>
    </row>
    <row r="200">
      <c r="A200" s="11">
        <f>Machines!A200</f>
        <v/>
      </c>
      <c r="B200" s="11">
        <f>Machines!B200</f>
        <v/>
      </c>
      <c r="C200" s="11">
        <f>IF(A200="","",Machines!D200)</f>
        <v/>
      </c>
      <c r="D200" s="11">
        <f>SUMIFS(WorkOrders!$M$2:$M$500,WorkOrders!$C$2:$C$500,A200)</f>
        <v/>
      </c>
      <c r="E200" s="11">
        <f>SUMIFS(WorkOrders!$E$2:$E$500,WorkOrders!$C$2:$C$500,A200)</f>
        <v/>
      </c>
      <c r="F200" s="11">
        <f>SUMIFS(WorkOrders!$F$2:$F$500,WorkOrders!$C$2:$C$500,A200)</f>
        <v/>
      </c>
      <c r="G200" s="11">
        <f>E200-F200</f>
        <v/>
      </c>
      <c r="H200" s="11">
        <f>SUMIFS(Downtime!$G$2:$G$500,Downtime!$A$2:$A$500,A200)</f>
        <v/>
      </c>
      <c r="I200" s="11">
        <f>MAX(0,D200-H200)</f>
        <v/>
      </c>
      <c r="J200" s="15">
        <f>IF(A200="","",IF(D200=0,0,MIN(1,I200/D200)))</f>
        <v/>
      </c>
      <c r="K200" s="15">
        <f>IF(A200="","",IF(OR(I200=0,C200=0),0,MIN(1,E200/((I200/60)*C200))))</f>
        <v/>
      </c>
      <c r="L200" s="15">
        <f>IF(A200="","",IF(E200=0,0,MIN(1,MAX(0,G200/E200))))</f>
        <v/>
      </c>
      <c r="M200" s="15">
        <f>IF(A200="","",J200*K200*L200)</f>
        <v/>
      </c>
    </row>
    <row r="201">
      <c r="A201" s="11">
        <f>Machines!A201</f>
        <v/>
      </c>
      <c r="B201" s="11">
        <f>Machines!B201</f>
        <v/>
      </c>
      <c r="C201" s="11">
        <f>IF(A201="","",Machines!D201)</f>
        <v/>
      </c>
      <c r="D201" s="11">
        <f>SUMIFS(WorkOrders!$M$2:$M$500,WorkOrders!$C$2:$C$500,A201)</f>
        <v/>
      </c>
      <c r="E201" s="11">
        <f>SUMIFS(WorkOrders!$E$2:$E$500,WorkOrders!$C$2:$C$500,A201)</f>
        <v/>
      </c>
      <c r="F201" s="11">
        <f>SUMIFS(WorkOrders!$F$2:$F$500,WorkOrders!$C$2:$C$500,A201)</f>
        <v/>
      </c>
      <c r="G201" s="11">
        <f>E201-F201</f>
        <v/>
      </c>
      <c r="H201" s="11">
        <f>SUMIFS(Downtime!$G$2:$G$500,Downtime!$A$2:$A$500,A201)</f>
        <v/>
      </c>
      <c r="I201" s="11">
        <f>MAX(0,D201-H201)</f>
        <v/>
      </c>
      <c r="J201" s="15">
        <f>IF(A201="","",IF(D201=0,0,MIN(1,I201/D201)))</f>
        <v/>
      </c>
      <c r="K201" s="15">
        <f>IF(A201="","",IF(OR(I201=0,C201=0),0,MIN(1,E201/((I201/60)*C201))))</f>
        <v/>
      </c>
      <c r="L201" s="15">
        <f>IF(A201="","",IF(E201=0,0,MIN(1,MAX(0,G201/E201))))</f>
        <v/>
      </c>
      <c r="M201" s="15">
        <f>IF(A201="","",J201*K201*L201)</f>
        <v/>
      </c>
    </row>
    <row r="202">
      <c r="A202" s="11">
        <f>Machines!A202</f>
        <v/>
      </c>
      <c r="B202" s="11">
        <f>Machines!B202</f>
        <v/>
      </c>
      <c r="C202" s="11">
        <f>IF(A202="","",Machines!D202)</f>
        <v/>
      </c>
      <c r="D202" s="11">
        <f>SUMIFS(WorkOrders!$M$2:$M$500,WorkOrders!$C$2:$C$500,A202)</f>
        <v/>
      </c>
      <c r="E202" s="11">
        <f>SUMIFS(WorkOrders!$E$2:$E$500,WorkOrders!$C$2:$C$500,A202)</f>
        <v/>
      </c>
      <c r="F202" s="11">
        <f>SUMIFS(WorkOrders!$F$2:$F$500,WorkOrders!$C$2:$C$500,A202)</f>
        <v/>
      </c>
      <c r="G202" s="11">
        <f>E202-F202</f>
        <v/>
      </c>
      <c r="H202" s="11">
        <f>SUMIFS(Downtime!$G$2:$G$500,Downtime!$A$2:$A$500,A202)</f>
        <v/>
      </c>
      <c r="I202" s="11">
        <f>MAX(0,D202-H202)</f>
        <v/>
      </c>
      <c r="J202" s="15">
        <f>IF(A202="","",IF(D202=0,0,MIN(1,I202/D202)))</f>
        <v/>
      </c>
      <c r="K202" s="15">
        <f>IF(A202="","",IF(OR(I202=0,C202=0),0,MIN(1,E202/((I202/60)*C202))))</f>
        <v/>
      </c>
      <c r="L202" s="15">
        <f>IF(A202="","",IF(E202=0,0,MIN(1,MAX(0,G202/E202))))</f>
        <v/>
      </c>
      <c r="M202" s="15">
        <f>IF(A202="","",J202*K202*L202)</f>
        <v/>
      </c>
    </row>
    <row r="203">
      <c r="A203" s="11">
        <f>Machines!A203</f>
        <v/>
      </c>
      <c r="B203" s="11">
        <f>Machines!B203</f>
        <v/>
      </c>
      <c r="C203" s="11">
        <f>IF(A203="","",Machines!D203)</f>
        <v/>
      </c>
      <c r="D203" s="11">
        <f>SUMIFS(WorkOrders!$M$2:$M$500,WorkOrders!$C$2:$C$500,A203)</f>
        <v/>
      </c>
      <c r="E203" s="11">
        <f>SUMIFS(WorkOrders!$E$2:$E$500,WorkOrders!$C$2:$C$500,A203)</f>
        <v/>
      </c>
      <c r="F203" s="11">
        <f>SUMIFS(WorkOrders!$F$2:$F$500,WorkOrders!$C$2:$C$500,A203)</f>
        <v/>
      </c>
      <c r="G203" s="11">
        <f>E203-F203</f>
        <v/>
      </c>
      <c r="H203" s="11">
        <f>SUMIFS(Downtime!$G$2:$G$500,Downtime!$A$2:$A$500,A203)</f>
        <v/>
      </c>
      <c r="I203" s="11">
        <f>MAX(0,D203-H203)</f>
        <v/>
      </c>
      <c r="J203" s="15">
        <f>IF(A203="","",IF(D203=0,0,MIN(1,I203/D203)))</f>
        <v/>
      </c>
      <c r="K203" s="15">
        <f>IF(A203="","",IF(OR(I203=0,C203=0),0,MIN(1,E203/((I203/60)*C203))))</f>
        <v/>
      </c>
      <c r="L203" s="15">
        <f>IF(A203="","",IF(E203=0,0,MIN(1,MAX(0,G203/E203))))</f>
        <v/>
      </c>
      <c r="M203" s="15">
        <f>IF(A203="","",J203*K203*L203)</f>
        <v/>
      </c>
    </row>
    <row r="204">
      <c r="A204" s="11">
        <f>Machines!A204</f>
        <v/>
      </c>
      <c r="B204" s="11">
        <f>Machines!B204</f>
        <v/>
      </c>
      <c r="C204" s="11">
        <f>IF(A204="","",Machines!D204)</f>
        <v/>
      </c>
      <c r="D204" s="11">
        <f>SUMIFS(WorkOrders!$M$2:$M$500,WorkOrders!$C$2:$C$500,A204)</f>
        <v/>
      </c>
      <c r="E204" s="11">
        <f>SUMIFS(WorkOrders!$E$2:$E$500,WorkOrders!$C$2:$C$500,A204)</f>
        <v/>
      </c>
      <c r="F204" s="11">
        <f>SUMIFS(WorkOrders!$F$2:$F$500,WorkOrders!$C$2:$C$500,A204)</f>
        <v/>
      </c>
      <c r="G204" s="11">
        <f>E204-F204</f>
        <v/>
      </c>
      <c r="H204" s="11">
        <f>SUMIFS(Downtime!$G$2:$G$500,Downtime!$A$2:$A$500,A204)</f>
        <v/>
      </c>
      <c r="I204" s="11">
        <f>MAX(0,D204-H204)</f>
        <v/>
      </c>
      <c r="J204" s="15">
        <f>IF(A204="","",IF(D204=0,0,MIN(1,I204/D204)))</f>
        <v/>
      </c>
      <c r="K204" s="15">
        <f>IF(A204="","",IF(OR(I204=0,C204=0),0,MIN(1,E204/((I204/60)*C204))))</f>
        <v/>
      </c>
      <c r="L204" s="15">
        <f>IF(A204="","",IF(E204=0,0,MIN(1,MAX(0,G204/E204))))</f>
        <v/>
      </c>
      <c r="M204" s="15">
        <f>IF(A204="","",J204*K204*L204)</f>
        <v/>
      </c>
    </row>
    <row r="205">
      <c r="A205" s="11">
        <f>Machines!A205</f>
        <v/>
      </c>
      <c r="B205" s="11">
        <f>Machines!B205</f>
        <v/>
      </c>
      <c r="C205" s="11">
        <f>IF(A205="","",Machines!D205)</f>
        <v/>
      </c>
      <c r="D205" s="11">
        <f>SUMIFS(WorkOrders!$M$2:$M$500,WorkOrders!$C$2:$C$500,A205)</f>
        <v/>
      </c>
      <c r="E205" s="11">
        <f>SUMIFS(WorkOrders!$E$2:$E$500,WorkOrders!$C$2:$C$500,A205)</f>
        <v/>
      </c>
      <c r="F205" s="11">
        <f>SUMIFS(WorkOrders!$F$2:$F$500,WorkOrders!$C$2:$C$500,A205)</f>
        <v/>
      </c>
      <c r="G205" s="11">
        <f>E205-F205</f>
        <v/>
      </c>
      <c r="H205" s="11">
        <f>SUMIFS(Downtime!$G$2:$G$500,Downtime!$A$2:$A$500,A205)</f>
        <v/>
      </c>
      <c r="I205" s="11">
        <f>MAX(0,D205-H205)</f>
        <v/>
      </c>
      <c r="J205" s="15">
        <f>IF(A205="","",IF(D205=0,0,MIN(1,I205/D205)))</f>
        <v/>
      </c>
      <c r="K205" s="15">
        <f>IF(A205="","",IF(OR(I205=0,C205=0),0,MIN(1,E205/((I205/60)*C205))))</f>
        <v/>
      </c>
      <c r="L205" s="15">
        <f>IF(A205="","",IF(E205=0,0,MIN(1,MAX(0,G205/E205))))</f>
        <v/>
      </c>
      <c r="M205" s="15">
        <f>IF(A205="","",J205*K205*L205)</f>
        <v/>
      </c>
    </row>
    <row r="206">
      <c r="A206" s="11">
        <f>Machines!A206</f>
        <v/>
      </c>
      <c r="B206" s="11">
        <f>Machines!B206</f>
        <v/>
      </c>
      <c r="C206" s="11">
        <f>IF(A206="","",Machines!D206)</f>
        <v/>
      </c>
      <c r="D206" s="11">
        <f>SUMIFS(WorkOrders!$M$2:$M$500,WorkOrders!$C$2:$C$500,A206)</f>
        <v/>
      </c>
      <c r="E206" s="11">
        <f>SUMIFS(WorkOrders!$E$2:$E$500,WorkOrders!$C$2:$C$500,A206)</f>
        <v/>
      </c>
      <c r="F206" s="11">
        <f>SUMIFS(WorkOrders!$F$2:$F$500,WorkOrders!$C$2:$C$500,A206)</f>
        <v/>
      </c>
      <c r="G206" s="11">
        <f>E206-F206</f>
        <v/>
      </c>
      <c r="H206" s="11">
        <f>SUMIFS(Downtime!$G$2:$G$500,Downtime!$A$2:$A$500,A206)</f>
        <v/>
      </c>
      <c r="I206" s="11">
        <f>MAX(0,D206-H206)</f>
        <v/>
      </c>
      <c r="J206" s="15">
        <f>IF(A206="","",IF(D206=0,0,MIN(1,I206/D206)))</f>
        <v/>
      </c>
      <c r="K206" s="15">
        <f>IF(A206="","",IF(OR(I206=0,C206=0),0,MIN(1,E206/((I206/60)*C206))))</f>
        <v/>
      </c>
      <c r="L206" s="15">
        <f>IF(A206="","",IF(E206=0,0,MIN(1,MAX(0,G206/E206))))</f>
        <v/>
      </c>
      <c r="M206" s="15">
        <f>IF(A206="","",J206*K206*L206)</f>
        <v/>
      </c>
    </row>
    <row r="207">
      <c r="A207" s="11">
        <f>Machines!A207</f>
        <v/>
      </c>
      <c r="B207" s="11">
        <f>Machines!B207</f>
        <v/>
      </c>
      <c r="C207" s="11">
        <f>IF(A207="","",Machines!D207)</f>
        <v/>
      </c>
      <c r="D207" s="11">
        <f>SUMIFS(WorkOrders!$M$2:$M$500,WorkOrders!$C$2:$C$500,A207)</f>
        <v/>
      </c>
      <c r="E207" s="11">
        <f>SUMIFS(WorkOrders!$E$2:$E$500,WorkOrders!$C$2:$C$500,A207)</f>
        <v/>
      </c>
      <c r="F207" s="11">
        <f>SUMIFS(WorkOrders!$F$2:$F$500,WorkOrders!$C$2:$C$500,A207)</f>
        <v/>
      </c>
      <c r="G207" s="11">
        <f>E207-F207</f>
        <v/>
      </c>
      <c r="H207" s="11">
        <f>SUMIFS(Downtime!$G$2:$G$500,Downtime!$A$2:$A$500,A207)</f>
        <v/>
      </c>
      <c r="I207" s="11">
        <f>MAX(0,D207-H207)</f>
        <v/>
      </c>
      <c r="J207" s="15">
        <f>IF(A207="","",IF(D207=0,0,MIN(1,I207/D207)))</f>
        <v/>
      </c>
      <c r="K207" s="15">
        <f>IF(A207="","",IF(OR(I207=0,C207=0),0,MIN(1,E207/((I207/60)*C207))))</f>
        <v/>
      </c>
      <c r="L207" s="15">
        <f>IF(A207="","",IF(E207=0,0,MIN(1,MAX(0,G207/E207))))</f>
        <v/>
      </c>
      <c r="M207" s="15">
        <f>IF(A207="","",J207*K207*L207)</f>
        <v/>
      </c>
    </row>
    <row r="208">
      <c r="A208" s="11">
        <f>Machines!A208</f>
        <v/>
      </c>
      <c r="B208" s="11">
        <f>Machines!B208</f>
        <v/>
      </c>
      <c r="C208" s="11">
        <f>IF(A208="","",Machines!D208)</f>
        <v/>
      </c>
      <c r="D208" s="11">
        <f>SUMIFS(WorkOrders!$M$2:$M$500,WorkOrders!$C$2:$C$500,A208)</f>
        <v/>
      </c>
      <c r="E208" s="11">
        <f>SUMIFS(WorkOrders!$E$2:$E$500,WorkOrders!$C$2:$C$500,A208)</f>
        <v/>
      </c>
      <c r="F208" s="11">
        <f>SUMIFS(WorkOrders!$F$2:$F$500,WorkOrders!$C$2:$C$500,A208)</f>
        <v/>
      </c>
      <c r="G208" s="11">
        <f>E208-F208</f>
        <v/>
      </c>
      <c r="H208" s="11">
        <f>SUMIFS(Downtime!$G$2:$G$500,Downtime!$A$2:$A$500,A208)</f>
        <v/>
      </c>
      <c r="I208" s="11">
        <f>MAX(0,D208-H208)</f>
        <v/>
      </c>
      <c r="J208" s="15">
        <f>IF(A208="","",IF(D208=0,0,MIN(1,I208/D208)))</f>
        <v/>
      </c>
      <c r="K208" s="15">
        <f>IF(A208="","",IF(OR(I208=0,C208=0),0,MIN(1,E208/((I208/60)*C208))))</f>
        <v/>
      </c>
      <c r="L208" s="15">
        <f>IF(A208="","",IF(E208=0,0,MIN(1,MAX(0,G208/E208))))</f>
        <v/>
      </c>
      <c r="M208" s="15">
        <f>IF(A208="","",J208*K208*L208)</f>
        <v/>
      </c>
    </row>
    <row r="209">
      <c r="A209" s="11">
        <f>Machines!A209</f>
        <v/>
      </c>
      <c r="B209" s="11">
        <f>Machines!B209</f>
        <v/>
      </c>
      <c r="C209" s="11">
        <f>IF(A209="","",Machines!D209)</f>
        <v/>
      </c>
      <c r="D209" s="11">
        <f>SUMIFS(WorkOrders!$M$2:$M$500,WorkOrders!$C$2:$C$500,A209)</f>
        <v/>
      </c>
      <c r="E209" s="11">
        <f>SUMIFS(WorkOrders!$E$2:$E$500,WorkOrders!$C$2:$C$500,A209)</f>
        <v/>
      </c>
      <c r="F209" s="11">
        <f>SUMIFS(WorkOrders!$F$2:$F$500,WorkOrders!$C$2:$C$500,A209)</f>
        <v/>
      </c>
      <c r="G209" s="11">
        <f>E209-F209</f>
        <v/>
      </c>
      <c r="H209" s="11">
        <f>SUMIFS(Downtime!$G$2:$G$500,Downtime!$A$2:$A$500,A209)</f>
        <v/>
      </c>
      <c r="I209" s="11">
        <f>MAX(0,D209-H209)</f>
        <v/>
      </c>
      <c r="J209" s="15">
        <f>IF(A209="","",IF(D209=0,0,MIN(1,I209/D209)))</f>
        <v/>
      </c>
      <c r="K209" s="15">
        <f>IF(A209="","",IF(OR(I209=0,C209=0),0,MIN(1,E209/((I209/60)*C209))))</f>
        <v/>
      </c>
      <c r="L209" s="15">
        <f>IF(A209="","",IF(E209=0,0,MIN(1,MAX(0,G209/E209))))</f>
        <v/>
      </c>
      <c r="M209" s="15">
        <f>IF(A209="","",J209*K209*L209)</f>
        <v/>
      </c>
    </row>
    <row r="210">
      <c r="A210" s="11">
        <f>Machines!A210</f>
        <v/>
      </c>
      <c r="B210" s="11">
        <f>Machines!B210</f>
        <v/>
      </c>
      <c r="C210" s="11">
        <f>IF(A210="","",Machines!D210)</f>
        <v/>
      </c>
      <c r="D210" s="11">
        <f>SUMIFS(WorkOrders!$M$2:$M$500,WorkOrders!$C$2:$C$500,A210)</f>
        <v/>
      </c>
      <c r="E210" s="11">
        <f>SUMIFS(WorkOrders!$E$2:$E$500,WorkOrders!$C$2:$C$500,A210)</f>
        <v/>
      </c>
      <c r="F210" s="11">
        <f>SUMIFS(WorkOrders!$F$2:$F$500,WorkOrders!$C$2:$C$500,A210)</f>
        <v/>
      </c>
      <c r="G210" s="11">
        <f>E210-F210</f>
        <v/>
      </c>
      <c r="H210" s="11">
        <f>SUMIFS(Downtime!$G$2:$G$500,Downtime!$A$2:$A$500,A210)</f>
        <v/>
      </c>
      <c r="I210" s="11">
        <f>MAX(0,D210-H210)</f>
        <v/>
      </c>
      <c r="J210" s="15">
        <f>IF(A210="","",IF(D210=0,0,MIN(1,I210/D210)))</f>
        <v/>
      </c>
      <c r="K210" s="15">
        <f>IF(A210="","",IF(OR(I210=0,C210=0),0,MIN(1,E210/((I210/60)*C210))))</f>
        <v/>
      </c>
      <c r="L210" s="15">
        <f>IF(A210="","",IF(E210=0,0,MIN(1,MAX(0,G210/E210))))</f>
        <v/>
      </c>
      <c r="M210" s="15">
        <f>IF(A210="","",J210*K210*L210)</f>
        <v/>
      </c>
    </row>
    <row r="211">
      <c r="A211" s="11">
        <f>Machines!A211</f>
        <v/>
      </c>
      <c r="B211" s="11">
        <f>Machines!B211</f>
        <v/>
      </c>
      <c r="C211" s="11">
        <f>IF(A211="","",Machines!D211)</f>
        <v/>
      </c>
      <c r="D211" s="11">
        <f>SUMIFS(WorkOrders!$M$2:$M$500,WorkOrders!$C$2:$C$500,A211)</f>
        <v/>
      </c>
      <c r="E211" s="11">
        <f>SUMIFS(WorkOrders!$E$2:$E$500,WorkOrders!$C$2:$C$500,A211)</f>
        <v/>
      </c>
      <c r="F211" s="11">
        <f>SUMIFS(WorkOrders!$F$2:$F$500,WorkOrders!$C$2:$C$500,A211)</f>
        <v/>
      </c>
      <c r="G211" s="11">
        <f>E211-F211</f>
        <v/>
      </c>
      <c r="H211" s="11">
        <f>SUMIFS(Downtime!$G$2:$G$500,Downtime!$A$2:$A$500,A211)</f>
        <v/>
      </c>
      <c r="I211" s="11">
        <f>MAX(0,D211-H211)</f>
        <v/>
      </c>
      <c r="J211" s="15">
        <f>IF(A211="","",IF(D211=0,0,MIN(1,I211/D211)))</f>
        <v/>
      </c>
      <c r="K211" s="15">
        <f>IF(A211="","",IF(OR(I211=0,C211=0),0,MIN(1,E211/((I211/60)*C211))))</f>
        <v/>
      </c>
      <c r="L211" s="15">
        <f>IF(A211="","",IF(E211=0,0,MIN(1,MAX(0,G211/E211))))</f>
        <v/>
      </c>
      <c r="M211" s="15">
        <f>IF(A211="","",J211*K211*L211)</f>
        <v/>
      </c>
    </row>
    <row r="212">
      <c r="A212" s="11">
        <f>Machines!A212</f>
        <v/>
      </c>
      <c r="B212" s="11">
        <f>Machines!B212</f>
        <v/>
      </c>
      <c r="C212" s="11">
        <f>IF(A212="","",Machines!D212)</f>
        <v/>
      </c>
      <c r="D212" s="11">
        <f>SUMIFS(WorkOrders!$M$2:$M$500,WorkOrders!$C$2:$C$500,A212)</f>
        <v/>
      </c>
      <c r="E212" s="11">
        <f>SUMIFS(WorkOrders!$E$2:$E$500,WorkOrders!$C$2:$C$500,A212)</f>
        <v/>
      </c>
      <c r="F212" s="11">
        <f>SUMIFS(WorkOrders!$F$2:$F$500,WorkOrders!$C$2:$C$500,A212)</f>
        <v/>
      </c>
      <c r="G212" s="11">
        <f>E212-F212</f>
        <v/>
      </c>
      <c r="H212" s="11">
        <f>SUMIFS(Downtime!$G$2:$G$500,Downtime!$A$2:$A$500,A212)</f>
        <v/>
      </c>
      <c r="I212" s="11">
        <f>MAX(0,D212-H212)</f>
        <v/>
      </c>
      <c r="J212" s="15">
        <f>IF(A212="","",IF(D212=0,0,MIN(1,I212/D212)))</f>
        <v/>
      </c>
      <c r="K212" s="15">
        <f>IF(A212="","",IF(OR(I212=0,C212=0),0,MIN(1,E212/((I212/60)*C212))))</f>
        <v/>
      </c>
      <c r="L212" s="15">
        <f>IF(A212="","",IF(E212=0,0,MIN(1,MAX(0,G212/E212))))</f>
        <v/>
      </c>
      <c r="M212" s="15">
        <f>IF(A212="","",J212*K212*L212)</f>
        <v/>
      </c>
    </row>
    <row r="213">
      <c r="A213" s="11">
        <f>Machines!A213</f>
        <v/>
      </c>
      <c r="B213" s="11">
        <f>Machines!B213</f>
        <v/>
      </c>
      <c r="C213" s="11">
        <f>IF(A213="","",Machines!D213)</f>
        <v/>
      </c>
      <c r="D213" s="11">
        <f>SUMIFS(WorkOrders!$M$2:$M$500,WorkOrders!$C$2:$C$500,A213)</f>
        <v/>
      </c>
      <c r="E213" s="11">
        <f>SUMIFS(WorkOrders!$E$2:$E$500,WorkOrders!$C$2:$C$500,A213)</f>
        <v/>
      </c>
      <c r="F213" s="11">
        <f>SUMIFS(WorkOrders!$F$2:$F$500,WorkOrders!$C$2:$C$500,A213)</f>
        <v/>
      </c>
      <c r="G213" s="11">
        <f>E213-F213</f>
        <v/>
      </c>
      <c r="H213" s="11">
        <f>SUMIFS(Downtime!$G$2:$G$500,Downtime!$A$2:$A$500,A213)</f>
        <v/>
      </c>
      <c r="I213" s="11">
        <f>MAX(0,D213-H213)</f>
        <v/>
      </c>
      <c r="J213" s="15">
        <f>IF(A213="","",IF(D213=0,0,MIN(1,I213/D213)))</f>
        <v/>
      </c>
      <c r="K213" s="15">
        <f>IF(A213="","",IF(OR(I213=0,C213=0),0,MIN(1,E213/((I213/60)*C213))))</f>
        <v/>
      </c>
      <c r="L213" s="15">
        <f>IF(A213="","",IF(E213=0,0,MIN(1,MAX(0,G213/E213))))</f>
        <v/>
      </c>
      <c r="M213" s="15">
        <f>IF(A213="","",J213*K213*L213)</f>
        <v/>
      </c>
    </row>
    <row r="214">
      <c r="A214" s="11">
        <f>Machines!A214</f>
        <v/>
      </c>
      <c r="B214" s="11">
        <f>Machines!B214</f>
        <v/>
      </c>
      <c r="C214" s="11">
        <f>IF(A214="","",Machines!D214)</f>
        <v/>
      </c>
      <c r="D214" s="11">
        <f>SUMIFS(WorkOrders!$M$2:$M$500,WorkOrders!$C$2:$C$500,A214)</f>
        <v/>
      </c>
      <c r="E214" s="11">
        <f>SUMIFS(WorkOrders!$E$2:$E$500,WorkOrders!$C$2:$C$500,A214)</f>
        <v/>
      </c>
      <c r="F214" s="11">
        <f>SUMIFS(WorkOrders!$F$2:$F$500,WorkOrders!$C$2:$C$500,A214)</f>
        <v/>
      </c>
      <c r="G214" s="11">
        <f>E214-F214</f>
        <v/>
      </c>
      <c r="H214" s="11">
        <f>SUMIFS(Downtime!$G$2:$G$500,Downtime!$A$2:$A$500,A214)</f>
        <v/>
      </c>
      <c r="I214" s="11">
        <f>MAX(0,D214-H214)</f>
        <v/>
      </c>
      <c r="J214" s="15">
        <f>IF(A214="","",IF(D214=0,0,MIN(1,I214/D214)))</f>
        <v/>
      </c>
      <c r="K214" s="15">
        <f>IF(A214="","",IF(OR(I214=0,C214=0),0,MIN(1,E214/((I214/60)*C214))))</f>
        <v/>
      </c>
      <c r="L214" s="15">
        <f>IF(A214="","",IF(E214=0,0,MIN(1,MAX(0,G214/E214))))</f>
        <v/>
      </c>
      <c r="M214" s="15">
        <f>IF(A214="","",J214*K214*L214)</f>
        <v/>
      </c>
    </row>
    <row r="215">
      <c r="A215" s="11">
        <f>Machines!A215</f>
        <v/>
      </c>
      <c r="B215" s="11">
        <f>Machines!B215</f>
        <v/>
      </c>
      <c r="C215" s="11">
        <f>IF(A215="","",Machines!D215)</f>
        <v/>
      </c>
      <c r="D215" s="11">
        <f>SUMIFS(WorkOrders!$M$2:$M$500,WorkOrders!$C$2:$C$500,A215)</f>
        <v/>
      </c>
      <c r="E215" s="11">
        <f>SUMIFS(WorkOrders!$E$2:$E$500,WorkOrders!$C$2:$C$500,A215)</f>
        <v/>
      </c>
      <c r="F215" s="11">
        <f>SUMIFS(WorkOrders!$F$2:$F$500,WorkOrders!$C$2:$C$500,A215)</f>
        <v/>
      </c>
      <c r="G215" s="11">
        <f>E215-F215</f>
        <v/>
      </c>
      <c r="H215" s="11">
        <f>SUMIFS(Downtime!$G$2:$G$500,Downtime!$A$2:$A$500,A215)</f>
        <v/>
      </c>
      <c r="I215" s="11">
        <f>MAX(0,D215-H215)</f>
        <v/>
      </c>
      <c r="J215" s="15">
        <f>IF(A215="","",IF(D215=0,0,MIN(1,I215/D215)))</f>
        <v/>
      </c>
      <c r="K215" s="15">
        <f>IF(A215="","",IF(OR(I215=0,C215=0),0,MIN(1,E215/((I215/60)*C215))))</f>
        <v/>
      </c>
      <c r="L215" s="15">
        <f>IF(A215="","",IF(E215=0,0,MIN(1,MAX(0,G215/E215))))</f>
        <v/>
      </c>
      <c r="M215" s="15">
        <f>IF(A215="","",J215*K215*L215)</f>
        <v/>
      </c>
    </row>
    <row r="216">
      <c r="A216" s="11">
        <f>Machines!A216</f>
        <v/>
      </c>
      <c r="B216" s="11">
        <f>Machines!B216</f>
        <v/>
      </c>
      <c r="C216" s="11">
        <f>IF(A216="","",Machines!D216)</f>
        <v/>
      </c>
      <c r="D216" s="11">
        <f>SUMIFS(WorkOrders!$M$2:$M$500,WorkOrders!$C$2:$C$500,A216)</f>
        <v/>
      </c>
      <c r="E216" s="11">
        <f>SUMIFS(WorkOrders!$E$2:$E$500,WorkOrders!$C$2:$C$500,A216)</f>
        <v/>
      </c>
      <c r="F216" s="11">
        <f>SUMIFS(WorkOrders!$F$2:$F$500,WorkOrders!$C$2:$C$500,A216)</f>
        <v/>
      </c>
      <c r="G216" s="11">
        <f>E216-F216</f>
        <v/>
      </c>
      <c r="H216" s="11">
        <f>SUMIFS(Downtime!$G$2:$G$500,Downtime!$A$2:$A$500,A216)</f>
        <v/>
      </c>
      <c r="I216" s="11">
        <f>MAX(0,D216-H216)</f>
        <v/>
      </c>
      <c r="J216" s="15">
        <f>IF(A216="","",IF(D216=0,0,MIN(1,I216/D216)))</f>
        <v/>
      </c>
      <c r="K216" s="15">
        <f>IF(A216="","",IF(OR(I216=0,C216=0),0,MIN(1,E216/((I216/60)*C216))))</f>
        <v/>
      </c>
      <c r="L216" s="15">
        <f>IF(A216="","",IF(E216=0,0,MIN(1,MAX(0,G216/E216))))</f>
        <v/>
      </c>
      <c r="M216" s="15">
        <f>IF(A216="","",J216*K216*L216)</f>
        <v/>
      </c>
    </row>
    <row r="217">
      <c r="A217" s="11">
        <f>Machines!A217</f>
        <v/>
      </c>
      <c r="B217" s="11">
        <f>Machines!B217</f>
        <v/>
      </c>
      <c r="C217" s="11">
        <f>IF(A217="","",Machines!D217)</f>
        <v/>
      </c>
      <c r="D217" s="11">
        <f>SUMIFS(WorkOrders!$M$2:$M$500,WorkOrders!$C$2:$C$500,A217)</f>
        <v/>
      </c>
      <c r="E217" s="11">
        <f>SUMIFS(WorkOrders!$E$2:$E$500,WorkOrders!$C$2:$C$500,A217)</f>
        <v/>
      </c>
      <c r="F217" s="11">
        <f>SUMIFS(WorkOrders!$F$2:$F$500,WorkOrders!$C$2:$C$500,A217)</f>
        <v/>
      </c>
      <c r="G217" s="11">
        <f>E217-F217</f>
        <v/>
      </c>
      <c r="H217" s="11">
        <f>SUMIFS(Downtime!$G$2:$G$500,Downtime!$A$2:$A$500,A217)</f>
        <v/>
      </c>
      <c r="I217" s="11">
        <f>MAX(0,D217-H217)</f>
        <v/>
      </c>
      <c r="J217" s="15">
        <f>IF(A217="","",IF(D217=0,0,MIN(1,I217/D217)))</f>
        <v/>
      </c>
      <c r="K217" s="15">
        <f>IF(A217="","",IF(OR(I217=0,C217=0),0,MIN(1,E217/((I217/60)*C217))))</f>
        <v/>
      </c>
      <c r="L217" s="15">
        <f>IF(A217="","",IF(E217=0,0,MIN(1,MAX(0,G217/E217))))</f>
        <v/>
      </c>
      <c r="M217" s="15">
        <f>IF(A217="","",J217*K217*L217)</f>
        <v/>
      </c>
    </row>
    <row r="218">
      <c r="A218" s="11">
        <f>Machines!A218</f>
        <v/>
      </c>
      <c r="B218" s="11">
        <f>Machines!B218</f>
        <v/>
      </c>
      <c r="C218" s="11">
        <f>IF(A218="","",Machines!D218)</f>
        <v/>
      </c>
      <c r="D218" s="11">
        <f>SUMIFS(WorkOrders!$M$2:$M$500,WorkOrders!$C$2:$C$500,A218)</f>
        <v/>
      </c>
      <c r="E218" s="11">
        <f>SUMIFS(WorkOrders!$E$2:$E$500,WorkOrders!$C$2:$C$500,A218)</f>
        <v/>
      </c>
      <c r="F218" s="11">
        <f>SUMIFS(WorkOrders!$F$2:$F$500,WorkOrders!$C$2:$C$500,A218)</f>
        <v/>
      </c>
      <c r="G218" s="11">
        <f>E218-F218</f>
        <v/>
      </c>
      <c r="H218" s="11">
        <f>SUMIFS(Downtime!$G$2:$G$500,Downtime!$A$2:$A$500,A218)</f>
        <v/>
      </c>
      <c r="I218" s="11">
        <f>MAX(0,D218-H218)</f>
        <v/>
      </c>
      <c r="J218" s="15">
        <f>IF(A218="","",IF(D218=0,0,MIN(1,I218/D218)))</f>
        <v/>
      </c>
      <c r="K218" s="15">
        <f>IF(A218="","",IF(OR(I218=0,C218=0),0,MIN(1,E218/((I218/60)*C218))))</f>
        <v/>
      </c>
      <c r="L218" s="15">
        <f>IF(A218="","",IF(E218=0,0,MIN(1,MAX(0,G218/E218))))</f>
        <v/>
      </c>
      <c r="M218" s="15">
        <f>IF(A218="","",J218*K218*L218)</f>
        <v/>
      </c>
    </row>
    <row r="219">
      <c r="A219" s="11">
        <f>Machines!A219</f>
        <v/>
      </c>
      <c r="B219" s="11">
        <f>Machines!B219</f>
        <v/>
      </c>
      <c r="C219" s="11">
        <f>IF(A219="","",Machines!D219)</f>
        <v/>
      </c>
      <c r="D219" s="11">
        <f>SUMIFS(WorkOrders!$M$2:$M$500,WorkOrders!$C$2:$C$500,A219)</f>
        <v/>
      </c>
      <c r="E219" s="11">
        <f>SUMIFS(WorkOrders!$E$2:$E$500,WorkOrders!$C$2:$C$500,A219)</f>
        <v/>
      </c>
      <c r="F219" s="11">
        <f>SUMIFS(WorkOrders!$F$2:$F$500,WorkOrders!$C$2:$C$500,A219)</f>
        <v/>
      </c>
      <c r="G219" s="11">
        <f>E219-F219</f>
        <v/>
      </c>
      <c r="H219" s="11">
        <f>SUMIFS(Downtime!$G$2:$G$500,Downtime!$A$2:$A$500,A219)</f>
        <v/>
      </c>
      <c r="I219" s="11">
        <f>MAX(0,D219-H219)</f>
        <v/>
      </c>
      <c r="J219" s="15">
        <f>IF(A219="","",IF(D219=0,0,MIN(1,I219/D219)))</f>
        <v/>
      </c>
      <c r="K219" s="15">
        <f>IF(A219="","",IF(OR(I219=0,C219=0),0,MIN(1,E219/((I219/60)*C219))))</f>
        <v/>
      </c>
      <c r="L219" s="15">
        <f>IF(A219="","",IF(E219=0,0,MIN(1,MAX(0,G219/E219))))</f>
        <v/>
      </c>
      <c r="M219" s="15">
        <f>IF(A219="","",J219*K219*L219)</f>
        <v/>
      </c>
    </row>
    <row r="220">
      <c r="A220" s="11">
        <f>Machines!A220</f>
        <v/>
      </c>
      <c r="B220" s="11">
        <f>Machines!B220</f>
        <v/>
      </c>
      <c r="C220" s="11">
        <f>IF(A220="","",Machines!D220)</f>
        <v/>
      </c>
      <c r="D220" s="11">
        <f>SUMIFS(WorkOrders!$M$2:$M$500,WorkOrders!$C$2:$C$500,A220)</f>
        <v/>
      </c>
      <c r="E220" s="11">
        <f>SUMIFS(WorkOrders!$E$2:$E$500,WorkOrders!$C$2:$C$500,A220)</f>
        <v/>
      </c>
      <c r="F220" s="11">
        <f>SUMIFS(WorkOrders!$F$2:$F$500,WorkOrders!$C$2:$C$500,A220)</f>
        <v/>
      </c>
      <c r="G220" s="11">
        <f>E220-F220</f>
        <v/>
      </c>
      <c r="H220" s="11">
        <f>SUMIFS(Downtime!$G$2:$G$500,Downtime!$A$2:$A$500,A220)</f>
        <v/>
      </c>
      <c r="I220" s="11">
        <f>MAX(0,D220-H220)</f>
        <v/>
      </c>
      <c r="J220" s="15">
        <f>IF(A220="","",IF(D220=0,0,MIN(1,I220/D220)))</f>
        <v/>
      </c>
      <c r="K220" s="15">
        <f>IF(A220="","",IF(OR(I220=0,C220=0),0,MIN(1,E220/((I220/60)*C220))))</f>
        <v/>
      </c>
      <c r="L220" s="15">
        <f>IF(A220="","",IF(E220=0,0,MIN(1,MAX(0,G220/E220))))</f>
        <v/>
      </c>
      <c r="M220" s="15">
        <f>IF(A220="","",J220*K220*L220)</f>
        <v/>
      </c>
    </row>
    <row r="221">
      <c r="A221" s="11">
        <f>Machines!A221</f>
        <v/>
      </c>
      <c r="B221" s="11">
        <f>Machines!B221</f>
        <v/>
      </c>
      <c r="C221" s="11">
        <f>IF(A221="","",Machines!D221)</f>
        <v/>
      </c>
      <c r="D221" s="11">
        <f>SUMIFS(WorkOrders!$M$2:$M$500,WorkOrders!$C$2:$C$500,A221)</f>
        <v/>
      </c>
      <c r="E221" s="11">
        <f>SUMIFS(WorkOrders!$E$2:$E$500,WorkOrders!$C$2:$C$500,A221)</f>
        <v/>
      </c>
      <c r="F221" s="11">
        <f>SUMIFS(WorkOrders!$F$2:$F$500,WorkOrders!$C$2:$C$500,A221)</f>
        <v/>
      </c>
      <c r="G221" s="11">
        <f>E221-F221</f>
        <v/>
      </c>
      <c r="H221" s="11">
        <f>SUMIFS(Downtime!$G$2:$G$500,Downtime!$A$2:$A$500,A221)</f>
        <v/>
      </c>
      <c r="I221" s="11">
        <f>MAX(0,D221-H221)</f>
        <v/>
      </c>
      <c r="J221" s="15">
        <f>IF(A221="","",IF(D221=0,0,MIN(1,I221/D221)))</f>
        <v/>
      </c>
      <c r="K221" s="15">
        <f>IF(A221="","",IF(OR(I221=0,C221=0),0,MIN(1,E221/((I221/60)*C221))))</f>
        <v/>
      </c>
      <c r="L221" s="15">
        <f>IF(A221="","",IF(E221=0,0,MIN(1,MAX(0,G221/E221))))</f>
        <v/>
      </c>
      <c r="M221" s="15">
        <f>IF(A221="","",J221*K221*L221)</f>
        <v/>
      </c>
    </row>
    <row r="222">
      <c r="A222" s="11">
        <f>Machines!A222</f>
        <v/>
      </c>
      <c r="B222" s="11">
        <f>Machines!B222</f>
        <v/>
      </c>
      <c r="C222" s="11">
        <f>IF(A222="","",Machines!D222)</f>
        <v/>
      </c>
      <c r="D222" s="11">
        <f>SUMIFS(WorkOrders!$M$2:$M$500,WorkOrders!$C$2:$C$500,A222)</f>
        <v/>
      </c>
      <c r="E222" s="11">
        <f>SUMIFS(WorkOrders!$E$2:$E$500,WorkOrders!$C$2:$C$500,A222)</f>
        <v/>
      </c>
      <c r="F222" s="11">
        <f>SUMIFS(WorkOrders!$F$2:$F$500,WorkOrders!$C$2:$C$500,A222)</f>
        <v/>
      </c>
      <c r="G222" s="11">
        <f>E222-F222</f>
        <v/>
      </c>
      <c r="H222" s="11">
        <f>SUMIFS(Downtime!$G$2:$G$500,Downtime!$A$2:$A$500,A222)</f>
        <v/>
      </c>
      <c r="I222" s="11">
        <f>MAX(0,D222-H222)</f>
        <v/>
      </c>
      <c r="J222" s="15">
        <f>IF(A222="","",IF(D222=0,0,MIN(1,I222/D222)))</f>
        <v/>
      </c>
      <c r="K222" s="15">
        <f>IF(A222="","",IF(OR(I222=0,C222=0),0,MIN(1,E222/((I222/60)*C222))))</f>
        <v/>
      </c>
      <c r="L222" s="15">
        <f>IF(A222="","",IF(E222=0,0,MIN(1,MAX(0,G222/E222))))</f>
        <v/>
      </c>
      <c r="M222" s="15">
        <f>IF(A222="","",J222*K222*L222)</f>
        <v/>
      </c>
    </row>
    <row r="223">
      <c r="A223" s="11">
        <f>Machines!A223</f>
        <v/>
      </c>
      <c r="B223" s="11">
        <f>Machines!B223</f>
        <v/>
      </c>
      <c r="C223" s="11">
        <f>IF(A223="","",Machines!D223)</f>
        <v/>
      </c>
      <c r="D223" s="11">
        <f>SUMIFS(WorkOrders!$M$2:$M$500,WorkOrders!$C$2:$C$500,A223)</f>
        <v/>
      </c>
      <c r="E223" s="11">
        <f>SUMIFS(WorkOrders!$E$2:$E$500,WorkOrders!$C$2:$C$500,A223)</f>
        <v/>
      </c>
      <c r="F223" s="11">
        <f>SUMIFS(WorkOrders!$F$2:$F$500,WorkOrders!$C$2:$C$500,A223)</f>
        <v/>
      </c>
      <c r="G223" s="11">
        <f>E223-F223</f>
        <v/>
      </c>
      <c r="H223" s="11">
        <f>SUMIFS(Downtime!$G$2:$G$500,Downtime!$A$2:$A$500,A223)</f>
        <v/>
      </c>
      <c r="I223" s="11">
        <f>MAX(0,D223-H223)</f>
        <v/>
      </c>
      <c r="J223" s="15">
        <f>IF(A223="","",IF(D223=0,0,MIN(1,I223/D223)))</f>
        <v/>
      </c>
      <c r="K223" s="15">
        <f>IF(A223="","",IF(OR(I223=0,C223=0),0,MIN(1,E223/((I223/60)*C223))))</f>
        <v/>
      </c>
      <c r="L223" s="15">
        <f>IF(A223="","",IF(E223=0,0,MIN(1,MAX(0,G223/E223))))</f>
        <v/>
      </c>
      <c r="M223" s="15">
        <f>IF(A223="","",J223*K223*L223)</f>
        <v/>
      </c>
    </row>
    <row r="224">
      <c r="A224" s="11">
        <f>Machines!A224</f>
        <v/>
      </c>
      <c r="B224" s="11">
        <f>Machines!B224</f>
        <v/>
      </c>
      <c r="C224" s="11">
        <f>IF(A224="","",Machines!D224)</f>
        <v/>
      </c>
      <c r="D224" s="11">
        <f>SUMIFS(WorkOrders!$M$2:$M$500,WorkOrders!$C$2:$C$500,A224)</f>
        <v/>
      </c>
      <c r="E224" s="11">
        <f>SUMIFS(WorkOrders!$E$2:$E$500,WorkOrders!$C$2:$C$500,A224)</f>
        <v/>
      </c>
      <c r="F224" s="11">
        <f>SUMIFS(WorkOrders!$F$2:$F$500,WorkOrders!$C$2:$C$500,A224)</f>
        <v/>
      </c>
      <c r="G224" s="11">
        <f>E224-F224</f>
        <v/>
      </c>
      <c r="H224" s="11">
        <f>SUMIFS(Downtime!$G$2:$G$500,Downtime!$A$2:$A$500,A224)</f>
        <v/>
      </c>
      <c r="I224" s="11">
        <f>MAX(0,D224-H224)</f>
        <v/>
      </c>
      <c r="J224" s="15">
        <f>IF(A224="","",IF(D224=0,0,MIN(1,I224/D224)))</f>
        <v/>
      </c>
      <c r="K224" s="15">
        <f>IF(A224="","",IF(OR(I224=0,C224=0),0,MIN(1,E224/((I224/60)*C224))))</f>
        <v/>
      </c>
      <c r="L224" s="15">
        <f>IF(A224="","",IF(E224=0,0,MIN(1,MAX(0,G224/E224))))</f>
        <v/>
      </c>
      <c r="M224" s="15">
        <f>IF(A224="","",J224*K224*L224)</f>
        <v/>
      </c>
    </row>
    <row r="225">
      <c r="A225" s="11">
        <f>Machines!A225</f>
        <v/>
      </c>
      <c r="B225" s="11">
        <f>Machines!B225</f>
        <v/>
      </c>
      <c r="C225" s="11">
        <f>IF(A225="","",Machines!D225)</f>
        <v/>
      </c>
      <c r="D225" s="11">
        <f>SUMIFS(WorkOrders!$M$2:$M$500,WorkOrders!$C$2:$C$500,A225)</f>
        <v/>
      </c>
      <c r="E225" s="11">
        <f>SUMIFS(WorkOrders!$E$2:$E$500,WorkOrders!$C$2:$C$500,A225)</f>
        <v/>
      </c>
      <c r="F225" s="11">
        <f>SUMIFS(WorkOrders!$F$2:$F$500,WorkOrders!$C$2:$C$500,A225)</f>
        <v/>
      </c>
      <c r="G225" s="11">
        <f>E225-F225</f>
        <v/>
      </c>
      <c r="H225" s="11">
        <f>SUMIFS(Downtime!$G$2:$G$500,Downtime!$A$2:$A$500,A225)</f>
        <v/>
      </c>
      <c r="I225" s="11">
        <f>MAX(0,D225-H225)</f>
        <v/>
      </c>
      <c r="J225" s="15">
        <f>IF(A225="","",IF(D225=0,0,MIN(1,I225/D225)))</f>
        <v/>
      </c>
      <c r="K225" s="15">
        <f>IF(A225="","",IF(OR(I225=0,C225=0),0,MIN(1,E225/((I225/60)*C225))))</f>
        <v/>
      </c>
      <c r="L225" s="15">
        <f>IF(A225="","",IF(E225=0,0,MIN(1,MAX(0,G225/E225))))</f>
        <v/>
      </c>
      <c r="M225" s="15">
        <f>IF(A225="","",J225*K225*L225)</f>
        <v/>
      </c>
    </row>
    <row r="226">
      <c r="A226" s="11">
        <f>Machines!A226</f>
        <v/>
      </c>
      <c r="B226" s="11">
        <f>Machines!B226</f>
        <v/>
      </c>
      <c r="C226" s="11">
        <f>IF(A226="","",Machines!D226)</f>
        <v/>
      </c>
      <c r="D226" s="11">
        <f>SUMIFS(WorkOrders!$M$2:$M$500,WorkOrders!$C$2:$C$500,A226)</f>
        <v/>
      </c>
      <c r="E226" s="11">
        <f>SUMIFS(WorkOrders!$E$2:$E$500,WorkOrders!$C$2:$C$500,A226)</f>
        <v/>
      </c>
      <c r="F226" s="11">
        <f>SUMIFS(WorkOrders!$F$2:$F$500,WorkOrders!$C$2:$C$500,A226)</f>
        <v/>
      </c>
      <c r="G226" s="11">
        <f>E226-F226</f>
        <v/>
      </c>
      <c r="H226" s="11">
        <f>SUMIFS(Downtime!$G$2:$G$500,Downtime!$A$2:$A$500,A226)</f>
        <v/>
      </c>
      <c r="I226" s="11">
        <f>MAX(0,D226-H226)</f>
        <v/>
      </c>
      <c r="J226" s="15">
        <f>IF(A226="","",IF(D226=0,0,MIN(1,I226/D226)))</f>
        <v/>
      </c>
      <c r="K226" s="15">
        <f>IF(A226="","",IF(OR(I226=0,C226=0),0,MIN(1,E226/((I226/60)*C226))))</f>
        <v/>
      </c>
      <c r="L226" s="15">
        <f>IF(A226="","",IF(E226=0,0,MIN(1,MAX(0,G226/E226))))</f>
        <v/>
      </c>
      <c r="M226" s="15">
        <f>IF(A226="","",J226*K226*L226)</f>
        <v/>
      </c>
    </row>
    <row r="227">
      <c r="A227" s="11">
        <f>Machines!A227</f>
        <v/>
      </c>
      <c r="B227" s="11">
        <f>Machines!B227</f>
        <v/>
      </c>
      <c r="C227" s="11">
        <f>IF(A227="","",Machines!D227)</f>
        <v/>
      </c>
      <c r="D227" s="11">
        <f>SUMIFS(WorkOrders!$M$2:$M$500,WorkOrders!$C$2:$C$500,A227)</f>
        <v/>
      </c>
      <c r="E227" s="11">
        <f>SUMIFS(WorkOrders!$E$2:$E$500,WorkOrders!$C$2:$C$500,A227)</f>
        <v/>
      </c>
      <c r="F227" s="11">
        <f>SUMIFS(WorkOrders!$F$2:$F$500,WorkOrders!$C$2:$C$500,A227)</f>
        <v/>
      </c>
      <c r="G227" s="11">
        <f>E227-F227</f>
        <v/>
      </c>
      <c r="H227" s="11">
        <f>SUMIFS(Downtime!$G$2:$G$500,Downtime!$A$2:$A$500,A227)</f>
        <v/>
      </c>
      <c r="I227" s="11">
        <f>MAX(0,D227-H227)</f>
        <v/>
      </c>
      <c r="J227" s="15">
        <f>IF(A227="","",IF(D227=0,0,MIN(1,I227/D227)))</f>
        <v/>
      </c>
      <c r="K227" s="15">
        <f>IF(A227="","",IF(OR(I227=0,C227=0),0,MIN(1,E227/((I227/60)*C227))))</f>
        <v/>
      </c>
      <c r="L227" s="15">
        <f>IF(A227="","",IF(E227=0,0,MIN(1,MAX(0,G227/E227))))</f>
        <v/>
      </c>
      <c r="M227" s="15">
        <f>IF(A227="","",J227*K227*L227)</f>
        <v/>
      </c>
    </row>
    <row r="228">
      <c r="A228" s="11">
        <f>Machines!A228</f>
        <v/>
      </c>
      <c r="B228" s="11">
        <f>Machines!B228</f>
        <v/>
      </c>
      <c r="C228" s="11">
        <f>IF(A228="","",Machines!D228)</f>
        <v/>
      </c>
      <c r="D228" s="11">
        <f>SUMIFS(WorkOrders!$M$2:$M$500,WorkOrders!$C$2:$C$500,A228)</f>
        <v/>
      </c>
      <c r="E228" s="11">
        <f>SUMIFS(WorkOrders!$E$2:$E$500,WorkOrders!$C$2:$C$500,A228)</f>
        <v/>
      </c>
      <c r="F228" s="11">
        <f>SUMIFS(WorkOrders!$F$2:$F$500,WorkOrders!$C$2:$C$500,A228)</f>
        <v/>
      </c>
      <c r="G228" s="11">
        <f>E228-F228</f>
        <v/>
      </c>
      <c r="H228" s="11">
        <f>SUMIFS(Downtime!$G$2:$G$500,Downtime!$A$2:$A$500,A228)</f>
        <v/>
      </c>
      <c r="I228" s="11">
        <f>MAX(0,D228-H228)</f>
        <v/>
      </c>
      <c r="J228" s="15">
        <f>IF(A228="","",IF(D228=0,0,MIN(1,I228/D228)))</f>
        <v/>
      </c>
      <c r="K228" s="15">
        <f>IF(A228="","",IF(OR(I228=0,C228=0),0,MIN(1,E228/((I228/60)*C228))))</f>
        <v/>
      </c>
      <c r="L228" s="15">
        <f>IF(A228="","",IF(E228=0,0,MIN(1,MAX(0,G228/E228))))</f>
        <v/>
      </c>
      <c r="M228" s="15">
        <f>IF(A228="","",J228*K228*L228)</f>
        <v/>
      </c>
    </row>
    <row r="229">
      <c r="A229" s="11">
        <f>Machines!A229</f>
        <v/>
      </c>
      <c r="B229" s="11">
        <f>Machines!B229</f>
        <v/>
      </c>
      <c r="C229" s="11">
        <f>IF(A229="","",Machines!D229)</f>
        <v/>
      </c>
      <c r="D229" s="11">
        <f>SUMIFS(WorkOrders!$M$2:$M$500,WorkOrders!$C$2:$C$500,A229)</f>
        <v/>
      </c>
      <c r="E229" s="11">
        <f>SUMIFS(WorkOrders!$E$2:$E$500,WorkOrders!$C$2:$C$500,A229)</f>
        <v/>
      </c>
      <c r="F229" s="11">
        <f>SUMIFS(WorkOrders!$F$2:$F$500,WorkOrders!$C$2:$C$500,A229)</f>
        <v/>
      </c>
      <c r="G229" s="11">
        <f>E229-F229</f>
        <v/>
      </c>
      <c r="H229" s="11">
        <f>SUMIFS(Downtime!$G$2:$G$500,Downtime!$A$2:$A$500,A229)</f>
        <v/>
      </c>
      <c r="I229" s="11">
        <f>MAX(0,D229-H229)</f>
        <v/>
      </c>
      <c r="J229" s="15">
        <f>IF(A229="","",IF(D229=0,0,MIN(1,I229/D229)))</f>
        <v/>
      </c>
      <c r="K229" s="15">
        <f>IF(A229="","",IF(OR(I229=0,C229=0),0,MIN(1,E229/((I229/60)*C229))))</f>
        <v/>
      </c>
      <c r="L229" s="15">
        <f>IF(A229="","",IF(E229=0,0,MIN(1,MAX(0,G229/E229))))</f>
        <v/>
      </c>
      <c r="M229" s="15">
        <f>IF(A229="","",J229*K229*L229)</f>
        <v/>
      </c>
    </row>
    <row r="230">
      <c r="A230" s="11">
        <f>Machines!A230</f>
        <v/>
      </c>
      <c r="B230" s="11">
        <f>Machines!B230</f>
        <v/>
      </c>
      <c r="C230" s="11">
        <f>IF(A230="","",Machines!D230)</f>
        <v/>
      </c>
      <c r="D230" s="11">
        <f>SUMIFS(WorkOrders!$M$2:$M$500,WorkOrders!$C$2:$C$500,A230)</f>
        <v/>
      </c>
      <c r="E230" s="11">
        <f>SUMIFS(WorkOrders!$E$2:$E$500,WorkOrders!$C$2:$C$500,A230)</f>
        <v/>
      </c>
      <c r="F230" s="11">
        <f>SUMIFS(WorkOrders!$F$2:$F$500,WorkOrders!$C$2:$C$500,A230)</f>
        <v/>
      </c>
      <c r="G230" s="11">
        <f>E230-F230</f>
        <v/>
      </c>
      <c r="H230" s="11">
        <f>SUMIFS(Downtime!$G$2:$G$500,Downtime!$A$2:$A$500,A230)</f>
        <v/>
      </c>
      <c r="I230" s="11">
        <f>MAX(0,D230-H230)</f>
        <v/>
      </c>
      <c r="J230" s="15">
        <f>IF(A230="","",IF(D230=0,0,MIN(1,I230/D230)))</f>
        <v/>
      </c>
      <c r="K230" s="15">
        <f>IF(A230="","",IF(OR(I230=0,C230=0),0,MIN(1,E230/((I230/60)*C230))))</f>
        <v/>
      </c>
      <c r="L230" s="15">
        <f>IF(A230="","",IF(E230=0,0,MIN(1,MAX(0,G230/E230))))</f>
        <v/>
      </c>
      <c r="M230" s="15">
        <f>IF(A230="","",J230*K230*L230)</f>
        <v/>
      </c>
    </row>
    <row r="231">
      <c r="A231" s="11">
        <f>Machines!A231</f>
        <v/>
      </c>
      <c r="B231" s="11">
        <f>Machines!B231</f>
        <v/>
      </c>
      <c r="C231" s="11">
        <f>IF(A231="","",Machines!D231)</f>
        <v/>
      </c>
      <c r="D231" s="11">
        <f>SUMIFS(WorkOrders!$M$2:$M$500,WorkOrders!$C$2:$C$500,A231)</f>
        <v/>
      </c>
      <c r="E231" s="11">
        <f>SUMIFS(WorkOrders!$E$2:$E$500,WorkOrders!$C$2:$C$500,A231)</f>
        <v/>
      </c>
      <c r="F231" s="11">
        <f>SUMIFS(WorkOrders!$F$2:$F$500,WorkOrders!$C$2:$C$500,A231)</f>
        <v/>
      </c>
      <c r="G231" s="11">
        <f>E231-F231</f>
        <v/>
      </c>
      <c r="H231" s="11">
        <f>SUMIFS(Downtime!$G$2:$G$500,Downtime!$A$2:$A$500,A231)</f>
        <v/>
      </c>
      <c r="I231" s="11">
        <f>MAX(0,D231-H231)</f>
        <v/>
      </c>
      <c r="J231" s="15">
        <f>IF(A231="","",IF(D231=0,0,MIN(1,I231/D231)))</f>
        <v/>
      </c>
      <c r="K231" s="15">
        <f>IF(A231="","",IF(OR(I231=0,C231=0),0,MIN(1,E231/((I231/60)*C231))))</f>
        <v/>
      </c>
      <c r="L231" s="15">
        <f>IF(A231="","",IF(E231=0,0,MIN(1,MAX(0,G231/E231))))</f>
        <v/>
      </c>
      <c r="M231" s="15">
        <f>IF(A231="","",J231*K231*L231)</f>
        <v/>
      </c>
    </row>
    <row r="232">
      <c r="A232" s="11">
        <f>Machines!A232</f>
        <v/>
      </c>
      <c r="B232" s="11">
        <f>Machines!B232</f>
        <v/>
      </c>
      <c r="C232" s="11">
        <f>IF(A232="","",Machines!D232)</f>
        <v/>
      </c>
      <c r="D232" s="11">
        <f>SUMIFS(WorkOrders!$M$2:$M$500,WorkOrders!$C$2:$C$500,A232)</f>
        <v/>
      </c>
      <c r="E232" s="11">
        <f>SUMIFS(WorkOrders!$E$2:$E$500,WorkOrders!$C$2:$C$500,A232)</f>
        <v/>
      </c>
      <c r="F232" s="11">
        <f>SUMIFS(WorkOrders!$F$2:$F$500,WorkOrders!$C$2:$C$500,A232)</f>
        <v/>
      </c>
      <c r="G232" s="11">
        <f>E232-F232</f>
        <v/>
      </c>
      <c r="H232" s="11">
        <f>SUMIFS(Downtime!$G$2:$G$500,Downtime!$A$2:$A$500,A232)</f>
        <v/>
      </c>
      <c r="I232" s="11">
        <f>MAX(0,D232-H232)</f>
        <v/>
      </c>
      <c r="J232" s="15">
        <f>IF(A232="","",IF(D232=0,0,MIN(1,I232/D232)))</f>
        <v/>
      </c>
      <c r="K232" s="15">
        <f>IF(A232="","",IF(OR(I232=0,C232=0),0,MIN(1,E232/((I232/60)*C232))))</f>
        <v/>
      </c>
      <c r="L232" s="15">
        <f>IF(A232="","",IF(E232=0,0,MIN(1,MAX(0,G232/E232))))</f>
        <v/>
      </c>
      <c r="M232" s="15">
        <f>IF(A232="","",J232*K232*L232)</f>
        <v/>
      </c>
    </row>
    <row r="233">
      <c r="A233" s="11">
        <f>Machines!A233</f>
        <v/>
      </c>
      <c r="B233" s="11">
        <f>Machines!B233</f>
        <v/>
      </c>
      <c r="C233" s="11">
        <f>IF(A233="","",Machines!D233)</f>
        <v/>
      </c>
      <c r="D233" s="11">
        <f>SUMIFS(WorkOrders!$M$2:$M$500,WorkOrders!$C$2:$C$500,A233)</f>
        <v/>
      </c>
      <c r="E233" s="11">
        <f>SUMIFS(WorkOrders!$E$2:$E$500,WorkOrders!$C$2:$C$500,A233)</f>
        <v/>
      </c>
      <c r="F233" s="11">
        <f>SUMIFS(WorkOrders!$F$2:$F$500,WorkOrders!$C$2:$C$500,A233)</f>
        <v/>
      </c>
      <c r="G233" s="11">
        <f>E233-F233</f>
        <v/>
      </c>
      <c r="H233" s="11">
        <f>SUMIFS(Downtime!$G$2:$G$500,Downtime!$A$2:$A$500,A233)</f>
        <v/>
      </c>
      <c r="I233" s="11">
        <f>MAX(0,D233-H233)</f>
        <v/>
      </c>
      <c r="J233" s="15">
        <f>IF(A233="","",IF(D233=0,0,MIN(1,I233/D233)))</f>
        <v/>
      </c>
      <c r="K233" s="15">
        <f>IF(A233="","",IF(OR(I233=0,C233=0),0,MIN(1,E233/((I233/60)*C233))))</f>
        <v/>
      </c>
      <c r="L233" s="15">
        <f>IF(A233="","",IF(E233=0,0,MIN(1,MAX(0,G233/E233))))</f>
        <v/>
      </c>
      <c r="M233" s="15">
        <f>IF(A233="","",J233*K233*L233)</f>
        <v/>
      </c>
    </row>
    <row r="234">
      <c r="A234" s="11">
        <f>Machines!A234</f>
        <v/>
      </c>
      <c r="B234" s="11">
        <f>Machines!B234</f>
        <v/>
      </c>
      <c r="C234" s="11">
        <f>IF(A234="","",Machines!D234)</f>
        <v/>
      </c>
      <c r="D234" s="11">
        <f>SUMIFS(WorkOrders!$M$2:$M$500,WorkOrders!$C$2:$C$500,A234)</f>
        <v/>
      </c>
      <c r="E234" s="11">
        <f>SUMIFS(WorkOrders!$E$2:$E$500,WorkOrders!$C$2:$C$500,A234)</f>
        <v/>
      </c>
      <c r="F234" s="11">
        <f>SUMIFS(WorkOrders!$F$2:$F$500,WorkOrders!$C$2:$C$500,A234)</f>
        <v/>
      </c>
      <c r="G234" s="11">
        <f>E234-F234</f>
        <v/>
      </c>
      <c r="H234" s="11">
        <f>SUMIFS(Downtime!$G$2:$G$500,Downtime!$A$2:$A$500,A234)</f>
        <v/>
      </c>
      <c r="I234" s="11">
        <f>MAX(0,D234-H234)</f>
        <v/>
      </c>
      <c r="J234" s="15">
        <f>IF(A234="","",IF(D234=0,0,MIN(1,I234/D234)))</f>
        <v/>
      </c>
      <c r="K234" s="15">
        <f>IF(A234="","",IF(OR(I234=0,C234=0),0,MIN(1,E234/((I234/60)*C234))))</f>
        <v/>
      </c>
      <c r="L234" s="15">
        <f>IF(A234="","",IF(E234=0,0,MIN(1,MAX(0,G234/E234))))</f>
        <v/>
      </c>
      <c r="M234" s="15">
        <f>IF(A234="","",J234*K234*L234)</f>
        <v/>
      </c>
    </row>
    <row r="235">
      <c r="A235" s="11">
        <f>Machines!A235</f>
        <v/>
      </c>
      <c r="B235" s="11">
        <f>Machines!B235</f>
        <v/>
      </c>
      <c r="C235" s="11">
        <f>IF(A235="","",Machines!D235)</f>
        <v/>
      </c>
      <c r="D235" s="11">
        <f>SUMIFS(WorkOrders!$M$2:$M$500,WorkOrders!$C$2:$C$500,A235)</f>
        <v/>
      </c>
      <c r="E235" s="11">
        <f>SUMIFS(WorkOrders!$E$2:$E$500,WorkOrders!$C$2:$C$500,A235)</f>
        <v/>
      </c>
      <c r="F235" s="11">
        <f>SUMIFS(WorkOrders!$F$2:$F$500,WorkOrders!$C$2:$C$500,A235)</f>
        <v/>
      </c>
      <c r="G235" s="11">
        <f>E235-F235</f>
        <v/>
      </c>
      <c r="H235" s="11">
        <f>SUMIFS(Downtime!$G$2:$G$500,Downtime!$A$2:$A$500,A235)</f>
        <v/>
      </c>
      <c r="I235" s="11">
        <f>MAX(0,D235-H235)</f>
        <v/>
      </c>
      <c r="J235" s="15">
        <f>IF(A235="","",IF(D235=0,0,MIN(1,I235/D235)))</f>
        <v/>
      </c>
      <c r="K235" s="15">
        <f>IF(A235="","",IF(OR(I235=0,C235=0),0,MIN(1,E235/((I235/60)*C235))))</f>
        <v/>
      </c>
      <c r="L235" s="15">
        <f>IF(A235="","",IF(E235=0,0,MIN(1,MAX(0,G235/E235))))</f>
        <v/>
      </c>
      <c r="M235" s="15">
        <f>IF(A235="","",J235*K235*L235)</f>
        <v/>
      </c>
    </row>
    <row r="236">
      <c r="A236" s="11">
        <f>Machines!A236</f>
        <v/>
      </c>
      <c r="B236" s="11">
        <f>Machines!B236</f>
        <v/>
      </c>
      <c r="C236" s="11">
        <f>IF(A236="","",Machines!D236)</f>
        <v/>
      </c>
      <c r="D236" s="11">
        <f>SUMIFS(WorkOrders!$M$2:$M$500,WorkOrders!$C$2:$C$500,A236)</f>
        <v/>
      </c>
      <c r="E236" s="11">
        <f>SUMIFS(WorkOrders!$E$2:$E$500,WorkOrders!$C$2:$C$500,A236)</f>
        <v/>
      </c>
      <c r="F236" s="11">
        <f>SUMIFS(WorkOrders!$F$2:$F$500,WorkOrders!$C$2:$C$500,A236)</f>
        <v/>
      </c>
      <c r="G236" s="11">
        <f>E236-F236</f>
        <v/>
      </c>
      <c r="H236" s="11">
        <f>SUMIFS(Downtime!$G$2:$G$500,Downtime!$A$2:$A$500,A236)</f>
        <v/>
      </c>
      <c r="I236" s="11">
        <f>MAX(0,D236-H236)</f>
        <v/>
      </c>
      <c r="J236" s="15">
        <f>IF(A236="","",IF(D236=0,0,MIN(1,I236/D236)))</f>
        <v/>
      </c>
      <c r="K236" s="15">
        <f>IF(A236="","",IF(OR(I236=0,C236=0),0,MIN(1,E236/((I236/60)*C236))))</f>
        <v/>
      </c>
      <c r="L236" s="15">
        <f>IF(A236="","",IF(E236=0,0,MIN(1,MAX(0,G236/E236))))</f>
        <v/>
      </c>
      <c r="M236" s="15">
        <f>IF(A236="","",J236*K236*L236)</f>
        <v/>
      </c>
    </row>
    <row r="237">
      <c r="A237" s="11">
        <f>Machines!A237</f>
        <v/>
      </c>
      <c r="B237" s="11">
        <f>Machines!B237</f>
        <v/>
      </c>
      <c r="C237" s="11">
        <f>IF(A237="","",Machines!D237)</f>
        <v/>
      </c>
      <c r="D237" s="11">
        <f>SUMIFS(WorkOrders!$M$2:$M$500,WorkOrders!$C$2:$C$500,A237)</f>
        <v/>
      </c>
      <c r="E237" s="11">
        <f>SUMIFS(WorkOrders!$E$2:$E$500,WorkOrders!$C$2:$C$500,A237)</f>
        <v/>
      </c>
      <c r="F237" s="11">
        <f>SUMIFS(WorkOrders!$F$2:$F$500,WorkOrders!$C$2:$C$500,A237)</f>
        <v/>
      </c>
      <c r="G237" s="11">
        <f>E237-F237</f>
        <v/>
      </c>
      <c r="H237" s="11">
        <f>SUMIFS(Downtime!$G$2:$G$500,Downtime!$A$2:$A$500,A237)</f>
        <v/>
      </c>
      <c r="I237" s="11">
        <f>MAX(0,D237-H237)</f>
        <v/>
      </c>
      <c r="J237" s="15">
        <f>IF(A237="","",IF(D237=0,0,MIN(1,I237/D237)))</f>
        <v/>
      </c>
      <c r="K237" s="15">
        <f>IF(A237="","",IF(OR(I237=0,C237=0),0,MIN(1,E237/((I237/60)*C237))))</f>
        <v/>
      </c>
      <c r="L237" s="15">
        <f>IF(A237="","",IF(E237=0,0,MIN(1,MAX(0,G237/E237))))</f>
        <v/>
      </c>
      <c r="M237" s="15">
        <f>IF(A237="","",J237*K237*L237)</f>
        <v/>
      </c>
    </row>
    <row r="238">
      <c r="A238" s="11">
        <f>Machines!A238</f>
        <v/>
      </c>
      <c r="B238" s="11">
        <f>Machines!B238</f>
        <v/>
      </c>
      <c r="C238" s="11">
        <f>IF(A238="","",Machines!D238)</f>
        <v/>
      </c>
      <c r="D238" s="11">
        <f>SUMIFS(WorkOrders!$M$2:$M$500,WorkOrders!$C$2:$C$500,A238)</f>
        <v/>
      </c>
      <c r="E238" s="11">
        <f>SUMIFS(WorkOrders!$E$2:$E$500,WorkOrders!$C$2:$C$500,A238)</f>
        <v/>
      </c>
      <c r="F238" s="11">
        <f>SUMIFS(WorkOrders!$F$2:$F$500,WorkOrders!$C$2:$C$500,A238)</f>
        <v/>
      </c>
      <c r="G238" s="11">
        <f>E238-F238</f>
        <v/>
      </c>
      <c r="H238" s="11">
        <f>SUMIFS(Downtime!$G$2:$G$500,Downtime!$A$2:$A$500,A238)</f>
        <v/>
      </c>
      <c r="I238" s="11">
        <f>MAX(0,D238-H238)</f>
        <v/>
      </c>
      <c r="J238" s="15">
        <f>IF(A238="","",IF(D238=0,0,MIN(1,I238/D238)))</f>
        <v/>
      </c>
      <c r="K238" s="15">
        <f>IF(A238="","",IF(OR(I238=0,C238=0),0,MIN(1,E238/((I238/60)*C238))))</f>
        <v/>
      </c>
      <c r="L238" s="15">
        <f>IF(A238="","",IF(E238=0,0,MIN(1,MAX(0,G238/E238))))</f>
        <v/>
      </c>
      <c r="M238" s="15">
        <f>IF(A238="","",J238*K238*L238)</f>
        <v/>
      </c>
    </row>
    <row r="239">
      <c r="A239" s="11">
        <f>Machines!A239</f>
        <v/>
      </c>
      <c r="B239" s="11">
        <f>Machines!B239</f>
        <v/>
      </c>
      <c r="C239" s="11">
        <f>IF(A239="","",Machines!D239)</f>
        <v/>
      </c>
      <c r="D239" s="11">
        <f>SUMIFS(WorkOrders!$M$2:$M$500,WorkOrders!$C$2:$C$500,A239)</f>
        <v/>
      </c>
      <c r="E239" s="11">
        <f>SUMIFS(WorkOrders!$E$2:$E$500,WorkOrders!$C$2:$C$500,A239)</f>
        <v/>
      </c>
      <c r="F239" s="11">
        <f>SUMIFS(WorkOrders!$F$2:$F$500,WorkOrders!$C$2:$C$500,A239)</f>
        <v/>
      </c>
      <c r="G239" s="11">
        <f>E239-F239</f>
        <v/>
      </c>
      <c r="H239" s="11">
        <f>SUMIFS(Downtime!$G$2:$G$500,Downtime!$A$2:$A$500,A239)</f>
        <v/>
      </c>
      <c r="I239" s="11">
        <f>MAX(0,D239-H239)</f>
        <v/>
      </c>
      <c r="J239" s="15">
        <f>IF(A239="","",IF(D239=0,0,MIN(1,I239/D239)))</f>
        <v/>
      </c>
      <c r="K239" s="15">
        <f>IF(A239="","",IF(OR(I239=0,C239=0),0,MIN(1,E239/((I239/60)*C239))))</f>
        <v/>
      </c>
      <c r="L239" s="15">
        <f>IF(A239="","",IF(E239=0,0,MIN(1,MAX(0,G239/E239))))</f>
        <v/>
      </c>
      <c r="M239" s="15">
        <f>IF(A239="","",J239*K239*L239)</f>
        <v/>
      </c>
    </row>
    <row r="240">
      <c r="A240" s="11">
        <f>Machines!A240</f>
        <v/>
      </c>
      <c r="B240" s="11">
        <f>Machines!B240</f>
        <v/>
      </c>
      <c r="C240" s="11">
        <f>IF(A240="","",Machines!D240)</f>
        <v/>
      </c>
      <c r="D240" s="11">
        <f>SUMIFS(WorkOrders!$M$2:$M$500,WorkOrders!$C$2:$C$500,A240)</f>
        <v/>
      </c>
      <c r="E240" s="11">
        <f>SUMIFS(WorkOrders!$E$2:$E$500,WorkOrders!$C$2:$C$500,A240)</f>
        <v/>
      </c>
      <c r="F240" s="11">
        <f>SUMIFS(WorkOrders!$F$2:$F$500,WorkOrders!$C$2:$C$500,A240)</f>
        <v/>
      </c>
      <c r="G240" s="11">
        <f>E240-F240</f>
        <v/>
      </c>
      <c r="H240" s="11">
        <f>SUMIFS(Downtime!$G$2:$G$500,Downtime!$A$2:$A$500,A240)</f>
        <v/>
      </c>
      <c r="I240" s="11">
        <f>MAX(0,D240-H240)</f>
        <v/>
      </c>
      <c r="J240" s="15">
        <f>IF(A240="","",IF(D240=0,0,MIN(1,I240/D240)))</f>
        <v/>
      </c>
      <c r="K240" s="15">
        <f>IF(A240="","",IF(OR(I240=0,C240=0),0,MIN(1,E240/((I240/60)*C240))))</f>
        <v/>
      </c>
      <c r="L240" s="15">
        <f>IF(A240="","",IF(E240=0,0,MIN(1,MAX(0,G240/E240))))</f>
        <v/>
      </c>
      <c r="M240" s="15">
        <f>IF(A240="","",J240*K240*L240)</f>
        <v/>
      </c>
    </row>
    <row r="241">
      <c r="A241" s="11">
        <f>Machines!A241</f>
        <v/>
      </c>
      <c r="B241" s="11">
        <f>Machines!B241</f>
        <v/>
      </c>
      <c r="C241" s="11">
        <f>IF(A241="","",Machines!D241)</f>
        <v/>
      </c>
      <c r="D241" s="11">
        <f>SUMIFS(WorkOrders!$M$2:$M$500,WorkOrders!$C$2:$C$500,A241)</f>
        <v/>
      </c>
      <c r="E241" s="11">
        <f>SUMIFS(WorkOrders!$E$2:$E$500,WorkOrders!$C$2:$C$500,A241)</f>
        <v/>
      </c>
      <c r="F241" s="11">
        <f>SUMIFS(WorkOrders!$F$2:$F$500,WorkOrders!$C$2:$C$500,A241)</f>
        <v/>
      </c>
      <c r="G241" s="11">
        <f>E241-F241</f>
        <v/>
      </c>
      <c r="H241" s="11">
        <f>SUMIFS(Downtime!$G$2:$G$500,Downtime!$A$2:$A$500,A241)</f>
        <v/>
      </c>
      <c r="I241" s="11">
        <f>MAX(0,D241-H241)</f>
        <v/>
      </c>
      <c r="J241" s="15">
        <f>IF(A241="","",IF(D241=0,0,MIN(1,I241/D241)))</f>
        <v/>
      </c>
      <c r="K241" s="15">
        <f>IF(A241="","",IF(OR(I241=0,C241=0),0,MIN(1,E241/((I241/60)*C241))))</f>
        <v/>
      </c>
      <c r="L241" s="15">
        <f>IF(A241="","",IF(E241=0,0,MIN(1,MAX(0,G241/E241))))</f>
        <v/>
      </c>
      <c r="M241" s="15">
        <f>IF(A241="","",J241*K241*L241)</f>
        <v/>
      </c>
    </row>
    <row r="242">
      <c r="A242" s="11">
        <f>Machines!A242</f>
        <v/>
      </c>
      <c r="B242" s="11">
        <f>Machines!B242</f>
        <v/>
      </c>
      <c r="C242" s="11">
        <f>IF(A242="","",Machines!D242)</f>
        <v/>
      </c>
      <c r="D242" s="11">
        <f>SUMIFS(WorkOrders!$M$2:$M$500,WorkOrders!$C$2:$C$500,A242)</f>
        <v/>
      </c>
      <c r="E242" s="11">
        <f>SUMIFS(WorkOrders!$E$2:$E$500,WorkOrders!$C$2:$C$500,A242)</f>
        <v/>
      </c>
      <c r="F242" s="11">
        <f>SUMIFS(WorkOrders!$F$2:$F$500,WorkOrders!$C$2:$C$500,A242)</f>
        <v/>
      </c>
      <c r="G242" s="11">
        <f>E242-F242</f>
        <v/>
      </c>
      <c r="H242" s="11">
        <f>SUMIFS(Downtime!$G$2:$G$500,Downtime!$A$2:$A$500,A242)</f>
        <v/>
      </c>
      <c r="I242" s="11">
        <f>MAX(0,D242-H242)</f>
        <v/>
      </c>
      <c r="J242" s="15">
        <f>IF(A242="","",IF(D242=0,0,MIN(1,I242/D242)))</f>
        <v/>
      </c>
      <c r="K242" s="15">
        <f>IF(A242="","",IF(OR(I242=0,C242=0),0,MIN(1,E242/((I242/60)*C242))))</f>
        <v/>
      </c>
      <c r="L242" s="15">
        <f>IF(A242="","",IF(E242=0,0,MIN(1,MAX(0,G242/E242))))</f>
        <v/>
      </c>
      <c r="M242" s="15">
        <f>IF(A242="","",J242*K242*L242)</f>
        <v/>
      </c>
    </row>
    <row r="243">
      <c r="A243" s="11">
        <f>Machines!A243</f>
        <v/>
      </c>
      <c r="B243" s="11">
        <f>Machines!B243</f>
        <v/>
      </c>
      <c r="C243" s="11">
        <f>IF(A243="","",Machines!D243)</f>
        <v/>
      </c>
      <c r="D243" s="11">
        <f>SUMIFS(WorkOrders!$M$2:$M$500,WorkOrders!$C$2:$C$500,A243)</f>
        <v/>
      </c>
      <c r="E243" s="11">
        <f>SUMIFS(WorkOrders!$E$2:$E$500,WorkOrders!$C$2:$C$500,A243)</f>
        <v/>
      </c>
      <c r="F243" s="11">
        <f>SUMIFS(WorkOrders!$F$2:$F$500,WorkOrders!$C$2:$C$500,A243)</f>
        <v/>
      </c>
      <c r="G243" s="11">
        <f>E243-F243</f>
        <v/>
      </c>
      <c r="H243" s="11">
        <f>SUMIFS(Downtime!$G$2:$G$500,Downtime!$A$2:$A$500,A243)</f>
        <v/>
      </c>
      <c r="I243" s="11">
        <f>MAX(0,D243-H243)</f>
        <v/>
      </c>
      <c r="J243" s="15">
        <f>IF(A243="","",IF(D243=0,0,MIN(1,I243/D243)))</f>
        <v/>
      </c>
      <c r="K243" s="15">
        <f>IF(A243="","",IF(OR(I243=0,C243=0),0,MIN(1,E243/((I243/60)*C243))))</f>
        <v/>
      </c>
      <c r="L243" s="15">
        <f>IF(A243="","",IF(E243=0,0,MIN(1,MAX(0,G243/E243))))</f>
        <v/>
      </c>
      <c r="M243" s="15">
        <f>IF(A243="","",J243*K243*L243)</f>
        <v/>
      </c>
    </row>
    <row r="244">
      <c r="A244" s="11">
        <f>Machines!A244</f>
        <v/>
      </c>
      <c r="B244" s="11">
        <f>Machines!B244</f>
        <v/>
      </c>
      <c r="C244" s="11">
        <f>IF(A244="","",Machines!D244)</f>
        <v/>
      </c>
      <c r="D244" s="11">
        <f>SUMIFS(WorkOrders!$M$2:$M$500,WorkOrders!$C$2:$C$500,A244)</f>
        <v/>
      </c>
      <c r="E244" s="11">
        <f>SUMIFS(WorkOrders!$E$2:$E$500,WorkOrders!$C$2:$C$500,A244)</f>
        <v/>
      </c>
      <c r="F244" s="11">
        <f>SUMIFS(WorkOrders!$F$2:$F$500,WorkOrders!$C$2:$C$500,A244)</f>
        <v/>
      </c>
      <c r="G244" s="11">
        <f>E244-F244</f>
        <v/>
      </c>
      <c r="H244" s="11">
        <f>SUMIFS(Downtime!$G$2:$G$500,Downtime!$A$2:$A$500,A244)</f>
        <v/>
      </c>
      <c r="I244" s="11">
        <f>MAX(0,D244-H244)</f>
        <v/>
      </c>
      <c r="J244" s="15">
        <f>IF(A244="","",IF(D244=0,0,MIN(1,I244/D244)))</f>
        <v/>
      </c>
      <c r="K244" s="15">
        <f>IF(A244="","",IF(OR(I244=0,C244=0),0,MIN(1,E244/((I244/60)*C244))))</f>
        <v/>
      </c>
      <c r="L244" s="15">
        <f>IF(A244="","",IF(E244=0,0,MIN(1,MAX(0,G244/E244))))</f>
        <v/>
      </c>
      <c r="M244" s="15">
        <f>IF(A244="","",J244*K244*L244)</f>
        <v/>
      </c>
    </row>
    <row r="245">
      <c r="A245" s="11">
        <f>Machines!A245</f>
        <v/>
      </c>
      <c r="B245" s="11">
        <f>Machines!B245</f>
        <v/>
      </c>
      <c r="C245" s="11">
        <f>IF(A245="","",Machines!D245)</f>
        <v/>
      </c>
      <c r="D245" s="11">
        <f>SUMIFS(WorkOrders!$M$2:$M$500,WorkOrders!$C$2:$C$500,A245)</f>
        <v/>
      </c>
      <c r="E245" s="11">
        <f>SUMIFS(WorkOrders!$E$2:$E$500,WorkOrders!$C$2:$C$500,A245)</f>
        <v/>
      </c>
      <c r="F245" s="11">
        <f>SUMIFS(WorkOrders!$F$2:$F$500,WorkOrders!$C$2:$C$500,A245)</f>
        <v/>
      </c>
      <c r="G245" s="11">
        <f>E245-F245</f>
        <v/>
      </c>
      <c r="H245" s="11">
        <f>SUMIFS(Downtime!$G$2:$G$500,Downtime!$A$2:$A$500,A245)</f>
        <v/>
      </c>
      <c r="I245" s="11">
        <f>MAX(0,D245-H245)</f>
        <v/>
      </c>
      <c r="J245" s="15">
        <f>IF(A245="","",IF(D245=0,0,MIN(1,I245/D245)))</f>
        <v/>
      </c>
      <c r="K245" s="15">
        <f>IF(A245="","",IF(OR(I245=0,C245=0),0,MIN(1,E245/((I245/60)*C245))))</f>
        <v/>
      </c>
      <c r="L245" s="15">
        <f>IF(A245="","",IF(E245=0,0,MIN(1,MAX(0,G245/E245))))</f>
        <v/>
      </c>
      <c r="M245" s="15">
        <f>IF(A245="","",J245*K245*L245)</f>
        <v/>
      </c>
    </row>
    <row r="246">
      <c r="A246" s="11">
        <f>Machines!A246</f>
        <v/>
      </c>
      <c r="B246" s="11">
        <f>Machines!B246</f>
        <v/>
      </c>
      <c r="C246" s="11">
        <f>IF(A246="","",Machines!D246)</f>
        <v/>
      </c>
      <c r="D246" s="11">
        <f>SUMIFS(WorkOrders!$M$2:$M$500,WorkOrders!$C$2:$C$500,A246)</f>
        <v/>
      </c>
      <c r="E246" s="11">
        <f>SUMIFS(WorkOrders!$E$2:$E$500,WorkOrders!$C$2:$C$500,A246)</f>
        <v/>
      </c>
      <c r="F246" s="11">
        <f>SUMIFS(WorkOrders!$F$2:$F$500,WorkOrders!$C$2:$C$500,A246)</f>
        <v/>
      </c>
      <c r="G246" s="11">
        <f>E246-F246</f>
        <v/>
      </c>
      <c r="H246" s="11">
        <f>SUMIFS(Downtime!$G$2:$G$500,Downtime!$A$2:$A$500,A246)</f>
        <v/>
      </c>
      <c r="I246" s="11">
        <f>MAX(0,D246-H246)</f>
        <v/>
      </c>
      <c r="J246" s="15">
        <f>IF(A246="","",IF(D246=0,0,MIN(1,I246/D246)))</f>
        <v/>
      </c>
      <c r="K246" s="15">
        <f>IF(A246="","",IF(OR(I246=0,C246=0),0,MIN(1,E246/((I246/60)*C246))))</f>
        <v/>
      </c>
      <c r="L246" s="15">
        <f>IF(A246="","",IF(E246=0,0,MIN(1,MAX(0,G246/E246))))</f>
        <v/>
      </c>
      <c r="M246" s="15">
        <f>IF(A246="","",J246*K246*L246)</f>
        <v/>
      </c>
    </row>
    <row r="247">
      <c r="A247" s="11">
        <f>Machines!A247</f>
        <v/>
      </c>
      <c r="B247" s="11">
        <f>Machines!B247</f>
        <v/>
      </c>
      <c r="C247" s="11">
        <f>IF(A247="","",Machines!D247)</f>
        <v/>
      </c>
      <c r="D247" s="11">
        <f>SUMIFS(WorkOrders!$M$2:$M$500,WorkOrders!$C$2:$C$500,A247)</f>
        <v/>
      </c>
      <c r="E247" s="11">
        <f>SUMIFS(WorkOrders!$E$2:$E$500,WorkOrders!$C$2:$C$500,A247)</f>
        <v/>
      </c>
      <c r="F247" s="11">
        <f>SUMIFS(WorkOrders!$F$2:$F$500,WorkOrders!$C$2:$C$500,A247)</f>
        <v/>
      </c>
      <c r="G247" s="11">
        <f>E247-F247</f>
        <v/>
      </c>
      <c r="H247" s="11">
        <f>SUMIFS(Downtime!$G$2:$G$500,Downtime!$A$2:$A$500,A247)</f>
        <v/>
      </c>
      <c r="I247" s="11">
        <f>MAX(0,D247-H247)</f>
        <v/>
      </c>
      <c r="J247" s="15">
        <f>IF(A247="","",IF(D247=0,0,MIN(1,I247/D247)))</f>
        <v/>
      </c>
      <c r="K247" s="15">
        <f>IF(A247="","",IF(OR(I247=0,C247=0),0,MIN(1,E247/((I247/60)*C247))))</f>
        <v/>
      </c>
      <c r="L247" s="15">
        <f>IF(A247="","",IF(E247=0,0,MIN(1,MAX(0,G247/E247))))</f>
        <v/>
      </c>
      <c r="M247" s="15">
        <f>IF(A247="","",J247*K247*L247)</f>
        <v/>
      </c>
    </row>
    <row r="248">
      <c r="A248" s="11">
        <f>Machines!A248</f>
        <v/>
      </c>
      <c r="B248" s="11">
        <f>Machines!B248</f>
        <v/>
      </c>
      <c r="C248" s="11">
        <f>IF(A248="","",Machines!D248)</f>
        <v/>
      </c>
      <c r="D248" s="11">
        <f>SUMIFS(WorkOrders!$M$2:$M$500,WorkOrders!$C$2:$C$500,A248)</f>
        <v/>
      </c>
      <c r="E248" s="11">
        <f>SUMIFS(WorkOrders!$E$2:$E$500,WorkOrders!$C$2:$C$500,A248)</f>
        <v/>
      </c>
      <c r="F248" s="11">
        <f>SUMIFS(WorkOrders!$F$2:$F$500,WorkOrders!$C$2:$C$500,A248)</f>
        <v/>
      </c>
      <c r="G248" s="11">
        <f>E248-F248</f>
        <v/>
      </c>
      <c r="H248" s="11">
        <f>SUMIFS(Downtime!$G$2:$G$500,Downtime!$A$2:$A$500,A248)</f>
        <v/>
      </c>
      <c r="I248" s="11">
        <f>MAX(0,D248-H248)</f>
        <v/>
      </c>
      <c r="J248" s="15">
        <f>IF(A248="","",IF(D248=0,0,MIN(1,I248/D248)))</f>
        <v/>
      </c>
      <c r="K248" s="15">
        <f>IF(A248="","",IF(OR(I248=0,C248=0),0,MIN(1,E248/((I248/60)*C248))))</f>
        <v/>
      </c>
      <c r="L248" s="15">
        <f>IF(A248="","",IF(E248=0,0,MIN(1,MAX(0,G248/E248))))</f>
        <v/>
      </c>
      <c r="M248" s="15">
        <f>IF(A248="","",J248*K248*L248)</f>
        <v/>
      </c>
    </row>
    <row r="249">
      <c r="A249" s="11">
        <f>Machines!A249</f>
        <v/>
      </c>
      <c r="B249" s="11">
        <f>Machines!B249</f>
        <v/>
      </c>
      <c r="C249" s="11">
        <f>IF(A249="","",Machines!D249)</f>
        <v/>
      </c>
      <c r="D249" s="11">
        <f>SUMIFS(WorkOrders!$M$2:$M$500,WorkOrders!$C$2:$C$500,A249)</f>
        <v/>
      </c>
      <c r="E249" s="11">
        <f>SUMIFS(WorkOrders!$E$2:$E$500,WorkOrders!$C$2:$C$500,A249)</f>
        <v/>
      </c>
      <c r="F249" s="11">
        <f>SUMIFS(WorkOrders!$F$2:$F$500,WorkOrders!$C$2:$C$500,A249)</f>
        <v/>
      </c>
      <c r="G249" s="11">
        <f>E249-F249</f>
        <v/>
      </c>
      <c r="H249" s="11">
        <f>SUMIFS(Downtime!$G$2:$G$500,Downtime!$A$2:$A$500,A249)</f>
        <v/>
      </c>
      <c r="I249" s="11">
        <f>MAX(0,D249-H249)</f>
        <v/>
      </c>
      <c r="J249" s="15">
        <f>IF(A249="","",IF(D249=0,0,MIN(1,I249/D249)))</f>
        <v/>
      </c>
      <c r="K249" s="15">
        <f>IF(A249="","",IF(OR(I249=0,C249=0),0,MIN(1,E249/((I249/60)*C249))))</f>
        <v/>
      </c>
      <c r="L249" s="15">
        <f>IF(A249="","",IF(E249=0,0,MIN(1,MAX(0,G249/E249))))</f>
        <v/>
      </c>
      <c r="M249" s="15">
        <f>IF(A249="","",J249*K249*L249)</f>
        <v/>
      </c>
    </row>
    <row r="250">
      <c r="A250" s="11">
        <f>Machines!A250</f>
        <v/>
      </c>
      <c r="B250" s="11">
        <f>Machines!B250</f>
        <v/>
      </c>
      <c r="C250" s="11">
        <f>IF(A250="","",Machines!D250)</f>
        <v/>
      </c>
      <c r="D250" s="11">
        <f>SUMIFS(WorkOrders!$M$2:$M$500,WorkOrders!$C$2:$C$500,A250)</f>
        <v/>
      </c>
      <c r="E250" s="11">
        <f>SUMIFS(WorkOrders!$E$2:$E$500,WorkOrders!$C$2:$C$500,A250)</f>
        <v/>
      </c>
      <c r="F250" s="11">
        <f>SUMIFS(WorkOrders!$F$2:$F$500,WorkOrders!$C$2:$C$500,A250)</f>
        <v/>
      </c>
      <c r="G250" s="11">
        <f>E250-F250</f>
        <v/>
      </c>
      <c r="H250" s="11">
        <f>SUMIFS(Downtime!$G$2:$G$500,Downtime!$A$2:$A$500,A250)</f>
        <v/>
      </c>
      <c r="I250" s="11">
        <f>MAX(0,D250-H250)</f>
        <v/>
      </c>
      <c r="J250" s="15">
        <f>IF(A250="","",IF(D250=0,0,MIN(1,I250/D250)))</f>
        <v/>
      </c>
      <c r="K250" s="15">
        <f>IF(A250="","",IF(OR(I250=0,C250=0),0,MIN(1,E250/((I250/60)*C250))))</f>
        <v/>
      </c>
      <c r="L250" s="15">
        <f>IF(A250="","",IF(E250=0,0,MIN(1,MAX(0,G250/E250))))</f>
        <v/>
      </c>
      <c r="M250" s="15">
        <f>IF(A250="","",J250*K250*L250)</f>
        <v/>
      </c>
    </row>
    <row r="251">
      <c r="A251" s="11">
        <f>Machines!A251</f>
        <v/>
      </c>
      <c r="B251" s="11">
        <f>Machines!B251</f>
        <v/>
      </c>
      <c r="C251" s="11">
        <f>IF(A251="","",Machines!D251)</f>
        <v/>
      </c>
      <c r="D251" s="11">
        <f>SUMIFS(WorkOrders!$M$2:$M$500,WorkOrders!$C$2:$C$500,A251)</f>
        <v/>
      </c>
      <c r="E251" s="11">
        <f>SUMIFS(WorkOrders!$E$2:$E$500,WorkOrders!$C$2:$C$500,A251)</f>
        <v/>
      </c>
      <c r="F251" s="11">
        <f>SUMIFS(WorkOrders!$F$2:$F$500,WorkOrders!$C$2:$C$500,A251)</f>
        <v/>
      </c>
      <c r="G251" s="11">
        <f>E251-F251</f>
        <v/>
      </c>
      <c r="H251" s="11">
        <f>SUMIFS(Downtime!$G$2:$G$500,Downtime!$A$2:$A$500,A251)</f>
        <v/>
      </c>
      <c r="I251" s="11">
        <f>MAX(0,D251-H251)</f>
        <v/>
      </c>
      <c r="J251" s="15">
        <f>IF(A251="","",IF(D251=0,0,MIN(1,I251/D251)))</f>
        <v/>
      </c>
      <c r="K251" s="15">
        <f>IF(A251="","",IF(OR(I251=0,C251=0),0,MIN(1,E251/((I251/60)*C251))))</f>
        <v/>
      </c>
      <c r="L251" s="15">
        <f>IF(A251="","",IF(E251=0,0,MIN(1,MAX(0,G251/E251))))</f>
        <v/>
      </c>
      <c r="M251" s="15">
        <f>IF(A251="","",J251*K251*L251)</f>
        <v/>
      </c>
    </row>
    <row r="252">
      <c r="A252" s="11">
        <f>Machines!A252</f>
        <v/>
      </c>
      <c r="B252" s="11">
        <f>Machines!B252</f>
        <v/>
      </c>
      <c r="C252" s="11">
        <f>IF(A252="","",Machines!D252)</f>
        <v/>
      </c>
      <c r="D252" s="11">
        <f>SUMIFS(WorkOrders!$M$2:$M$500,WorkOrders!$C$2:$C$500,A252)</f>
        <v/>
      </c>
      <c r="E252" s="11">
        <f>SUMIFS(WorkOrders!$E$2:$E$500,WorkOrders!$C$2:$C$500,A252)</f>
        <v/>
      </c>
      <c r="F252" s="11">
        <f>SUMIFS(WorkOrders!$F$2:$F$500,WorkOrders!$C$2:$C$500,A252)</f>
        <v/>
      </c>
      <c r="G252" s="11">
        <f>E252-F252</f>
        <v/>
      </c>
      <c r="H252" s="11">
        <f>SUMIFS(Downtime!$G$2:$G$500,Downtime!$A$2:$A$500,A252)</f>
        <v/>
      </c>
      <c r="I252" s="11">
        <f>MAX(0,D252-H252)</f>
        <v/>
      </c>
      <c r="J252" s="15">
        <f>IF(A252="","",IF(D252=0,0,MIN(1,I252/D252)))</f>
        <v/>
      </c>
      <c r="K252" s="15">
        <f>IF(A252="","",IF(OR(I252=0,C252=0),0,MIN(1,E252/((I252/60)*C252))))</f>
        <v/>
      </c>
      <c r="L252" s="15">
        <f>IF(A252="","",IF(E252=0,0,MIN(1,MAX(0,G252/E252))))</f>
        <v/>
      </c>
      <c r="M252" s="15">
        <f>IF(A252="","",J252*K252*L252)</f>
        <v/>
      </c>
    </row>
    <row r="253">
      <c r="A253" s="11">
        <f>Machines!A253</f>
        <v/>
      </c>
      <c r="B253" s="11">
        <f>Machines!B253</f>
        <v/>
      </c>
      <c r="C253" s="11">
        <f>IF(A253="","",Machines!D253)</f>
        <v/>
      </c>
      <c r="D253" s="11">
        <f>SUMIFS(WorkOrders!$M$2:$M$500,WorkOrders!$C$2:$C$500,A253)</f>
        <v/>
      </c>
      <c r="E253" s="11">
        <f>SUMIFS(WorkOrders!$E$2:$E$500,WorkOrders!$C$2:$C$500,A253)</f>
        <v/>
      </c>
      <c r="F253" s="11">
        <f>SUMIFS(WorkOrders!$F$2:$F$500,WorkOrders!$C$2:$C$500,A253)</f>
        <v/>
      </c>
      <c r="G253" s="11">
        <f>E253-F253</f>
        <v/>
      </c>
      <c r="H253" s="11">
        <f>SUMIFS(Downtime!$G$2:$G$500,Downtime!$A$2:$A$500,A253)</f>
        <v/>
      </c>
      <c r="I253" s="11">
        <f>MAX(0,D253-H253)</f>
        <v/>
      </c>
      <c r="J253" s="15">
        <f>IF(A253="","",IF(D253=0,0,MIN(1,I253/D253)))</f>
        <v/>
      </c>
      <c r="K253" s="15">
        <f>IF(A253="","",IF(OR(I253=0,C253=0),0,MIN(1,E253/((I253/60)*C253))))</f>
        <v/>
      </c>
      <c r="L253" s="15">
        <f>IF(A253="","",IF(E253=0,0,MIN(1,MAX(0,G253/E253))))</f>
        <v/>
      </c>
      <c r="M253" s="15">
        <f>IF(A253="","",J253*K253*L253)</f>
        <v/>
      </c>
    </row>
    <row r="254">
      <c r="A254" s="11">
        <f>Machines!A254</f>
        <v/>
      </c>
      <c r="B254" s="11">
        <f>Machines!B254</f>
        <v/>
      </c>
      <c r="C254" s="11">
        <f>IF(A254="","",Machines!D254)</f>
        <v/>
      </c>
      <c r="D254" s="11">
        <f>SUMIFS(WorkOrders!$M$2:$M$500,WorkOrders!$C$2:$C$500,A254)</f>
        <v/>
      </c>
      <c r="E254" s="11">
        <f>SUMIFS(WorkOrders!$E$2:$E$500,WorkOrders!$C$2:$C$500,A254)</f>
        <v/>
      </c>
      <c r="F254" s="11">
        <f>SUMIFS(WorkOrders!$F$2:$F$500,WorkOrders!$C$2:$C$500,A254)</f>
        <v/>
      </c>
      <c r="G254" s="11">
        <f>E254-F254</f>
        <v/>
      </c>
      <c r="H254" s="11">
        <f>SUMIFS(Downtime!$G$2:$G$500,Downtime!$A$2:$A$500,A254)</f>
        <v/>
      </c>
      <c r="I254" s="11">
        <f>MAX(0,D254-H254)</f>
        <v/>
      </c>
      <c r="J254" s="15">
        <f>IF(A254="","",IF(D254=0,0,MIN(1,I254/D254)))</f>
        <v/>
      </c>
      <c r="K254" s="15">
        <f>IF(A254="","",IF(OR(I254=0,C254=0),0,MIN(1,E254/((I254/60)*C254))))</f>
        <v/>
      </c>
      <c r="L254" s="15">
        <f>IF(A254="","",IF(E254=0,0,MIN(1,MAX(0,G254/E254))))</f>
        <v/>
      </c>
      <c r="M254" s="15">
        <f>IF(A254="","",J254*K254*L254)</f>
        <v/>
      </c>
    </row>
    <row r="255">
      <c r="A255" s="11">
        <f>Machines!A255</f>
        <v/>
      </c>
      <c r="B255" s="11">
        <f>Machines!B255</f>
        <v/>
      </c>
      <c r="C255" s="11">
        <f>IF(A255="","",Machines!D255)</f>
        <v/>
      </c>
      <c r="D255" s="11">
        <f>SUMIFS(WorkOrders!$M$2:$M$500,WorkOrders!$C$2:$C$500,A255)</f>
        <v/>
      </c>
      <c r="E255" s="11">
        <f>SUMIFS(WorkOrders!$E$2:$E$500,WorkOrders!$C$2:$C$500,A255)</f>
        <v/>
      </c>
      <c r="F255" s="11">
        <f>SUMIFS(WorkOrders!$F$2:$F$500,WorkOrders!$C$2:$C$500,A255)</f>
        <v/>
      </c>
      <c r="G255" s="11">
        <f>E255-F255</f>
        <v/>
      </c>
      <c r="H255" s="11">
        <f>SUMIFS(Downtime!$G$2:$G$500,Downtime!$A$2:$A$500,A255)</f>
        <v/>
      </c>
      <c r="I255" s="11">
        <f>MAX(0,D255-H255)</f>
        <v/>
      </c>
      <c r="J255" s="15">
        <f>IF(A255="","",IF(D255=0,0,MIN(1,I255/D255)))</f>
        <v/>
      </c>
      <c r="K255" s="15">
        <f>IF(A255="","",IF(OR(I255=0,C255=0),0,MIN(1,E255/((I255/60)*C255))))</f>
        <v/>
      </c>
      <c r="L255" s="15">
        <f>IF(A255="","",IF(E255=0,0,MIN(1,MAX(0,G255/E255))))</f>
        <v/>
      </c>
      <c r="M255" s="15">
        <f>IF(A255="","",J255*K255*L255)</f>
        <v/>
      </c>
    </row>
    <row r="256">
      <c r="A256" s="11">
        <f>Machines!A256</f>
        <v/>
      </c>
      <c r="B256" s="11">
        <f>Machines!B256</f>
        <v/>
      </c>
      <c r="C256" s="11">
        <f>IF(A256="","",Machines!D256)</f>
        <v/>
      </c>
      <c r="D256" s="11">
        <f>SUMIFS(WorkOrders!$M$2:$M$500,WorkOrders!$C$2:$C$500,A256)</f>
        <v/>
      </c>
      <c r="E256" s="11">
        <f>SUMIFS(WorkOrders!$E$2:$E$500,WorkOrders!$C$2:$C$500,A256)</f>
        <v/>
      </c>
      <c r="F256" s="11">
        <f>SUMIFS(WorkOrders!$F$2:$F$500,WorkOrders!$C$2:$C$500,A256)</f>
        <v/>
      </c>
      <c r="G256" s="11">
        <f>E256-F256</f>
        <v/>
      </c>
      <c r="H256" s="11">
        <f>SUMIFS(Downtime!$G$2:$G$500,Downtime!$A$2:$A$500,A256)</f>
        <v/>
      </c>
      <c r="I256" s="11">
        <f>MAX(0,D256-H256)</f>
        <v/>
      </c>
      <c r="J256" s="15">
        <f>IF(A256="","",IF(D256=0,0,MIN(1,I256/D256)))</f>
        <v/>
      </c>
      <c r="K256" s="15">
        <f>IF(A256="","",IF(OR(I256=0,C256=0),0,MIN(1,E256/((I256/60)*C256))))</f>
        <v/>
      </c>
      <c r="L256" s="15">
        <f>IF(A256="","",IF(E256=0,0,MIN(1,MAX(0,G256/E256))))</f>
        <v/>
      </c>
      <c r="M256" s="15">
        <f>IF(A256="","",J256*K256*L256)</f>
        <v/>
      </c>
    </row>
    <row r="257">
      <c r="A257" s="11">
        <f>Machines!A257</f>
        <v/>
      </c>
      <c r="B257" s="11">
        <f>Machines!B257</f>
        <v/>
      </c>
      <c r="C257" s="11">
        <f>IF(A257="","",Machines!D257)</f>
        <v/>
      </c>
      <c r="D257" s="11">
        <f>SUMIFS(WorkOrders!$M$2:$M$500,WorkOrders!$C$2:$C$500,A257)</f>
        <v/>
      </c>
      <c r="E257" s="11">
        <f>SUMIFS(WorkOrders!$E$2:$E$500,WorkOrders!$C$2:$C$500,A257)</f>
        <v/>
      </c>
      <c r="F257" s="11">
        <f>SUMIFS(WorkOrders!$F$2:$F$500,WorkOrders!$C$2:$C$500,A257)</f>
        <v/>
      </c>
      <c r="G257" s="11">
        <f>E257-F257</f>
        <v/>
      </c>
      <c r="H257" s="11">
        <f>SUMIFS(Downtime!$G$2:$G$500,Downtime!$A$2:$A$500,A257)</f>
        <v/>
      </c>
      <c r="I257" s="11">
        <f>MAX(0,D257-H257)</f>
        <v/>
      </c>
      <c r="J257" s="15">
        <f>IF(A257="","",IF(D257=0,0,MIN(1,I257/D257)))</f>
        <v/>
      </c>
      <c r="K257" s="15">
        <f>IF(A257="","",IF(OR(I257=0,C257=0),0,MIN(1,E257/((I257/60)*C257))))</f>
        <v/>
      </c>
      <c r="L257" s="15">
        <f>IF(A257="","",IF(E257=0,0,MIN(1,MAX(0,G257/E257))))</f>
        <v/>
      </c>
      <c r="M257" s="15">
        <f>IF(A257="","",J257*K257*L257)</f>
        <v/>
      </c>
    </row>
    <row r="258">
      <c r="A258" s="11">
        <f>Machines!A258</f>
        <v/>
      </c>
      <c r="B258" s="11">
        <f>Machines!B258</f>
        <v/>
      </c>
      <c r="C258" s="11">
        <f>IF(A258="","",Machines!D258)</f>
        <v/>
      </c>
      <c r="D258" s="11">
        <f>SUMIFS(WorkOrders!$M$2:$M$500,WorkOrders!$C$2:$C$500,A258)</f>
        <v/>
      </c>
      <c r="E258" s="11">
        <f>SUMIFS(WorkOrders!$E$2:$E$500,WorkOrders!$C$2:$C$500,A258)</f>
        <v/>
      </c>
      <c r="F258" s="11">
        <f>SUMIFS(WorkOrders!$F$2:$F$500,WorkOrders!$C$2:$C$500,A258)</f>
        <v/>
      </c>
      <c r="G258" s="11">
        <f>E258-F258</f>
        <v/>
      </c>
      <c r="H258" s="11">
        <f>SUMIFS(Downtime!$G$2:$G$500,Downtime!$A$2:$A$500,A258)</f>
        <v/>
      </c>
      <c r="I258" s="11">
        <f>MAX(0,D258-H258)</f>
        <v/>
      </c>
      <c r="J258" s="15">
        <f>IF(A258="","",IF(D258=0,0,MIN(1,I258/D258)))</f>
        <v/>
      </c>
      <c r="K258" s="15">
        <f>IF(A258="","",IF(OR(I258=0,C258=0),0,MIN(1,E258/((I258/60)*C258))))</f>
        <v/>
      </c>
      <c r="L258" s="15">
        <f>IF(A258="","",IF(E258=0,0,MIN(1,MAX(0,G258/E258))))</f>
        <v/>
      </c>
      <c r="M258" s="15">
        <f>IF(A258="","",J258*K258*L258)</f>
        <v/>
      </c>
    </row>
    <row r="259">
      <c r="A259" s="11">
        <f>Machines!A259</f>
        <v/>
      </c>
      <c r="B259" s="11">
        <f>Machines!B259</f>
        <v/>
      </c>
      <c r="C259" s="11">
        <f>IF(A259="","",Machines!D259)</f>
        <v/>
      </c>
      <c r="D259" s="11">
        <f>SUMIFS(WorkOrders!$M$2:$M$500,WorkOrders!$C$2:$C$500,A259)</f>
        <v/>
      </c>
      <c r="E259" s="11">
        <f>SUMIFS(WorkOrders!$E$2:$E$500,WorkOrders!$C$2:$C$500,A259)</f>
        <v/>
      </c>
      <c r="F259" s="11">
        <f>SUMIFS(WorkOrders!$F$2:$F$500,WorkOrders!$C$2:$C$500,A259)</f>
        <v/>
      </c>
      <c r="G259" s="11">
        <f>E259-F259</f>
        <v/>
      </c>
      <c r="H259" s="11">
        <f>SUMIFS(Downtime!$G$2:$G$500,Downtime!$A$2:$A$500,A259)</f>
        <v/>
      </c>
      <c r="I259" s="11">
        <f>MAX(0,D259-H259)</f>
        <v/>
      </c>
      <c r="J259" s="15">
        <f>IF(A259="","",IF(D259=0,0,MIN(1,I259/D259)))</f>
        <v/>
      </c>
      <c r="K259" s="15">
        <f>IF(A259="","",IF(OR(I259=0,C259=0),0,MIN(1,E259/((I259/60)*C259))))</f>
        <v/>
      </c>
      <c r="L259" s="15">
        <f>IF(A259="","",IF(E259=0,0,MIN(1,MAX(0,G259/E259))))</f>
        <v/>
      </c>
      <c r="M259" s="15">
        <f>IF(A259="","",J259*K259*L259)</f>
        <v/>
      </c>
    </row>
    <row r="260">
      <c r="A260" s="11">
        <f>Machines!A260</f>
        <v/>
      </c>
      <c r="B260" s="11">
        <f>Machines!B260</f>
        <v/>
      </c>
      <c r="C260" s="11">
        <f>IF(A260="","",Machines!D260)</f>
        <v/>
      </c>
      <c r="D260" s="11">
        <f>SUMIFS(WorkOrders!$M$2:$M$500,WorkOrders!$C$2:$C$500,A260)</f>
        <v/>
      </c>
      <c r="E260" s="11">
        <f>SUMIFS(WorkOrders!$E$2:$E$500,WorkOrders!$C$2:$C$500,A260)</f>
        <v/>
      </c>
      <c r="F260" s="11">
        <f>SUMIFS(WorkOrders!$F$2:$F$500,WorkOrders!$C$2:$C$500,A260)</f>
        <v/>
      </c>
      <c r="G260" s="11">
        <f>E260-F260</f>
        <v/>
      </c>
      <c r="H260" s="11">
        <f>SUMIFS(Downtime!$G$2:$G$500,Downtime!$A$2:$A$500,A260)</f>
        <v/>
      </c>
      <c r="I260" s="11">
        <f>MAX(0,D260-H260)</f>
        <v/>
      </c>
      <c r="J260" s="15">
        <f>IF(A260="","",IF(D260=0,0,MIN(1,I260/D260)))</f>
        <v/>
      </c>
      <c r="K260" s="15">
        <f>IF(A260="","",IF(OR(I260=0,C260=0),0,MIN(1,E260/((I260/60)*C260))))</f>
        <v/>
      </c>
      <c r="L260" s="15">
        <f>IF(A260="","",IF(E260=0,0,MIN(1,MAX(0,G260/E260))))</f>
        <v/>
      </c>
      <c r="M260" s="15">
        <f>IF(A260="","",J260*K260*L260)</f>
        <v/>
      </c>
    </row>
    <row r="261">
      <c r="A261" s="11">
        <f>Machines!A261</f>
        <v/>
      </c>
      <c r="B261" s="11">
        <f>Machines!B261</f>
        <v/>
      </c>
      <c r="C261" s="11">
        <f>IF(A261="","",Machines!D261)</f>
        <v/>
      </c>
      <c r="D261" s="11">
        <f>SUMIFS(WorkOrders!$M$2:$M$500,WorkOrders!$C$2:$C$500,A261)</f>
        <v/>
      </c>
      <c r="E261" s="11">
        <f>SUMIFS(WorkOrders!$E$2:$E$500,WorkOrders!$C$2:$C$500,A261)</f>
        <v/>
      </c>
      <c r="F261" s="11">
        <f>SUMIFS(WorkOrders!$F$2:$F$500,WorkOrders!$C$2:$C$500,A261)</f>
        <v/>
      </c>
      <c r="G261" s="11">
        <f>E261-F261</f>
        <v/>
      </c>
      <c r="H261" s="11">
        <f>SUMIFS(Downtime!$G$2:$G$500,Downtime!$A$2:$A$500,A261)</f>
        <v/>
      </c>
      <c r="I261" s="11">
        <f>MAX(0,D261-H261)</f>
        <v/>
      </c>
      <c r="J261" s="15">
        <f>IF(A261="","",IF(D261=0,0,MIN(1,I261/D261)))</f>
        <v/>
      </c>
      <c r="K261" s="15">
        <f>IF(A261="","",IF(OR(I261=0,C261=0),0,MIN(1,E261/((I261/60)*C261))))</f>
        <v/>
      </c>
      <c r="L261" s="15">
        <f>IF(A261="","",IF(E261=0,0,MIN(1,MAX(0,G261/E261))))</f>
        <v/>
      </c>
      <c r="M261" s="15">
        <f>IF(A261="","",J261*K261*L261)</f>
        <v/>
      </c>
    </row>
    <row r="262">
      <c r="A262" s="11">
        <f>Machines!A262</f>
        <v/>
      </c>
      <c r="B262" s="11">
        <f>Machines!B262</f>
        <v/>
      </c>
      <c r="C262" s="11">
        <f>IF(A262="","",Machines!D262)</f>
        <v/>
      </c>
      <c r="D262" s="11">
        <f>SUMIFS(WorkOrders!$M$2:$M$500,WorkOrders!$C$2:$C$500,A262)</f>
        <v/>
      </c>
      <c r="E262" s="11">
        <f>SUMIFS(WorkOrders!$E$2:$E$500,WorkOrders!$C$2:$C$500,A262)</f>
        <v/>
      </c>
      <c r="F262" s="11">
        <f>SUMIFS(WorkOrders!$F$2:$F$500,WorkOrders!$C$2:$C$500,A262)</f>
        <v/>
      </c>
      <c r="G262" s="11">
        <f>E262-F262</f>
        <v/>
      </c>
      <c r="H262" s="11">
        <f>SUMIFS(Downtime!$G$2:$G$500,Downtime!$A$2:$A$500,A262)</f>
        <v/>
      </c>
      <c r="I262" s="11">
        <f>MAX(0,D262-H262)</f>
        <v/>
      </c>
      <c r="J262" s="15">
        <f>IF(A262="","",IF(D262=0,0,MIN(1,I262/D262)))</f>
        <v/>
      </c>
      <c r="K262" s="15">
        <f>IF(A262="","",IF(OR(I262=0,C262=0),0,MIN(1,E262/((I262/60)*C262))))</f>
        <v/>
      </c>
      <c r="L262" s="15">
        <f>IF(A262="","",IF(E262=0,0,MIN(1,MAX(0,G262/E262))))</f>
        <v/>
      </c>
      <c r="M262" s="15">
        <f>IF(A262="","",J262*K262*L262)</f>
        <v/>
      </c>
    </row>
    <row r="263">
      <c r="A263" s="11">
        <f>Machines!A263</f>
        <v/>
      </c>
      <c r="B263" s="11">
        <f>Machines!B263</f>
        <v/>
      </c>
      <c r="C263" s="11">
        <f>IF(A263="","",Machines!D263)</f>
        <v/>
      </c>
      <c r="D263" s="11">
        <f>SUMIFS(WorkOrders!$M$2:$M$500,WorkOrders!$C$2:$C$500,A263)</f>
        <v/>
      </c>
      <c r="E263" s="11">
        <f>SUMIFS(WorkOrders!$E$2:$E$500,WorkOrders!$C$2:$C$500,A263)</f>
        <v/>
      </c>
      <c r="F263" s="11">
        <f>SUMIFS(WorkOrders!$F$2:$F$500,WorkOrders!$C$2:$C$500,A263)</f>
        <v/>
      </c>
      <c r="G263" s="11">
        <f>E263-F263</f>
        <v/>
      </c>
      <c r="H263" s="11">
        <f>SUMIFS(Downtime!$G$2:$G$500,Downtime!$A$2:$A$500,A263)</f>
        <v/>
      </c>
      <c r="I263" s="11">
        <f>MAX(0,D263-H263)</f>
        <v/>
      </c>
      <c r="J263" s="15">
        <f>IF(A263="","",IF(D263=0,0,MIN(1,I263/D263)))</f>
        <v/>
      </c>
      <c r="K263" s="15">
        <f>IF(A263="","",IF(OR(I263=0,C263=0),0,MIN(1,E263/((I263/60)*C263))))</f>
        <v/>
      </c>
      <c r="L263" s="15">
        <f>IF(A263="","",IF(E263=0,0,MIN(1,MAX(0,G263/E263))))</f>
        <v/>
      </c>
      <c r="M263" s="15">
        <f>IF(A263="","",J263*K263*L263)</f>
        <v/>
      </c>
    </row>
    <row r="264">
      <c r="A264" s="11">
        <f>Machines!A264</f>
        <v/>
      </c>
      <c r="B264" s="11">
        <f>Machines!B264</f>
        <v/>
      </c>
      <c r="C264" s="11">
        <f>IF(A264="","",Machines!D264)</f>
        <v/>
      </c>
      <c r="D264" s="11">
        <f>SUMIFS(WorkOrders!$M$2:$M$500,WorkOrders!$C$2:$C$500,A264)</f>
        <v/>
      </c>
      <c r="E264" s="11">
        <f>SUMIFS(WorkOrders!$E$2:$E$500,WorkOrders!$C$2:$C$500,A264)</f>
        <v/>
      </c>
      <c r="F264" s="11">
        <f>SUMIFS(WorkOrders!$F$2:$F$500,WorkOrders!$C$2:$C$500,A264)</f>
        <v/>
      </c>
      <c r="G264" s="11">
        <f>E264-F264</f>
        <v/>
      </c>
      <c r="H264" s="11">
        <f>SUMIFS(Downtime!$G$2:$G$500,Downtime!$A$2:$A$500,A264)</f>
        <v/>
      </c>
      <c r="I264" s="11">
        <f>MAX(0,D264-H264)</f>
        <v/>
      </c>
      <c r="J264" s="15">
        <f>IF(A264="","",IF(D264=0,0,MIN(1,I264/D264)))</f>
        <v/>
      </c>
      <c r="K264" s="15">
        <f>IF(A264="","",IF(OR(I264=0,C264=0),0,MIN(1,E264/((I264/60)*C264))))</f>
        <v/>
      </c>
      <c r="L264" s="15">
        <f>IF(A264="","",IF(E264=0,0,MIN(1,MAX(0,G264/E264))))</f>
        <v/>
      </c>
      <c r="M264" s="15">
        <f>IF(A264="","",J264*K264*L264)</f>
        <v/>
      </c>
    </row>
    <row r="265">
      <c r="A265" s="11">
        <f>Machines!A265</f>
        <v/>
      </c>
      <c r="B265" s="11">
        <f>Machines!B265</f>
        <v/>
      </c>
      <c r="C265" s="11">
        <f>IF(A265="","",Machines!D265)</f>
        <v/>
      </c>
      <c r="D265" s="11">
        <f>SUMIFS(WorkOrders!$M$2:$M$500,WorkOrders!$C$2:$C$500,A265)</f>
        <v/>
      </c>
      <c r="E265" s="11">
        <f>SUMIFS(WorkOrders!$E$2:$E$500,WorkOrders!$C$2:$C$500,A265)</f>
        <v/>
      </c>
      <c r="F265" s="11">
        <f>SUMIFS(WorkOrders!$F$2:$F$500,WorkOrders!$C$2:$C$500,A265)</f>
        <v/>
      </c>
      <c r="G265" s="11">
        <f>E265-F265</f>
        <v/>
      </c>
      <c r="H265" s="11">
        <f>SUMIFS(Downtime!$G$2:$G$500,Downtime!$A$2:$A$500,A265)</f>
        <v/>
      </c>
      <c r="I265" s="11">
        <f>MAX(0,D265-H265)</f>
        <v/>
      </c>
      <c r="J265" s="15">
        <f>IF(A265="","",IF(D265=0,0,MIN(1,I265/D265)))</f>
        <v/>
      </c>
      <c r="K265" s="15">
        <f>IF(A265="","",IF(OR(I265=0,C265=0),0,MIN(1,E265/((I265/60)*C265))))</f>
        <v/>
      </c>
      <c r="L265" s="15">
        <f>IF(A265="","",IF(E265=0,0,MIN(1,MAX(0,G265/E265))))</f>
        <v/>
      </c>
      <c r="M265" s="15">
        <f>IF(A265="","",J265*K265*L265)</f>
        <v/>
      </c>
    </row>
    <row r="266">
      <c r="A266" s="11">
        <f>Machines!A266</f>
        <v/>
      </c>
      <c r="B266" s="11">
        <f>Machines!B266</f>
        <v/>
      </c>
      <c r="C266" s="11">
        <f>IF(A266="","",Machines!D266)</f>
        <v/>
      </c>
      <c r="D266" s="11">
        <f>SUMIFS(WorkOrders!$M$2:$M$500,WorkOrders!$C$2:$C$500,A266)</f>
        <v/>
      </c>
      <c r="E266" s="11">
        <f>SUMIFS(WorkOrders!$E$2:$E$500,WorkOrders!$C$2:$C$500,A266)</f>
        <v/>
      </c>
      <c r="F266" s="11">
        <f>SUMIFS(WorkOrders!$F$2:$F$500,WorkOrders!$C$2:$C$500,A266)</f>
        <v/>
      </c>
      <c r="G266" s="11">
        <f>E266-F266</f>
        <v/>
      </c>
      <c r="H266" s="11">
        <f>SUMIFS(Downtime!$G$2:$G$500,Downtime!$A$2:$A$500,A266)</f>
        <v/>
      </c>
      <c r="I266" s="11">
        <f>MAX(0,D266-H266)</f>
        <v/>
      </c>
      <c r="J266" s="15">
        <f>IF(A266="","",IF(D266=0,0,MIN(1,I266/D266)))</f>
        <v/>
      </c>
      <c r="K266" s="15">
        <f>IF(A266="","",IF(OR(I266=0,C266=0),0,MIN(1,E266/((I266/60)*C266))))</f>
        <v/>
      </c>
      <c r="L266" s="15">
        <f>IF(A266="","",IF(E266=0,0,MIN(1,MAX(0,G266/E266))))</f>
        <v/>
      </c>
      <c r="M266" s="15">
        <f>IF(A266="","",J266*K266*L266)</f>
        <v/>
      </c>
    </row>
    <row r="267">
      <c r="A267" s="11">
        <f>Machines!A267</f>
        <v/>
      </c>
      <c r="B267" s="11">
        <f>Machines!B267</f>
        <v/>
      </c>
      <c r="C267" s="11">
        <f>IF(A267="","",Machines!D267)</f>
        <v/>
      </c>
      <c r="D267" s="11">
        <f>SUMIFS(WorkOrders!$M$2:$M$500,WorkOrders!$C$2:$C$500,A267)</f>
        <v/>
      </c>
      <c r="E267" s="11">
        <f>SUMIFS(WorkOrders!$E$2:$E$500,WorkOrders!$C$2:$C$500,A267)</f>
        <v/>
      </c>
      <c r="F267" s="11">
        <f>SUMIFS(WorkOrders!$F$2:$F$500,WorkOrders!$C$2:$C$500,A267)</f>
        <v/>
      </c>
      <c r="G267" s="11">
        <f>E267-F267</f>
        <v/>
      </c>
      <c r="H267" s="11">
        <f>SUMIFS(Downtime!$G$2:$G$500,Downtime!$A$2:$A$500,A267)</f>
        <v/>
      </c>
      <c r="I267" s="11">
        <f>MAX(0,D267-H267)</f>
        <v/>
      </c>
      <c r="J267" s="15">
        <f>IF(A267="","",IF(D267=0,0,MIN(1,I267/D267)))</f>
        <v/>
      </c>
      <c r="K267" s="15">
        <f>IF(A267="","",IF(OR(I267=0,C267=0),0,MIN(1,E267/((I267/60)*C267))))</f>
        <v/>
      </c>
      <c r="L267" s="15">
        <f>IF(A267="","",IF(E267=0,0,MIN(1,MAX(0,G267/E267))))</f>
        <v/>
      </c>
      <c r="M267" s="15">
        <f>IF(A267="","",J267*K267*L267)</f>
        <v/>
      </c>
    </row>
    <row r="268">
      <c r="A268" s="11">
        <f>Machines!A268</f>
        <v/>
      </c>
      <c r="B268" s="11">
        <f>Machines!B268</f>
        <v/>
      </c>
      <c r="C268" s="11">
        <f>IF(A268="","",Machines!D268)</f>
        <v/>
      </c>
      <c r="D268" s="11">
        <f>SUMIFS(WorkOrders!$M$2:$M$500,WorkOrders!$C$2:$C$500,A268)</f>
        <v/>
      </c>
      <c r="E268" s="11">
        <f>SUMIFS(WorkOrders!$E$2:$E$500,WorkOrders!$C$2:$C$500,A268)</f>
        <v/>
      </c>
      <c r="F268" s="11">
        <f>SUMIFS(WorkOrders!$F$2:$F$500,WorkOrders!$C$2:$C$500,A268)</f>
        <v/>
      </c>
      <c r="G268" s="11">
        <f>E268-F268</f>
        <v/>
      </c>
      <c r="H268" s="11">
        <f>SUMIFS(Downtime!$G$2:$G$500,Downtime!$A$2:$A$500,A268)</f>
        <v/>
      </c>
      <c r="I268" s="11">
        <f>MAX(0,D268-H268)</f>
        <v/>
      </c>
      <c r="J268" s="15">
        <f>IF(A268="","",IF(D268=0,0,MIN(1,I268/D268)))</f>
        <v/>
      </c>
      <c r="K268" s="15">
        <f>IF(A268="","",IF(OR(I268=0,C268=0),0,MIN(1,E268/((I268/60)*C268))))</f>
        <v/>
      </c>
      <c r="L268" s="15">
        <f>IF(A268="","",IF(E268=0,0,MIN(1,MAX(0,G268/E268))))</f>
        <v/>
      </c>
      <c r="M268" s="15">
        <f>IF(A268="","",J268*K268*L268)</f>
        <v/>
      </c>
    </row>
    <row r="269">
      <c r="A269" s="11">
        <f>Machines!A269</f>
        <v/>
      </c>
      <c r="B269" s="11">
        <f>Machines!B269</f>
        <v/>
      </c>
      <c r="C269" s="11">
        <f>IF(A269="","",Machines!D269)</f>
        <v/>
      </c>
      <c r="D269" s="11">
        <f>SUMIFS(WorkOrders!$M$2:$M$500,WorkOrders!$C$2:$C$500,A269)</f>
        <v/>
      </c>
      <c r="E269" s="11">
        <f>SUMIFS(WorkOrders!$E$2:$E$500,WorkOrders!$C$2:$C$500,A269)</f>
        <v/>
      </c>
      <c r="F269" s="11">
        <f>SUMIFS(WorkOrders!$F$2:$F$500,WorkOrders!$C$2:$C$500,A269)</f>
        <v/>
      </c>
      <c r="G269" s="11">
        <f>E269-F269</f>
        <v/>
      </c>
      <c r="H269" s="11">
        <f>SUMIFS(Downtime!$G$2:$G$500,Downtime!$A$2:$A$500,A269)</f>
        <v/>
      </c>
      <c r="I269" s="11">
        <f>MAX(0,D269-H269)</f>
        <v/>
      </c>
      <c r="J269" s="15">
        <f>IF(A269="","",IF(D269=0,0,MIN(1,I269/D269)))</f>
        <v/>
      </c>
      <c r="K269" s="15">
        <f>IF(A269="","",IF(OR(I269=0,C269=0),0,MIN(1,E269/((I269/60)*C269))))</f>
        <v/>
      </c>
      <c r="L269" s="15">
        <f>IF(A269="","",IF(E269=0,0,MIN(1,MAX(0,G269/E269))))</f>
        <v/>
      </c>
      <c r="M269" s="15">
        <f>IF(A269="","",J269*K269*L269)</f>
        <v/>
      </c>
    </row>
    <row r="270">
      <c r="A270" s="11">
        <f>Machines!A270</f>
        <v/>
      </c>
      <c r="B270" s="11">
        <f>Machines!B270</f>
        <v/>
      </c>
      <c r="C270" s="11">
        <f>IF(A270="","",Machines!D270)</f>
        <v/>
      </c>
      <c r="D270" s="11">
        <f>SUMIFS(WorkOrders!$M$2:$M$500,WorkOrders!$C$2:$C$500,A270)</f>
        <v/>
      </c>
      <c r="E270" s="11">
        <f>SUMIFS(WorkOrders!$E$2:$E$500,WorkOrders!$C$2:$C$500,A270)</f>
        <v/>
      </c>
      <c r="F270" s="11">
        <f>SUMIFS(WorkOrders!$F$2:$F$500,WorkOrders!$C$2:$C$500,A270)</f>
        <v/>
      </c>
      <c r="G270" s="11">
        <f>E270-F270</f>
        <v/>
      </c>
      <c r="H270" s="11">
        <f>SUMIFS(Downtime!$G$2:$G$500,Downtime!$A$2:$A$500,A270)</f>
        <v/>
      </c>
      <c r="I270" s="11">
        <f>MAX(0,D270-H270)</f>
        <v/>
      </c>
      <c r="J270" s="15">
        <f>IF(A270="","",IF(D270=0,0,MIN(1,I270/D270)))</f>
        <v/>
      </c>
      <c r="K270" s="15">
        <f>IF(A270="","",IF(OR(I270=0,C270=0),0,MIN(1,E270/((I270/60)*C270))))</f>
        <v/>
      </c>
      <c r="L270" s="15">
        <f>IF(A270="","",IF(E270=0,0,MIN(1,MAX(0,G270/E270))))</f>
        <v/>
      </c>
      <c r="M270" s="15">
        <f>IF(A270="","",J270*K270*L270)</f>
        <v/>
      </c>
    </row>
    <row r="271">
      <c r="A271" s="11">
        <f>Machines!A271</f>
        <v/>
      </c>
      <c r="B271" s="11">
        <f>Machines!B271</f>
        <v/>
      </c>
      <c r="C271" s="11">
        <f>IF(A271="","",Machines!D271)</f>
        <v/>
      </c>
      <c r="D271" s="11">
        <f>SUMIFS(WorkOrders!$M$2:$M$500,WorkOrders!$C$2:$C$500,A271)</f>
        <v/>
      </c>
      <c r="E271" s="11">
        <f>SUMIFS(WorkOrders!$E$2:$E$500,WorkOrders!$C$2:$C$500,A271)</f>
        <v/>
      </c>
      <c r="F271" s="11">
        <f>SUMIFS(WorkOrders!$F$2:$F$500,WorkOrders!$C$2:$C$500,A271)</f>
        <v/>
      </c>
      <c r="G271" s="11">
        <f>E271-F271</f>
        <v/>
      </c>
      <c r="H271" s="11">
        <f>SUMIFS(Downtime!$G$2:$G$500,Downtime!$A$2:$A$500,A271)</f>
        <v/>
      </c>
      <c r="I271" s="11">
        <f>MAX(0,D271-H271)</f>
        <v/>
      </c>
      <c r="J271" s="15">
        <f>IF(A271="","",IF(D271=0,0,MIN(1,I271/D271)))</f>
        <v/>
      </c>
      <c r="K271" s="15">
        <f>IF(A271="","",IF(OR(I271=0,C271=0),0,MIN(1,E271/((I271/60)*C271))))</f>
        <v/>
      </c>
      <c r="L271" s="15">
        <f>IF(A271="","",IF(E271=0,0,MIN(1,MAX(0,G271/E271))))</f>
        <v/>
      </c>
      <c r="M271" s="15">
        <f>IF(A271="","",J271*K271*L271)</f>
        <v/>
      </c>
    </row>
    <row r="272">
      <c r="A272" s="11">
        <f>Machines!A272</f>
        <v/>
      </c>
      <c r="B272" s="11">
        <f>Machines!B272</f>
        <v/>
      </c>
      <c r="C272" s="11">
        <f>IF(A272="","",Machines!D272)</f>
        <v/>
      </c>
      <c r="D272" s="11">
        <f>SUMIFS(WorkOrders!$M$2:$M$500,WorkOrders!$C$2:$C$500,A272)</f>
        <v/>
      </c>
      <c r="E272" s="11">
        <f>SUMIFS(WorkOrders!$E$2:$E$500,WorkOrders!$C$2:$C$500,A272)</f>
        <v/>
      </c>
      <c r="F272" s="11">
        <f>SUMIFS(WorkOrders!$F$2:$F$500,WorkOrders!$C$2:$C$500,A272)</f>
        <v/>
      </c>
      <c r="G272" s="11">
        <f>E272-F272</f>
        <v/>
      </c>
      <c r="H272" s="11">
        <f>SUMIFS(Downtime!$G$2:$G$500,Downtime!$A$2:$A$500,A272)</f>
        <v/>
      </c>
      <c r="I272" s="11">
        <f>MAX(0,D272-H272)</f>
        <v/>
      </c>
      <c r="J272" s="15">
        <f>IF(A272="","",IF(D272=0,0,MIN(1,I272/D272)))</f>
        <v/>
      </c>
      <c r="K272" s="15">
        <f>IF(A272="","",IF(OR(I272=0,C272=0),0,MIN(1,E272/((I272/60)*C272))))</f>
        <v/>
      </c>
      <c r="L272" s="15">
        <f>IF(A272="","",IF(E272=0,0,MIN(1,MAX(0,G272/E272))))</f>
        <v/>
      </c>
      <c r="M272" s="15">
        <f>IF(A272="","",J272*K272*L272)</f>
        <v/>
      </c>
    </row>
    <row r="273">
      <c r="A273" s="11">
        <f>Machines!A273</f>
        <v/>
      </c>
      <c r="B273" s="11">
        <f>Machines!B273</f>
        <v/>
      </c>
      <c r="C273" s="11">
        <f>IF(A273="","",Machines!D273)</f>
        <v/>
      </c>
      <c r="D273" s="11">
        <f>SUMIFS(WorkOrders!$M$2:$M$500,WorkOrders!$C$2:$C$500,A273)</f>
        <v/>
      </c>
      <c r="E273" s="11">
        <f>SUMIFS(WorkOrders!$E$2:$E$500,WorkOrders!$C$2:$C$500,A273)</f>
        <v/>
      </c>
      <c r="F273" s="11">
        <f>SUMIFS(WorkOrders!$F$2:$F$500,WorkOrders!$C$2:$C$500,A273)</f>
        <v/>
      </c>
      <c r="G273" s="11">
        <f>E273-F273</f>
        <v/>
      </c>
      <c r="H273" s="11">
        <f>SUMIFS(Downtime!$G$2:$G$500,Downtime!$A$2:$A$500,A273)</f>
        <v/>
      </c>
      <c r="I273" s="11">
        <f>MAX(0,D273-H273)</f>
        <v/>
      </c>
      <c r="J273" s="15">
        <f>IF(A273="","",IF(D273=0,0,MIN(1,I273/D273)))</f>
        <v/>
      </c>
      <c r="K273" s="15">
        <f>IF(A273="","",IF(OR(I273=0,C273=0),0,MIN(1,E273/((I273/60)*C273))))</f>
        <v/>
      </c>
      <c r="L273" s="15">
        <f>IF(A273="","",IF(E273=0,0,MIN(1,MAX(0,G273/E273))))</f>
        <v/>
      </c>
      <c r="M273" s="15">
        <f>IF(A273="","",J273*K273*L273)</f>
        <v/>
      </c>
    </row>
    <row r="274">
      <c r="A274" s="11">
        <f>Machines!A274</f>
        <v/>
      </c>
      <c r="B274" s="11">
        <f>Machines!B274</f>
        <v/>
      </c>
      <c r="C274" s="11">
        <f>IF(A274="","",Machines!D274)</f>
        <v/>
      </c>
      <c r="D274" s="11">
        <f>SUMIFS(WorkOrders!$M$2:$M$500,WorkOrders!$C$2:$C$500,A274)</f>
        <v/>
      </c>
      <c r="E274" s="11">
        <f>SUMIFS(WorkOrders!$E$2:$E$500,WorkOrders!$C$2:$C$500,A274)</f>
        <v/>
      </c>
      <c r="F274" s="11">
        <f>SUMIFS(WorkOrders!$F$2:$F$500,WorkOrders!$C$2:$C$500,A274)</f>
        <v/>
      </c>
      <c r="G274" s="11">
        <f>E274-F274</f>
        <v/>
      </c>
      <c r="H274" s="11">
        <f>SUMIFS(Downtime!$G$2:$G$500,Downtime!$A$2:$A$500,A274)</f>
        <v/>
      </c>
      <c r="I274" s="11">
        <f>MAX(0,D274-H274)</f>
        <v/>
      </c>
      <c r="J274" s="15">
        <f>IF(A274="","",IF(D274=0,0,MIN(1,I274/D274)))</f>
        <v/>
      </c>
      <c r="K274" s="15">
        <f>IF(A274="","",IF(OR(I274=0,C274=0),0,MIN(1,E274/((I274/60)*C274))))</f>
        <v/>
      </c>
      <c r="L274" s="15">
        <f>IF(A274="","",IF(E274=0,0,MIN(1,MAX(0,G274/E274))))</f>
        <v/>
      </c>
      <c r="M274" s="15">
        <f>IF(A274="","",J274*K274*L274)</f>
        <v/>
      </c>
    </row>
    <row r="275">
      <c r="A275" s="11">
        <f>Machines!A275</f>
        <v/>
      </c>
      <c r="B275" s="11">
        <f>Machines!B275</f>
        <v/>
      </c>
      <c r="C275" s="11">
        <f>IF(A275="","",Machines!D275)</f>
        <v/>
      </c>
      <c r="D275" s="11">
        <f>SUMIFS(WorkOrders!$M$2:$M$500,WorkOrders!$C$2:$C$500,A275)</f>
        <v/>
      </c>
      <c r="E275" s="11">
        <f>SUMIFS(WorkOrders!$E$2:$E$500,WorkOrders!$C$2:$C$500,A275)</f>
        <v/>
      </c>
      <c r="F275" s="11">
        <f>SUMIFS(WorkOrders!$F$2:$F$500,WorkOrders!$C$2:$C$500,A275)</f>
        <v/>
      </c>
      <c r="G275" s="11">
        <f>E275-F275</f>
        <v/>
      </c>
      <c r="H275" s="11">
        <f>SUMIFS(Downtime!$G$2:$G$500,Downtime!$A$2:$A$500,A275)</f>
        <v/>
      </c>
      <c r="I275" s="11">
        <f>MAX(0,D275-H275)</f>
        <v/>
      </c>
      <c r="J275" s="15">
        <f>IF(A275="","",IF(D275=0,0,MIN(1,I275/D275)))</f>
        <v/>
      </c>
      <c r="K275" s="15">
        <f>IF(A275="","",IF(OR(I275=0,C275=0),0,MIN(1,E275/((I275/60)*C275))))</f>
        <v/>
      </c>
      <c r="L275" s="15">
        <f>IF(A275="","",IF(E275=0,0,MIN(1,MAX(0,G275/E275))))</f>
        <v/>
      </c>
      <c r="M275" s="15">
        <f>IF(A275="","",J275*K275*L275)</f>
        <v/>
      </c>
    </row>
    <row r="276">
      <c r="A276" s="11">
        <f>Machines!A276</f>
        <v/>
      </c>
      <c r="B276" s="11">
        <f>Machines!B276</f>
        <v/>
      </c>
      <c r="C276" s="11">
        <f>IF(A276="","",Machines!D276)</f>
        <v/>
      </c>
      <c r="D276" s="11">
        <f>SUMIFS(WorkOrders!$M$2:$M$500,WorkOrders!$C$2:$C$500,A276)</f>
        <v/>
      </c>
      <c r="E276" s="11">
        <f>SUMIFS(WorkOrders!$E$2:$E$500,WorkOrders!$C$2:$C$500,A276)</f>
        <v/>
      </c>
      <c r="F276" s="11">
        <f>SUMIFS(WorkOrders!$F$2:$F$500,WorkOrders!$C$2:$C$500,A276)</f>
        <v/>
      </c>
      <c r="G276" s="11">
        <f>E276-F276</f>
        <v/>
      </c>
      <c r="H276" s="11">
        <f>SUMIFS(Downtime!$G$2:$G$500,Downtime!$A$2:$A$500,A276)</f>
        <v/>
      </c>
      <c r="I276" s="11">
        <f>MAX(0,D276-H276)</f>
        <v/>
      </c>
      <c r="J276" s="15">
        <f>IF(A276="","",IF(D276=0,0,MIN(1,I276/D276)))</f>
        <v/>
      </c>
      <c r="K276" s="15">
        <f>IF(A276="","",IF(OR(I276=0,C276=0),0,MIN(1,E276/((I276/60)*C276))))</f>
        <v/>
      </c>
      <c r="L276" s="15">
        <f>IF(A276="","",IF(E276=0,0,MIN(1,MAX(0,G276/E276))))</f>
        <v/>
      </c>
      <c r="M276" s="15">
        <f>IF(A276="","",J276*K276*L276)</f>
        <v/>
      </c>
    </row>
    <row r="277">
      <c r="A277" s="11">
        <f>Machines!A277</f>
        <v/>
      </c>
      <c r="B277" s="11">
        <f>Machines!B277</f>
        <v/>
      </c>
      <c r="C277" s="11">
        <f>IF(A277="","",Machines!D277)</f>
        <v/>
      </c>
      <c r="D277" s="11">
        <f>SUMIFS(WorkOrders!$M$2:$M$500,WorkOrders!$C$2:$C$500,A277)</f>
        <v/>
      </c>
      <c r="E277" s="11">
        <f>SUMIFS(WorkOrders!$E$2:$E$500,WorkOrders!$C$2:$C$500,A277)</f>
        <v/>
      </c>
      <c r="F277" s="11">
        <f>SUMIFS(WorkOrders!$F$2:$F$500,WorkOrders!$C$2:$C$500,A277)</f>
        <v/>
      </c>
      <c r="G277" s="11">
        <f>E277-F277</f>
        <v/>
      </c>
      <c r="H277" s="11">
        <f>SUMIFS(Downtime!$G$2:$G$500,Downtime!$A$2:$A$500,A277)</f>
        <v/>
      </c>
      <c r="I277" s="11">
        <f>MAX(0,D277-H277)</f>
        <v/>
      </c>
      <c r="J277" s="15">
        <f>IF(A277="","",IF(D277=0,0,MIN(1,I277/D277)))</f>
        <v/>
      </c>
      <c r="K277" s="15">
        <f>IF(A277="","",IF(OR(I277=0,C277=0),0,MIN(1,E277/((I277/60)*C277))))</f>
        <v/>
      </c>
      <c r="L277" s="15">
        <f>IF(A277="","",IF(E277=0,0,MIN(1,MAX(0,G277/E277))))</f>
        <v/>
      </c>
      <c r="M277" s="15">
        <f>IF(A277="","",J277*K277*L277)</f>
        <v/>
      </c>
    </row>
    <row r="278">
      <c r="A278" s="11">
        <f>Machines!A278</f>
        <v/>
      </c>
      <c r="B278" s="11">
        <f>Machines!B278</f>
        <v/>
      </c>
      <c r="C278" s="11">
        <f>IF(A278="","",Machines!D278)</f>
        <v/>
      </c>
      <c r="D278" s="11">
        <f>SUMIFS(WorkOrders!$M$2:$M$500,WorkOrders!$C$2:$C$500,A278)</f>
        <v/>
      </c>
      <c r="E278" s="11">
        <f>SUMIFS(WorkOrders!$E$2:$E$500,WorkOrders!$C$2:$C$500,A278)</f>
        <v/>
      </c>
      <c r="F278" s="11">
        <f>SUMIFS(WorkOrders!$F$2:$F$500,WorkOrders!$C$2:$C$500,A278)</f>
        <v/>
      </c>
      <c r="G278" s="11">
        <f>E278-F278</f>
        <v/>
      </c>
      <c r="H278" s="11">
        <f>SUMIFS(Downtime!$G$2:$G$500,Downtime!$A$2:$A$500,A278)</f>
        <v/>
      </c>
      <c r="I278" s="11">
        <f>MAX(0,D278-H278)</f>
        <v/>
      </c>
      <c r="J278" s="15">
        <f>IF(A278="","",IF(D278=0,0,MIN(1,I278/D278)))</f>
        <v/>
      </c>
      <c r="K278" s="15">
        <f>IF(A278="","",IF(OR(I278=0,C278=0),0,MIN(1,E278/((I278/60)*C278))))</f>
        <v/>
      </c>
      <c r="L278" s="15">
        <f>IF(A278="","",IF(E278=0,0,MIN(1,MAX(0,G278/E278))))</f>
        <v/>
      </c>
      <c r="M278" s="15">
        <f>IF(A278="","",J278*K278*L278)</f>
        <v/>
      </c>
    </row>
    <row r="279">
      <c r="A279" s="11">
        <f>Machines!A279</f>
        <v/>
      </c>
      <c r="B279" s="11">
        <f>Machines!B279</f>
        <v/>
      </c>
      <c r="C279" s="11">
        <f>IF(A279="","",Machines!D279)</f>
        <v/>
      </c>
      <c r="D279" s="11">
        <f>SUMIFS(WorkOrders!$M$2:$M$500,WorkOrders!$C$2:$C$500,A279)</f>
        <v/>
      </c>
      <c r="E279" s="11">
        <f>SUMIFS(WorkOrders!$E$2:$E$500,WorkOrders!$C$2:$C$500,A279)</f>
        <v/>
      </c>
      <c r="F279" s="11">
        <f>SUMIFS(WorkOrders!$F$2:$F$500,WorkOrders!$C$2:$C$500,A279)</f>
        <v/>
      </c>
      <c r="G279" s="11">
        <f>E279-F279</f>
        <v/>
      </c>
      <c r="H279" s="11">
        <f>SUMIFS(Downtime!$G$2:$G$500,Downtime!$A$2:$A$500,A279)</f>
        <v/>
      </c>
      <c r="I279" s="11">
        <f>MAX(0,D279-H279)</f>
        <v/>
      </c>
      <c r="J279" s="15">
        <f>IF(A279="","",IF(D279=0,0,MIN(1,I279/D279)))</f>
        <v/>
      </c>
      <c r="K279" s="15">
        <f>IF(A279="","",IF(OR(I279=0,C279=0),0,MIN(1,E279/((I279/60)*C279))))</f>
        <v/>
      </c>
      <c r="L279" s="15">
        <f>IF(A279="","",IF(E279=0,0,MIN(1,MAX(0,G279/E279))))</f>
        <v/>
      </c>
      <c r="M279" s="15">
        <f>IF(A279="","",J279*K279*L279)</f>
        <v/>
      </c>
    </row>
    <row r="280">
      <c r="A280" s="11">
        <f>Machines!A280</f>
        <v/>
      </c>
      <c r="B280" s="11">
        <f>Machines!B280</f>
        <v/>
      </c>
      <c r="C280" s="11">
        <f>IF(A280="","",Machines!D280)</f>
        <v/>
      </c>
      <c r="D280" s="11">
        <f>SUMIFS(WorkOrders!$M$2:$M$500,WorkOrders!$C$2:$C$500,A280)</f>
        <v/>
      </c>
      <c r="E280" s="11">
        <f>SUMIFS(WorkOrders!$E$2:$E$500,WorkOrders!$C$2:$C$500,A280)</f>
        <v/>
      </c>
      <c r="F280" s="11">
        <f>SUMIFS(WorkOrders!$F$2:$F$500,WorkOrders!$C$2:$C$500,A280)</f>
        <v/>
      </c>
      <c r="G280" s="11">
        <f>E280-F280</f>
        <v/>
      </c>
      <c r="H280" s="11">
        <f>SUMIFS(Downtime!$G$2:$G$500,Downtime!$A$2:$A$500,A280)</f>
        <v/>
      </c>
      <c r="I280" s="11">
        <f>MAX(0,D280-H280)</f>
        <v/>
      </c>
      <c r="J280" s="15">
        <f>IF(A280="","",IF(D280=0,0,MIN(1,I280/D280)))</f>
        <v/>
      </c>
      <c r="K280" s="15">
        <f>IF(A280="","",IF(OR(I280=0,C280=0),0,MIN(1,E280/((I280/60)*C280))))</f>
        <v/>
      </c>
      <c r="L280" s="15">
        <f>IF(A280="","",IF(E280=0,0,MIN(1,MAX(0,G280/E280))))</f>
        <v/>
      </c>
      <c r="M280" s="15">
        <f>IF(A280="","",J280*K280*L280)</f>
        <v/>
      </c>
    </row>
    <row r="281">
      <c r="A281" s="11">
        <f>Machines!A281</f>
        <v/>
      </c>
      <c r="B281" s="11">
        <f>Machines!B281</f>
        <v/>
      </c>
      <c r="C281" s="11">
        <f>IF(A281="","",Machines!D281)</f>
        <v/>
      </c>
      <c r="D281" s="11">
        <f>SUMIFS(WorkOrders!$M$2:$M$500,WorkOrders!$C$2:$C$500,A281)</f>
        <v/>
      </c>
      <c r="E281" s="11">
        <f>SUMIFS(WorkOrders!$E$2:$E$500,WorkOrders!$C$2:$C$500,A281)</f>
        <v/>
      </c>
      <c r="F281" s="11">
        <f>SUMIFS(WorkOrders!$F$2:$F$500,WorkOrders!$C$2:$C$500,A281)</f>
        <v/>
      </c>
      <c r="G281" s="11">
        <f>E281-F281</f>
        <v/>
      </c>
      <c r="H281" s="11">
        <f>SUMIFS(Downtime!$G$2:$G$500,Downtime!$A$2:$A$500,A281)</f>
        <v/>
      </c>
      <c r="I281" s="11">
        <f>MAX(0,D281-H281)</f>
        <v/>
      </c>
      <c r="J281" s="15">
        <f>IF(A281="","",IF(D281=0,0,MIN(1,I281/D281)))</f>
        <v/>
      </c>
      <c r="K281" s="15">
        <f>IF(A281="","",IF(OR(I281=0,C281=0),0,MIN(1,E281/((I281/60)*C281))))</f>
        <v/>
      </c>
      <c r="L281" s="15">
        <f>IF(A281="","",IF(E281=0,0,MIN(1,MAX(0,G281/E281))))</f>
        <v/>
      </c>
      <c r="M281" s="15">
        <f>IF(A281="","",J281*K281*L281)</f>
        <v/>
      </c>
    </row>
    <row r="282">
      <c r="A282" s="11">
        <f>Machines!A282</f>
        <v/>
      </c>
      <c r="B282" s="11">
        <f>Machines!B282</f>
        <v/>
      </c>
      <c r="C282" s="11">
        <f>IF(A282="","",Machines!D282)</f>
        <v/>
      </c>
      <c r="D282" s="11">
        <f>SUMIFS(WorkOrders!$M$2:$M$500,WorkOrders!$C$2:$C$500,A282)</f>
        <v/>
      </c>
      <c r="E282" s="11">
        <f>SUMIFS(WorkOrders!$E$2:$E$500,WorkOrders!$C$2:$C$500,A282)</f>
        <v/>
      </c>
      <c r="F282" s="11">
        <f>SUMIFS(WorkOrders!$F$2:$F$500,WorkOrders!$C$2:$C$500,A282)</f>
        <v/>
      </c>
      <c r="G282" s="11">
        <f>E282-F282</f>
        <v/>
      </c>
      <c r="H282" s="11">
        <f>SUMIFS(Downtime!$G$2:$G$500,Downtime!$A$2:$A$500,A282)</f>
        <v/>
      </c>
      <c r="I282" s="11">
        <f>MAX(0,D282-H282)</f>
        <v/>
      </c>
      <c r="J282" s="15">
        <f>IF(A282="","",IF(D282=0,0,MIN(1,I282/D282)))</f>
        <v/>
      </c>
      <c r="K282" s="15">
        <f>IF(A282="","",IF(OR(I282=0,C282=0),0,MIN(1,E282/((I282/60)*C282))))</f>
        <v/>
      </c>
      <c r="L282" s="15">
        <f>IF(A282="","",IF(E282=0,0,MIN(1,MAX(0,G282/E282))))</f>
        <v/>
      </c>
      <c r="M282" s="15">
        <f>IF(A282="","",J282*K282*L282)</f>
        <v/>
      </c>
    </row>
    <row r="283">
      <c r="A283" s="11">
        <f>Machines!A283</f>
        <v/>
      </c>
      <c r="B283" s="11">
        <f>Machines!B283</f>
        <v/>
      </c>
      <c r="C283" s="11">
        <f>IF(A283="","",Machines!D283)</f>
        <v/>
      </c>
      <c r="D283" s="11">
        <f>SUMIFS(WorkOrders!$M$2:$M$500,WorkOrders!$C$2:$C$500,A283)</f>
        <v/>
      </c>
      <c r="E283" s="11">
        <f>SUMIFS(WorkOrders!$E$2:$E$500,WorkOrders!$C$2:$C$500,A283)</f>
        <v/>
      </c>
      <c r="F283" s="11">
        <f>SUMIFS(WorkOrders!$F$2:$F$500,WorkOrders!$C$2:$C$500,A283)</f>
        <v/>
      </c>
      <c r="G283" s="11">
        <f>E283-F283</f>
        <v/>
      </c>
      <c r="H283" s="11">
        <f>SUMIFS(Downtime!$G$2:$G$500,Downtime!$A$2:$A$500,A283)</f>
        <v/>
      </c>
      <c r="I283" s="11">
        <f>MAX(0,D283-H283)</f>
        <v/>
      </c>
      <c r="J283" s="15">
        <f>IF(A283="","",IF(D283=0,0,MIN(1,I283/D283)))</f>
        <v/>
      </c>
      <c r="K283" s="15">
        <f>IF(A283="","",IF(OR(I283=0,C283=0),0,MIN(1,E283/((I283/60)*C283))))</f>
        <v/>
      </c>
      <c r="L283" s="15">
        <f>IF(A283="","",IF(E283=0,0,MIN(1,MAX(0,G283/E283))))</f>
        <v/>
      </c>
      <c r="M283" s="15">
        <f>IF(A283="","",J283*K283*L283)</f>
        <v/>
      </c>
    </row>
    <row r="284">
      <c r="A284" s="11">
        <f>Machines!A284</f>
        <v/>
      </c>
      <c r="B284" s="11">
        <f>Machines!B284</f>
        <v/>
      </c>
      <c r="C284" s="11">
        <f>IF(A284="","",Machines!D284)</f>
        <v/>
      </c>
      <c r="D284" s="11">
        <f>SUMIFS(WorkOrders!$M$2:$M$500,WorkOrders!$C$2:$C$500,A284)</f>
        <v/>
      </c>
      <c r="E284" s="11">
        <f>SUMIFS(WorkOrders!$E$2:$E$500,WorkOrders!$C$2:$C$500,A284)</f>
        <v/>
      </c>
      <c r="F284" s="11">
        <f>SUMIFS(WorkOrders!$F$2:$F$500,WorkOrders!$C$2:$C$500,A284)</f>
        <v/>
      </c>
      <c r="G284" s="11">
        <f>E284-F284</f>
        <v/>
      </c>
      <c r="H284" s="11">
        <f>SUMIFS(Downtime!$G$2:$G$500,Downtime!$A$2:$A$500,A284)</f>
        <v/>
      </c>
      <c r="I284" s="11">
        <f>MAX(0,D284-H284)</f>
        <v/>
      </c>
      <c r="J284" s="15">
        <f>IF(A284="","",IF(D284=0,0,MIN(1,I284/D284)))</f>
        <v/>
      </c>
      <c r="K284" s="15">
        <f>IF(A284="","",IF(OR(I284=0,C284=0),0,MIN(1,E284/((I284/60)*C284))))</f>
        <v/>
      </c>
      <c r="L284" s="15">
        <f>IF(A284="","",IF(E284=0,0,MIN(1,MAX(0,G284/E284))))</f>
        <v/>
      </c>
      <c r="M284" s="15">
        <f>IF(A284="","",J284*K284*L284)</f>
        <v/>
      </c>
    </row>
    <row r="285">
      <c r="A285" s="11">
        <f>Machines!A285</f>
        <v/>
      </c>
      <c r="B285" s="11">
        <f>Machines!B285</f>
        <v/>
      </c>
      <c r="C285" s="11">
        <f>IF(A285="","",Machines!D285)</f>
        <v/>
      </c>
      <c r="D285" s="11">
        <f>SUMIFS(WorkOrders!$M$2:$M$500,WorkOrders!$C$2:$C$500,A285)</f>
        <v/>
      </c>
      <c r="E285" s="11">
        <f>SUMIFS(WorkOrders!$E$2:$E$500,WorkOrders!$C$2:$C$500,A285)</f>
        <v/>
      </c>
      <c r="F285" s="11">
        <f>SUMIFS(WorkOrders!$F$2:$F$500,WorkOrders!$C$2:$C$500,A285)</f>
        <v/>
      </c>
      <c r="G285" s="11">
        <f>E285-F285</f>
        <v/>
      </c>
      <c r="H285" s="11">
        <f>SUMIFS(Downtime!$G$2:$G$500,Downtime!$A$2:$A$500,A285)</f>
        <v/>
      </c>
      <c r="I285" s="11">
        <f>MAX(0,D285-H285)</f>
        <v/>
      </c>
      <c r="J285" s="15">
        <f>IF(A285="","",IF(D285=0,0,MIN(1,I285/D285)))</f>
        <v/>
      </c>
      <c r="K285" s="15">
        <f>IF(A285="","",IF(OR(I285=0,C285=0),0,MIN(1,E285/((I285/60)*C285))))</f>
        <v/>
      </c>
      <c r="L285" s="15">
        <f>IF(A285="","",IF(E285=0,0,MIN(1,MAX(0,G285/E285))))</f>
        <v/>
      </c>
      <c r="M285" s="15">
        <f>IF(A285="","",J285*K285*L285)</f>
        <v/>
      </c>
    </row>
    <row r="286">
      <c r="A286" s="11">
        <f>Machines!A286</f>
        <v/>
      </c>
      <c r="B286" s="11">
        <f>Machines!B286</f>
        <v/>
      </c>
      <c r="C286" s="11">
        <f>IF(A286="","",Machines!D286)</f>
        <v/>
      </c>
      <c r="D286" s="11">
        <f>SUMIFS(WorkOrders!$M$2:$M$500,WorkOrders!$C$2:$C$500,A286)</f>
        <v/>
      </c>
      <c r="E286" s="11">
        <f>SUMIFS(WorkOrders!$E$2:$E$500,WorkOrders!$C$2:$C$500,A286)</f>
        <v/>
      </c>
      <c r="F286" s="11">
        <f>SUMIFS(WorkOrders!$F$2:$F$500,WorkOrders!$C$2:$C$500,A286)</f>
        <v/>
      </c>
      <c r="G286" s="11">
        <f>E286-F286</f>
        <v/>
      </c>
      <c r="H286" s="11">
        <f>SUMIFS(Downtime!$G$2:$G$500,Downtime!$A$2:$A$500,A286)</f>
        <v/>
      </c>
      <c r="I286" s="11">
        <f>MAX(0,D286-H286)</f>
        <v/>
      </c>
      <c r="J286" s="15">
        <f>IF(A286="","",IF(D286=0,0,MIN(1,I286/D286)))</f>
        <v/>
      </c>
      <c r="K286" s="15">
        <f>IF(A286="","",IF(OR(I286=0,C286=0),0,MIN(1,E286/((I286/60)*C286))))</f>
        <v/>
      </c>
      <c r="L286" s="15">
        <f>IF(A286="","",IF(E286=0,0,MIN(1,MAX(0,G286/E286))))</f>
        <v/>
      </c>
      <c r="M286" s="15">
        <f>IF(A286="","",J286*K286*L286)</f>
        <v/>
      </c>
    </row>
    <row r="287">
      <c r="A287" s="11">
        <f>Machines!A287</f>
        <v/>
      </c>
      <c r="B287" s="11">
        <f>Machines!B287</f>
        <v/>
      </c>
      <c r="C287" s="11">
        <f>IF(A287="","",Machines!D287)</f>
        <v/>
      </c>
      <c r="D287" s="11">
        <f>SUMIFS(WorkOrders!$M$2:$M$500,WorkOrders!$C$2:$C$500,A287)</f>
        <v/>
      </c>
      <c r="E287" s="11">
        <f>SUMIFS(WorkOrders!$E$2:$E$500,WorkOrders!$C$2:$C$500,A287)</f>
        <v/>
      </c>
      <c r="F287" s="11">
        <f>SUMIFS(WorkOrders!$F$2:$F$500,WorkOrders!$C$2:$C$500,A287)</f>
        <v/>
      </c>
      <c r="G287" s="11">
        <f>E287-F287</f>
        <v/>
      </c>
      <c r="H287" s="11">
        <f>SUMIFS(Downtime!$G$2:$G$500,Downtime!$A$2:$A$500,A287)</f>
        <v/>
      </c>
      <c r="I287" s="11">
        <f>MAX(0,D287-H287)</f>
        <v/>
      </c>
      <c r="J287" s="15">
        <f>IF(A287="","",IF(D287=0,0,MIN(1,I287/D287)))</f>
        <v/>
      </c>
      <c r="K287" s="15">
        <f>IF(A287="","",IF(OR(I287=0,C287=0),0,MIN(1,E287/((I287/60)*C287))))</f>
        <v/>
      </c>
      <c r="L287" s="15">
        <f>IF(A287="","",IF(E287=0,0,MIN(1,MAX(0,G287/E287))))</f>
        <v/>
      </c>
      <c r="M287" s="15">
        <f>IF(A287="","",J287*K287*L287)</f>
        <v/>
      </c>
    </row>
    <row r="288">
      <c r="A288" s="11">
        <f>Machines!A288</f>
        <v/>
      </c>
      <c r="B288" s="11">
        <f>Machines!B288</f>
        <v/>
      </c>
      <c r="C288" s="11">
        <f>IF(A288="","",Machines!D288)</f>
        <v/>
      </c>
      <c r="D288" s="11">
        <f>SUMIFS(WorkOrders!$M$2:$M$500,WorkOrders!$C$2:$C$500,A288)</f>
        <v/>
      </c>
      <c r="E288" s="11">
        <f>SUMIFS(WorkOrders!$E$2:$E$500,WorkOrders!$C$2:$C$500,A288)</f>
        <v/>
      </c>
      <c r="F288" s="11">
        <f>SUMIFS(WorkOrders!$F$2:$F$500,WorkOrders!$C$2:$C$500,A288)</f>
        <v/>
      </c>
      <c r="G288" s="11">
        <f>E288-F288</f>
        <v/>
      </c>
      <c r="H288" s="11">
        <f>SUMIFS(Downtime!$G$2:$G$500,Downtime!$A$2:$A$500,A288)</f>
        <v/>
      </c>
      <c r="I288" s="11">
        <f>MAX(0,D288-H288)</f>
        <v/>
      </c>
      <c r="J288" s="15">
        <f>IF(A288="","",IF(D288=0,0,MIN(1,I288/D288)))</f>
        <v/>
      </c>
      <c r="K288" s="15">
        <f>IF(A288="","",IF(OR(I288=0,C288=0),0,MIN(1,E288/((I288/60)*C288))))</f>
        <v/>
      </c>
      <c r="L288" s="15">
        <f>IF(A288="","",IF(E288=0,0,MIN(1,MAX(0,G288/E288))))</f>
        <v/>
      </c>
      <c r="M288" s="15">
        <f>IF(A288="","",J288*K288*L288)</f>
        <v/>
      </c>
    </row>
    <row r="289">
      <c r="A289" s="11">
        <f>Machines!A289</f>
        <v/>
      </c>
      <c r="B289" s="11">
        <f>Machines!B289</f>
        <v/>
      </c>
      <c r="C289" s="11">
        <f>IF(A289="","",Machines!D289)</f>
        <v/>
      </c>
      <c r="D289" s="11">
        <f>SUMIFS(WorkOrders!$M$2:$M$500,WorkOrders!$C$2:$C$500,A289)</f>
        <v/>
      </c>
      <c r="E289" s="11">
        <f>SUMIFS(WorkOrders!$E$2:$E$500,WorkOrders!$C$2:$C$500,A289)</f>
        <v/>
      </c>
      <c r="F289" s="11">
        <f>SUMIFS(WorkOrders!$F$2:$F$500,WorkOrders!$C$2:$C$500,A289)</f>
        <v/>
      </c>
      <c r="G289" s="11">
        <f>E289-F289</f>
        <v/>
      </c>
      <c r="H289" s="11">
        <f>SUMIFS(Downtime!$G$2:$G$500,Downtime!$A$2:$A$500,A289)</f>
        <v/>
      </c>
      <c r="I289" s="11">
        <f>MAX(0,D289-H289)</f>
        <v/>
      </c>
      <c r="J289" s="15">
        <f>IF(A289="","",IF(D289=0,0,MIN(1,I289/D289)))</f>
        <v/>
      </c>
      <c r="K289" s="15">
        <f>IF(A289="","",IF(OR(I289=0,C289=0),0,MIN(1,E289/((I289/60)*C289))))</f>
        <v/>
      </c>
      <c r="L289" s="15">
        <f>IF(A289="","",IF(E289=0,0,MIN(1,MAX(0,G289/E289))))</f>
        <v/>
      </c>
      <c r="M289" s="15">
        <f>IF(A289="","",J289*K289*L289)</f>
        <v/>
      </c>
    </row>
    <row r="290">
      <c r="A290" s="11">
        <f>Machines!A290</f>
        <v/>
      </c>
      <c r="B290" s="11">
        <f>Machines!B290</f>
        <v/>
      </c>
      <c r="C290" s="11">
        <f>IF(A290="","",Machines!D290)</f>
        <v/>
      </c>
      <c r="D290" s="11">
        <f>SUMIFS(WorkOrders!$M$2:$M$500,WorkOrders!$C$2:$C$500,A290)</f>
        <v/>
      </c>
      <c r="E290" s="11">
        <f>SUMIFS(WorkOrders!$E$2:$E$500,WorkOrders!$C$2:$C$500,A290)</f>
        <v/>
      </c>
      <c r="F290" s="11">
        <f>SUMIFS(WorkOrders!$F$2:$F$500,WorkOrders!$C$2:$C$500,A290)</f>
        <v/>
      </c>
      <c r="G290" s="11">
        <f>E290-F290</f>
        <v/>
      </c>
      <c r="H290" s="11">
        <f>SUMIFS(Downtime!$G$2:$G$500,Downtime!$A$2:$A$500,A290)</f>
        <v/>
      </c>
      <c r="I290" s="11">
        <f>MAX(0,D290-H290)</f>
        <v/>
      </c>
      <c r="J290" s="15">
        <f>IF(A290="","",IF(D290=0,0,MIN(1,I290/D290)))</f>
        <v/>
      </c>
      <c r="K290" s="15">
        <f>IF(A290="","",IF(OR(I290=0,C290=0),0,MIN(1,E290/((I290/60)*C290))))</f>
        <v/>
      </c>
      <c r="L290" s="15">
        <f>IF(A290="","",IF(E290=0,0,MIN(1,MAX(0,G290/E290))))</f>
        <v/>
      </c>
      <c r="M290" s="15">
        <f>IF(A290="","",J290*K290*L290)</f>
        <v/>
      </c>
    </row>
    <row r="291">
      <c r="A291" s="11">
        <f>Machines!A291</f>
        <v/>
      </c>
      <c r="B291" s="11">
        <f>Machines!B291</f>
        <v/>
      </c>
      <c r="C291" s="11">
        <f>IF(A291="","",Machines!D291)</f>
        <v/>
      </c>
      <c r="D291" s="11">
        <f>SUMIFS(WorkOrders!$M$2:$M$500,WorkOrders!$C$2:$C$500,A291)</f>
        <v/>
      </c>
      <c r="E291" s="11">
        <f>SUMIFS(WorkOrders!$E$2:$E$500,WorkOrders!$C$2:$C$500,A291)</f>
        <v/>
      </c>
      <c r="F291" s="11">
        <f>SUMIFS(WorkOrders!$F$2:$F$500,WorkOrders!$C$2:$C$500,A291)</f>
        <v/>
      </c>
      <c r="G291" s="11">
        <f>E291-F291</f>
        <v/>
      </c>
      <c r="H291" s="11">
        <f>SUMIFS(Downtime!$G$2:$G$500,Downtime!$A$2:$A$500,A291)</f>
        <v/>
      </c>
      <c r="I291" s="11">
        <f>MAX(0,D291-H291)</f>
        <v/>
      </c>
      <c r="J291" s="15">
        <f>IF(A291="","",IF(D291=0,0,MIN(1,I291/D291)))</f>
        <v/>
      </c>
      <c r="K291" s="15">
        <f>IF(A291="","",IF(OR(I291=0,C291=0),0,MIN(1,E291/((I291/60)*C291))))</f>
        <v/>
      </c>
      <c r="L291" s="15">
        <f>IF(A291="","",IF(E291=0,0,MIN(1,MAX(0,G291/E291))))</f>
        <v/>
      </c>
      <c r="M291" s="15">
        <f>IF(A291="","",J291*K291*L291)</f>
        <v/>
      </c>
    </row>
    <row r="292">
      <c r="A292" s="11">
        <f>Machines!A292</f>
        <v/>
      </c>
      <c r="B292" s="11">
        <f>Machines!B292</f>
        <v/>
      </c>
      <c r="C292" s="11">
        <f>IF(A292="","",Machines!D292)</f>
        <v/>
      </c>
      <c r="D292" s="11">
        <f>SUMIFS(WorkOrders!$M$2:$M$500,WorkOrders!$C$2:$C$500,A292)</f>
        <v/>
      </c>
      <c r="E292" s="11">
        <f>SUMIFS(WorkOrders!$E$2:$E$500,WorkOrders!$C$2:$C$500,A292)</f>
        <v/>
      </c>
      <c r="F292" s="11">
        <f>SUMIFS(WorkOrders!$F$2:$F$500,WorkOrders!$C$2:$C$500,A292)</f>
        <v/>
      </c>
      <c r="G292" s="11">
        <f>E292-F292</f>
        <v/>
      </c>
      <c r="H292" s="11">
        <f>SUMIFS(Downtime!$G$2:$G$500,Downtime!$A$2:$A$500,A292)</f>
        <v/>
      </c>
      <c r="I292" s="11">
        <f>MAX(0,D292-H292)</f>
        <v/>
      </c>
      <c r="J292" s="15">
        <f>IF(A292="","",IF(D292=0,0,MIN(1,I292/D292)))</f>
        <v/>
      </c>
      <c r="K292" s="15">
        <f>IF(A292="","",IF(OR(I292=0,C292=0),0,MIN(1,E292/((I292/60)*C292))))</f>
        <v/>
      </c>
      <c r="L292" s="15">
        <f>IF(A292="","",IF(E292=0,0,MIN(1,MAX(0,G292/E292))))</f>
        <v/>
      </c>
      <c r="M292" s="15">
        <f>IF(A292="","",J292*K292*L292)</f>
        <v/>
      </c>
    </row>
    <row r="293">
      <c r="A293" s="11">
        <f>Machines!A293</f>
        <v/>
      </c>
      <c r="B293" s="11">
        <f>Machines!B293</f>
        <v/>
      </c>
      <c r="C293" s="11">
        <f>IF(A293="","",Machines!D293)</f>
        <v/>
      </c>
      <c r="D293" s="11">
        <f>SUMIFS(WorkOrders!$M$2:$M$500,WorkOrders!$C$2:$C$500,A293)</f>
        <v/>
      </c>
      <c r="E293" s="11">
        <f>SUMIFS(WorkOrders!$E$2:$E$500,WorkOrders!$C$2:$C$500,A293)</f>
        <v/>
      </c>
      <c r="F293" s="11">
        <f>SUMIFS(WorkOrders!$F$2:$F$500,WorkOrders!$C$2:$C$500,A293)</f>
        <v/>
      </c>
      <c r="G293" s="11">
        <f>E293-F293</f>
        <v/>
      </c>
      <c r="H293" s="11">
        <f>SUMIFS(Downtime!$G$2:$G$500,Downtime!$A$2:$A$500,A293)</f>
        <v/>
      </c>
      <c r="I293" s="11">
        <f>MAX(0,D293-H293)</f>
        <v/>
      </c>
      <c r="J293" s="15">
        <f>IF(A293="","",IF(D293=0,0,MIN(1,I293/D293)))</f>
        <v/>
      </c>
      <c r="K293" s="15">
        <f>IF(A293="","",IF(OR(I293=0,C293=0),0,MIN(1,E293/((I293/60)*C293))))</f>
        <v/>
      </c>
      <c r="L293" s="15">
        <f>IF(A293="","",IF(E293=0,0,MIN(1,MAX(0,G293/E293))))</f>
        <v/>
      </c>
      <c r="M293" s="15">
        <f>IF(A293="","",J293*K293*L293)</f>
        <v/>
      </c>
    </row>
    <row r="294">
      <c r="A294" s="11">
        <f>Machines!A294</f>
        <v/>
      </c>
      <c r="B294" s="11">
        <f>Machines!B294</f>
        <v/>
      </c>
      <c r="C294" s="11">
        <f>IF(A294="","",Machines!D294)</f>
        <v/>
      </c>
      <c r="D294" s="11">
        <f>SUMIFS(WorkOrders!$M$2:$M$500,WorkOrders!$C$2:$C$500,A294)</f>
        <v/>
      </c>
      <c r="E294" s="11">
        <f>SUMIFS(WorkOrders!$E$2:$E$500,WorkOrders!$C$2:$C$500,A294)</f>
        <v/>
      </c>
      <c r="F294" s="11">
        <f>SUMIFS(WorkOrders!$F$2:$F$500,WorkOrders!$C$2:$C$500,A294)</f>
        <v/>
      </c>
      <c r="G294" s="11">
        <f>E294-F294</f>
        <v/>
      </c>
      <c r="H294" s="11">
        <f>SUMIFS(Downtime!$G$2:$G$500,Downtime!$A$2:$A$500,A294)</f>
        <v/>
      </c>
      <c r="I294" s="11">
        <f>MAX(0,D294-H294)</f>
        <v/>
      </c>
      <c r="J294" s="15">
        <f>IF(A294="","",IF(D294=0,0,MIN(1,I294/D294)))</f>
        <v/>
      </c>
      <c r="K294" s="15">
        <f>IF(A294="","",IF(OR(I294=0,C294=0),0,MIN(1,E294/((I294/60)*C294))))</f>
        <v/>
      </c>
      <c r="L294" s="15">
        <f>IF(A294="","",IF(E294=0,0,MIN(1,MAX(0,G294/E294))))</f>
        <v/>
      </c>
      <c r="M294" s="15">
        <f>IF(A294="","",J294*K294*L294)</f>
        <v/>
      </c>
    </row>
    <row r="295">
      <c r="A295" s="11">
        <f>Machines!A295</f>
        <v/>
      </c>
      <c r="B295" s="11">
        <f>Machines!B295</f>
        <v/>
      </c>
      <c r="C295" s="11">
        <f>IF(A295="","",Machines!D295)</f>
        <v/>
      </c>
      <c r="D295" s="11">
        <f>SUMIFS(WorkOrders!$M$2:$M$500,WorkOrders!$C$2:$C$500,A295)</f>
        <v/>
      </c>
      <c r="E295" s="11">
        <f>SUMIFS(WorkOrders!$E$2:$E$500,WorkOrders!$C$2:$C$500,A295)</f>
        <v/>
      </c>
      <c r="F295" s="11">
        <f>SUMIFS(WorkOrders!$F$2:$F$500,WorkOrders!$C$2:$C$500,A295)</f>
        <v/>
      </c>
      <c r="G295" s="11">
        <f>E295-F295</f>
        <v/>
      </c>
      <c r="H295" s="11">
        <f>SUMIFS(Downtime!$G$2:$G$500,Downtime!$A$2:$A$500,A295)</f>
        <v/>
      </c>
      <c r="I295" s="11">
        <f>MAX(0,D295-H295)</f>
        <v/>
      </c>
      <c r="J295" s="15">
        <f>IF(A295="","",IF(D295=0,0,MIN(1,I295/D295)))</f>
        <v/>
      </c>
      <c r="K295" s="15">
        <f>IF(A295="","",IF(OR(I295=0,C295=0),0,MIN(1,E295/((I295/60)*C295))))</f>
        <v/>
      </c>
      <c r="L295" s="15">
        <f>IF(A295="","",IF(E295=0,0,MIN(1,MAX(0,G295/E295))))</f>
        <v/>
      </c>
      <c r="M295" s="15">
        <f>IF(A295="","",J295*K295*L295)</f>
        <v/>
      </c>
    </row>
    <row r="296">
      <c r="A296" s="11">
        <f>Machines!A296</f>
        <v/>
      </c>
      <c r="B296" s="11">
        <f>Machines!B296</f>
        <v/>
      </c>
      <c r="C296" s="11">
        <f>IF(A296="","",Machines!D296)</f>
        <v/>
      </c>
      <c r="D296" s="11">
        <f>SUMIFS(WorkOrders!$M$2:$M$500,WorkOrders!$C$2:$C$500,A296)</f>
        <v/>
      </c>
      <c r="E296" s="11">
        <f>SUMIFS(WorkOrders!$E$2:$E$500,WorkOrders!$C$2:$C$500,A296)</f>
        <v/>
      </c>
      <c r="F296" s="11">
        <f>SUMIFS(WorkOrders!$F$2:$F$500,WorkOrders!$C$2:$C$500,A296)</f>
        <v/>
      </c>
      <c r="G296" s="11">
        <f>E296-F296</f>
        <v/>
      </c>
      <c r="H296" s="11">
        <f>SUMIFS(Downtime!$G$2:$G$500,Downtime!$A$2:$A$500,A296)</f>
        <v/>
      </c>
      <c r="I296" s="11">
        <f>MAX(0,D296-H296)</f>
        <v/>
      </c>
      <c r="J296" s="15">
        <f>IF(A296="","",IF(D296=0,0,MIN(1,I296/D296)))</f>
        <v/>
      </c>
      <c r="K296" s="15">
        <f>IF(A296="","",IF(OR(I296=0,C296=0),0,MIN(1,E296/((I296/60)*C296))))</f>
        <v/>
      </c>
      <c r="L296" s="15">
        <f>IF(A296="","",IF(E296=0,0,MIN(1,MAX(0,G296/E296))))</f>
        <v/>
      </c>
      <c r="M296" s="15">
        <f>IF(A296="","",J296*K296*L296)</f>
        <v/>
      </c>
    </row>
    <row r="297">
      <c r="A297" s="11">
        <f>Machines!A297</f>
        <v/>
      </c>
      <c r="B297" s="11">
        <f>Machines!B297</f>
        <v/>
      </c>
      <c r="C297" s="11">
        <f>IF(A297="","",Machines!D297)</f>
        <v/>
      </c>
      <c r="D297" s="11">
        <f>SUMIFS(WorkOrders!$M$2:$M$500,WorkOrders!$C$2:$C$500,A297)</f>
        <v/>
      </c>
      <c r="E297" s="11">
        <f>SUMIFS(WorkOrders!$E$2:$E$500,WorkOrders!$C$2:$C$500,A297)</f>
        <v/>
      </c>
      <c r="F297" s="11">
        <f>SUMIFS(WorkOrders!$F$2:$F$500,WorkOrders!$C$2:$C$500,A297)</f>
        <v/>
      </c>
      <c r="G297" s="11">
        <f>E297-F297</f>
        <v/>
      </c>
      <c r="H297" s="11">
        <f>SUMIFS(Downtime!$G$2:$G$500,Downtime!$A$2:$A$500,A297)</f>
        <v/>
      </c>
      <c r="I297" s="11">
        <f>MAX(0,D297-H297)</f>
        <v/>
      </c>
      <c r="J297" s="15">
        <f>IF(A297="","",IF(D297=0,0,MIN(1,I297/D297)))</f>
        <v/>
      </c>
      <c r="K297" s="15">
        <f>IF(A297="","",IF(OR(I297=0,C297=0),0,MIN(1,E297/((I297/60)*C297))))</f>
        <v/>
      </c>
      <c r="L297" s="15">
        <f>IF(A297="","",IF(E297=0,0,MIN(1,MAX(0,G297/E297))))</f>
        <v/>
      </c>
      <c r="M297" s="15">
        <f>IF(A297="","",J297*K297*L297)</f>
        <v/>
      </c>
    </row>
    <row r="298">
      <c r="A298" s="11">
        <f>Machines!A298</f>
        <v/>
      </c>
      <c r="B298" s="11">
        <f>Machines!B298</f>
        <v/>
      </c>
      <c r="C298" s="11">
        <f>IF(A298="","",Machines!D298)</f>
        <v/>
      </c>
      <c r="D298" s="11">
        <f>SUMIFS(WorkOrders!$M$2:$M$500,WorkOrders!$C$2:$C$500,A298)</f>
        <v/>
      </c>
      <c r="E298" s="11">
        <f>SUMIFS(WorkOrders!$E$2:$E$500,WorkOrders!$C$2:$C$500,A298)</f>
        <v/>
      </c>
      <c r="F298" s="11">
        <f>SUMIFS(WorkOrders!$F$2:$F$500,WorkOrders!$C$2:$C$500,A298)</f>
        <v/>
      </c>
      <c r="G298" s="11">
        <f>E298-F298</f>
        <v/>
      </c>
      <c r="H298" s="11">
        <f>SUMIFS(Downtime!$G$2:$G$500,Downtime!$A$2:$A$500,A298)</f>
        <v/>
      </c>
      <c r="I298" s="11">
        <f>MAX(0,D298-H298)</f>
        <v/>
      </c>
      <c r="J298" s="15">
        <f>IF(A298="","",IF(D298=0,0,MIN(1,I298/D298)))</f>
        <v/>
      </c>
      <c r="K298" s="15">
        <f>IF(A298="","",IF(OR(I298=0,C298=0),0,MIN(1,E298/((I298/60)*C298))))</f>
        <v/>
      </c>
      <c r="L298" s="15">
        <f>IF(A298="","",IF(E298=0,0,MIN(1,MAX(0,G298/E298))))</f>
        <v/>
      </c>
      <c r="M298" s="15">
        <f>IF(A298="","",J298*K298*L298)</f>
        <v/>
      </c>
    </row>
    <row r="299">
      <c r="A299" s="11">
        <f>Machines!A299</f>
        <v/>
      </c>
      <c r="B299" s="11">
        <f>Machines!B299</f>
        <v/>
      </c>
      <c r="C299" s="11">
        <f>IF(A299="","",Machines!D299)</f>
        <v/>
      </c>
      <c r="D299" s="11">
        <f>SUMIFS(WorkOrders!$M$2:$M$500,WorkOrders!$C$2:$C$500,A299)</f>
        <v/>
      </c>
      <c r="E299" s="11">
        <f>SUMIFS(WorkOrders!$E$2:$E$500,WorkOrders!$C$2:$C$500,A299)</f>
        <v/>
      </c>
      <c r="F299" s="11">
        <f>SUMIFS(WorkOrders!$F$2:$F$500,WorkOrders!$C$2:$C$500,A299)</f>
        <v/>
      </c>
      <c r="G299" s="11">
        <f>E299-F299</f>
        <v/>
      </c>
      <c r="H299" s="11">
        <f>SUMIFS(Downtime!$G$2:$G$500,Downtime!$A$2:$A$500,A299)</f>
        <v/>
      </c>
      <c r="I299" s="11">
        <f>MAX(0,D299-H299)</f>
        <v/>
      </c>
      <c r="J299" s="15">
        <f>IF(A299="","",IF(D299=0,0,MIN(1,I299/D299)))</f>
        <v/>
      </c>
      <c r="K299" s="15">
        <f>IF(A299="","",IF(OR(I299=0,C299=0),0,MIN(1,E299/((I299/60)*C299))))</f>
        <v/>
      </c>
      <c r="L299" s="15">
        <f>IF(A299="","",IF(E299=0,0,MIN(1,MAX(0,G299/E299))))</f>
        <v/>
      </c>
      <c r="M299" s="15">
        <f>IF(A299="","",J299*K299*L299)</f>
        <v/>
      </c>
    </row>
    <row r="300">
      <c r="A300" s="11">
        <f>Machines!A300</f>
        <v/>
      </c>
      <c r="B300" s="11">
        <f>Machines!B300</f>
        <v/>
      </c>
      <c r="C300" s="11">
        <f>IF(A300="","",Machines!D300)</f>
        <v/>
      </c>
      <c r="D300" s="11">
        <f>SUMIFS(WorkOrders!$M$2:$M$500,WorkOrders!$C$2:$C$500,A300)</f>
        <v/>
      </c>
      <c r="E300" s="11">
        <f>SUMIFS(WorkOrders!$E$2:$E$500,WorkOrders!$C$2:$C$500,A300)</f>
        <v/>
      </c>
      <c r="F300" s="11">
        <f>SUMIFS(WorkOrders!$F$2:$F$500,WorkOrders!$C$2:$C$500,A300)</f>
        <v/>
      </c>
      <c r="G300" s="11">
        <f>E300-F300</f>
        <v/>
      </c>
      <c r="H300" s="11">
        <f>SUMIFS(Downtime!$G$2:$G$500,Downtime!$A$2:$A$500,A300)</f>
        <v/>
      </c>
      <c r="I300" s="11">
        <f>MAX(0,D300-H300)</f>
        <v/>
      </c>
      <c r="J300" s="15">
        <f>IF(A300="","",IF(D300=0,0,MIN(1,I300/D300)))</f>
        <v/>
      </c>
      <c r="K300" s="15">
        <f>IF(A300="","",IF(OR(I300=0,C300=0),0,MIN(1,E300/((I300/60)*C300))))</f>
        <v/>
      </c>
      <c r="L300" s="15">
        <f>IF(A300="","",IF(E300=0,0,MIN(1,MAX(0,G300/E300))))</f>
        <v/>
      </c>
      <c r="M300" s="15">
        <f>IF(A300="","",J300*K300*L300)</f>
        <v/>
      </c>
    </row>
    <row r="301">
      <c r="A301" s="11">
        <f>Machines!A301</f>
        <v/>
      </c>
      <c r="B301" s="11">
        <f>Machines!B301</f>
        <v/>
      </c>
      <c r="C301" s="11">
        <f>IF(A301="","",Machines!D301)</f>
        <v/>
      </c>
      <c r="D301" s="11">
        <f>SUMIFS(WorkOrders!$M$2:$M$500,WorkOrders!$C$2:$C$500,A301)</f>
        <v/>
      </c>
      <c r="E301" s="11">
        <f>SUMIFS(WorkOrders!$E$2:$E$500,WorkOrders!$C$2:$C$500,A301)</f>
        <v/>
      </c>
      <c r="F301" s="11">
        <f>SUMIFS(WorkOrders!$F$2:$F$500,WorkOrders!$C$2:$C$500,A301)</f>
        <v/>
      </c>
      <c r="G301" s="11">
        <f>E301-F301</f>
        <v/>
      </c>
      <c r="H301" s="11">
        <f>SUMIFS(Downtime!$G$2:$G$500,Downtime!$A$2:$A$500,A301)</f>
        <v/>
      </c>
      <c r="I301" s="11">
        <f>MAX(0,D301-H301)</f>
        <v/>
      </c>
      <c r="J301" s="15">
        <f>IF(A301="","",IF(D301=0,0,MIN(1,I301/D301)))</f>
        <v/>
      </c>
      <c r="K301" s="15">
        <f>IF(A301="","",IF(OR(I301=0,C301=0),0,MIN(1,E301/((I301/60)*C301))))</f>
        <v/>
      </c>
      <c r="L301" s="15">
        <f>IF(A301="","",IF(E301=0,0,MIN(1,MAX(0,G301/E301))))</f>
        <v/>
      </c>
      <c r="M301" s="15">
        <f>IF(A301="","",J301*K301*L301)</f>
        <v/>
      </c>
    </row>
    <row r="302">
      <c r="A302" s="11">
        <f>Machines!A302</f>
        <v/>
      </c>
      <c r="B302" s="11">
        <f>Machines!B302</f>
        <v/>
      </c>
      <c r="C302" s="11">
        <f>IF(A302="","",Machines!D302)</f>
        <v/>
      </c>
      <c r="D302" s="11">
        <f>SUMIFS(WorkOrders!$M$2:$M$500,WorkOrders!$C$2:$C$500,A302)</f>
        <v/>
      </c>
      <c r="E302" s="11">
        <f>SUMIFS(WorkOrders!$E$2:$E$500,WorkOrders!$C$2:$C$500,A302)</f>
        <v/>
      </c>
      <c r="F302" s="11">
        <f>SUMIFS(WorkOrders!$F$2:$F$500,WorkOrders!$C$2:$C$500,A302)</f>
        <v/>
      </c>
      <c r="G302" s="11">
        <f>E302-F302</f>
        <v/>
      </c>
      <c r="H302" s="11">
        <f>SUMIFS(Downtime!$G$2:$G$500,Downtime!$A$2:$A$500,A302)</f>
        <v/>
      </c>
      <c r="I302" s="11">
        <f>MAX(0,D302-H302)</f>
        <v/>
      </c>
      <c r="J302" s="15">
        <f>IF(A302="","",IF(D302=0,0,MIN(1,I302/D302)))</f>
        <v/>
      </c>
      <c r="K302" s="15">
        <f>IF(A302="","",IF(OR(I302=0,C302=0),0,MIN(1,E302/((I302/60)*C302))))</f>
        <v/>
      </c>
      <c r="L302" s="15">
        <f>IF(A302="","",IF(E302=0,0,MIN(1,MAX(0,G302/E302))))</f>
        <v/>
      </c>
      <c r="M302" s="15">
        <f>IF(A302="","",J302*K302*L302)</f>
        <v/>
      </c>
    </row>
    <row r="303">
      <c r="A303" s="11">
        <f>Machines!A303</f>
        <v/>
      </c>
      <c r="B303" s="11">
        <f>Machines!B303</f>
        <v/>
      </c>
      <c r="C303" s="11">
        <f>IF(A303="","",Machines!D303)</f>
        <v/>
      </c>
      <c r="D303" s="11">
        <f>SUMIFS(WorkOrders!$M$2:$M$500,WorkOrders!$C$2:$C$500,A303)</f>
        <v/>
      </c>
      <c r="E303" s="11">
        <f>SUMIFS(WorkOrders!$E$2:$E$500,WorkOrders!$C$2:$C$500,A303)</f>
        <v/>
      </c>
      <c r="F303" s="11">
        <f>SUMIFS(WorkOrders!$F$2:$F$500,WorkOrders!$C$2:$C$500,A303)</f>
        <v/>
      </c>
      <c r="G303" s="11">
        <f>E303-F303</f>
        <v/>
      </c>
      <c r="H303" s="11">
        <f>SUMIFS(Downtime!$G$2:$G$500,Downtime!$A$2:$A$500,A303)</f>
        <v/>
      </c>
      <c r="I303" s="11">
        <f>MAX(0,D303-H303)</f>
        <v/>
      </c>
      <c r="J303" s="15">
        <f>IF(A303="","",IF(D303=0,0,MIN(1,I303/D303)))</f>
        <v/>
      </c>
      <c r="K303" s="15">
        <f>IF(A303="","",IF(OR(I303=0,C303=0),0,MIN(1,E303/((I303/60)*C303))))</f>
        <v/>
      </c>
      <c r="L303" s="15">
        <f>IF(A303="","",IF(E303=0,0,MIN(1,MAX(0,G303/E303))))</f>
        <v/>
      </c>
      <c r="M303" s="15">
        <f>IF(A303="","",J303*K303*L303)</f>
        <v/>
      </c>
    </row>
    <row r="304">
      <c r="A304" s="11">
        <f>Machines!A304</f>
        <v/>
      </c>
      <c r="B304" s="11">
        <f>Machines!B304</f>
        <v/>
      </c>
      <c r="C304" s="11">
        <f>IF(A304="","",Machines!D304)</f>
        <v/>
      </c>
      <c r="D304" s="11">
        <f>SUMIFS(WorkOrders!$M$2:$M$500,WorkOrders!$C$2:$C$500,A304)</f>
        <v/>
      </c>
      <c r="E304" s="11">
        <f>SUMIFS(WorkOrders!$E$2:$E$500,WorkOrders!$C$2:$C$500,A304)</f>
        <v/>
      </c>
      <c r="F304" s="11">
        <f>SUMIFS(WorkOrders!$F$2:$F$500,WorkOrders!$C$2:$C$500,A304)</f>
        <v/>
      </c>
      <c r="G304" s="11">
        <f>E304-F304</f>
        <v/>
      </c>
      <c r="H304" s="11">
        <f>SUMIFS(Downtime!$G$2:$G$500,Downtime!$A$2:$A$500,A304)</f>
        <v/>
      </c>
      <c r="I304" s="11">
        <f>MAX(0,D304-H304)</f>
        <v/>
      </c>
      <c r="J304" s="15">
        <f>IF(A304="","",IF(D304=0,0,MIN(1,I304/D304)))</f>
        <v/>
      </c>
      <c r="K304" s="15">
        <f>IF(A304="","",IF(OR(I304=0,C304=0),0,MIN(1,E304/((I304/60)*C304))))</f>
        <v/>
      </c>
      <c r="L304" s="15">
        <f>IF(A304="","",IF(E304=0,0,MIN(1,MAX(0,G304/E304))))</f>
        <v/>
      </c>
      <c r="M304" s="15">
        <f>IF(A304="","",J304*K304*L304)</f>
        <v/>
      </c>
    </row>
    <row r="305">
      <c r="A305" s="11">
        <f>Machines!A305</f>
        <v/>
      </c>
      <c r="B305" s="11">
        <f>Machines!B305</f>
        <v/>
      </c>
      <c r="C305" s="11">
        <f>IF(A305="","",Machines!D305)</f>
        <v/>
      </c>
      <c r="D305" s="11">
        <f>SUMIFS(WorkOrders!$M$2:$M$500,WorkOrders!$C$2:$C$500,A305)</f>
        <v/>
      </c>
      <c r="E305" s="11">
        <f>SUMIFS(WorkOrders!$E$2:$E$500,WorkOrders!$C$2:$C$500,A305)</f>
        <v/>
      </c>
      <c r="F305" s="11">
        <f>SUMIFS(WorkOrders!$F$2:$F$500,WorkOrders!$C$2:$C$500,A305)</f>
        <v/>
      </c>
      <c r="G305" s="11">
        <f>E305-F305</f>
        <v/>
      </c>
      <c r="H305" s="11">
        <f>SUMIFS(Downtime!$G$2:$G$500,Downtime!$A$2:$A$500,A305)</f>
        <v/>
      </c>
      <c r="I305" s="11">
        <f>MAX(0,D305-H305)</f>
        <v/>
      </c>
      <c r="J305" s="15">
        <f>IF(A305="","",IF(D305=0,0,MIN(1,I305/D305)))</f>
        <v/>
      </c>
      <c r="K305" s="15">
        <f>IF(A305="","",IF(OR(I305=0,C305=0),0,MIN(1,E305/((I305/60)*C305))))</f>
        <v/>
      </c>
      <c r="L305" s="15">
        <f>IF(A305="","",IF(E305=0,0,MIN(1,MAX(0,G305/E305))))</f>
        <v/>
      </c>
      <c r="M305" s="15">
        <f>IF(A305="","",J305*K305*L305)</f>
        <v/>
      </c>
    </row>
    <row r="306">
      <c r="A306" s="11">
        <f>Machines!A306</f>
        <v/>
      </c>
      <c r="B306" s="11">
        <f>Machines!B306</f>
        <v/>
      </c>
      <c r="C306" s="11">
        <f>IF(A306="","",Machines!D306)</f>
        <v/>
      </c>
      <c r="D306" s="11">
        <f>SUMIFS(WorkOrders!$M$2:$M$500,WorkOrders!$C$2:$C$500,A306)</f>
        <v/>
      </c>
      <c r="E306" s="11">
        <f>SUMIFS(WorkOrders!$E$2:$E$500,WorkOrders!$C$2:$C$500,A306)</f>
        <v/>
      </c>
      <c r="F306" s="11">
        <f>SUMIFS(WorkOrders!$F$2:$F$500,WorkOrders!$C$2:$C$500,A306)</f>
        <v/>
      </c>
      <c r="G306" s="11">
        <f>E306-F306</f>
        <v/>
      </c>
      <c r="H306" s="11">
        <f>SUMIFS(Downtime!$G$2:$G$500,Downtime!$A$2:$A$500,A306)</f>
        <v/>
      </c>
      <c r="I306" s="11">
        <f>MAX(0,D306-H306)</f>
        <v/>
      </c>
      <c r="J306" s="15">
        <f>IF(A306="","",IF(D306=0,0,MIN(1,I306/D306)))</f>
        <v/>
      </c>
      <c r="K306" s="15">
        <f>IF(A306="","",IF(OR(I306=0,C306=0),0,MIN(1,E306/((I306/60)*C306))))</f>
        <v/>
      </c>
      <c r="L306" s="15">
        <f>IF(A306="","",IF(E306=0,0,MIN(1,MAX(0,G306/E306))))</f>
        <v/>
      </c>
      <c r="M306" s="15">
        <f>IF(A306="","",J306*K306*L306)</f>
        <v/>
      </c>
    </row>
    <row r="307">
      <c r="A307" s="11">
        <f>Machines!A307</f>
        <v/>
      </c>
      <c r="B307" s="11">
        <f>Machines!B307</f>
        <v/>
      </c>
      <c r="C307" s="11">
        <f>IF(A307="","",Machines!D307)</f>
        <v/>
      </c>
      <c r="D307" s="11">
        <f>SUMIFS(WorkOrders!$M$2:$M$500,WorkOrders!$C$2:$C$500,A307)</f>
        <v/>
      </c>
      <c r="E307" s="11">
        <f>SUMIFS(WorkOrders!$E$2:$E$500,WorkOrders!$C$2:$C$500,A307)</f>
        <v/>
      </c>
      <c r="F307" s="11">
        <f>SUMIFS(WorkOrders!$F$2:$F$500,WorkOrders!$C$2:$C$500,A307)</f>
        <v/>
      </c>
      <c r="G307" s="11">
        <f>E307-F307</f>
        <v/>
      </c>
      <c r="H307" s="11">
        <f>SUMIFS(Downtime!$G$2:$G$500,Downtime!$A$2:$A$500,A307)</f>
        <v/>
      </c>
      <c r="I307" s="11">
        <f>MAX(0,D307-H307)</f>
        <v/>
      </c>
      <c r="J307" s="15">
        <f>IF(A307="","",IF(D307=0,0,MIN(1,I307/D307)))</f>
        <v/>
      </c>
      <c r="K307" s="15">
        <f>IF(A307="","",IF(OR(I307=0,C307=0),0,MIN(1,E307/((I307/60)*C307))))</f>
        <v/>
      </c>
      <c r="L307" s="15">
        <f>IF(A307="","",IF(E307=0,0,MIN(1,MAX(0,G307/E307))))</f>
        <v/>
      </c>
      <c r="M307" s="15">
        <f>IF(A307="","",J307*K307*L307)</f>
        <v/>
      </c>
    </row>
    <row r="308">
      <c r="A308" s="11">
        <f>Machines!A308</f>
        <v/>
      </c>
      <c r="B308" s="11">
        <f>Machines!B308</f>
        <v/>
      </c>
      <c r="C308" s="11">
        <f>IF(A308="","",Machines!D308)</f>
        <v/>
      </c>
      <c r="D308" s="11">
        <f>SUMIFS(WorkOrders!$M$2:$M$500,WorkOrders!$C$2:$C$500,A308)</f>
        <v/>
      </c>
      <c r="E308" s="11">
        <f>SUMIFS(WorkOrders!$E$2:$E$500,WorkOrders!$C$2:$C$500,A308)</f>
        <v/>
      </c>
      <c r="F308" s="11">
        <f>SUMIFS(WorkOrders!$F$2:$F$500,WorkOrders!$C$2:$C$500,A308)</f>
        <v/>
      </c>
      <c r="G308" s="11">
        <f>E308-F308</f>
        <v/>
      </c>
      <c r="H308" s="11">
        <f>SUMIFS(Downtime!$G$2:$G$500,Downtime!$A$2:$A$500,A308)</f>
        <v/>
      </c>
      <c r="I308" s="11">
        <f>MAX(0,D308-H308)</f>
        <v/>
      </c>
      <c r="J308" s="15">
        <f>IF(A308="","",IF(D308=0,0,MIN(1,I308/D308)))</f>
        <v/>
      </c>
      <c r="K308" s="15">
        <f>IF(A308="","",IF(OR(I308=0,C308=0),0,MIN(1,E308/((I308/60)*C308))))</f>
        <v/>
      </c>
      <c r="L308" s="15">
        <f>IF(A308="","",IF(E308=0,0,MIN(1,MAX(0,G308/E308))))</f>
        <v/>
      </c>
      <c r="M308" s="15">
        <f>IF(A308="","",J308*K308*L308)</f>
        <v/>
      </c>
    </row>
    <row r="309">
      <c r="A309" s="11">
        <f>Machines!A309</f>
        <v/>
      </c>
      <c r="B309" s="11">
        <f>Machines!B309</f>
        <v/>
      </c>
      <c r="C309" s="11">
        <f>IF(A309="","",Machines!D309)</f>
        <v/>
      </c>
      <c r="D309" s="11">
        <f>SUMIFS(WorkOrders!$M$2:$M$500,WorkOrders!$C$2:$C$500,A309)</f>
        <v/>
      </c>
      <c r="E309" s="11">
        <f>SUMIFS(WorkOrders!$E$2:$E$500,WorkOrders!$C$2:$C$500,A309)</f>
        <v/>
      </c>
      <c r="F309" s="11">
        <f>SUMIFS(WorkOrders!$F$2:$F$500,WorkOrders!$C$2:$C$500,A309)</f>
        <v/>
      </c>
      <c r="G309" s="11">
        <f>E309-F309</f>
        <v/>
      </c>
      <c r="H309" s="11">
        <f>SUMIFS(Downtime!$G$2:$G$500,Downtime!$A$2:$A$500,A309)</f>
        <v/>
      </c>
      <c r="I309" s="11">
        <f>MAX(0,D309-H309)</f>
        <v/>
      </c>
      <c r="J309" s="15">
        <f>IF(A309="","",IF(D309=0,0,MIN(1,I309/D309)))</f>
        <v/>
      </c>
      <c r="K309" s="15">
        <f>IF(A309="","",IF(OR(I309=0,C309=0),0,MIN(1,E309/((I309/60)*C309))))</f>
        <v/>
      </c>
      <c r="L309" s="15">
        <f>IF(A309="","",IF(E309=0,0,MIN(1,MAX(0,G309/E309))))</f>
        <v/>
      </c>
      <c r="M309" s="15">
        <f>IF(A309="","",J309*K309*L309)</f>
        <v/>
      </c>
    </row>
    <row r="310">
      <c r="A310" s="11">
        <f>Machines!A310</f>
        <v/>
      </c>
      <c r="B310" s="11">
        <f>Machines!B310</f>
        <v/>
      </c>
      <c r="C310" s="11">
        <f>IF(A310="","",Machines!D310)</f>
        <v/>
      </c>
      <c r="D310" s="11">
        <f>SUMIFS(WorkOrders!$M$2:$M$500,WorkOrders!$C$2:$C$500,A310)</f>
        <v/>
      </c>
      <c r="E310" s="11">
        <f>SUMIFS(WorkOrders!$E$2:$E$500,WorkOrders!$C$2:$C$500,A310)</f>
        <v/>
      </c>
      <c r="F310" s="11">
        <f>SUMIFS(WorkOrders!$F$2:$F$500,WorkOrders!$C$2:$C$500,A310)</f>
        <v/>
      </c>
      <c r="G310" s="11">
        <f>E310-F310</f>
        <v/>
      </c>
      <c r="H310" s="11">
        <f>SUMIFS(Downtime!$G$2:$G$500,Downtime!$A$2:$A$500,A310)</f>
        <v/>
      </c>
      <c r="I310" s="11">
        <f>MAX(0,D310-H310)</f>
        <v/>
      </c>
      <c r="J310" s="15">
        <f>IF(A310="","",IF(D310=0,0,MIN(1,I310/D310)))</f>
        <v/>
      </c>
      <c r="K310" s="15">
        <f>IF(A310="","",IF(OR(I310=0,C310=0),0,MIN(1,E310/((I310/60)*C310))))</f>
        <v/>
      </c>
      <c r="L310" s="15">
        <f>IF(A310="","",IF(E310=0,0,MIN(1,MAX(0,G310/E310))))</f>
        <v/>
      </c>
      <c r="M310" s="15">
        <f>IF(A310="","",J310*K310*L310)</f>
        <v/>
      </c>
    </row>
    <row r="311">
      <c r="A311" s="11">
        <f>Machines!A311</f>
        <v/>
      </c>
      <c r="B311" s="11">
        <f>Machines!B311</f>
        <v/>
      </c>
      <c r="C311" s="11">
        <f>IF(A311="","",Machines!D311)</f>
        <v/>
      </c>
      <c r="D311" s="11">
        <f>SUMIFS(WorkOrders!$M$2:$M$500,WorkOrders!$C$2:$C$500,A311)</f>
        <v/>
      </c>
      <c r="E311" s="11">
        <f>SUMIFS(WorkOrders!$E$2:$E$500,WorkOrders!$C$2:$C$500,A311)</f>
        <v/>
      </c>
      <c r="F311" s="11">
        <f>SUMIFS(WorkOrders!$F$2:$F$500,WorkOrders!$C$2:$C$500,A311)</f>
        <v/>
      </c>
      <c r="G311" s="11">
        <f>E311-F311</f>
        <v/>
      </c>
      <c r="H311" s="11">
        <f>SUMIFS(Downtime!$G$2:$G$500,Downtime!$A$2:$A$500,A311)</f>
        <v/>
      </c>
      <c r="I311" s="11">
        <f>MAX(0,D311-H311)</f>
        <v/>
      </c>
      <c r="J311" s="15">
        <f>IF(A311="","",IF(D311=0,0,MIN(1,I311/D311)))</f>
        <v/>
      </c>
      <c r="K311" s="15">
        <f>IF(A311="","",IF(OR(I311=0,C311=0),0,MIN(1,E311/((I311/60)*C311))))</f>
        <v/>
      </c>
      <c r="L311" s="15">
        <f>IF(A311="","",IF(E311=0,0,MIN(1,MAX(0,G311/E311))))</f>
        <v/>
      </c>
      <c r="M311" s="15">
        <f>IF(A311="","",J311*K311*L311)</f>
        <v/>
      </c>
    </row>
    <row r="312">
      <c r="A312" s="11">
        <f>Machines!A312</f>
        <v/>
      </c>
      <c r="B312" s="11">
        <f>Machines!B312</f>
        <v/>
      </c>
      <c r="C312" s="11">
        <f>IF(A312="","",Machines!D312)</f>
        <v/>
      </c>
      <c r="D312" s="11">
        <f>SUMIFS(WorkOrders!$M$2:$M$500,WorkOrders!$C$2:$C$500,A312)</f>
        <v/>
      </c>
      <c r="E312" s="11">
        <f>SUMIFS(WorkOrders!$E$2:$E$500,WorkOrders!$C$2:$C$500,A312)</f>
        <v/>
      </c>
      <c r="F312" s="11">
        <f>SUMIFS(WorkOrders!$F$2:$F$500,WorkOrders!$C$2:$C$500,A312)</f>
        <v/>
      </c>
      <c r="G312" s="11">
        <f>E312-F312</f>
        <v/>
      </c>
      <c r="H312" s="11">
        <f>SUMIFS(Downtime!$G$2:$G$500,Downtime!$A$2:$A$500,A312)</f>
        <v/>
      </c>
      <c r="I312" s="11">
        <f>MAX(0,D312-H312)</f>
        <v/>
      </c>
      <c r="J312" s="15">
        <f>IF(A312="","",IF(D312=0,0,MIN(1,I312/D312)))</f>
        <v/>
      </c>
      <c r="K312" s="15">
        <f>IF(A312="","",IF(OR(I312=0,C312=0),0,MIN(1,E312/((I312/60)*C312))))</f>
        <v/>
      </c>
      <c r="L312" s="15">
        <f>IF(A312="","",IF(E312=0,0,MIN(1,MAX(0,G312/E312))))</f>
        <v/>
      </c>
      <c r="M312" s="15">
        <f>IF(A312="","",J312*K312*L312)</f>
        <v/>
      </c>
    </row>
    <row r="313">
      <c r="A313" s="11">
        <f>Machines!A313</f>
        <v/>
      </c>
      <c r="B313" s="11">
        <f>Machines!B313</f>
        <v/>
      </c>
      <c r="C313" s="11">
        <f>IF(A313="","",Machines!D313)</f>
        <v/>
      </c>
      <c r="D313" s="11">
        <f>SUMIFS(WorkOrders!$M$2:$M$500,WorkOrders!$C$2:$C$500,A313)</f>
        <v/>
      </c>
      <c r="E313" s="11">
        <f>SUMIFS(WorkOrders!$E$2:$E$500,WorkOrders!$C$2:$C$500,A313)</f>
        <v/>
      </c>
      <c r="F313" s="11">
        <f>SUMIFS(WorkOrders!$F$2:$F$500,WorkOrders!$C$2:$C$500,A313)</f>
        <v/>
      </c>
      <c r="G313" s="11">
        <f>E313-F313</f>
        <v/>
      </c>
      <c r="H313" s="11">
        <f>SUMIFS(Downtime!$G$2:$G$500,Downtime!$A$2:$A$500,A313)</f>
        <v/>
      </c>
      <c r="I313" s="11">
        <f>MAX(0,D313-H313)</f>
        <v/>
      </c>
      <c r="J313" s="15">
        <f>IF(A313="","",IF(D313=0,0,MIN(1,I313/D313)))</f>
        <v/>
      </c>
      <c r="K313" s="15">
        <f>IF(A313="","",IF(OR(I313=0,C313=0),0,MIN(1,E313/((I313/60)*C313))))</f>
        <v/>
      </c>
      <c r="L313" s="15">
        <f>IF(A313="","",IF(E313=0,0,MIN(1,MAX(0,G313/E313))))</f>
        <v/>
      </c>
      <c r="M313" s="15">
        <f>IF(A313="","",J313*K313*L313)</f>
        <v/>
      </c>
    </row>
    <row r="314">
      <c r="A314" s="11">
        <f>Machines!A314</f>
        <v/>
      </c>
      <c r="B314" s="11">
        <f>Machines!B314</f>
        <v/>
      </c>
      <c r="C314" s="11">
        <f>IF(A314="","",Machines!D314)</f>
        <v/>
      </c>
      <c r="D314" s="11">
        <f>SUMIFS(WorkOrders!$M$2:$M$500,WorkOrders!$C$2:$C$500,A314)</f>
        <v/>
      </c>
      <c r="E314" s="11">
        <f>SUMIFS(WorkOrders!$E$2:$E$500,WorkOrders!$C$2:$C$500,A314)</f>
        <v/>
      </c>
      <c r="F314" s="11">
        <f>SUMIFS(WorkOrders!$F$2:$F$500,WorkOrders!$C$2:$C$500,A314)</f>
        <v/>
      </c>
      <c r="G314" s="11">
        <f>E314-F314</f>
        <v/>
      </c>
      <c r="H314" s="11">
        <f>SUMIFS(Downtime!$G$2:$G$500,Downtime!$A$2:$A$500,A314)</f>
        <v/>
      </c>
      <c r="I314" s="11">
        <f>MAX(0,D314-H314)</f>
        <v/>
      </c>
      <c r="J314" s="15">
        <f>IF(A314="","",IF(D314=0,0,MIN(1,I314/D314)))</f>
        <v/>
      </c>
      <c r="K314" s="15">
        <f>IF(A314="","",IF(OR(I314=0,C314=0),0,MIN(1,E314/((I314/60)*C314))))</f>
        <v/>
      </c>
      <c r="L314" s="15">
        <f>IF(A314="","",IF(E314=0,0,MIN(1,MAX(0,G314/E314))))</f>
        <v/>
      </c>
      <c r="M314" s="15">
        <f>IF(A314="","",J314*K314*L314)</f>
        <v/>
      </c>
    </row>
    <row r="315">
      <c r="A315" s="11">
        <f>Machines!A315</f>
        <v/>
      </c>
      <c r="B315" s="11">
        <f>Machines!B315</f>
        <v/>
      </c>
      <c r="C315" s="11">
        <f>IF(A315="","",Machines!D315)</f>
        <v/>
      </c>
      <c r="D315" s="11">
        <f>SUMIFS(WorkOrders!$M$2:$M$500,WorkOrders!$C$2:$C$500,A315)</f>
        <v/>
      </c>
      <c r="E315" s="11">
        <f>SUMIFS(WorkOrders!$E$2:$E$500,WorkOrders!$C$2:$C$500,A315)</f>
        <v/>
      </c>
      <c r="F315" s="11">
        <f>SUMIFS(WorkOrders!$F$2:$F$500,WorkOrders!$C$2:$C$500,A315)</f>
        <v/>
      </c>
      <c r="G315" s="11">
        <f>E315-F315</f>
        <v/>
      </c>
      <c r="H315" s="11">
        <f>SUMIFS(Downtime!$G$2:$G$500,Downtime!$A$2:$A$500,A315)</f>
        <v/>
      </c>
      <c r="I315" s="11">
        <f>MAX(0,D315-H315)</f>
        <v/>
      </c>
      <c r="J315" s="15">
        <f>IF(A315="","",IF(D315=0,0,MIN(1,I315/D315)))</f>
        <v/>
      </c>
      <c r="K315" s="15">
        <f>IF(A315="","",IF(OR(I315=0,C315=0),0,MIN(1,E315/((I315/60)*C315))))</f>
        <v/>
      </c>
      <c r="L315" s="15">
        <f>IF(A315="","",IF(E315=0,0,MIN(1,MAX(0,G315/E315))))</f>
        <v/>
      </c>
      <c r="M315" s="15">
        <f>IF(A315="","",J315*K315*L315)</f>
        <v/>
      </c>
    </row>
    <row r="316">
      <c r="A316" s="11">
        <f>Machines!A316</f>
        <v/>
      </c>
      <c r="B316" s="11">
        <f>Machines!B316</f>
        <v/>
      </c>
      <c r="C316" s="11">
        <f>IF(A316="","",Machines!D316)</f>
        <v/>
      </c>
      <c r="D316" s="11">
        <f>SUMIFS(WorkOrders!$M$2:$M$500,WorkOrders!$C$2:$C$500,A316)</f>
        <v/>
      </c>
      <c r="E316" s="11">
        <f>SUMIFS(WorkOrders!$E$2:$E$500,WorkOrders!$C$2:$C$500,A316)</f>
        <v/>
      </c>
      <c r="F316" s="11">
        <f>SUMIFS(WorkOrders!$F$2:$F$500,WorkOrders!$C$2:$C$500,A316)</f>
        <v/>
      </c>
      <c r="G316" s="11">
        <f>E316-F316</f>
        <v/>
      </c>
      <c r="H316" s="11">
        <f>SUMIFS(Downtime!$G$2:$G$500,Downtime!$A$2:$A$500,A316)</f>
        <v/>
      </c>
      <c r="I316" s="11">
        <f>MAX(0,D316-H316)</f>
        <v/>
      </c>
      <c r="J316" s="15">
        <f>IF(A316="","",IF(D316=0,0,MIN(1,I316/D316)))</f>
        <v/>
      </c>
      <c r="K316" s="15">
        <f>IF(A316="","",IF(OR(I316=0,C316=0),0,MIN(1,E316/((I316/60)*C316))))</f>
        <v/>
      </c>
      <c r="L316" s="15">
        <f>IF(A316="","",IF(E316=0,0,MIN(1,MAX(0,G316/E316))))</f>
        <v/>
      </c>
      <c r="M316" s="15">
        <f>IF(A316="","",J316*K316*L316)</f>
        <v/>
      </c>
    </row>
    <row r="317">
      <c r="A317" s="11">
        <f>Machines!A317</f>
        <v/>
      </c>
      <c r="B317" s="11">
        <f>Machines!B317</f>
        <v/>
      </c>
      <c r="C317" s="11">
        <f>IF(A317="","",Machines!D317)</f>
        <v/>
      </c>
      <c r="D317" s="11">
        <f>SUMIFS(WorkOrders!$M$2:$M$500,WorkOrders!$C$2:$C$500,A317)</f>
        <v/>
      </c>
      <c r="E317" s="11">
        <f>SUMIFS(WorkOrders!$E$2:$E$500,WorkOrders!$C$2:$C$500,A317)</f>
        <v/>
      </c>
      <c r="F317" s="11">
        <f>SUMIFS(WorkOrders!$F$2:$F$500,WorkOrders!$C$2:$C$500,A317)</f>
        <v/>
      </c>
      <c r="G317" s="11">
        <f>E317-F317</f>
        <v/>
      </c>
      <c r="H317" s="11">
        <f>SUMIFS(Downtime!$G$2:$G$500,Downtime!$A$2:$A$500,A317)</f>
        <v/>
      </c>
      <c r="I317" s="11">
        <f>MAX(0,D317-H317)</f>
        <v/>
      </c>
      <c r="J317" s="15">
        <f>IF(A317="","",IF(D317=0,0,MIN(1,I317/D317)))</f>
        <v/>
      </c>
      <c r="K317" s="15">
        <f>IF(A317="","",IF(OR(I317=0,C317=0),0,MIN(1,E317/((I317/60)*C317))))</f>
        <v/>
      </c>
      <c r="L317" s="15">
        <f>IF(A317="","",IF(E317=0,0,MIN(1,MAX(0,G317/E317))))</f>
        <v/>
      </c>
      <c r="M317" s="15">
        <f>IF(A317="","",J317*K317*L317)</f>
        <v/>
      </c>
    </row>
    <row r="318">
      <c r="A318" s="11">
        <f>Machines!A318</f>
        <v/>
      </c>
      <c r="B318" s="11">
        <f>Machines!B318</f>
        <v/>
      </c>
      <c r="C318" s="11">
        <f>IF(A318="","",Machines!D318)</f>
        <v/>
      </c>
      <c r="D318" s="11">
        <f>SUMIFS(WorkOrders!$M$2:$M$500,WorkOrders!$C$2:$C$500,A318)</f>
        <v/>
      </c>
      <c r="E318" s="11">
        <f>SUMIFS(WorkOrders!$E$2:$E$500,WorkOrders!$C$2:$C$500,A318)</f>
        <v/>
      </c>
      <c r="F318" s="11">
        <f>SUMIFS(WorkOrders!$F$2:$F$500,WorkOrders!$C$2:$C$500,A318)</f>
        <v/>
      </c>
      <c r="G318" s="11">
        <f>E318-F318</f>
        <v/>
      </c>
      <c r="H318" s="11">
        <f>SUMIFS(Downtime!$G$2:$G$500,Downtime!$A$2:$A$500,A318)</f>
        <v/>
      </c>
      <c r="I318" s="11">
        <f>MAX(0,D318-H318)</f>
        <v/>
      </c>
      <c r="J318" s="15">
        <f>IF(A318="","",IF(D318=0,0,MIN(1,I318/D318)))</f>
        <v/>
      </c>
      <c r="K318" s="15">
        <f>IF(A318="","",IF(OR(I318=0,C318=0),0,MIN(1,E318/((I318/60)*C318))))</f>
        <v/>
      </c>
      <c r="L318" s="15">
        <f>IF(A318="","",IF(E318=0,0,MIN(1,MAX(0,G318/E318))))</f>
        <v/>
      </c>
      <c r="M318" s="15">
        <f>IF(A318="","",J318*K318*L318)</f>
        <v/>
      </c>
    </row>
    <row r="319">
      <c r="A319" s="11">
        <f>Machines!A319</f>
        <v/>
      </c>
      <c r="B319" s="11">
        <f>Machines!B319</f>
        <v/>
      </c>
      <c r="C319" s="11">
        <f>IF(A319="","",Machines!D319)</f>
        <v/>
      </c>
      <c r="D319" s="11">
        <f>SUMIFS(WorkOrders!$M$2:$M$500,WorkOrders!$C$2:$C$500,A319)</f>
        <v/>
      </c>
      <c r="E319" s="11">
        <f>SUMIFS(WorkOrders!$E$2:$E$500,WorkOrders!$C$2:$C$500,A319)</f>
        <v/>
      </c>
      <c r="F319" s="11">
        <f>SUMIFS(WorkOrders!$F$2:$F$500,WorkOrders!$C$2:$C$500,A319)</f>
        <v/>
      </c>
      <c r="G319" s="11">
        <f>E319-F319</f>
        <v/>
      </c>
      <c r="H319" s="11">
        <f>SUMIFS(Downtime!$G$2:$G$500,Downtime!$A$2:$A$500,A319)</f>
        <v/>
      </c>
      <c r="I319" s="11">
        <f>MAX(0,D319-H319)</f>
        <v/>
      </c>
      <c r="J319" s="15">
        <f>IF(A319="","",IF(D319=0,0,MIN(1,I319/D319)))</f>
        <v/>
      </c>
      <c r="K319" s="15">
        <f>IF(A319="","",IF(OR(I319=0,C319=0),0,MIN(1,E319/((I319/60)*C319))))</f>
        <v/>
      </c>
      <c r="L319" s="15">
        <f>IF(A319="","",IF(E319=0,0,MIN(1,MAX(0,G319/E319))))</f>
        <v/>
      </c>
      <c r="M319" s="15">
        <f>IF(A319="","",J319*K319*L319)</f>
        <v/>
      </c>
    </row>
    <row r="320">
      <c r="A320" s="11">
        <f>Machines!A320</f>
        <v/>
      </c>
      <c r="B320" s="11">
        <f>Machines!B320</f>
        <v/>
      </c>
      <c r="C320" s="11">
        <f>IF(A320="","",Machines!D320)</f>
        <v/>
      </c>
      <c r="D320" s="11">
        <f>SUMIFS(WorkOrders!$M$2:$M$500,WorkOrders!$C$2:$C$500,A320)</f>
        <v/>
      </c>
      <c r="E320" s="11">
        <f>SUMIFS(WorkOrders!$E$2:$E$500,WorkOrders!$C$2:$C$500,A320)</f>
        <v/>
      </c>
      <c r="F320" s="11">
        <f>SUMIFS(WorkOrders!$F$2:$F$500,WorkOrders!$C$2:$C$500,A320)</f>
        <v/>
      </c>
      <c r="G320" s="11">
        <f>E320-F320</f>
        <v/>
      </c>
      <c r="H320" s="11">
        <f>SUMIFS(Downtime!$G$2:$G$500,Downtime!$A$2:$A$500,A320)</f>
        <v/>
      </c>
      <c r="I320" s="11">
        <f>MAX(0,D320-H320)</f>
        <v/>
      </c>
      <c r="J320" s="15">
        <f>IF(A320="","",IF(D320=0,0,MIN(1,I320/D320)))</f>
        <v/>
      </c>
      <c r="K320" s="15">
        <f>IF(A320="","",IF(OR(I320=0,C320=0),0,MIN(1,E320/((I320/60)*C320))))</f>
        <v/>
      </c>
      <c r="L320" s="15">
        <f>IF(A320="","",IF(E320=0,0,MIN(1,MAX(0,G320/E320))))</f>
        <v/>
      </c>
      <c r="M320" s="15">
        <f>IF(A320="","",J320*K320*L320)</f>
        <v/>
      </c>
    </row>
    <row r="321">
      <c r="A321" s="11">
        <f>Machines!A321</f>
        <v/>
      </c>
      <c r="B321" s="11">
        <f>Machines!B321</f>
        <v/>
      </c>
      <c r="C321" s="11">
        <f>IF(A321="","",Machines!D321)</f>
        <v/>
      </c>
      <c r="D321" s="11">
        <f>SUMIFS(WorkOrders!$M$2:$M$500,WorkOrders!$C$2:$C$500,A321)</f>
        <v/>
      </c>
      <c r="E321" s="11">
        <f>SUMIFS(WorkOrders!$E$2:$E$500,WorkOrders!$C$2:$C$500,A321)</f>
        <v/>
      </c>
      <c r="F321" s="11">
        <f>SUMIFS(WorkOrders!$F$2:$F$500,WorkOrders!$C$2:$C$500,A321)</f>
        <v/>
      </c>
      <c r="G321" s="11">
        <f>E321-F321</f>
        <v/>
      </c>
      <c r="H321" s="11">
        <f>SUMIFS(Downtime!$G$2:$G$500,Downtime!$A$2:$A$500,A321)</f>
        <v/>
      </c>
      <c r="I321" s="11">
        <f>MAX(0,D321-H321)</f>
        <v/>
      </c>
      <c r="J321" s="15">
        <f>IF(A321="","",IF(D321=0,0,MIN(1,I321/D321)))</f>
        <v/>
      </c>
      <c r="K321" s="15">
        <f>IF(A321="","",IF(OR(I321=0,C321=0),0,MIN(1,E321/((I321/60)*C321))))</f>
        <v/>
      </c>
      <c r="L321" s="15">
        <f>IF(A321="","",IF(E321=0,0,MIN(1,MAX(0,G321/E321))))</f>
        <v/>
      </c>
      <c r="M321" s="15">
        <f>IF(A321="","",J321*K321*L321)</f>
        <v/>
      </c>
    </row>
    <row r="322">
      <c r="A322" s="11">
        <f>Machines!A322</f>
        <v/>
      </c>
      <c r="B322" s="11">
        <f>Machines!B322</f>
        <v/>
      </c>
      <c r="C322" s="11">
        <f>IF(A322="","",Machines!D322)</f>
        <v/>
      </c>
      <c r="D322" s="11">
        <f>SUMIFS(WorkOrders!$M$2:$M$500,WorkOrders!$C$2:$C$500,A322)</f>
        <v/>
      </c>
      <c r="E322" s="11">
        <f>SUMIFS(WorkOrders!$E$2:$E$500,WorkOrders!$C$2:$C$500,A322)</f>
        <v/>
      </c>
      <c r="F322" s="11">
        <f>SUMIFS(WorkOrders!$F$2:$F$500,WorkOrders!$C$2:$C$500,A322)</f>
        <v/>
      </c>
      <c r="G322" s="11">
        <f>E322-F322</f>
        <v/>
      </c>
      <c r="H322" s="11">
        <f>SUMIFS(Downtime!$G$2:$G$500,Downtime!$A$2:$A$500,A322)</f>
        <v/>
      </c>
      <c r="I322" s="11">
        <f>MAX(0,D322-H322)</f>
        <v/>
      </c>
      <c r="J322" s="15">
        <f>IF(A322="","",IF(D322=0,0,MIN(1,I322/D322)))</f>
        <v/>
      </c>
      <c r="K322" s="15">
        <f>IF(A322="","",IF(OR(I322=0,C322=0),0,MIN(1,E322/((I322/60)*C322))))</f>
        <v/>
      </c>
      <c r="L322" s="15">
        <f>IF(A322="","",IF(E322=0,0,MIN(1,MAX(0,G322/E322))))</f>
        <v/>
      </c>
      <c r="M322" s="15">
        <f>IF(A322="","",J322*K322*L322)</f>
        <v/>
      </c>
    </row>
    <row r="323">
      <c r="A323" s="11">
        <f>Machines!A323</f>
        <v/>
      </c>
      <c r="B323" s="11">
        <f>Machines!B323</f>
        <v/>
      </c>
      <c r="C323" s="11">
        <f>IF(A323="","",Machines!D323)</f>
        <v/>
      </c>
      <c r="D323" s="11">
        <f>SUMIFS(WorkOrders!$M$2:$M$500,WorkOrders!$C$2:$C$500,A323)</f>
        <v/>
      </c>
      <c r="E323" s="11">
        <f>SUMIFS(WorkOrders!$E$2:$E$500,WorkOrders!$C$2:$C$500,A323)</f>
        <v/>
      </c>
      <c r="F323" s="11">
        <f>SUMIFS(WorkOrders!$F$2:$F$500,WorkOrders!$C$2:$C$500,A323)</f>
        <v/>
      </c>
      <c r="G323" s="11">
        <f>E323-F323</f>
        <v/>
      </c>
      <c r="H323" s="11">
        <f>SUMIFS(Downtime!$G$2:$G$500,Downtime!$A$2:$A$500,A323)</f>
        <v/>
      </c>
      <c r="I323" s="11">
        <f>MAX(0,D323-H323)</f>
        <v/>
      </c>
      <c r="J323" s="15">
        <f>IF(A323="","",IF(D323=0,0,MIN(1,I323/D323)))</f>
        <v/>
      </c>
      <c r="K323" s="15">
        <f>IF(A323="","",IF(OR(I323=0,C323=0),0,MIN(1,E323/((I323/60)*C323))))</f>
        <v/>
      </c>
      <c r="L323" s="15">
        <f>IF(A323="","",IF(E323=0,0,MIN(1,MAX(0,G323/E323))))</f>
        <v/>
      </c>
      <c r="M323" s="15">
        <f>IF(A323="","",J323*K323*L323)</f>
        <v/>
      </c>
    </row>
    <row r="324">
      <c r="A324" s="11">
        <f>Machines!A324</f>
        <v/>
      </c>
      <c r="B324" s="11">
        <f>Machines!B324</f>
        <v/>
      </c>
      <c r="C324" s="11">
        <f>IF(A324="","",Machines!D324)</f>
        <v/>
      </c>
      <c r="D324" s="11">
        <f>SUMIFS(WorkOrders!$M$2:$M$500,WorkOrders!$C$2:$C$500,A324)</f>
        <v/>
      </c>
      <c r="E324" s="11">
        <f>SUMIFS(WorkOrders!$E$2:$E$500,WorkOrders!$C$2:$C$500,A324)</f>
        <v/>
      </c>
      <c r="F324" s="11">
        <f>SUMIFS(WorkOrders!$F$2:$F$500,WorkOrders!$C$2:$C$500,A324)</f>
        <v/>
      </c>
      <c r="G324" s="11">
        <f>E324-F324</f>
        <v/>
      </c>
      <c r="H324" s="11">
        <f>SUMIFS(Downtime!$G$2:$G$500,Downtime!$A$2:$A$500,A324)</f>
        <v/>
      </c>
      <c r="I324" s="11">
        <f>MAX(0,D324-H324)</f>
        <v/>
      </c>
      <c r="J324" s="15">
        <f>IF(A324="","",IF(D324=0,0,MIN(1,I324/D324)))</f>
        <v/>
      </c>
      <c r="K324" s="15">
        <f>IF(A324="","",IF(OR(I324=0,C324=0),0,MIN(1,E324/((I324/60)*C324))))</f>
        <v/>
      </c>
      <c r="L324" s="15">
        <f>IF(A324="","",IF(E324=0,0,MIN(1,MAX(0,G324/E324))))</f>
        <v/>
      </c>
      <c r="M324" s="15">
        <f>IF(A324="","",J324*K324*L324)</f>
        <v/>
      </c>
    </row>
    <row r="325">
      <c r="A325" s="11">
        <f>Machines!A325</f>
        <v/>
      </c>
      <c r="B325" s="11">
        <f>Machines!B325</f>
        <v/>
      </c>
      <c r="C325" s="11">
        <f>IF(A325="","",Machines!D325)</f>
        <v/>
      </c>
      <c r="D325" s="11">
        <f>SUMIFS(WorkOrders!$M$2:$M$500,WorkOrders!$C$2:$C$500,A325)</f>
        <v/>
      </c>
      <c r="E325" s="11">
        <f>SUMIFS(WorkOrders!$E$2:$E$500,WorkOrders!$C$2:$C$500,A325)</f>
        <v/>
      </c>
      <c r="F325" s="11">
        <f>SUMIFS(WorkOrders!$F$2:$F$500,WorkOrders!$C$2:$C$500,A325)</f>
        <v/>
      </c>
      <c r="G325" s="11">
        <f>E325-F325</f>
        <v/>
      </c>
      <c r="H325" s="11">
        <f>SUMIFS(Downtime!$G$2:$G$500,Downtime!$A$2:$A$500,A325)</f>
        <v/>
      </c>
      <c r="I325" s="11">
        <f>MAX(0,D325-H325)</f>
        <v/>
      </c>
      <c r="J325" s="15">
        <f>IF(A325="","",IF(D325=0,0,MIN(1,I325/D325)))</f>
        <v/>
      </c>
      <c r="K325" s="15">
        <f>IF(A325="","",IF(OR(I325=0,C325=0),0,MIN(1,E325/((I325/60)*C325))))</f>
        <v/>
      </c>
      <c r="L325" s="15">
        <f>IF(A325="","",IF(E325=0,0,MIN(1,MAX(0,G325/E325))))</f>
        <v/>
      </c>
      <c r="M325" s="15">
        <f>IF(A325="","",J325*K325*L325)</f>
        <v/>
      </c>
    </row>
    <row r="326">
      <c r="A326" s="11">
        <f>Machines!A326</f>
        <v/>
      </c>
      <c r="B326" s="11">
        <f>Machines!B326</f>
        <v/>
      </c>
      <c r="C326" s="11">
        <f>IF(A326="","",Machines!D326)</f>
        <v/>
      </c>
      <c r="D326" s="11">
        <f>SUMIFS(WorkOrders!$M$2:$M$500,WorkOrders!$C$2:$C$500,A326)</f>
        <v/>
      </c>
      <c r="E326" s="11">
        <f>SUMIFS(WorkOrders!$E$2:$E$500,WorkOrders!$C$2:$C$500,A326)</f>
        <v/>
      </c>
      <c r="F326" s="11">
        <f>SUMIFS(WorkOrders!$F$2:$F$500,WorkOrders!$C$2:$C$500,A326)</f>
        <v/>
      </c>
      <c r="G326" s="11">
        <f>E326-F326</f>
        <v/>
      </c>
      <c r="H326" s="11">
        <f>SUMIFS(Downtime!$G$2:$G$500,Downtime!$A$2:$A$500,A326)</f>
        <v/>
      </c>
      <c r="I326" s="11">
        <f>MAX(0,D326-H326)</f>
        <v/>
      </c>
      <c r="J326" s="15">
        <f>IF(A326="","",IF(D326=0,0,MIN(1,I326/D326)))</f>
        <v/>
      </c>
      <c r="K326" s="15">
        <f>IF(A326="","",IF(OR(I326=0,C326=0),0,MIN(1,E326/((I326/60)*C326))))</f>
        <v/>
      </c>
      <c r="L326" s="15">
        <f>IF(A326="","",IF(E326=0,0,MIN(1,MAX(0,G326/E326))))</f>
        <v/>
      </c>
      <c r="M326" s="15">
        <f>IF(A326="","",J326*K326*L326)</f>
        <v/>
      </c>
    </row>
    <row r="327">
      <c r="A327" s="11">
        <f>Machines!A327</f>
        <v/>
      </c>
      <c r="B327" s="11">
        <f>Machines!B327</f>
        <v/>
      </c>
      <c r="C327" s="11">
        <f>IF(A327="","",Machines!D327)</f>
        <v/>
      </c>
      <c r="D327" s="11">
        <f>SUMIFS(WorkOrders!$M$2:$M$500,WorkOrders!$C$2:$C$500,A327)</f>
        <v/>
      </c>
      <c r="E327" s="11">
        <f>SUMIFS(WorkOrders!$E$2:$E$500,WorkOrders!$C$2:$C$500,A327)</f>
        <v/>
      </c>
      <c r="F327" s="11">
        <f>SUMIFS(WorkOrders!$F$2:$F$500,WorkOrders!$C$2:$C$500,A327)</f>
        <v/>
      </c>
      <c r="G327" s="11">
        <f>E327-F327</f>
        <v/>
      </c>
      <c r="H327" s="11">
        <f>SUMIFS(Downtime!$G$2:$G$500,Downtime!$A$2:$A$500,A327)</f>
        <v/>
      </c>
      <c r="I327" s="11">
        <f>MAX(0,D327-H327)</f>
        <v/>
      </c>
      <c r="J327" s="15">
        <f>IF(A327="","",IF(D327=0,0,MIN(1,I327/D327)))</f>
        <v/>
      </c>
      <c r="K327" s="15">
        <f>IF(A327="","",IF(OR(I327=0,C327=0),0,MIN(1,E327/((I327/60)*C327))))</f>
        <v/>
      </c>
      <c r="L327" s="15">
        <f>IF(A327="","",IF(E327=0,0,MIN(1,MAX(0,G327/E327))))</f>
        <v/>
      </c>
      <c r="M327" s="15">
        <f>IF(A327="","",J327*K327*L327)</f>
        <v/>
      </c>
    </row>
    <row r="328">
      <c r="A328" s="11">
        <f>Machines!A328</f>
        <v/>
      </c>
      <c r="B328" s="11">
        <f>Machines!B328</f>
        <v/>
      </c>
      <c r="C328" s="11">
        <f>IF(A328="","",Machines!D328)</f>
        <v/>
      </c>
      <c r="D328" s="11">
        <f>SUMIFS(WorkOrders!$M$2:$M$500,WorkOrders!$C$2:$C$500,A328)</f>
        <v/>
      </c>
      <c r="E328" s="11">
        <f>SUMIFS(WorkOrders!$E$2:$E$500,WorkOrders!$C$2:$C$500,A328)</f>
        <v/>
      </c>
      <c r="F328" s="11">
        <f>SUMIFS(WorkOrders!$F$2:$F$500,WorkOrders!$C$2:$C$500,A328)</f>
        <v/>
      </c>
      <c r="G328" s="11">
        <f>E328-F328</f>
        <v/>
      </c>
      <c r="H328" s="11">
        <f>SUMIFS(Downtime!$G$2:$G$500,Downtime!$A$2:$A$500,A328)</f>
        <v/>
      </c>
      <c r="I328" s="11">
        <f>MAX(0,D328-H328)</f>
        <v/>
      </c>
      <c r="J328" s="15">
        <f>IF(A328="","",IF(D328=0,0,MIN(1,I328/D328)))</f>
        <v/>
      </c>
      <c r="K328" s="15">
        <f>IF(A328="","",IF(OR(I328=0,C328=0),0,MIN(1,E328/((I328/60)*C328))))</f>
        <v/>
      </c>
      <c r="L328" s="15">
        <f>IF(A328="","",IF(E328=0,0,MIN(1,MAX(0,G328/E328))))</f>
        <v/>
      </c>
      <c r="M328" s="15">
        <f>IF(A328="","",J328*K328*L328)</f>
        <v/>
      </c>
    </row>
    <row r="329">
      <c r="A329" s="11">
        <f>Machines!A329</f>
        <v/>
      </c>
      <c r="B329" s="11">
        <f>Machines!B329</f>
        <v/>
      </c>
      <c r="C329" s="11">
        <f>IF(A329="","",Machines!D329)</f>
        <v/>
      </c>
      <c r="D329" s="11">
        <f>SUMIFS(WorkOrders!$M$2:$M$500,WorkOrders!$C$2:$C$500,A329)</f>
        <v/>
      </c>
      <c r="E329" s="11">
        <f>SUMIFS(WorkOrders!$E$2:$E$500,WorkOrders!$C$2:$C$500,A329)</f>
        <v/>
      </c>
      <c r="F329" s="11">
        <f>SUMIFS(WorkOrders!$F$2:$F$500,WorkOrders!$C$2:$C$500,A329)</f>
        <v/>
      </c>
      <c r="G329" s="11">
        <f>E329-F329</f>
        <v/>
      </c>
      <c r="H329" s="11">
        <f>SUMIFS(Downtime!$G$2:$G$500,Downtime!$A$2:$A$500,A329)</f>
        <v/>
      </c>
      <c r="I329" s="11">
        <f>MAX(0,D329-H329)</f>
        <v/>
      </c>
      <c r="J329" s="15">
        <f>IF(A329="","",IF(D329=0,0,MIN(1,I329/D329)))</f>
        <v/>
      </c>
      <c r="K329" s="15">
        <f>IF(A329="","",IF(OR(I329=0,C329=0),0,MIN(1,E329/((I329/60)*C329))))</f>
        <v/>
      </c>
      <c r="L329" s="15">
        <f>IF(A329="","",IF(E329=0,0,MIN(1,MAX(0,G329/E329))))</f>
        <v/>
      </c>
      <c r="M329" s="15">
        <f>IF(A329="","",J329*K329*L329)</f>
        <v/>
      </c>
    </row>
    <row r="330">
      <c r="A330" s="11">
        <f>Machines!A330</f>
        <v/>
      </c>
      <c r="B330" s="11">
        <f>Machines!B330</f>
        <v/>
      </c>
      <c r="C330" s="11">
        <f>IF(A330="","",Machines!D330)</f>
        <v/>
      </c>
      <c r="D330" s="11">
        <f>SUMIFS(WorkOrders!$M$2:$M$500,WorkOrders!$C$2:$C$500,A330)</f>
        <v/>
      </c>
      <c r="E330" s="11">
        <f>SUMIFS(WorkOrders!$E$2:$E$500,WorkOrders!$C$2:$C$500,A330)</f>
        <v/>
      </c>
      <c r="F330" s="11">
        <f>SUMIFS(WorkOrders!$F$2:$F$500,WorkOrders!$C$2:$C$500,A330)</f>
        <v/>
      </c>
      <c r="G330" s="11">
        <f>E330-F330</f>
        <v/>
      </c>
      <c r="H330" s="11">
        <f>SUMIFS(Downtime!$G$2:$G$500,Downtime!$A$2:$A$500,A330)</f>
        <v/>
      </c>
      <c r="I330" s="11">
        <f>MAX(0,D330-H330)</f>
        <v/>
      </c>
      <c r="J330" s="15">
        <f>IF(A330="","",IF(D330=0,0,MIN(1,I330/D330)))</f>
        <v/>
      </c>
      <c r="K330" s="15">
        <f>IF(A330="","",IF(OR(I330=0,C330=0),0,MIN(1,E330/((I330/60)*C330))))</f>
        <v/>
      </c>
      <c r="L330" s="15">
        <f>IF(A330="","",IF(E330=0,0,MIN(1,MAX(0,G330/E330))))</f>
        <v/>
      </c>
      <c r="M330" s="15">
        <f>IF(A330="","",J330*K330*L330)</f>
        <v/>
      </c>
    </row>
    <row r="331">
      <c r="A331" s="11">
        <f>Machines!A331</f>
        <v/>
      </c>
      <c r="B331" s="11">
        <f>Machines!B331</f>
        <v/>
      </c>
      <c r="C331" s="11">
        <f>IF(A331="","",Machines!D331)</f>
        <v/>
      </c>
      <c r="D331" s="11">
        <f>SUMIFS(WorkOrders!$M$2:$M$500,WorkOrders!$C$2:$C$500,A331)</f>
        <v/>
      </c>
      <c r="E331" s="11">
        <f>SUMIFS(WorkOrders!$E$2:$E$500,WorkOrders!$C$2:$C$500,A331)</f>
        <v/>
      </c>
      <c r="F331" s="11">
        <f>SUMIFS(WorkOrders!$F$2:$F$500,WorkOrders!$C$2:$C$500,A331)</f>
        <v/>
      </c>
      <c r="G331" s="11">
        <f>E331-F331</f>
        <v/>
      </c>
      <c r="H331" s="11">
        <f>SUMIFS(Downtime!$G$2:$G$500,Downtime!$A$2:$A$500,A331)</f>
        <v/>
      </c>
      <c r="I331" s="11">
        <f>MAX(0,D331-H331)</f>
        <v/>
      </c>
      <c r="J331" s="15">
        <f>IF(A331="","",IF(D331=0,0,MIN(1,I331/D331)))</f>
        <v/>
      </c>
      <c r="K331" s="15">
        <f>IF(A331="","",IF(OR(I331=0,C331=0),0,MIN(1,E331/((I331/60)*C331))))</f>
        <v/>
      </c>
      <c r="L331" s="15">
        <f>IF(A331="","",IF(E331=0,0,MIN(1,MAX(0,G331/E331))))</f>
        <v/>
      </c>
      <c r="M331" s="15">
        <f>IF(A331="","",J331*K331*L331)</f>
        <v/>
      </c>
    </row>
    <row r="332">
      <c r="A332" s="11">
        <f>Machines!A332</f>
        <v/>
      </c>
      <c r="B332" s="11">
        <f>Machines!B332</f>
        <v/>
      </c>
      <c r="C332" s="11">
        <f>IF(A332="","",Machines!D332)</f>
        <v/>
      </c>
      <c r="D332" s="11">
        <f>SUMIFS(WorkOrders!$M$2:$M$500,WorkOrders!$C$2:$C$500,A332)</f>
        <v/>
      </c>
      <c r="E332" s="11">
        <f>SUMIFS(WorkOrders!$E$2:$E$500,WorkOrders!$C$2:$C$500,A332)</f>
        <v/>
      </c>
      <c r="F332" s="11">
        <f>SUMIFS(WorkOrders!$F$2:$F$500,WorkOrders!$C$2:$C$500,A332)</f>
        <v/>
      </c>
      <c r="G332" s="11">
        <f>E332-F332</f>
        <v/>
      </c>
      <c r="H332" s="11">
        <f>SUMIFS(Downtime!$G$2:$G$500,Downtime!$A$2:$A$500,A332)</f>
        <v/>
      </c>
      <c r="I332" s="11">
        <f>MAX(0,D332-H332)</f>
        <v/>
      </c>
      <c r="J332" s="15">
        <f>IF(A332="","",IF(D332=0,0,MIN(1,I332/D332)))</f>
        <v/>
      </c>
      <c r="K332" s="15">
        <f>IF(A332="","",IF(OR(I332=0,C332=0),0,MIN(1,E332/((I332/60)*C332))))</f>
        <v/>
      </c>
      <c r="L332" s="15">
        <f>IF(A332="","",IF(E332=0,0,MIN(1,MAX(0,G332/E332))))</f>
        <v/>
      </c>
      <c r="M332" s="15">
        <f>IF(A332="","",J332*K332*L332)</f>
        <v/>
      </c>
    </row>
    <row r="333">
      <c r="A333" s="11">
        <f>Machines!A333</f>
        <v/>
      </c>
      <c r="B333" s="11">
        <f>Machines!B333</f>
        <v/>
      </c>
      <c r="C333" s="11">
        <f>IF(A333="","",Machines!D333)</f>
        <v/>
      </c>
      <c r="D333" s="11">
        <f>SUMIFS(WorkOrders!$M$2:$M$500,WorkOrders!$C$2:$C$500,A333)</f>
        <v/>
      </c>
      <c r="E333" s="11">
        <f>SUMIFS(WorkOrders!$E$2:$E$500,WorkOrders!$C$2:$C$500,A333)</f>
        <v/>
      </c>
      <c r="F333" s="11">
        <f>SUMIFS(WorkOrders!$F$2:$F$500,WorkOrders!$C$2:$C$500,A333)</f>
        <v/>
      </c>
      <c r="G333" s="11">
        <f>E333-F333</f>
        <v/>
      </c>
      <c r="H333" s="11">
        <f>SUMIFS(Downtime!$G$2:$G$500,Downtime!$A$2:$A$500,A333)</f>
        <v/>
      </c>
      <c r="I333" s="11">
        <f>MAX(0,D333-H333)</f>
        <v/>
      </c>
      <c r="J333" s="15">
        <f>IF(A333="","",IF(D333=0,0,MIN(1,I333/D333)))</f>
        <v/>
      </c>
      <c r="K333" s="15">
        <f>IF(A333="","",IF(OR(I333=0,C333=0),0,MIN(1,E333/((I333/60)*C333))))</f>
        <v/>
      </c>
      <c r="L333" s="15">
        <f>IF(A333="","",IF(E333=0,0,MIN(1,MAX(0,G333/E333))))</f>
        <v/>
      </c>
      <c r="M333" s="15">
        <f>IF(A333="","",J333*K333*L333)</f>
        <v/>
      </c>
    </row>
    <row r="334">
      <c r="A334" s="11">
        <f>Machines!A334</f>
        <v/>
      </c>
      <c r="B334" s="11">
        <f>Machines!B334</f>
        <v/>
      </c>
      <c r="C334" s="11">
        <f>IF(A334="","",Machines!D334)</f>
        <v/>
      </c>
      <c r="D334" s="11">
        <f>SUMIFS(WorkOrders!$M$2:$M$500,WorkOrders!$C$2:$C$500,A334)</f>
        <v/>
      </c>
      <c r="E334" s="11">
        <f>SUMIFS(WorkOrders!$E$2:$E$500,WorkOrders!$C$2:$C$500,A334)</f>
        <v/>
      </c>
      <c r="F334" s="11">
        <f>SUMIFS(WorkOrders!$F$2:$F$500,WorkOrders!$C$2:$C$500,A334)</f>
        <v/>
      </c>
      <c r="G334" s="11">
        <f>E334-F334</f>
        <v/>
      </c>
      <c r="H334" s="11">
        <f>SUMIFS(Downtime!$G$2:$G$500,Downtime!$A$2:$A$500,A334)</f>
        <v/>
      </c>
      <c r="I334" s="11">
        <f>MAX(0,D334-H334)</f>
        <v/>
      </c>
      <c r="J334" s="15">
        <f>IF(A334="","",IF(D334=0,0,MIN(1,I334/D334)))</f>
        <v/>
      </c>
      <c r="K334" s="15">
        <f>IF(A334="","",IF(OR(I334=0,C334=0),0,MIN(1,E334/((I334/60)*C334))))</f>
        <v/>
      </c>
      <c r="L334" s="15">
        <f>IF(A334="","",IF(E334=0,0,MIN(1,MAX(0,G334/E334))))</f>
        <v/>
      </c>
      <c r="M334" s="15">
        <f>IF(A334="","",J334*K334*L334)</f>
        <v/>
      </c>
    </row>
    <row r="335">
      <c r="A335" s="11">
        <f>Machines!A335</f>
        <v/>
      </c>
      <c r="B335" s="11">
        <f>Machines!B335</f>
        <v/>
      </c>
      <c r="C335" s="11">
        <f>IF(A335="","",Machines!D335)</f>
        <v/>
      </c>
      <c r="D335" s="11">
        <f>SUMIFS(WorkOrders!$M$2:$M$500,WorkOrders!$C$2:$C$500,A335)</f>
        <v/>
      </c>
      <c r="E335" s="11">
        <f>SUMIFS(WorkOrders!$E$2:$E$500,WorkOrders!$C$2:$C$500,A335)</f>
        <v/>
      </c>
      <c r="F335" s="11">
        <f>SUMIFS(WorkOrders!$F$2:$F$500,WorkOrders!$C$2:$C$500,A335)</f>
        <v/>
      </c>
      <c r="G335" s="11">
        <f>E335-F335</f>
        <v/>
      </c>
      <c r="H335" s="11">
        <f>SUMIFS(Downtime!$G$2:$G$500,Downtime!$A$2:$A$500,A335)</f>
        <v/>
      </c>
      <c r="I335" s="11">
        <f>MAX(0,D335-H335)</f>
        <v/>
      </c>
      <c r="J335" s="15">
        <f>IF(A335="","",IF(D335=0,0,MIN(1,I335/D335)))</f>
        <v/>
      </c>
      <c r="K335" s="15">
        <f>IF(A335="","",IF(OR(I335=0,C335=0),0,MIN(1,E335/((I335/60)*C335))))</f>
        <v/>
      </c>
      <c r="L335" s="15">
        <f>IF(A335="","",IF(E335=0,0,MIN(1,MAX(0,G335/E335))))</f>
        <v/>
      </c>
      <c r="M335" s="15">
        <f>IF(A335="","",J335*K335*L335)</f>
        <v/>
      </c>
    </row>
    <row r="336">
      <c r="A336" s="11">
        <f>Machines!A336</f>
        <v/>
      </c>
      <c r="B336" s="11">
        <f>Machines!B336</f>
        <v/>
      </c>
      <c r="C336" s="11">
        <f>IF(A336="","",Machines!D336)</f>
        <v/>
      </c>
      <c r="D336" s="11">
        <f>SUMIFS(WorkOrders!$M$2:$M$500,WorkOrders!$C$2:$C$500,A336)</f>
        <v/>
      </c>
      <c r="E336" s="11">
        <f>SUMIFS(WorkOrders!$E$2:$E$500,WorkOrders!$C$2:$C$500,A336)</f>
        <v/>
      </c>
      <c r="F336" s="11">
        <f>SUMIFS(WorkOrders!$F$2:$F$500,WorkOrders!$C$2:$C$500,A336)</f>
        <v/>
      </c>
      <c r="G336" s="11">
        <f>E336-F336</f>
        <v/>
      </c>
      <c r="H336" s="11">
        <f>SUMIFS(Downtime!$G$2:$G$500,Downtime!$A$2:$A$500,A336)</f>
        <v/>
      </c>
      <c r="I336" s="11">
        <f>MAX(0,D336-H336)</f>
        <v/>
      </c>
      <c r="J336" s="15">
        <f>IF(A336="","",IF(D336=0,0,MIN(1,I336/D336)))</f>
        <v/>
      </c>
      <c r="K336" s="15">
        <f>IF(A336="","",IF(OR(I336=0,C336=0),0,MIN(1,E336/((I336/60)*C336))))</f>
        <v/>
      </c>
      <c r="L336" s="15">
        <f>IF(A336="","",IF(E336=0,0,MIN(1,MAX(0,G336/E336))))</f>
        <v/>
      </c>
      <c r="M336" s="15">
        <f>IF(A336="","",J336*K336*L336)</f>
        <v/>
      </c>
    </row>
    <row r="337">
      <c r="A337" s="11">
        <f>Machines!A337</f>
        <v/>
      </c>
      <c r="B337" s="11">
        <f>Machines!B337</f>
        <v/>
      </c>
      <c r="C337" s="11">
        <f>IF(A337="","",Machines!D337)</f>
        <v/>
      </c>
      <c r="D337" s="11">
        <f>SUMIFS(WorkOrders!$M$2:$M$500,WorkOrders!$C$2:$C$500,A337)</f>
        <v/>
      </c>
      <c r="E337" s="11">
        <f>SUMIFS(WorkOrders!$E$2:$E$500,WorkOrders!$C$2:$C$500,A337)</f>
        <v/>
      </c>
      <c r="F337" s="11">
        <f>SUMIFS(WorkOrders!$F$2:$F$500,WorkOrders!$C$2:$C$500,A337)</f>
        <v/>
      </c>
      <c r="G337" s="11">
        <f>E337-F337</f>
        <v/>
      </c>
      <c r="H337" s="11">
        <f>SUMIFS(Downtime!$G$2:$G$500,Downtime!$A$2:$A$500,A337)</f>
        <v/>
      </c>
      <c r="I337" s="11">
        <f>MAX(0,D337-H337)</f>
        <v/>
      </c>
      <c r="J337" s="15">
        <f>IF(A337="","",IF(D337=0,0,MIN(1,I337/D337)))</f>
        <v/>
      </c>
      <c r="K337" s="15">
        <f>IF(A337="","",IF(OR(I337=0,C337=0),0,MIN(1,E337/((I337/60)*C337))))</f>
        <v/>
      </c>
      <c r="L337" s="15">
        <f>IF(A337="","",IF(E337=0,0,MIN(1,MAX(0,G337/E337))))</f>
        <v/>
      </c>
      <c r="M337" s="15">
        <f>IF(A337="","",J337*K337*L337)</f>
        <v/>
      </c>
    </row>
    <row r="338">
      <c r="A338" s="11">
        <f>Machines!A338</f>
        <v/>
      </c>
      <c r="B338" s="11">
        <f>Machines!B338</f>
        <v/>
      </c>
      <c r="C338" s="11">
        <f>IF(A338="","",Machines!D338)</f>
        <v/>
      </c>
      <c r="D338" s="11">
        <f>SUMIFS(WorkOrders!$M$2:$M$500,WorkOrders!$C$2:$C$500,A338)</f>
        <v/>
      </c>
      <c r="E338" s="11">
        <f>SUMIFS(WorkOrders!$E$2:$E$500,WorkOrders!$C$2:$C$500,A338)</f>
        <v/>
      </c>
      <c r="F338" s="11">
        <f>SUMIFS(WorkOrders!$F$2:$F$500,WorkOrders!$C$2:$C$500,A338)</f>
        <v/>
      </c>
      <c r="G338" s="11">
        <f>E338-F338</f>
        <v/>
      </c>
      <c r="H338" s="11">
        <f>SUMIFS(Downtime!$G$2:$G$500,Downtime!$A$2:$A$500,A338)</f>
        <v/>
      </c>
      <c r="I338" s="11">
        <f>MAX(0,D338-H338)</f>
        <v/>
      </c>
      <c r="J338" s="15">
        <f>IF(A338="","",IF(D338=0,0,MIN(1,I338/D338)))</f>
        <v/>
      </c>
      <c r="K338" s="15">
        <f>IF(A338="","",IF(OR(I338=0,C338=0),0,MIN(1,E338/((I338/60)*C338))))</f>
        <v/>
      </c>
      <c r="L338" s="15">
        <f>IF(A338="","",IF(E338=0,0,MIN(1,MAX(0,G338/E338))))</f>
        <v/>
      </c>
      <c r="M338" s="15">
        <f>IF(A338="","",J338*K338*L338)</f>
        <v/>
      </c>
    </row>
    <row r="339">
      <c r="A339" s="11">
        <f>Machines!A339</f>
        <v/>
      </c>
      <c r="B339" s="11">
        <f>Machines!B339</f>
        <v/>
      </c>
      <c r="C339" s="11">
        <f>IF(A339="","",Machines!D339)</f>
        <v/>
      </c>
      <c r="D339" s="11">
        <f>SUMIFS(WorkOrders!$M$2:$M$500,WorkOrders!$C$2:$C$500,A339)</f>
        <v/>
      </c>
      <c r="E339" s="11">
        <f>SUMIFS(WorkOrders!$E$2:$E$500,WorkOrders!$C$2:$C$500,A339)</f>
        <v/>
      </c>
      <c r="F339" s="11">
        <f>SUMIFS(WorkOrders!$F$2:$F$500,WorkOrders!$C$2:$C$500,A339)</f>
        <v/>
      </c>
      <c r="G339" s="11">
        <f>E339-F339</f>
        <v/>
      </c>
      <c r="H339" s="11">
        <f>SUMIFS(Downtime!$G$2:$G$500,Downtime!$A$2:$A$500,A339)</f>
        <v/>
      </c>
      <c r="I339" s="11">
        <f>MAX(0,D339-H339)</f>
        <v/>
      </c>
      <c r="J339" s="15">
        <f>IF(A339="","",IF(D339=0,0,MIN(1,I339/D339)))</f>
        <v/>
      </c>
      <c r="K339" s="15">
        <f>IF(A339="","",IF(OR(I339=0,C339=0),0,MIN(1,E339/((I339/60)*C339))))</f>
        <v/>
      </c>
      <c r="L339" s="15">
        <f>IF(A339="","",IF(E339=0,0,MIN(1,MAX(0,G339/E339))))</f>
        <v/>
      </c>
      <c r="M339" s="15">
        <f>IF(A339="","",J339*K339*L339)</f>
        <v/>
      </c>
    </row>
    <row r="340">
      <c r="A340" s="11">
        <f>Machines!A340</f>
        <v/>
      </c>
      <c r="B340" s="11">
        <f>Machines!B340</f>
        <v/>
      </c>
      <c r="C340" s="11">
        <f>IF(A340="","",Machines!D340)</f>
        <v/>
      </c>
      <c r="D340" s="11">
        <f>SUMIFS(WorkOrders!$M$2:$M$500,WorkOrders!$C$2:$C$500,A340)</f>
        <v/>
      </c>
      <c r="E340" s="11">
        <f>SUMIFS(WorkOrders!$E$2:$E$500,WorkOrders!$C$2:$C$500,A340)</f>
        <v/>
      </c>
      <c r="F340" s="11">
        <f>SUMIFS(WorkOrders!$F$2:$F$500,WorkOrders!$C$2:$C$500,A340)</f>
        <v/>
      </c>
      <c r="G340" s="11">
        <f>E340-F340</f>
        <v/>
      </c>
      <c r="H340" s="11">
        <f>SUMIFS(Downtime!$G$2:$G$500,Downtime!$A$2:$A$500,A340)</f>
        <v/>
      </c>
      <c r="I340" s="11">
        <f>MAX(0,D340-H340)</f>
        <v/>
      </c>
      <c r="J340" s="15">
        <f>IF(A340="","",IF(D340=0,0,MIN(1,I340/D340)))</f>
        <v/>
      </c>
      <c r="K340" s="15">
        <f>IF(A340="","",IF(OR(I340=0,C340=0),0,MIN(1,E340/((I340/60)*C340))))</f>
        <v/>
      </c>
      <c r="L340" s="15">
        <f>IF(A340="","",IF(E340=0,0,MIN(1,MAX(0,G340/E340))))</f>
        <v/>
      </c>
      <c r="M340" s="15">
        <f>IF(A340="","",J340*K340*L340)</f>
        <v/>
      </c>
    </row>
    <row r="341">
      <c r="A341" s="11">
        <f>Machines!A341</f>
        <v/>
      </c>
      <c r="B341" s="11">
        <f>Machines!B341</f>
        <v/>
      </c>
      <c r="C341" s="11">
        <f>IF(A341="","",Machines!D341)</f>
        <v/>
      </c>
      <c r="D341" s="11">
        <f>SUMIFS(WorkOrders!$M$2:$M$500,WorkOrders!$C$2:$C$500,A341)</f>
        <v/>
      </c>
      <c r="E341" s="11">
        <f>SUMIFS(WorkOrders!$E$2:$E$500,WorkOrders!$C$2:$C$500,A341)</f>
        <v/>
      </c>
      <c r="F341" s="11">
        <f>SUMIFS(WorkOrders!$F$2:$F$500,WorkOrders!$C$2:$C$500,A341)</f>
        <v/>
      </c>
      <c r="G341" s="11">
        <f>E341-F341</f>
        <v/>
      </c>
      <c r="H341" s="11">
        <f>SUMIFS(Downtime!$G$2:$G$500,Downtime!$A$2:$A$500,A341)</f>
        <v/>
      </c>
      <c r="I341" s="11">
        <f>MAX(0,D341-H341)</f>
        <v/>
      </c>
      <c r="J341" s="15">
        <f>IF(A341="","",IF(D341=0,0,MIN(1,I341/D341)))</f>
        <v/>
      </c>
      <c r="K341" s="15">
        <f>IF(A341="","",IF(OR(I341=0,C341=0),0,MIN(1,E341/((I341/60)*C341))))</f>
        <v/>
      </c>
      <c r="L341" s="15">
        <f>IF(A341="","",IF(E341=0,0,MIN(1,MAX(0,G341/E341))))</f>
        <v/>
      </c>
      <c r="M341" s="15">
        <f>IF(A341="","",J341*K341*L341)</f>
        <v/>
      </c>
    </row>
    <row r="342">
      <c r="A342" s="11">
        <f>Machines!A342</f>
        <v/>
      </c>
      <c r="B342" s="11">
        <f>Machines!B342</f>
        <v/>
      </c>
      <c r="C342" s="11">
        <f>IF(A342="","",Machines!D342)</f>
        <v/>
      </c>
      <c r="D342" s="11">
        <f>SUMIFS(WorkOrders!$M$2:$M$500,WorkOrders!$C$2:$C$500,A342)</f>
        <v/>
      </c>
      <c r="E342" s="11">
        <f>SUMIFS(WorkOrders!$E$2:$E$500,WorkOrders!$C$2:$C$500,A342)</f>
        <v/>
      </c>
      <c r="F342" s="11">
        <f>SUMIFS(WorkOrders!$F$2:$F$500,WorkOrders!$C$2:$C$500,A342)</f>
        <v/>
      </c>
      <c r="G342" s="11">
        <f>E342-F342</f>
        <v/>
      </c>
      <c r="H342" s="11">
        <f>SUMIFS(Downtime!$G$2:$G$500,Downtime!$A$2:$A$500,A342)</f>
        <v/>
      </c>
      <c r="I342" s="11">
        <f>MAX(0,D342-H342)</f>
        <v/>
      </c>
      <c r="J342" s="15">
        <f>IF(A342="","",IF(D342=0,0,MIN(1,I342/D342)))</f>
        <v/>
      </c>
      <c r="K342" s="15">
        <f>IF(A342="","",IF(OR(I342=0,C342=0),0,MIN(1,E342/((I342/60)*C342))))</f>
        <v/>
      </c>
      <c r="L342" s="15">
        <f>IF(A342="","",IF(E342=0,0,MIN(1,MAX(0,G342/E342))))</f>
        <v/>
      </c>
      <c r="M342" s="15">
        <f>IF(A342="","",J342*K342*L342)</f>
        <v/>
      </c>
    </row>
    <row r="343">
      <c r="A343" s="11">
        <f>Machines!A343</f>
        <v/>
      </c>
      <c r="B343" s="11">
        <f>Machines!B343</f>
        <v/>
      </c>
      <c r="C343" s="11">
        <f>IF(A343="","",Machines!D343)</f>
        <v/>
      </c>
      <c r="D343" s="11">
        <f>SUMIFS(WorkOrders!$M$2:$M$500,WorkOrders!$C$2:$C$500,A343)</f>
        <v/>
      </c>
      <c r="E343" s="11">
        <f>SUMIFS(WorkOrders!$E$2:$E$500,WorkOrders!$C$2:$C$500,A343)</f>
        <v/>
      </c>
      <c r="F343" s="11">
        <f>SUMIFS(WorkOrders!$F$2:$F$500,WorkOrders!$C$2:$C$500,A343)</f>
        <v/>
      </c>
      <c r="G343" s="11">
        <f>E343-F343</f>
        <v/>
      </c>
      <c r="H343" s="11">
        <f>SUMIFS(Downtime!$G$2:$G$500,Downtime!$A$2:$A$500,A343)</f>
        <v/>
      </c>
      <c r="I343" s="11">
        <f>MAX(0,D343-H343)</f>
        <v/>
      </c>
      <c r="J343" s="15">
        <f>IF(A343="","",IF(D343=0,0,MIN(1,I343/D343)))</f>
        <v/>
      </c>
      <c r="K343" s="15">
        <f>IF(A343="","",IF(OR(I343=0,C343=0),0,MIN(1,E343/((I343/60)*C343))))</f>
        <v/>
      </c>
      <c r="L343" s="15">
        <f>IF(A343="","",IF(E343=0,0,MIN(1,MAX(0,G343/E343))))</f>
        <v/>
      </c>
      <c r="M343" s="15">
        <f>IF(A343="","",J343*K343*L343)</f>
        <v/>
      </c>
    </row>
    <row r="344">
      <c r="A344" s="11">
        <f>Machines!A344</f>
        <v/>
      </c>
      <c r="B344" s="11">
        <f>Machines!B344</f>
        <v/>
      </c>
      <c r="C344" s="11">
        <f>IF(A344="","",Machines!D344)</f>
        <v/>
      </c>
      <c r="D344" s="11">
        <f>SUMIFS(WorkOrders!$M$2:$M$500,WorkOrders!$C$2:$C$500,A344)</f>
        <v/>
      </c>
      <c r="E344" s="11">
        <f>SUMIFS(WorkOrders!$E$2:$E$500,WorkOrders!$C$2:$C$500,A344)</f>
        <v/>
      </c>
      <c r="F344" s="11">
        <f>SUMIFS(WorkOrders!$F$2:$F$500,WorkOrders!$C$2:$C$500,A344)</f>
        <v/>
      </c>
      <c r="G344" s="11">
        <f>E344-F344</f>
        <v/>
      </c>
      <c r="H344" s="11">
        <f>SUMIFS(Downtime!$G$2:$G$500,Downtime!$A$2:$A$500,A344)</f>
        <v/>
      </c>
      <c r="I344" s="11">
        <f>MAX(0,D344-H344)</f>
        <v/>
      </c>
      <c r="J344" s="15">
        <f>IF(A344="","",IF(D344=0,0,MIN(1,I344/D344)))</f>
        <v/>
      </c>
      <c r="K344" s="15">
        <f>IF(A344="","",IF(OR(I344=0,C344=0),0,MIN(1,E344/((I344/60)*C344))))</f>
        <v/>
      </c>
      <c r="L344" s="15">
        <f>IF(A344="","",IF(E344=0,0,MIN(1,MAX(0,G344/E344))))</f>
        <v/>
      </c>
      <c r="M344" s="15">
        <f>IF(A344="","",J344*K344*L344)</f>
        <v/>
      </c>
    </row>
    <row r="345">
      <c r="A345" s="11">
        <f>Machines!A345</f>
        <v/>
      </c>
      <c r="B345" s="11">
        <f>Machines!B345</f>
        <v/>
      </c>
      <c r="C345" s="11">
        <f>IF(A345="","",Machines!D345)</f>
        <v/>
      </c>
      <c r="D345" s="11">
        <f>SUMIFS(WorkOrders!$M$2:$M$500,WorkOrders!$C$2:$C$500,A345)</f>
        <v/>
      </c>
      <c r="E345" s="11">
        <f>SUMIFS(WorkOrders!$E$2:$E$500,WorkOrders!$C$2:$C$500,A345)</f>
        <v/>
      </c>
      <c r="F345" s="11">
        <f>SUMIFS(WorkOrders!$F$2:$F$500,WorkOrders!$C$2:$C$500,A345)</f>
        <v/>
      </c>
      <c r="G345" s="11">
        <f>E345-F345</f>
        <v/>
      </c>
      <c r="H345" s="11">
        <f>SUMIFS(Downtime!$G$2:$G$500,Downtime!$A$2:$A$500,A345)</f>
        <v/>
      </c>
      <c r="I345" s="11">
        <f>MAX(0,D345-H345)</f>
        <v/>
      </c>
      <c r="J345" s="15">
        <f>IF(A345="","",IF(D345=0,0,MIN(1,I345/D345)))</f>
        <v/>
      </c>
      <c r="K345" s="15">
        <f>IF(A345="","",IF(OR(I345=0,C345=0),0,MIN(1,E345/((I345/60)*C345))))</f>
        <v/>
      </c>
      <c r="L345" s="15">
        <f>IF(A345="","",IF(E345=0,0,MIN(1,MAX(0,G345/E345))))</f>
        <v/>
      </c>
      <c r="M345" s="15">
        <f>IF(A345="","",J345*K345*L345)</f>
        <v/>
      </c>
    </row>
    <row r="346">
      <c r="A346" s="11">
        <f>Machines!A346</f>
        <v/>
      </c>
      <c r="B346" s="11">
        <f>Machines!B346</f>
        <v/>
      </c>
      <c r="C346" s="11">
        <f>IF(A346="","",Machines!D346)</f>
        <v/>
      </c>
      <c r="D346" s="11">
        <f>SUMIFS(WorkOrders!$M$2:$M$500,WorkOrders!$C$2:$C$500,A346)</f>
        <v/>
      </c>
      <c r="E346" s="11">
        <f>SUMIFS(WorkOrders!$E$2:$E$500,WorkOrders!$C$2:$C$500,A346)</f>
        <v/>
      </c>
      <c r="F346" s="11">
        <f>SUMIFS(WorkOrders!$F$2:$F$500,WorkOrders!$C$2:$C$500,A346)</f>
        <v/>
      </c>
      <c r="G346" s="11">
        <f>E346-F346</f>
        <v/>
      </c>
      <c r="H346" s="11">
        <f>SUMIFS(Downtime!$G$2:$G$500,Downtime!$A$2:$A$500,A346)</f>
        <v/>
      </c>
      <c r="I346" s="11">
        <f>MAX(0,D346-H346)</f>
        <v/>
      </c>
      <c r="J346" s="15">
        <f>IF(A346="","",IF(D346=0,0,MIN(1,I346/D346)))</f>
        <v/>
      </c>
      <c r="K346" s="15">
        <f>IF(A346="","",IF(OR(I346=0,C346=0),0,MIN(1,E346/((I346/60)*C346))))</f>
        <v/>
      </c>
      <c r="L346" s="15">
        <f>IF(A346="","",IF(E346=0,0,MIN(1,MAX(0,G346/E346))))</f>
        <v/>
      </c>
      <c r="M346" s="15">
        <f>IF(A346="","",J346*K346*L346)</f>
        <v/>
      </c>
    </row>
    <row r="347">
      <c r="A347" s="11">
        <f>Machines!A347</f>
        <v/>
      </c>
      <c r="B347" s="11">
        <f>Machines!B347</f>
        <v/>
      </c>
      <c r="C347" s="11">
        <f>IF(A347="","",Machines!D347)</f>
        <v/>
      </c>
      <c r="D347" s="11">
        <f>SUMIFS(WorkOrders!$M$2:$M$500,WorkOrders!$C$2:$C$500,A347)</f>
        <v/>
      </c>
      <c r="E347" s="11">
        <f>SUMIFS(WorkOrders!$E$2:$E$500,WorkOrders!$C$2:$C$500,A347)</f>
        <v/>
      </c>
      <c r="F347" s="11">
        <f>SUMIFS(WorkOrders!$F$2:$F$500,WorkOrders!$C$2:$C$500,A347)</f>
        <v/>
      </c>
      <c r="G347" s="11">
        <f>E347-F347</f>
        <v/>
      </c>
      <c r="H347" s="11">
        <f>SUMIFS(Downtime!$G$2:$G$500,Downtime!$A$2:$A$500,A347)</f>
        <v/>
      </c>
      <c r="I347" s="11">
        <f>MAX(0,D347-H347)</f>
        <v/>
      </c>
      <c r="J347" s="15">
        <f>IF(A347="","",IF(D347=0,0,MIN(1,I347/D347)))</f>
        <v/>
      </c>
      <c r="K347" s="15">
        <f>IF(A347="","",IF(OR(I347=0,C347=0),0,MIN(1,E347/((I347/60)*C347))))</f>
        <v/>
      </c>
      <c r="L347" s="15">
        <f>IF(A347="","",IF(E347=0,0,MIN(1,MAX(0,G347/E347))))</f>
        <v/>
      </c>
      <c r="M347" s="15">
        <f>IF(A347="","",J347*K347*L347)</f>
        <v/>
      </c>
    </row>
    <row r="348">
      <c r="A348" s="11">
        <f>Machines!A348</f>
        <v/>
      </c>
      <c r="B348" s="11">
        <f>Machines!B348</f>
        <v/>
      </c>
      <c r="C348" s="11">
        <f>IF(A348="","",Machines!D348)</f>
        <v/>
      </c>
      <c r="D348" s="11">
        <f>SUMIFS(WorkOrders!$M$2:$M$500,WorkOrders!$C$2:$C$500,A348)</f>
        <v/>
      </c>
      <c r="E348" s="11">
        <f>SUMIFS(WorkOrders!$E$2:$E$500,WorkOrders!$C$2:$C$500,A348)</f>
        <v/>
      </c>
      <c r="F348" s="11">
        <f>SUMIFS(WorkOrders!$F$2:$F$500,WorkOrders!$C$2:$C$500,A348)</f>
        <v/>
      </c>
      <c r="G348" s="11">
        <f>E348-F348</f>
        <v/>
      </c>
      <c r="H348" s="11">
        <f>SUMIFS(Downtime!$G$2:$G$500,Downtime!$A$2:$A$500,A348)</f>
        <v/>
      </c>
      <c r="I348" s="11">
        <f>MAX(0,D348-H348)</f>
        <v/>
      </c>
      <c r="J348" s="15">
        <f>IF(A348="","",IF(D348=0,0,MIN(1,I348/D348)))</f>
        <v/>
      </c>
      <c r="K348" s="15">
        <f>IF(A348="","",IF(OR(I348=0,C348=0),0,MIN(1,E348/((I348/60)*C348))))</f>
        <v/>
      </c>
      <c r="L348" s="15">
        <f>IF(A348="","",IF(E348=0,0,MIN(1,MAX(0,G348/E348))))</f>
        <v/>
      </c>
      <c r="M348" s="15">
        <f>IF(A348="","",J348*K348*L348)</f>
        <v/>
      </c>
    </row>
    <row r="349">
      <c r="A349" s="11">
        <f>Machines!A349</f>
        <v/>
      </c>
      <c r="B349" s="11">
        <f>Machines!B349</f>
        <v/>
      </c>
      <c r="C349" s="11">
        <f>IF(A349="","",Machines!D349)</f>
        <v/>
      </c>
      <c r="D349" s="11">
        <f>SUMIFS(WorkOrders!$M$2:$M$500,WorkOrders!$C$2:$C$500,A349)</f>
        <v/>
      </c>
      <c r="E349" s="11">
        <f>SUMIFS(WorkOrders!$E$2:$E$500,WorkOrders!$C$2:$C$500,A349)</f>
        <v/>
      </c>
      <c r="F349" s="11">
        <f>SUMIFS(WorkOrders!$F$2:$F$500,WorkOrders!$C$2:$C$500,A349)</f>
        <v/>
      </c>
      <c r="G349" s="11">
        <f>E349-F349</f>
        <v/>
      </c>
      <c r="H349" s="11">
        <f>SUMIFS(Downtime!$G$2:$G$500,Downtime!$A$2:$A$500,A349)</f>
        <v/>
      </c>
      <c r="I349" s="11">
        <f>MAX(0,D349-H349)</f>
        <v/>
      </c>
      <c r="J349" s="15">
        <f>IF(A349="","",IF(D349=0,0,MIN(1,I349/D349)))</f>
        <v/>
      </c>
      <c r="K349" s="15">
        <f>IF(A349="","",IF(OR(I349=0,C349=0),0,MIN(1,E349/((I349/60)*C349))))</f>
        <v/>
      </c>
      <c r="L349" s="15">
        <f>IF(A349="","",IF(E349=0,0,MIN(1,MAX(0,G349/E349))))</f>
        <v/>
      </c>
      <c r="M349" s="15">
        <f>IF(A349="","",J349*K349*L349)</f>
        <v/>
      </c>
    </row>
    <row r="350">
      <c r="A350" s="11">
        <f>Machines!A350</f>
        <v/>
      </c>
      <c r="B350" s="11">
        <f>Machines!B350</f>
        <v/>
      </c>
      <c r="C350" s="11">
        <f>IF(A350="","",Machines!D350)</f>
        <v/>
      </c>
      <c r="D350" s="11">
        <f>SUMIFS(WorkOrders!$M$2:$M$500,WorkOrders!$C$2:$C$500,A350)</f>
        <v/>
      </c>
      <c r="E350" s="11">
        <f>SUMIFS(WorkOrders!$E$2:$E$500,WorkOrders!$C$2:$C$500,A350)</f>
        <v/>
      </c>
      <c r="F350" s="11">
        <f>SUMIFS(WorkOrders!$F$2:$F$500,WorkOrders!$C$2:$C$500,A350)</f>
        <v/>
      </c>
      <c r="G350" s="11">
        <f>E350-F350</f>
        <v/>
      </c>
      <c r="H350" s="11">
        <f>SUMIFS(Downtime!$G$2:$G$500,Downtime!$A$2:$A$500,A350)</f>
        <v/>
      </c>
      <c r="I350" s="11">
        <f>MAX(0,D350-H350)</f>
        <v/>
      </c>
      <c r="J350" s="15">
        <f>IF(A350="","",IF(D350=0,0,MIN(1,I350/D350)))</f>
        <v/>
      </c>
      <c r="K350" s="15">
        <f>IF(A350="","",IF(OR(I350=0,C350=0),0,MIN(1,E350/((I350/60)*C350))))</f>
        <v/>
      </c>
      <c r="L350" s="15">
        <f>IF(A350="","",IF(E350=0,0,MIN(1,MAX(0,G350/E350))))</f>
        <v/>
      </c>
      <c r="M350" s="15">
        <f>IF(A350="","",J350*K350*L350)</f>
        <v/>
      </c>
    </row>
    <row r="351">
      <c r="A351" s="11">
        <f>Machines!A351</f>
        <v/>
      </c>
      <c r="B351" s="11">
        <f>Machines!B351</f>
        <v/>
      </c>
      <c r="C351" s="11">
        <f>IF(A351="","",Machines!D351)</f>
        <v/>
      </c>
      <c r="D351" s="11">
        <f>SUMIFS(WorkOrders!$M$2:$M$500,WorkOrders!$C$2:$C$500,A351)</f>
        <v/>
      </c>
      <c r="E351" s="11">
        <f>SUMIFS(WorkOrders!$E$2:$E$500,WorkOrders!$C$2:$C$500,A351)</f>
        <v/>
      </c>
      <c r="F351" s="11">
        <f>SUMIFS(WorkOrders!$F$2:$F$500,WorkOrders!$C$2:$C$500,A351)</f>
        <v/>
      </c>
      <c r="G351" s="11">
        <f>E351-F351</f>
        <v/>
      </c>
      <c r="H351" s="11">
        <f>SUMIFS(Downtime!$G$2:$G$500,Downtime!$A$2:$A$500,A351)</f>
        <v/>
      </c>
      <c r="I351" s="11">
        <f>MAX(0,D351-H351)</f>
        <v/>
      </c>
      <c r="J351" s="15">
        <f>IF(A351="","",IF(D351=0,0,MIN(1,I351/D351)))</f>
        <v/>
      </c>
      <c r="K351" s="15">
        <f>IF(A351="","",IF(OR(I351=0,C351=0),0,MIN(1,E351/((I351/60)*C351))))</f>
        <v/>
      </c>
      <c r="L351" s="15">
        <f>IF(A351="","",IF(E351=0,0,MIN(1,MAX(0,G351/E351))))</f>
        <v/>
      </c>
      <c r="M351" s="15">
        <f>IF(A351="","",J351*K351*L351)</f>
        <v/>
      </c>
    </row>
    <row r="352">
      <c r="A352" s="11">
        <f>Machines!A352</f>
        <v/>
      </c>
      <c r="B352" s="11">
        <f>Machines!B352</f>
        <v/>
      </c>
      <c r="C352" s="11">
        <f>IF(A352="","",Machines!D352)</f>
        <v/>
      </c>
      <c r="D352" s="11">
        <f>SUMIFS(WorkOrders!$M$2:$M$500,WorkOrders!$C$2:$C$500,A352)</f>
        <v/>
      </c>
      <c r="E352" s="11">
        <f>SUMIFS(WorkOrders!$E$2:$E$500,WorkOrders!$C$2:$C$500,A352)</f>
        <v/>
      </c>
      <c r="F352" s="11">
        <f>SUMIFS(WorkOrders!$F$2:$F$500,WorkOrders!$C$2:$C$500,A352)</f>
        <v/>
      </c>
      <c r="G352" s="11">
        <f>E352-F352</f>
        <v/>
      </c>
      <c r="H352" s="11">
        <f>SUMIFS(Downtime!$G$2:$G$500,Downtime!$A$2:$A$500,A352)</f>
        <v/>
      </c>
      <c r="I352" s="11">
        <f>MAX(0,D352-H352)</f>
        <v/>
      </c>
      <c r="J352" s="15">
        <f>IF(A352="","",IF(D352=0,0,MIN(1,I352/D352)))</f>
        <v/>
      </c>
      <c r="K352" s="15">
        <f>IF(A352="","",IF(OR(I352=0,C352=0),0,MIN(1,E352/((I352/60)*C352))))</f>
        <v/>
      </c>
      <c r="L352" s="15">
        <f>IF(A352="","",IF(E352=0,0,MIN(1,MAX(0,G352/E352))))</f>
        <v/>
      </c>
      <c r="M352" s="15">
        <f>IF(A352="","",J352*K352*L352)</f>
        <v/>
      </c>
    </row>
    <row r="353">
      <c r="A353" s="11">
        <f>Machines!A353</f>
        <v/>
      </c>
      <c r="B353" s="11">
        <f>Machines!B353</f>
        <v/>
      </c>
      <c r="C353" s="11">
        <f>IF(A353="","",Machines!D353)</f>
        <v/>
      </c>
      <c r="D353" s="11">
        <f>SUMIFS(WorkOrders!$M$2:$M$500,WorkOrders!$C$2:$C$500,A353)</f>
        <v/>
      </c>
      <c r="E353" s="11">
        <f>SUMIFS(WorkOrders!$E$2:$E$500,WorkOrders!$C$2:$C$500,A353)</f>
        <v/>
      </c>
      <c r="F353" s="11">
        <f>SUMIFS(WorkOrders!$F$2:$F$500,WorkOrders!$C$2:$C$500,A353)</f>
        <v/>
      </c>
      <c r="G353" s="11">
        <f>E353-F353</f>
        <v/>
      </c>
      <c r="H353" s="11">
        <f>SUMIFS(Downtime!$G$2:$G$500,Downtime!$A$2:$A$500,A353)</f>
        <v/>
      </c>
      <c r="I353" s="11">
        <f>MAX(0,D353-H353)</f>
        <v/>
      </c>
      <c r="J353" s="15">
        <f>IF(A353="","",IF(D353=0,0,MIN(1,I353/D353)))</f>
        <v/>
      </c>
      <c r="K353" s="15">
        <f>IF(A353="","",IF(OR(I353=0,C353=0),0,MIN(1,E353/((I353/60)*C353))))</f>
        <v/>
      </c>
      <c r="L353" s="15">
        <f>IF(A353="","",IF(E353=0,0,MIN(1,MAX(0,G353/E353))))</f>
        <v/>
      </c>
      <c r="M353" s="15">
        <f>IF(A353="","",J353*K353*L353)</f>
        <v/>
      </c>
    </row>
    <row r="354">
      <c r="A354" s="11">
        <f>Machines!A354</f>
        <v/>
      </c>
      <c r="B354" s="11">
        <f>Machines!B354</f>
        <v/>
      </c>
      <c r="C354" s="11">
        <f>IF(A354="","",Machines!D354)</f>
        <v/>
      </c>
      <c r="D354" s="11">
        <f>SUMIFS(WorkOrders!$M$2:$M$500,WorkOrders!$C$2:$C$500,A354)</f>
        <v/>
      </c>
      <c r="E354" s="11">
        <f>SUMIFS(WorkOrders!$E$2:$E$500,WorkOrders!$C$2:$C$500,A354)</f>
        <v/>
      </c>
      <c r="F354" s="11">
        <f>SUMIFS(WorkOrders!$F$2:$F$500,WorkOrders!$C$2:$C$500,A354)</f>
        <v/>
      </c>
      <c r="G354" s="11">
        <f>E354-F354</f>
        <v/>
      </c>
      <c r="H354" s="11">
        <f>SUMIFS(Downtime!$G$2:$G$500,Downtime!$A$2:$A$500,A354)</f>
        <v/>
      </c>
      <c r="I354" s="11">
        <f>MAX(0,D354-H354)</f>
        <v/>
      </c>
      <c r="J354" s="15">
        <f>IF(A354="","",IF(D354=0,0,MIN(1,I354/D354)))</f>
        <v/>
      </c>
      <c r="K354" s="15">
        <f>IF(A354="","",IF(OR(I354=0,C354=0),0,MIN(1,E354/((I354/60)*C354))))</f>
        <v/>
      </c>
      <c r="L354" s="15">
        <f>IF(A354="","",IF(E354=0,0,MIN(1,MAX(0,G354/E354))))</f>
        <v/>
      </c>
      <c r="M354" s="15">
        <f>IF(A354="","",J354*K354*L354)</f>
        <v/>
      </c>
    </row>
    <row r="355">
      <c r="A355" s="11">
        <f>Machines!A355</f>
        <v/>
      </c>
      <c r="B355" s="11">
        <f>Machines!B355</f>
        <v/>
      </c>
      <c r="C355" s="11">
        <f>IF(A355="","",Machines!D355)</f>
        <v/>
      </c>
      <c r="D355" s="11">
        <f>SUMIFS(WorkOrders!$M$2:$M$500,WorkOrders!$C$2:$C$500,A355)</f>
        <v/>
      </c>
      <c r="E355" s="11">
        <f>SUMIFS(WorkOrders!$E$2:$E$500,WorkOrders!$C$2:$C$500,A355)</f>
        <v/>
      </c>
      <c r="F355" s="11">
        <f>SUMIFS(WorkOrders!$F$2:$F$500,WorkOrders!$C$2:$C$500,A355)</f>
        <v/>
      </c>
      <c r="G355" s="11">
        <f>E355-F355</f>
        <v/>
      </c>
      <c r="H355" s="11">
        <f>SUMIFS(Downtime!$G$2:$G$500,Downtime!$A$2:$A$500,A355)</f>
        <v/>
      </c>
      <c r="I355" s="11">
        <f>MAX(0,D355-H355)</f>
        <v/>
      </c>
      <c r="J355" s="15">
        <f>IF(A355="","",IF(D355=0,0,MIN(1,I355/D355)))</f>
        <v/>
      </c>
      <c r="K355" s="15">
        <f>IF(A355="","",IF(OR(I355=0,C355=0),0,MIN(1,E355/((I355/60)*C355))))</f>
        <v/>
      </c>
      <c r="L355" s="15">
        <f>IF(A355="","",IF(E355=0,0,MIN(1,MAX(0,G355/E355))))</f>
        <v/>
      </c>
      <c r="M355" s="15">
        <f>IF(A355="","",J355*K355*L355)</f>
        <v/>
      </c>
    </row>
    <row r="356">
      <c r="A356" s="11">
        <f>Machines!A356</f>
        <v/>
      </c>
      <c r="B356" s="11">
        <f>Machines!B356</f>
        <v/>
      </c>
      <c r="C356" s="11">
        <f>IF(A356="","",Machines!D356)</f>
        <v/>
      </c>
      <c r="D356" s="11">
        <f>SUMIFS(WorkOrders!$M$2:$M$500,WorkOrders!$C$2:$C$500,A356)</f>
        <v/>
      </c>
      <c r="E356" s="11">
        <f>SUMIFS(WorkOrders!$E$2:$E$500,WorkOrders!$C$2:$C$500,A356)</f>
        <v/>
      </c>
      <c r="F356" s="11">
        <f>SUMIFS(WorkOrders!$F$2:$F$500,WorkOrders!$C$2:$C$500,A356)</f>
        <v/>
      </c>
      <c r="G356" s="11">
        <f>E356-F356</f>
        <v/>
      </c>
      <c r="H356" s="11">
        <f>SUMIFS(Downtime!$G$2:$G$500,Downtime!$A$2:$A$500,A356)</f>
        <v/>
      </c>
      <c r="I356" s="11">
        <f>MAX(0,D356-H356)</f>
        <v/>
      </c>
      <c r="J356" s="15">
        <f>IF(A356="","",IF(D356=0,0,MIN(1,I356/D356)))</f>
        <v/>
      </c>
      <c r="K356" s="15">
        <f>IF(A356="","",IF(OR(I356=0,C356=0),0,MIN(1,E356/((I356/60)*C356))))</f>
        <v/>
      </c>
      <c r="L356" s="15">
        <f>IF(A356="","",IF(E356=0,0,MIN(1,MAX(0,G356/E356))))</f>
        <v/>
      </c>
      <c r="M356" s="15">
        <f>IF(A356="","",J356*K356*L356)</f>
        <v/>
      </c>
    </row>
    <row r="357">
      <c r="A357" s="11">
        <f>Machines!A357</f>
        <v/>
      </c>
      <c r="B357" s="11">
        <f>Machines!B357</f>
        <v/>
      </c>
      <c r="C357" s="11">
        <f>IF(A357="","",Machines!D357)</f>
        <v/>
      </c>
      <c r="D357" s="11">
        <f>SUMIFS(WorkOrders!$M$2:$M$500,WorkOrders!$C$2:$C$500,A357)</f>
        <v/>
      </c>
      <c r="E357" s="11">
        <f>SUMIFS(WorkOrders!$E$2:$E$500,WorkOrders!$C$2:$C$500,A357)</f>
        <v/>
      </c>
      <c r="F357" s="11">
        <f>SUMIFS(WorkOrders!$F$2:$F$500,WorkOrders!$C$2:$C$500,A357)</f>
        <v/>
      </c>
      <c r="G357" s="11">
        <f>E357-F357</f>
        <v/>
      </c>
      <c r="H357" s="11">
        <f>SUMIFS(Downtime!$G$2:$G$500,Downtime!$A$2:$A$500,A357)</f>
        <v/>
      </c>
      <c r="I357" s="11">
        <f>MAX(0,D357-H357)</f>
        <v/>
      </c>
      <c r="J357" s="15">
        <f>IF(A357="","",IF(D357=0,0,MIN(1,I357/D357)))</f>
        <v/>
      </c>
      <c r="K357" s="15">
        <f>IF(A357="","",IF(OR(I357=0,C357=0),0,MIN(1,E357/((I357/60)*C357))))</f>
        <v/>
      </c>
      <c r="L357" s="15">
        <f>IF(A357="","",IF(E357=0,0,MIN(1,MAX(0,G357/E357))))</f>
        <v/>
      </c>
      <c r="M357" s="15">
        <f>IF(A357="","",J357*K357*L357)</f>
        <v/>
      </c>
    </row>
    <row r="358">
      <c r="A358" s="11">
        <f>Machines!A358</f>
        <v/>
      </c>
      <c r="B358" s="11">
        <f>Machines!B358</f>
        <v/>
      </c>
      <c r="C358" s="11">
        <f>IF(A358="","",Machines!D358)</f>
        <v/>
      </c>
      <c r="D358" s="11">
        <f>SUMIFS(WorkOrders!$M$2:$M$500,WorkOrders!$C$2:$C$500,A358)</f>
        <v/>
      </c>
      <c r="E358" s="11">
        <f>SUMIFS(WorkOrders!$E$2:$E$500,WorkOrders!$C$2:$C$500,A358)</f>
        <v/>
      </c>
      <c r="F358" s="11">
        <f>SUMIFS(WorkOrders!$F$2:$F$500,WorkOrders!$C$2:$C$500,A358)</f>
        <v/>
      </c>
      <c r="G358" s="11">
        <f>E358-F358</f>
        <v/>
      </c>
      <c r="H358" s="11">
        <f>SUMIFS(Downtime!$G$2:$G$500,Downtime!$A$2:$A$500,A358)</f>
        <v/>
      </c>
      <c r="I358" s="11">
        <f>MAX(0,D358-H358)</f>
        <v/>
      </c>
      <c r="J358" s="15">
        <f>IF(A358="","",IF(D358=0,0,MIN(1,I358/D358)))</f>
        <v/>
      </c>
      <c r="K358" s="15">
        <f>IF(A358="","",IF(OR(I358=0,C358=0),0,MIN(1,E358/((I358/60)*C358))))</f>
        <v/>
      </c>
      <c r="L358" s="15">
        <f>IF(A358="","",IF(E358=0,0,MIN(1,MAX(0,G358/E358))))</f>
        <v/>
      </c>
      <c r="M358" s="15">
        <f>IF(A358="","",J358*K358*L358)</f>
        <v/>
      </c>
    </row>
    <row r="359">
      <c r="A359" s="11">
        <f>Machines!A359</f>
        <v/>
      </c>
      <c r="B359" s="11">
        <f>Machines!B359</f>
        <v/>
      </c>
      <c r="C359" s="11">
        <f>IF(A359="","",Machines!D359)</f>
        <v/>
      </c>
      <c r="D359" s="11">
        <f>SUMIFS(WorkOrders!$M$2:$M$500,WorkOrders!$C$2:$C$500,A359)</f>
        <v/>
      </c>
      <c r="E359" s="11">
        <f>SUMIFS(WorkOrders!$E$2:$E$500,WorkOrders!$C$2:$C$500,A359)</f>
        <v/>
      </c>
      <c r="F359" s="11">
        <f>SUMIFS(WorkOrders!$F$2:$F$500,WorkOrders!$C$2:$C$500,A359)</f>
        <v/>
      </c>
      <c r="G359" s="11">
        <f>E359-F359</f>
        <v/>
      </c>
      <c r="H359" s="11">
        <f>SUMIFS(Downtime!$G$2:$G$500,Downtime!$A$2:$A$500,A359)</f>
        <v/>
      </c>
      <c r="I359" s="11">
        <f>MAX(0,D359-H359)</f>
        <v/>
      </c>
      <c r="J359" s="15">
        <f>IF(A359="","",IF(D359=0,0,MIN(1,I359/D359)))</f>
        <v/>
      </c>
      <c r="K359" s="15">
        <f>IF(A359="","",IF(OR(I359=0,C359=0),0,MIN(1,E359/((I359/60)*C359))))</f>
        <v/>
      </c>
      <c r="L359" s="15">
        <f>IF(A359="","",IF(E359=0,0,MIN(1,MAX(0,G359/E359))))</f>
        <v/>
      </c>
      <c r="M359" s="15">
        <f>IF(A359="","",J359*K359*L359)</f>
        <v/>
      </c>
    </row>
    <row r="360">
      <c r="A360" s="11">
        <f>Machines!A360</f>
        <v/>
      </c>
      <c r="B360" s="11">
        <f>Machines!B360</f>
        <v/>
      </c>
      <c r="C360" s="11">
        <f>IF(A360="","",Machines!D360)</f>
        <v/>
      </c>
      <c r="D360" s="11">
        <f>SUMIFS(WorkOrders!$M$2:$M$500,WorkOrders!$C$2:$C$500,A360)</f>
        <v/>
      </c>
      <c r="E360" s="11">
        <f>SUMIFS(WorkOrders!$E$2:$E$500,WorkOrders!$C$2:$C$500,A360)</f>
        <v/>
      </c>
      <c r="F360" s="11">
        <f>SUMIFS(WorkOrders!$F$2:$F$500,WorkOrders!$C$2:$C$500,A360)</f>
        <v/>
      </c>
      <c r="G360" s="11">
        <f>E360-F360</f>
        <v/>
      </c>
      <c r="H360" s="11">
        <f>SUMIFS(Downtime!$G$2:$G$500,Downtime!$A$2:$A$500,A360)</f>
        <v/>
      </c>
      <c r="I360" s="11">
        <f>MAX(0,D360-H360)</f>
        <v/>
      </c>
      <c r="J360" s="15">
        <f>IF(A360="","",IF(D360=0,0,MIN(1,I360/D360)))</f>
        <v/>
      </c>
      <c r="K360" s="15">
        <f>IF(A360="","",IF(OR(I360=0,C360=0),0,MIN(1,E360/((I360/60)*C360))))</f>
        <v/>
      </c>
      <c r="L360" s="15">
        <f>IF(A360="","",IF(E360=0,0,MIN(1,MAX(0,G360/E360))))</f>
        <v/>
      </c>
      <c r="M360" s="15">
        <f>IF(A360="","",J360*K360*L360)</f>
        <v/>
      </c>
    </row>
    <row r="361">
      <c r="A361" s="11">
        <f>Machines!A361</f>
        <v/>
      </c>
      <c r="B361" s="11">
        <f>Machines!B361</f>
        <v/>
      </c>
      <c r="C361" s="11">
        <f>IF(A361="","",Machines!D361)</f>
        <v/>
      </c>
      <c r="D361" s="11">
        <f>SUMIFS(WorkOrders!$M$2:$M$500,WorkOrders!$C$2:$C$500,A361)</f>
        <v/>
      </c>
      <c r="E361" s="11">
        <f>SUMIFS(WorkOrders!$E$2:$E$500,WorkOrders!$C$2:$C$500,A361)</f>
        <v/>
      </c>
      <c r="F361" s="11">
        <f>SUMIFS(WorkOrders!$F$2:$F$500,WorkOrders!$C$2:$C$500,A361)</f>
        <v/>
      </c>
      <c r="G361" s="11">
        <f>E361-F361</f>
        <v/>
      </c>
      <c r="H361" s="11">
        <f>SUMIFS(Downtime!$G$2:$G$500,Downtime!$A$2:$A$500,A361)</f>
        <v/>
      </c>
      <c r="I361" s="11">
        <f>MAX(0,D361-H361)</f>
        <v/>
      </c>
      <c r="J361" s="15">
        <f>IF(A361="","",IF(D361=0,0,MIN(1,I361/D361)))</f>
        <v/>
      </c>
      <c r="K361" s="15">
        <f>IF(A361="","",IF(OR(I361=0,C361=0),0,MIN(1,E361/((I361/60)*C361))))</f>
        <v/>
      </c>
      <c r="L361" s="15">
        <f>IF(A361="","",IF(E361=0,0,MIN(1,MAX(0,G361/E361))))</f>
        <v/>
      </c>
      <c r="M361" s="15">
        <f>IF(A361="","",J361*K361*L361)</f>
        <v/>
      </c>
    </row>
    <row r="362">
      <c r="A362" s="11">
        <f>Machines!A362</f>
        <v/>
      </c>
      <c r="B362" s="11">
        <f>Machines!B362</f>
        <v/>
      </c>
      <c r="C362" s="11">
        <f>IF(A362="","",Machines!D362)</f>
        <v/>
      </c>
      <c r="D362" s="11">
        <f>SUMIFS(WorkOrders!$M$2:$M$500,WorkOrders!$C$2:$C$500,A362)</f>
        <v/>
      </c>
      <c r="E362" s="11">
        <f>SUMIFS(WorkOrders!$E$2:$E$500,WorkOrders!$C$2:$C$500,A362)</f>
        <v/>
      </c>
      <c r="F362" s="11">
        <f>SUMIFS(WorkOrders!$F$2:$F$500,WorkOrders!$C$2:$C$500,A362)</f>
        <v/>
      </c>
      <c r="G362" s="11">
        <f>E362-F362</f>
        <v/>
      </c>
      <c r="H362" s="11">
        <f>SUMIFS(Downtime!$G$2:$G$500,Downtime!$A$2:$A$500,A362)</f>
        <v/>
      </c>
      <c r="I362" s="11">
        <f>MAX(0,D362-H362)</f>
        <v/>
      </c>
      <c r="J362" s="15">
        <f>IF(A362="","",IF(D362=0,0,MIN(1,I362/D362)))</f>
        <v/>
      </c>
      <c r="K362" s="15">
        <f>IF(A362="","",IF(OR(I362=0,C362=0),0,MIN(1,E362/((I362/60)*C362))))</f>
        <v/>
      </c>
      <c r="L362" s="15">
        <f>IF(A362="","",IF(E362=0,0,MIN(1,MAX(0,G362/E362))))</f>
        <v/>
      </c>
      <c r="M362" s="15">
        <f>IF(A362="","",J362*K362*L362)</f>
        <v/>
      </c>
    </row>
    <row r="363">
      <c r="A363" s="11">
        <f>Machines!A363</f>
        <v/>
      </c>
      <c r="B363" s="11">
        <f>Machines!B363</f>
        <v/>
      </c>
      <c r="C363" s="11">
        <f>IF(A363="","",Machines!D363)</f>
        <v/>
      </c>
      <c r="D363" s="11">
        <f>SUMIFS(WorkOrders!$M$2:$M$500,WorkOrders!$C$2:$C$500,A363)</f>
        <v/>
      </c>
      <c r="E363" s="11">
        <f>SUMIFS(WorkOrders!$E$2:$E$500,WorkOrders!$C$2:$C$500,A363)</f>
        <v/>
      </c>
      <c r="F363" s="11">
        <f>SUMIFS(WorkOrders!$F$2:$F$500,WorkOrders!$C$2:$C$500,A363)</f>
        <v/>
      </c>
      <c r="G363" s="11">
        <f>E363-F363</f>
        <v/>
      </c>
      <c r="H363" s="11">
        <f>SUMIFS(Downtime!$G$2:$G$500,Downtime!$A$2:$A$500,A363)</f>
        <v/>
      </c>
      <c r="I363" s="11">
        <f>MAX(0,D363-H363)</f>
        <v/>
      </c>
      <c r="J363" s="15">
        <f>IF(A363="","",IF(D363=0,0,MIN(1,I363/D363)))</f>
        <v/>
      </c>
      <c r="K363" s="15">
        <f>IF(A363="","",IF(OR(I363=0,C363=0),0,MIN(1,E363/((I363/60)*C363))))</f>
        <v/>
      </c>
      <c r="L363" s="15">
        <f>IF(A363="","",IF(E363=0,0,MIN(1,MAX(0,G363/E363))))</f>
        <v/>
      </c>
      <c r="M363" s="15">
        <f>IF(A363="","",J363*K363*L363)</f>
        <v/>
      </c>
    </row>
    <row r="364">
      <c r="A364" s="11">
        <f>Machines!A364</f>
        <v/>
      </c>
      <c r="B364" s="11">
        <f>Machines!B364</f>
        <v/>
      </c>
      <c r="C364" s="11">
        <f>IF(A364="","",Machines!D364)</f>
        <v/>
      </c>
      <c r="D364" s="11">
        <f>SUMIFS(WorkOrders!$M$2:$M$500,WorkOrders!$C$2:$C$500,A364)</f>
        <v/>
      </c>
      <c r="E364" s="11">
        <f>SUMIFS(WorkOrders!$E$2:$E$500,WorkOrders!$C$2:$C$500,A364)</f>
        <v/>
      </c>
      <c r="F364" s="11">
        <f>SUMIFS(WorkOrders!$F$2:$F$500,WorkOrders!$C$2:$C$500,A364)</f>
        <v/>
      </c>
      <c r="G364" s="11">
        <f>E364-F364</f>
        <v/>
      </c>
      <c r="H364" s="11">
        <f>SUMIFS(Downtime!$G$2:$G$500,Downtime!$A$2:$A$500,A364)</f>
        <v/>
      </c>
      <c r="I364" s="11">
        <f>MAX(0,D364-H364)</f>
        <v/>
      </c>
      <c r="J364" s="15">
        <f>IF(A364="","",IF(D364=0,0,MIN(1,I364/D364)))</f>
        <v/>
      </c>
      <c r="K364" s="15">
        <f>IF(A364="","",IF(OR(I364=0,C364=0),0,MIN(1,E364/((I364/60)*C364))))</f>
        <v/>
      </c>
      <c r="L364" s="15">
        <f>IF(A364="","",IF(E364=0,0,MIN(1,MAX(0,G364/E364))))</f>
        <v/>
      </c>
      <c r="M364" s="15">
        <f>IF(A364="","",J364*K364*L364)</f>
        <v/>
      </c>
    </row>
    <row r="365">
      <c r="A365" s="11">
        <f>Machines!A365</f>
        <v/>
      </c>
      <c r="B365" s="11">
        <f>Machines!B365</f>
        <v/>
      </c>
      <c r="C365" s="11">
        <f>IF(A365="","",Machines!D365)</f>
        <v/>
      </c>
      <c r="D365" s="11">
        <f>SUMIFS(WorkOrders!$M$2:$M$500,WorkOrders!$C$2:$C$500,A365)</f>
        <v/>
      </c>
      <c r="E365" s="11">
        <f>SUMIFS(WorkOrders!$E$2:$E$500,WorkOrders!$C$2:$C$500,A365)</f>
        <v/>
      </c>
      <c r="F365" s="11">
        <f>SUMIFS(WorkOrders!$F$2:$F$500,WorkOrders!$C$2:$C$500,A365)</f>
        <v/>
      </c>
      <c r="G365" s="11">
        <f>E365-F365</f>
        <v/>
      </c>
      <c r="H365" s="11">
        <f>SUMIFS(Downtime!$G$2:$G$500,Downtime!$A$2:$A$500,A365)</f>
        <v/>
      </c>
      <c r="I365" s="11">
        <f>MAX(0,D365-H365)</f>
        <v/>
      </c>
      <c r="J365" s="15">
        <f>IF(A365="","",IF(D365=0,0,MIN(1,I365/D365)))</f>
        <v/>
      </c>
      <c r="K365" s="15">
        <f>IF(A365="","",IF(OR(I365=0,C365=0),0,MIN(1,E365/((I365/60)*C365))))</f>
        <v/>
      </c>
      <c r="L365" s="15">
        <f>IF(A365="","",IF(E365=0,0,MIN(1,MAX(0,G365/E365))))</f>
        <v/>
      </c>
      <c r="M365" s="15">
        <f>IF(A365="","",J365*K365*L365)</f>
        <v/>
      </c>
    </row>
    <row r="366">
      <c r="A366" s="11">
        <f>Machines!A366</f>
        <v/>
      </c>
      <c r="B366" s="11">
        <f>Machines!B366</f>
        <v/>
      </c>
      <c r="C366" s="11">
        <f>IF(A366="","",Machines!D366)</f>
        <v/>
      </c>
      <c r="D366" s="11">
        <f>SUMIFS(WorkOrders!$M$2:$M$500,WorkOrders!$C$2:$C$500,A366)</f>
        <v/>
      </c>
      <c r="E366" s="11">
        <f>SUMIFS(WorkOrders!$E$2:$E$500,WorkOrders!$C$2:$C$500,A366)</f>
        <v/>
      </c>
      <c r="F366" s="11">
        <f>SUMIFS(WorkOrders!$F$2:$F$500,WorkOrders!$C$2:$C$500,A366)</f>
        <v/>
      </c>
      <c r="G366" s="11">
        <f>E366-F366</f>
        <v/>
      </c>
      <c r="H366" s="11">
        <f>SUMIFS(Downtime!$G$2:$G$500,Downtime!$A$2:$A$500,A366)</f>
        <v/>
      </c>
      <c r="I366" s="11">
        <f>MAX(0,D366-H366)</f>
        <v/>
      </c>
      <c r="J366" s="15">
        <f>IF(A366="","",IF(D366=0,0,MIN(1,I366/D366)))</f>
        <v/>
      </c>
      <c r="K366" s="15">
        <f>IF(A366="","",IF(OR(I366=0,C366=0),0,MIN(1,E366/((I366/60)*C366))))</f>
        <v/>
      </c>
      <c r="L366" s="15">
        <f>IF(A366="","",IF(E366=0,0,MIN(1,MAX(0,G366/E366))))</f>
        <v/>
      </c>
      <c r="M366" s="15">
        <f>IF(A366="","",J366*K366*L366)</f>
        <v/>
      </c>
    </row>
    <row r="367">
      <c r="A367" s="11">
        <f>Machines!A367</f>
        <v/>
      </c>
      <c r="B367" s="11">
        <f>Machines!B367</f>
        <v/>
      </c>
      <c r="C367" s="11">
        <f>IF(A367="","",Machines!D367)</f>
        <v/>
      </c>
      <c r="D367" s="11">
        <f>SUMIFS(WorkOrders!$M$2:$M$500,WorkOrders!$C$2:$C$500,A367)</f>
        <v/>
      </c>
      <c r="E367" s="11">
        <f>SUMIFS(WorkOrders!$E$2:$E$500,WorkOrders!$C$2:$C$500,A367)</f>
        <v/>
      </c>
      <c r="F367" s="11">
        <f>SUMIFS(WorkOrders!$F$2:$F$500,WorkOrders!$C$2:$C$500,A367)</f>
        <v/>
      </c>
      <c r="G367" s="11">
        <f>E367-F367</f>
        <v/>
      </c>
      <c r="H367" s="11">
        <f>SUMIFS(Downtime!$G$2:$G$500,Downtime!$A$2:$A$500,A367)</f>
        <v/>
      </c>
      <c r="I367" s="11">
        <f>MAX(0,D367-H367)</f>
        <v/>
      </c>
      <c r="J367" s="15">
        <f>IF(A367="","",IF(D367=0,0,MIN(1,I367/D367)))</f>
        <v/>
      </c>
      <c r="K367" s="15">
        <f>IF(A367="","",IF(OR(I367=0,C367=0),0,MIN(1,E367/((I367/60)*C367))))</f>
        <v/>
      </c>
      <c r="L367" s="15">
        <f>IF(A367="","",IF(E367=0,0,MIN(1,MAX(0,G367/E367))))</f>
        <v/>
      </c>
      <c r="M367" s="15">
        <f>IF(A367="","",J367*K367*L367)</f>
        <v/>
      </c>
    </row>
    <row r="368">
      <c r="A368" s="11">
        <f>Machines!A368</f>
        <v/>
      </c>
      <c r="B368" s="11">
        <f>Machines!B368</f>
        <v/>
      </c>
      <c r="C368" s="11">
        <f>IF(A368="","",Machines!D368)</f>
        <v/>
      </c>
      <c r="D368" s="11">
        <f>SUMIFS(WorkOrders!$M$2:$M$500,WorkOrders!$C$2:$C$500,A368)</f>
        <v/>
      </c>
      <c r="E368" s="11">
        <f>SUMIFS(WorkOrders!$E$2:$E$500,WorkOrders!$C$2:$C$500,A368)</f>
        <v/>
      </c>
      <c r="F368" s="11">
        <f>SUMIFS(WorkOrders!$F$2:$F$500,WorkOrders!$C$2:$C$500,A368)</f>
        <v/>
      </c>
      <c r="G368" s="11">
        <f>E368-F368</f>
        <v/>
      </c>
      <c r="H368" s="11">
        <f>SUMIFS(Downtime!$G$2:$G$500,Downtime!$A$2:$A$500,A368)</f>
        <v/>
      </c>
      <c r="I368" s="11">
        <f>MAX(0,D368-H368)</f>
        <v/>
      </c>
      <c r="J368" s="15">
        <f>IF(A368="","",IF(D368=0,0,MIN(1,I368/D368)))</f>
        <v/>
      </c>
      <c r="K368" s="15">
        <f>IF(A368="","",IF(OR(I368=0,C368=0),0,MIN(1,E368/((I368/60)*C368))))</f>
        <v/>
      </c>
      <c r="L368" s="15">
        <f>IF(A368="","",IF(E368=0,0,MIN(1,MAX(0,G368/E368))))</f>
        <v/>
      </c>
      <c r="M368" s="15">
        <f>IF(A368="","",J368*K368*L368)</f>
        <v/>
      </c>
    </row>
    <row r="369">
      <c r="A369" s="11">
        <f>Machines!A369</f>
        <v/>
      </c>
      <c r="B369" s="11">
        <f>Machines!B369</f>
        <v/>
      </c>
      <c r="C369" s="11">
        <f>IF(A369="","",Machines!D369)</f>
        <v/>
      </c>
      <c r="D369" s="11">
        <f>SUMIFS(WorkOrders!$M$2:$M$500,WorkOrders!$C$2:$C$500,A369)</f>
        <v/>
      </c>
      <c r="E369" s="11">
        <f>SUMIFS(WorkOrders!$E$2:$E$500,WorkOrders!$C$2:$C$500,A369)</f>
        <v/>
      </c>
      <c r="F369" s="11">
        <f>SUMIFS(WorkOrders!$F$2:$F$500,WorkOrders!$C$2:$C$500,A369)</f>
        <v/>
      </c>
      <c r="G369" s="11">
        <f>E369-F369</f>
        <v/>
      </c>
      <c r="H369" s="11">
        <f>SUMIFS(Downtime!$G$2:$G$500,Downtime!$A$2:$A$500,A369)</f>
        <v/>
      </c>
      <c r="I369" s="11">
        <f>MAX(0,D369-H369)</f>
        <v/>
      </c>
      <c r="J369" s="15">
        <f>IF(A369="","",IF(D369=0,0,MIN(1,I369/D369)))</f>
        <v/>
      </c>
      <c r="K369" s="15">
        <f>IF(A369="","",IF(OR(I369=0,C369=0),0,MIN(1,E369/((I369/60)*C369))))</f>
        <v/>
      </c>
      <c r="L369" s="15">
        <f>IF(A369="","",IF(E369=0,0,MIN(1,MAX(0,G369/E369))))</f>
        <v/>
      </c>
      <c r="M369" s="15">
        <f>IF(A369="","",J369*K369*L369)</f>
        <v/>
      </c>
    </row>
    <row r="370">
      <c r="A370" s="11">
        <f>Machines!A370</f>
        <v/>
      </c>
      <c r="B370" s="11">
        <f>Machines!B370</f>
        <v/>
      </c>
      <c r="C370" s="11">
        <f>IF(A370="","",Machines!D370)</f>
        <v/>
      </c>
      <c r="D370" s="11">
        <f>SUMIFS(WorkOrders!$M$2:$M$500,WorkOrders!$C$2:$C$500,A370)</f>
        <v/>
      </c>
      <c r="E370" s="11">
        <f>SUMIFS(WorkOrders!$E$2:$E$500,WorkOrders!$C$2:$C$500,A370)</f>
        <v/>
      </c>
      <c r="F370" s="11">
        <f>SUMIFS(WorkOrders!$F$2:$F$500,WorkOrders!$C$2:$C$500,A370)</f>
        <v/>
      </c>
      <c r="G370" s="11">
        <f>E370-F370</f>
        <v/>
      </c>
      <c r="H370" s="11">
        <f>SUMIFS(Downtime!$G$2:$G$500,Downtime!$A$2:$A$500,A370)</f>
        <v/>
      </c>
      <c r="I370" s="11">
        <f>MAX(0,D370-H370)</f>
        <v/>
      </c>
      <c r="J370" s="15">
        <f>IF(A370="","",IF(D370=0,0,MIN(1,I370/D370)))</f>
        <v/>
      </c>
      <c r="K370" s="15">
        <f>IF(A370="","",IF(OR(I370=0,C370=0),0,MIN(1,E370/((I370/60)*C370))))</f>
        <v/>
      </c>
      <c r="L370" s="15">
        <f>IF(A370="","",IF(E370=0,0,MIN(1,MAX(0,G370/E370))))</f>
        <v/>
      </c>
      <c r="M370" s="15">
        <f>IF(A370="","",J370*K370*L370)</f>
        <v/>
      </c>
    </row>
    <row r="371">
      <c r="A371" s="11">
        <f>Machines!A371</f>
        <v/>
      </c>
      <c r="B371" s="11">
        <f>Machines!B371</f>
        <v/>
      </c>
      <c r="C371" s="11">
        <f>IF(A371="","",Machines!D371)</f>
        <v/>
      </c>
      <c r="D371" s="11">
        <f>SUMIFS(WorkOrders!$M$2:$M$500,WorkOrders!$C$2:$C$500,A371)</f>
        <v/>
      </c>
      <c r="E371" s="11">
        <f>SUMIFS(WorkOrders!$E$2:$E$500,WorkOrders!$C$2:$C$500,A371)</f>
        <v/>
      </c>
      <c r="F371" s="11">
        <f>SUMIFS(WorkOrders!$F$2:$F$500,WorkOrders!$C$2:$C$500,A371)</f>
        <v/>
      </c>
      <c r="G371" s="11">
        <f>E371-F371</f>
        <v/>
      </c>
      <c r="H371" s="11">
        <f>SUMIFS(Downtime!$G$2:$G$500,Downtime!$A$2:$A$500,A371)</f>
        <v/>
      </c>
      <c r="I371" s="11">
        <f>MAX(0,D371-H371)</f>
        <v/>
      </c>
      <c r="J371" s="15">
        <f>IF(A371="","",IF(D371=0,0,MIN(1,I371/D371)))</f>
        <v/>
      </c>
      <c r="K371" s="15">
        <f>IF(A371="","",IF(OR(I371=0,C371=0),0,MIN(1,E371/((I371/60)*C371))))</f>
        <v/>
      </c>
      <c r="L371" s="15">
        <f>IF(A371="","",IF(E371=0,0,MIN(1,MAX(0,G371/E371))))</f>
        <v/>
      </c>
      <c r="M371" s="15">
        <f>IF(A371="","",J371*K371*L371)</f>
        <v/>
      </c>
    </row>
    <row r="372">
      <c r="A372" s="11">
        <f>Machines!A372</f>
        <v/>
      </c>
      <c r="B372" s="11">
        <f>Machines!B372</f>
        <v/>
      </c>
      <c r="C372" s="11">
        <f>IF(A372="","",Machines!D372)</f>
        <v/>
      </c>
      <c r="D372" s="11">
        <f>SUMIFS(WorkOrders!$M$2:$M$500,WorkOrders!$C$2:$C$500,A372)</f>
        <v/>
      </c>
      <c r="E372" s="11">
        <f>SUMIFS(WorkOrders!$E$2:$E$500,WorkOrders!$C$2:$C$500,A372)</f>
        <v/>
      </c>
      <c r="F372" s="11">
        <f>SUMIFS(WorkOrders!$F$2:$F$500,WorkOrders!$C$2:$C$500,A372)</f>
        <v/>
      </c>
      <c r="G372" s="11">
        <f>E372-F372</f>
        <v/>
      </c>
      <c r="H372" s="11">
        <f>SUMIFS(Downtime!$G$2:$G$500,Downtime!$A$2:$A$500,A372)</f>
        <v/>
      </c>
      <c r="I372" s="11">
        <f>MAX(0,D372-H372)</f>
        <v/>
      </c>
      <c r="J372" s="15">
        <f>IF(A372="","",IF(D372=0,0,MIN(1,I372/D372)))</f>
        <v/>
      </c>
      <c r="K372" s="15">
        <f>IF(A372="","",IF(OR(I372=0,C372=0),0,MIN(1,E372/((I372/60)*C372))))</f>
        <v/>
      </c>
      <c r="L372" s="15">
        <f>IF(A372="","",IF(E372=0,0,MIN(1,MAX(0,G372/E372))))</f>
        <v/>
      </c>
      <c r="M372" s="15">
        <f>IF(A372="","",J372*K372*L372)</f>
        <v/>
      </c>
    </row>
    <row r="373">
      <c r="A373" s="11">
        <f>Machines!A373</f>
        <v/>
      </c>
      <c r="B373" s="11">
        <f>Machines!B373</f>
        <v/>
      </c>
      <c r="C373" s="11">
        <f>IF(A373="","",Machines!D373)</f>
        <v/>
      </c>
      <c r="D373" s="11">
        <f>SUMIFS(WorkOrders!$M$2:$M$500,WorkOrders!$C$2:$C$500,A373)</f>
        <v/>
      </c>
      <c r="E373" s="11">
        <f>SUMIFS(WorkOrders!$E$2:$E$500,WorkOrders!$C$2:$C$500,A373)</f>
        <v/>
      </c>
      <c r="F373" s="11">
        <f>SUMIFS(WorkOrders!$F$2:$F$500,WorkOrders!$C$2:$C$500,A373)</f>
        <v/>
      </c>
      <c r="G373" s="11">
        <f>E373-F373</f>
        <v/>
      </c>
      <c r="H373" s="11">
        <f>SUMIFS(Downtime!$G$2:$G$500,Downtime!$A$2:$A$500,A373)</f>
        <v/>
      </c>
      <c r="I373" s="11">
        <f>MAX(0,D373-H373)</f>
        <v/>
      </c>
      <c r="J373" s="15">
        <f>IF(A373="","",IF(D373=0,0,MIN(1,I373/D373)))</f>
        <v/>
      </c>
      <c r="K373" s="15">
        <f>IF(A373="","",IF(OR(I373=0,C373=0),0,MIN(1,E373/((I373/60)*C373))))</f>
        <v/>
      </c>
      <c r="L373" s="15">
        <f>IF(A373="","",IF(E373=0,0,MIN(1,MAX(0,G373/E373))))</f>
        <v/>
      </c>
      <c r="M373" s="15">
        <f>IF(A373="","",J373*K373*L373)</f>
        <v/>
      </c>
    </row>
    <row r="374">
      <c r="A374" s="11">
        <f>Machines!A374</f>
        <v/>
      </c>
      <c r="B374" s="11">
        <f>Machines!B374</f>
        <v/>
      </c>
      <c r="C374" s="11">
        <f>IF(A374="","",Machines!D374)</f>
        <v/>
      </c>
      <c r="D374" s="11">
        <f>SUMIFS(WorkOrders!$M$2:$M$500,WorkOrders!$C$2:$C$500,A374)</f>
        <v/>
      </c>
      <c r="E374" s="11">
        <f>SUMIFS(WorkOrders!$E$2:$E$500,WorkOrders!$C$2:$C$500,A374)</f>
        <v/>
      </c>
      <c r="F374" s="11">
        <f>SUMIFS(WorkOrders!$F$2:$F$500,WorkOrders!$C$2:$C$500,A374)</f>
        <v/>
      </c>
      <c r="G374" s="11">
        <f>E374-F374</f>
        <v/>
      </c>
      <c r="H374" s="11">
        <f>SUMIFS(Downtime!$G$2:$G$500,Downtime!$A$2:$A$500,A374)</f>
        <v/>
      </c>
      <c r="I374" s="11">
        <f>MAX(0,D374-H374)</f>
        <v/>
      </c>
      <c r="J374" s="15">
        <f>IF(A374="","",IF(D374=0,0,MIN(1,I374/D374)))</f>
        <v/>
      </c>
      <c r="K374" s="15">
        <f>IF(A374="","",IF(OR(I374=0,C374=0),0,MIN(1,E374/((I374/60)*C374))))</f>
        <v/>
      </c>
      <c r="L374" s="15">
        <f>IF(A374="","",IF(E374=0,0,MIN(1,MAX(0,G374/E374))))</f>
        <v/>
      </c>
      <c r="M374" s="15">
        <f>IF(A374="","",J374*K374*L374)</f>
        <v/>
      </c>
    </row>
    <row r="375">
      <c r="A375" s="11">
        <f>Machines!A375</f>
        <v/>
      </c>
      <c r="B375" s="11">
        <f>Machines!B375</f>
        <v/>
      </c>
      <c r="C375" s="11">
        <f>IF(A375="","",Machines!D375)</f>
        <v/>
      </c>
      <c r="D375" s="11">
        <f>SUMIFS(WorkOrders!$M$2:$M$500,WorkOrders!$C$2:$C$500,A375)</f>
        <v/>
      </c>
      <c r="E375" s="11">
        <f>SUMIFS(WorkOrders!$E$2:$E$500,WorkOrders!$C$2:$C$500,A375)</f>
        <v/>
      </c>
      <c r="F375" s="11">
        <f>SUMIFS(WorkOrders!$F$2:$F$500,WorkOrders!$C$2:$C$500,A375)</f>
        <v/>
      </c>
      <c r="G375" s="11">
        <f>E375-F375</f>
        <v/>
      </c>
      <c r="H375" s="11">
        <f>SUMIFS(Downtime!$G$2:$G$500,Downtime!$A$2:$A$500,A375)</f>
        <v/>
      </c>
      <c r="I375" s="11">
        <f>MAX(0,D375-H375)</f>
        <v/>
      </c>
      <c r="J375" s="15">
        <f>IF(A375="","",IF(D375=0,0,MIN(1,I375/D375)))</f>
        <v/>
      </c>
      <c r="K375" s="15">
        <f>IF(A375="","",IF(OR(I375=0,C375=0),0,MIN(1,E375/((I375/60)*C375))))</f>
        <v/>
      </c>
      <c r="L375" s="15">
        <f>IF(A375="","",IF(E375=0,0,MIN(1,MAX(0,G375/E375))))</f>
        <v/>
      </c>
      <c r="M375" s="15">
        <f>IF(A375="","",J375*K375*L375)</f>
        <v/>
      </c>
    </row>
    <row r="376">
      <c r="A376" s="11">
        <f>Machines!A376</f>
        <v/>
      </c>
      <c r="B376" s="11">
        <f>Machines!B376</f>
        <v/>
      </c>
      <c r="C376" s="11">
        <f>IF(A376="","",Machines!D376)</f>
        <v/>
      </c>
      <c r="D376" s="11">
        <f>SUMIFS(WorkOrders!$M$2:$M$500,WorkOrders!$C$2:$C$500,A376)</f>
        <v/>
      </c>
      <c r="E376" s="11">
        <f>SUMIFS(WorkOrders!$E$2:$E$500,WorkOrders!$C$2:$C$500,A376)</f>
        <v/>
      </c>
      <c r="F376" s="11">
        <f>SUMIFS(WorkOrders!$F$2:$F$500,WorkOrders!$C$2:$C$500,A376)</f>
        <v/>
      </c>
      <c r="G376" s="11">
        <f>E376-F376</f>
        <v/>
      </c>
      <c r="H376" s="11">
        <f>SUMIFS(Downtime!$G$2:$G$500,Downtime!$A$2:$A$500,A376)</f>
        <v/>
      </c>
      <c r="I376" s="11">
        <f>MAX(0,D376-H376)</f>
        <v/>
      </c>
      <c r="J376" s="15">
        <f>IF(A376="","",IF(D376=0,0,MIN(1,I376/D376)))</f>
        <v/>
      </c>
      <c r="K376" s="15">
        <f>IF(A376="","",IF(OR(I376=0,C376=0),0,MIN(1,E376/((I376/60)*C376))))</f>
        <v/>
      </c>
      <c r="L376" s="15">
        <f>IF(A376="","",IF(E376=0,0,MIN(1,MAX(0,G376/E376))))</f>
        <v/>
      </c>
      <c r="M376" s="15">
        <f>IF(A376="","",J376*K376*L376)</f>
        <v/>
      </c>
    </row>
    <row r="377">
      <c r="A377" s="11">
        <f>Machines!A377</f>
        <v/>
      </c>
      <c r="B377" s="11">
        <f>Machines!B377</f>
        <v/>
      </c>
      <c r="C377" s="11">
        <f>IF(A377="","",Machines!D377)</f>
        <v/>
      </c>
      <c r="D377" s="11">
        <f>SUMIFS(WorkOrders!$M$2:$M$500,WorkOrders!$C$2:$C$500,A377)</f>
        <v/>
      </c>
      <c r="E377" s="11">
        <f>SUMIFS(WorkOrders!$E$2:$E$500,WorkOrders!$C$2:$C$500,A377)</f>
        <v/>
      </c>
      <c r="F377" s="11">
        <f>SUMIFS(WorkOrders!$F$2:$F$500,WorkOrders!$C$2:$C$500,A377)</f>
        <v/>
      </c>
      <c r="G377" s="11">
        <f>E377-F377</f>
        <v/>
      </c>
      <c r="H377" s="11">
        <f>SUMIFS(Downtime!$G$2:$G$500,Downtime!$A$2:$A$500,A377)</f>
        <v/>
      </c>
      <c r="I377" s="11">
        <f>MAX(0,D377-H377)</f>
        <v/>
      </c>
      <c r="J377" s="15">
        <f>IF(A377="","",IF(D377=0,0,MIN(1,I377/D377)))</f>
        <v/>
      </c>
      <c r="K377" s="15">
        <f>IF(A377="","",IF(OR(I377=0,C377=0),0,MIN(1,E377/((I377/60)*C377))))</f>
        <v/>
      </c>
      <c r="L377" s="15">
        <f>IF(A377="","",IF(E377=0,0,MIN(1,MAX(0,G377/E377))))</f>
        <v/>
      </c>
      <c r="M377" s="15">
        <f>IF(A377="","",J377*K377*L377)</f>
        <v/>
      </c>
    </row>
    <row r="378">
      <c r="A378" s="11">
        <f>Machines!A378</f>
        <v/>
      </c>
      <c r="B378" s="11">
        <f>Machines!B378</f>
        <v/>
      </c>
      <c r="C378" s="11">
        <f>IF(A378="","",Machines!D378)</f>
        <v/>
      </c>
      <c r="D378" s="11">
        <f>SUMIFS(WorkOrders!$M$2:$M$500,WorkOrders!$C$2:$C$500,A378)</f>
        <v/>
      </c>
      <c r="E378" s="11">
        <f>SUMIFS(WorkOrders!$E$2:$E$500,WorkOrders!$C$2:$C$500,A378)</f>
        <v/>
      </c>
      <c r="F378" s="11">
        <f>SUMIFS(WorkOrders!$F$2:$F$500,WorkOrders!$C$2:$C$500,A378)</f>
        <v/>
      </c>
      <c r="G378" s="11">
        <f>E378-F378</f>
        <v/>
      </c>
      <c r="H378" s="11">
        <f>SUMIFS(Downtime!$G$2:$G$500,Downtime!$A$2:$A$500,A378)</f>
        <v/>
      </c>
      <c r="I378" s="11">
        <f>MAX(0,D378-H378)</f>
        <v/>
      </c>
      <c r="J378" s="15">
        <f>IF(A378="","",IF(D378=0,0,MIN(1,I378/D378)))</f>
        <v/>
      </c>
      <c r="K378" s="15">
        <f>IF(A378="","",IF(OR(I378=0,C378=0),0,MIN(1,E378/((I378/60)*C378))))</f>
        <v/>
      </c>
      <c r="L378" s="15">
        <f>IF(A378="","",IF(E378=0,0,MIN(1,MAX(0,G378/E378))))</f>
        <v/>
      </c>
      <c r="M378" s="15">
        <f>IF(A378="","",J378*K378*L378)</f>
        <v/>
      </c>
    </row>
    <row r="379">
      <c r="A379" s="11">
        <f>Machines!A379</f>
        <v/>
      </c>
      <c r="B379" s="11">
        <f>Machines!B379</f>
        <v/>
      </c>
      <c r="C379" s="11">
        <f>IF(A379="","",Machines!D379)</f>
        <v/>
      </c>
      <c r="D379" s="11">
        <f>SUMIFS(WorkOrders!$M$2:$M$500,WorkOrders!$C$2:$C$500,A379)</f>
        <v/>
      </c>
      <c r="E379" s="11">
        <f>SUMIFS(WorkOrders!$E$2:$E$500,WorkOrders!$C$2:$C$500,A379)</f>
        <v/>
      </c>
      <c r="F379" s="11">
        <f>SUMIFS(WorkOrders!$F$2:$F$500,WorkOrders!$C$2:$C$500,A379)</f>
        <v/>
      </c>
      <c r="G379" s="11">
        <f>E379-F379</f>
        <v/>
      </c>
      <c r="H379" s="11">
        <f>SUMIFS(Downtime!$G$2:$G$500,Downtime!$A$2:$A$500,A379)</f>
        <v/>
      </c>
      <c r="I379" s="11">
        <f>MAX(0,D379-H379)</f>
        <v/>
      </c>
      <c r="J379" s="15">
        <f>IF(A379="","",IF(D379=0,0,MIN(1,I379/D379)))</f>
        <v/>
      </c>
      <c r="K379" s="15">
        <f>IF(A379="","",IF(OR(I379=0,C379=0),0,MIN(1,E379/((I379/60)*C379))))</f>
        <v/>
      </c>
      <c r="L379" s="15">
        <f>IF(A379="","",IF(E379=0,0,MIN(1,MAX(0,G379/E379))))</f>
        <v/>
      </c>
      <c r="M379" s="15">
        <f>IF(A379="","",J379*K379*L379)</f>
        <v/>
      </c>
    </row>
    <row r="380">
      <c r="A380" s="11">
        <f>Machines!A380</f>
        <v/>
      </c>
      <c r="B380" s="11">
        <f>Machines!B380</f>
        <v/>
      </c>
      <c r="C380" s="11">
        <f>IF(A380="","",Machines!D380)</f>
        <v/>
      </c>
      <c r="D380" s="11">
        <f>SUMIFS(WorkOrders!$M$2:$M$500,WorkOrders!$C$2:$C$500,A380)</f>
        <v/>
      </c>
      <c r="E380" s="11">
        <f>SUMIFS(WorkOrders!$E$2:$E$500,WorkOrders!$C$2:$C$500,A380)</f>
        <v/>
      </c>
      <c r="F380" s="11">
        <f>SUMIFS(WorkOrders!$F$2:$F$500,WorkOrders!$C$2:$C$500,A380)</f>
        <v/>
      </c>
      <c r="G380" s="11">
        <f>E380-F380</f>
        <v/>
      </c>
      <c r="H380" s="11">
        <f>SUMIFS(Downtime!$G$2:$G$500,Downtime!$A$2:$A$500,A380)</f>
        <v/>
      </c>
      <c r="I380" s="11">
        <f>MAX(0,D380-H380)</f>
        <v/>
      </c>
      <c r="J380" s="15">
        <f>IF(A380="","",IF(D380=0,0,MIN(1,I380/D380)))</f>
        <v/>
      </c>
      <c r="K380" s="15">
        <f>IF(A380="","",IF(OR(I380=0,C380=0),0,MIN(1,E380/((I380/60)*C380))))</f>
        <v/>
      </c>
      <c r="L380" s="15">
        <f>IF(A380="","",IF(E380=0,0,MIN(1,MAX(0,G380/E380))))</f>
        <v/>
      </c>
      <c r="M380" s="15">
        <f>IF(A380="","",J380*K380*L380)</f>
        <v/>
      </c>
    </row>
    <row r="381">
      <c r="A381" s="11">
        <f>Machines!A381</f>
        <v/>
      </c>
      <c r="B381" s="11">
        <f>Machines!B381</f>
        <v/>
      </c>
      <c r="C381" s="11">
        <f>IF(A381="","",Machines!D381)</f>
        <v/>
      </c>
      <c r="D381" s="11">
        <f>SUMIFS(WorkOrders!$M$2:$M$500,WorkOrders!$C$2:$C$500,A381)</f>
        <v/>
      </c>
      <c r="E381" s="11">
        <f>SUMIFS(WorkOrders!$E$2:$E$500,WorkOrders!$C$2:$C$500,A381)</f>
        <v/>
      </c>
      <c r="F381" s="11">
        <f>SUMIFS(WorkOrders!$F$2:$F$500,WorkOrders!$C$2:$C$500,A381)</f>
        <v/>
      </c>
      <c r="G381" s="11">
        <f>E381-F381</f>
        <v/>
      </c>
      <c r="H381" s="11">
        <f>SUMIFS(Downtime!$G$2:$G$500,Downtime!$A$2:$A$500,A381)</f>
        <v/>
      </c>
      <c r="I381" s="11">
        <f>MAX(0,D381-H381)</f>
        <v/>
      </c>
      <c r="J381" s="15">
        <f>IF(A381="","",IF(D381=0,0,MIN(1,I381/D381)))</f>
        <v/>
      </c>
      <c r="K381" s="15">
        <f>IF(A381="","",IF(OR(I381=0,C381=0),0,MIN(1,E381/((I381/60)*C381))))</f>
        <v/>
      </c>
      <c r="L381" s="15">
        <f>IF(A381="","",IF(E381=0,0,MIN(1,MAX(0,G381/E381))))</f>
        <v/>
      </c>
      <c r="M381" s="15">
        <f>IF(A381="","",J381*K381*L381)</f>
        <v/>
      </c>
    </row>
    <row r="382">
      <c r="A382" s="11">
        <f>Machines!A382</f>
        <v/>
      </c>
      <c r="B382" s="11">
        <f>Machines!B382</f>
        <v/>
      </c>
      <c r="C382" s="11">
        <f>IF(A382="","",Machines!D382)</f>
        <v/>
      </c>
      <c r="D382" s="11">
        <f>SUMIFS(WorkOrders!$M$2:$M$500,WorkOrders!$C$2:$C$500,A382)</f>
        <v/>
      </c>
      <c r="E382" s="11">
        <f>SUMIFS(WorkOrders!$E$2:$E$500,WorkOrders!$C$2:$C$500,A382)</f>
        <v/>
      </c>
      <c r="F382" s="11">
        <f>SUMIFS(WorkOrders!$F$2:$F$500,WorkOrders!$C$2:$C$500,A382)</f>
        <v/>
      </c>
      <c r="G382" s="11">
        <f>E382-F382</f>
        <v/>
      </c>
      <c r="H382" s="11">
        <f>SUMIFS(Downtime!$G$2:$G$500,Downtime!$A$2:$A$500,A382)</f>
        <v/>
      </c>
      <c r="I382" s="11">
        <f>MAX(0,D382-H382)</f>
        <v/>
      </c>
      <c r="J382" s="15">
        <f>IF(A382="","",IF(D382=0,0,MIN(1,I382/D382)))</f>
        <v/>
      </c>
      <c r="K382" s="15">
        <f>IF(A382="","",IF(OR(I382=0,C382=0),0,MIN(1,E382/((I382/60)*C382))))</f>
        <v/>
      </c>
      <c r="L382" s="15">
        <f>IF(A382="","",IF(E382=0,0,MIN(1,MAX(0,G382/E382))))</f>
        <v/>
      </c>
      <c r="M382" s="15">
        <f>IF(A382="","",J382*K382*L382)</f>
        <v/>
      </c>
    </row>
    <row r="383">
      <c r="A383" s="11">
        <f>Machines!A383</f>
        <v/>
      </c>
      <c r="B383" s="11">
        <f>Machines!B383</f>
        <v/>
      </c>
      <c r="C383" s="11">
        <f>IF(A383="","",Machines!D383)</f>
        <v/>
      </c>
      <c r="D383" s="11">
        <f>SUMIFS(WorkOrders!$M$2:$M$500,WorkOrders!$C$2:$C$500,A383)</f>
        <v/>
      </c>
      <c r="E383" s="11">
        <f>SUMIFS(WorkOrders!$E$2:$E$500,WorkOrders!$C$2:$C$500,A383)</f>
        <v/>
      </c>
      <c r="F383" s="11">
        <f>SUMIFS(WorkOrders!$F$2:$F$500,WorkOrders!$C$2:$C$500,A383)</f>
        <v/>
      </c>
      <c r="G383" s="11">
        <f>E383-F383</f>
        <v/>
      </c>
      <c r="H383" s="11">
        <f>SUMIFS(Downtime!$G$2:$G$500,Downtime!$A$2:$A$500,A383)</f>
        <v/>
      </c>
      <c r="I383" s="11">
        <f>MAX(0,D383-H383)</f>
        <v/>
      </c>
      <c r="J383" s="15">
        <f>IF(A383="","",IF(D383=0,0,MIN(1,I383/D383)))</f>
        <v/>
      </c>
      <c r="K383" s="15">
        <f>IF(A383="","",IF(OR(I383=0,C383=0),0,MIN(1,E383/((I383/60)*C383))))</f>
        <v/>
      </c>
      <c r="L383" s="15">
        <f>IF(A383="","",IF(E383=0,0,MIN(1,MAX(0,G383/E383))))</f>
        <v/>
      </c>
      <c r="M383" s="15">
        <f>IF(A383="","",J383*K383*L383)</f>
        <v/>
      </c>
    </row>
    <row r="384">
      <c r="A384" s="11">
        <f>Machines!A384</f>
        <v/>
      </c>
      <c r="B384" s="11">
        <f>Machines!B384</f>
        <v/>
      </c>
      <c r="C384" s="11">
        <f>IF(A384="","",Machines!D384)</f>
        <v/>
      </c>
      <c r="D384" s="11">
        <f>SUMIFS(WorkOrders!$M$2:$M$500,WorkOrders!$C$2:$C$500,A384)</f>
        <v/>
      </c>
      <c r="E384" s="11">
        <f>SUMIFS(WorkOrders!$E$2:$E$500,WorkOrders!$C$2:$C$500,A384)</f>
        <v/>
      </c>
      <c r="F384" s="11">
        <f>SUMIFS(WorkOrders!$F$2:$F$500,WorkOrders!$C$2:$C$500,A384)</f>
        <v/>
      </c>
      <c r="G384" s="11">
        <f>E384-F384</f>
        <v/>
      </c>
      <c r="H384" s="11">
        <f>SUMIFS(Downtime!$G$2:$G$500,Downtime!$A$2:$A$500,A384)</f>
        <v/>
      </c>
      <c r="I384" s="11">
        <f>MAX(0,D384-H384)</f>
        <v/>
      </c>
      <c r="J384" s="15">
        <f>IF(A384="","",IF(D384=0,0,MIN(1,I384/D384)))</f>
        <v/>
      </c>
      <c r="K384" s="15">
        <f>IF(A384="","",IF(OR(I384=0,C384=0),0,MIN(1,E384/((I384/60)*C384))))</f>
        <v/>
      </c>
      <c r="L384" s="15">
        <f>IF(A384="","",IF(E384=0,0,MIN(1,MAX(0,G384/E384))))</f>
        <v/>
      </c>
      <c r="M384" s="15">
        <f>IF(A384="","",J384*K384*L384)</f>
        <v/>
      </c>
    </row>
    <row r="385">
      <c r="A385" s="11">
        <f>Machines!A385</f>
        <v/>
      </c>
      <c r="B385" s="11">
        <f>Machines!B385</f>
        <v/>
      </c>
      <c r="C385" s="11">
        <f>IF(A385="","",Machines!D385)</f>
        <v/>
      </c>
      <c r="D385" s="11">
        <f>SUMIFS(WorkOrders!$M$2:$M$500,WorkOrders!$C$2:$C$500,A385)</f>
        <v/>
      </c>
      <c r="E385" s="11">
        <f>SUMIFS(WorkOrders!$E$2:$E$500,WorkOrders!$C$2:$C$500,A385)</f>
        <v/>
      </c>
      <c r="F385" s="11">
        <f>SUMIFS(WorkOrders!$F$2:$F$500,WorkOrders!$C$2:$C$500,A385)</f>
        <v/>
      </c>
      <c r="G385" s="11">
        <f>E385-F385</f>
        <v/>
      </c>
      <c r="H385" s="11">
        <f>SUMIFS(Downtime!$G$2:$G$500,Downtime!$A$2:$A$500,A385)</f>
        <v/>
      </c>
      <c r="I385" s="11">
        <f>MAX(0,D385-H385)</f>
        <v/>
      </c>
      <c r="J385" s="15">
        <f>IF(A385="","",IF(D385=0,0,MIN(1,I385/D385)))</f>
        <v/>
      </c>
      <c r="K385" s="15">
        <f>IF(A385="","",IF(OR(I385=0,C385=0),0,MIN(1,E385/((I385/60)*C385))))</f>
        <v/>
      </c>
      <c r="L385" s="15">
        <f>IF(A385="","",IF(E385=0,0,MIN(1,MAX(0,G385/E385))))</f>
        <v/>
      </c>
      <c r="M385" s="15">
        <f>IF(A385="","",J385*K385*L385)</f>
        <v/>
      </c>
    </row>
    <row r="386">
      <c r="A386" s="11">
        <f>Machines!A386</f>
        <v/>
      </c>
      <c r="B386" s="11">
        <f>Machines!B386</f>
        <v/>
      </c>
      <c r="C386" s="11">
        <f>IF(A386="","",Machines!D386)</f>
        <v/>
      </c>
      <c r="D386" s="11">
        <f>SUMIFS(WorkOrders!$M$2:$M$500,WorkOrders!$C$2:$C$500,A386)</f>
        <v/>
      </c>
      <c r="E386" s="11">
        <f>SUMIFS(WorkOrders!$E$2:$E$500,WorkOrders!$C$2:$C$500,A386)</f>
        <v/>
      </c>
      <c r="F386" s="11">
        <f>SUMIFS(WorkOrders!$F$2:$F$500,WorkOrders!$C$2:$C$500,A386)</f>
        <v/>
      </c>
      <c r="G386" s="11">
        <f>E386-F386</f>
        <v/>
      </c>
      <c r="H386" s="11">
        <f>SUMIFS(Downtime!$G$2:$G$500,Downtime!$A$2:$A$500,A386)</f>
        <v/>
      </c>
      <c r="I386" s="11">
        <f>MAX(0,D386-H386)</f>
        <v/>
      </c>
      <c r="J386" s="15">
        <f>IF(A386="","",IF(D386=0,0,MIN(1,I386/D386)))</f>
        <v/>
      </c>
      <c r="K386" s="15">
        <f>IF(A386="","",IF(OR(I386=0,C386=0),0,MIN(1,E386/((I386/60)*C386))))</f>
        <v/>
      </c>
      <c r="L386" s="15">
        <f>IF(A386="","",IF(E386=0,0,MIN(1,MAX(0,G386/E386))))</f>
        <v/>
      </c>
      <c r="M386" s="15">
        <f>IF(A386="","",J386*K386*L386)</f>
        <v/>
      </c>
    </row>
    <row r="387">
      <c r="A387" s="11">
        <f>Machines!A387</f>
        <v/>
      </c>
      <c r="B387" s="11">
        <f>Machines!B387</f>
        <v/>
      </c>
      <c r="C387" s="11">
        <f>IF(A387="","",Machines!D387)</f>
        <v/>
      </c>
      <c r="D387" s="11">
        <f>SUMIFS(WorkOrders!$M$2:$M$500,WorkOrders!$C$2:$C$500,A387)</f>
        <v/>
      </c>
      <c r="E387" s="11">
        <f>SUMIFS(WorkOrders!$E$2:$E$500,WorkOrders!$C$2:$C$500,A387)</f>
        <v/>
      </c>
      <c r="F387" s="11">
        <f>SUMIFS(WorkOrders!$F$2:$F$500,WorkOrders!$C$2:$C$500,A387)</f>
        <v/>
      </c>
      <c r="G387" s="11">
        <f>E387-F387</f>
        <v/>
      </c>
      <c r="H387" s="11">
        <f>SUMIFS(Downtime!$G$2:$G$500,Downtime!$A$2:$A$500,A387)</f>
        <v/>
      </c>
      <c r="I387" s="11">
        <f>MAX(0,D387-H387)</f>
        <v/>
      </c>
      <c r="J387" s="15">
        <f>IF(A387="","",IF(D387=0,0,MIN(1,I387/D387)))</f>
        <v/>
      </c>
      <c r="K387" s="15">
        <f>IF(A387="","",IF(OR(I387=0,C387=0),0,MIN(1,E387/((I387/60)*C387))))</f>
        <v/>
      </c>
      <c r="L387" s="15">
        <f>IF(A387="","",IF(E387=0,0,MIN(1,MAX(0,G387/E387))))</f>
        <v/>
      </c>
      <c r="M387" s="15">
        <f>IF(A387="","",J387*K387*L387)</f>
        <v/>
      </c>
    </row>
    <row r="388">
      <c r="A388" s="11">
        <f>Machines!A388</f>
        <v/>
      </c>
      <c r="B388" s="11">
        <f>Machines!B388</f>
        <v/>
      </c>
      <c r="C388" s="11">
        <f>IF(A388="","",Machines!D388)</f>
        <v/>
      </c>
      <c r="D388" s="11">
        <f>SUMIFS(WorkOrders!$M$2:$M$500,WorkOrders!$C$2:$C$500,A388)</f>
        <v/>
      </c>
      <c r="E388" s="11">
        <f>SUMIFS(WorkOrders!$E$2:$E$500,WorkOrders!$C$2:$C$500,A388)</f>
        <v/>
      </c>
      <c r="F388" s="11">
        <f>SUMIFS(WorkOrders!$F$2:$F$500,WorkOrders!$C$2:$C$500,A388)</f>
        <v/>
      </c>
      <c r="G388" s="11">
        <f>E388-F388</f>
        <v/>
      </c>
      <c r="H388" s="11">
        <f>SUMIFS(Downtime!$G$2:$G$500,Downtime!$A$2:$A$500,A388)</f>
        <v/>
      </c>
      <c r="I388" s="11">
        <f>MAX(0,D388-H388)</f>
        <v/>
      </c>
      <c r="J388" s="15">
        <f>IF(A388="","",IF(D388=0,0,MIN(1,I388/D388)))</f>
        <v/>
      </c>
      <c r="K388" s="15">
        <f>IF(A388="","",IF(OR(I388=0,C388=0),0,MIN(1,E388/((I388/60)*C388))))</f>
        <v/>
      </c>
      <c r="L388" s="15">
        <f>IF(A388="","",IF(E388=0,0,MIN(1,MAX(0,G388/E388))))</f>
        <v/>
      </c>
      <c r="M388" s="15">
        <f>IF(A388="","",J388*K388*L388)</f>
        <v/>
      </c>
    </row>
    <row r="389">
      <c r="A389" s="11">
        <f>Machines!A389</f>
        <v/>
      </c>
      <c r="B389" s="11">
        <f>Machines!B389</f>
        <v/>
      </c>
      <c r="C389" s="11">
        <f>IF(A389="","",Machines!D389)</f>
        <v/>
      </c>
      <c r="D389" s="11">
        <f>SUMIFS(WorkOrders!$M$2:$M$500,WorkOrders!$C$2:$C$500,A389)</f>
        <v/>
      </c>
      <c r="E389" s="11">
        <f>SUMIFS(WorkOrders!$E$2:$E$500,WorkOrders!$C$2:$C$500,A389)</f>
        <v/>
      </c>
      <c r="F389" s="11">
        <f>SUMIFS(WorkOrders!$F$2:$F$500,WorkOrders!$C$2:$C$500,A389)</f>
        <v/>
      </c>
      <c r="G389" s="11">
        <f>E389-F389</f>
        <v/>
      </c>
      <c r="H389" s="11">
        <f>SUMIFS(Downtime!$G$2:$G$500,Downtime!$A$2:$A$500,A389)</f>
        <v/>
      </c>
      <c r="I389" s="11">
        <f>MAX(0,D389-H389)</f>
        <v/>
      </c>
      <c r="J389" s="15">
        <f>IF(A389="","",IF(D389=0,0,MIN(1,I389/D389)))</f>
        <v/>
      </c>
      <c r="K389" s="15">
        <f>IF(A389="","",IF(OR(I389=0,C389=0),0,MIN(1,E389/((I389/60)*C389))))</f>
        <v/>
      </c>
      <c r="L389" s="15">
        <f>IF(A389="","",IF(E389=0,0,MIN(1,MAX(0,G389/E389))))</f>
        <v/>
      </c>
      <c r="M389" s="15">
        <f>IF(A389="","",J389*K389*L389)</f>
        <v/>
      </c>
    </row>
    <row r="390">
      <c r="A390" s="11">
        <f>Machines!A390</f>
        <v/>
      </c>
      <c r="B390" s="11">
        <f>Machines!B390</f>
        <v/>
      </c>
      <c r="C390" s="11">
        <f>IF(A390="","",Machines!D390)</f>
        <v/>
      </c>
      <c r="D390" s="11">
        <f>SUMIFS(WorkOrders!$M$2:$M$500,WorkOrders!$C$2:$C$500,A390)</f>
        <v/>
      </c>
      <c r="E390" s="11">
        <f>SUMIFS(WorkOrders!$E$2:$E$500,WorkOrders!$C$2:$C$500,A390)</f>
        <v/>
      </c>
      <c r="F390" s="11">
        <f>SUMIFS(WorkOrders!$F$2:$F$500,WorkOrders!$C$2:$C$500,A390)</f>
        <v/>
      </c>
      <c r="G390" s="11">
        <f>E390-F390</f>
        <v/>
      </c>
      <c r="H390" s="11">
        <f>SUMIFS(Downtime!$G$2:$G$500,Downtime!$A$2:$A$500,A390)</f>
        <v/>
      </c>
      <c r="I390" s="11">
        <f>MAX(0,D390-H390)</f>
        <v/>
      </c>
      <c r="J390" s="15">
        <f>IF(A390="","",IF(D390=0,0,MIN(1,I390/D390)))</f>
        <v/>
      </c>
      <c r="K390" s="15">
        <f>IF(A390="","",IF(OR(I390=0,C390=0),0,MIN(1,E390/((I390/60)*C390))))</f>
        <v/>
      </c>
      <c r="L390" s="15">
        <f>IF(A390="","",IF(E390=0,0,MIN(1,MAX(0,G390/E390))))</f>
        <v/>
      </c>
      <c r="M390" s="15">
        <f>IF(A390="","",J390*K390*L390)</f>
        <v/>
      </c>
    </row>
    <row r="391">
      <c r="A391" s="11">
        <f>Machines!A391</f>
        <v/>
      </c>
      <c r="B391" s="11">
        <f>Machines!B391</f>
        <v/>
      </c>
      <c r="C391" s="11">
        <f>IF(A391="","",Machines!D391)</f>
        <v/>
      </c>
      <c r="D391" s="11">
        <f>SUMIFS(WorkOrders!$M$2:$M$500,WorkOrders!$C$2:$C$500,A391)</f>
        <v/>
      </c>
      <c r="E391" s="11">
        <f>SUMIFS(WorkOrders!$E$2:$E$500,WorkOrders!$C$2:$C$500,A391)</f>
        <v/>
      </c>
      <c r="F391" s="11">
        <f>SUMIFS(WorkOrders!$F$2:$F$500,WorkOrders!$C$2:$C$500,A391)</f>
        <v/>
      </c>
      <c r="G391" s="11">
        <f>E391-F391</f>
        <v/>
      </c>
      <c r="H391" s="11">
        <f>SUMIFS(Downtime!$G$2:$G$500,Downtime!$A$2:$A$500,A391)</f>
        <v/>
      </c>
      <c r="I391" s="11">
        <f>MAX(0,D391-H391)</f>
        <v/>
      </c>
      <c r="J391" s="15">
        <f>IF(A391="","",IF(D391=0,0,MIN(1,I391/D391)))</f>
        <v/>
      </c>
      <c r="K391" s="15">
        <f>IF(A391="","",IF(OR(I391=0,C391=0),0,MIN(1,E391/((I391/60)*C391))))</f>
        <v/>
      </c>
      <c r="L391" s="15">
        <f>IF(A391="","",IF(E391=0,0,MIN(1,MAX(0,G391/E391))))</f>
        <v/>
      </c>
      <c r="M391" s="15">
        <f>IF(A391="","",J391*K391*L391)</f>
        <v/>
      </c>
    </row>
    <row r="392">
      <c r="A392" s="11">
        <f>Machines!A392</f>
        <v/>
      </c>
      <c r="B392" s="11">
        <f>Machines!B392</f>
        <v/>
      </c>
      <c r="C392" s="11">
        <f>IF(A392="","",Machines!D392)</f>
        <v/>
      </c>
      <c r="D392" s="11">
        <f>SUMIFS(WorkOrders!$M$2:$M$500,WorkOrders!$C$2:$C$500,A392)</f>
        <v/>
      </c>
      <c r="E392" s="11">
        <f>SUMIFS(WorkOrders!$E$2:$E$500,WorkOrders!$C$2:$C$500,A392)</f>
        <v/>
      </c>
      <c r="F392" s="11">
        <f>SUMIFS(WorkOrders!$F$2:$F$500,WorkOrders!$C$2:$C$500,A392)</f>
        <v/>
      </c>
      <c r="G392" s="11">
        <f>E392-F392</f>
        <v/>
      </c>
      <c r="H392" s="11">
        <f>SUMIFS(Downtime!$G$2:$G$500,Downtime!$A$2:$A$500,A392)</f>
        <v/>
      </c>
      <c r="I392" s="11">
        <f>MAX(0,D392-H392)</f>
        <v/>
      </c>
      <c r="J392" s="15">
        <f>IF(A392="","",IF(D392=0,0,MIN(1,I392/D392)))</f>
        <v/>
      </c>
      <c r="K392" s="15">
        <f>IF(A392="","",IF(OR(I392=0,C392=0),0,MIN(1,E392/((I392/60)*C392))))</f>
        <v/>
      </c>
      <c r="L392" s="15">
        <f>IF(A392="","",IF(E392=0,0,MIN(1,MAX(0,G392/E392))))</f>
        <v/>
      </c>
      <c r="M392" s="15">
        <f>IF(A392="","",J392*K392*L392)</f>
        <v/>
      </c>
    </row>
    <row r="393">
      <c r="A393" s="11">
        <f>Machines!A393</f>
        <v/>
      </c>
      <c r="B393" s="11">
        <f>Machines!B393</f>
        <v/>
      </c>
      <c r="C393" s="11">
        <f>IF(A393="","",Machines!D393)</f>
        <v/>
      </c>
      <c r="D393" s="11">
        <f>SUMIFS(WorkOrders!$M$2:$M$500,WorkOrders!$C$2:$C$500,A393)</f>
        <v/>
      </c>
      <c r="E393" s="11">
        <f>SUMIFS(WorkOrders!$E$2:$E$500,WorkOrders!$C$2:$C$500,A393)</f>
        <v/>
      </c>
      <c r="F393" s="11">
        <f>SUMIFS(WorkOrders!$F$2:$F$500,WorkOrders!$C$2:$C$500,A393)</f>
        <v/>
      </c>
      <c r="G393" s="11">
        <f>E393-F393</f>
        <v/>
      </c>
      <c r="H393" s="11">
        <f>SUMIFS(Downtime!$G$2:$G$500,Downtime!$A$2:$A$500,A393)</f>
        <v/>
      </c>
      <c r="I393" s="11">
        <f>MAX(0,D393-H393)</f>
        <v/>
      </c>
      <c r="J393" s="15">
        <f>IF(A393="","",IF(D393=0,0,MIN(1,I393/D393)))</f>
        <v/>
      </c>
      <c r="K393" s="15">
        <f>IF(A393="","",IF(OR(I393=0,C393=0),0,MIN(1,E393/((I393/60)*C393))))</f>
        <v/>
      </c>
      <c r="L393" s="15">
        <f>IF(A393="","",IF(E393=0,0,MIN(1,MAX(0,G393/E393))))</f>
        <v/>
      </c>
      <c r="M393" s="15">
        <f>IF(A393="","",J393*K393*L393)</f>
        <v/>
      </c>
    </row>
    <row r="394">
      <c r="A394" s="11">
        <f>Machines!A394</f>
        <v/>
      </c>
      <c r="B394" s="11">
        <f>Machines!B394</f>
        <v/>
      </c>
      <c r="C394" s="11">
        <f>IF(A394="","",Machines!D394)</f>
        <v/>
      </c>
      <c r="D394" s="11">
        <f>SUMIFS(WorkOrders!$M$2:$M$500,WorkOrders!$C$2:$C$500,A394)</f>
        <v/>
      </c>
      <c r="E394" s="11">
        <f>SUMIFS(WorkOrders!$E$2:$E$500,WorkOrders!$C$2:$C$500,A394)</f>
        <v/>
      </c>
      <c r="F394" s="11">
        <f>SUMIFS(WorkOrders!$F$2:$F$500,WorkOrders!$C$2:$C$500,A394)</f>
        <v/>
      </c>
      <c r="G394" s="11">
        <f>E394-F394</f>
        <v/>
      </c>
      <c r="H394" s="11">
        <f>SUMIFS(Downtime!$G$2:$G$500,Downtime!$A$2:$A$500,A394)</f>
        <v/>
      </c>
      <c r="I394" s="11">
        <f>MAX(0,D394-H394)</f>
        <v/>
      </c>
      <c r="J394" s="15">
        <f>IF(A394="","",IF(D394=0,0,MIN(1,I394/D394)))</f>
        <v/>
      </c>
      <c r="K394" s="15">
        <f>IF(A394="","",IF(OR(I394=0,C394=0),0,MIN(1,E394/((I394/60)*C394))))</f>
        <v/>
      </c>
      <c r="L394" s="15">
        <f>IF(A394="","",IF(E394=0,0,MIN(1,MAX(0,G394/E394))))</f>
        <v/>
      </c>
      <c r="M394" s="15">
        <f>IF(A394="","",J394*K394*L394)</f>
        <v/>
      </c>
    </row>
    <row r="395">
      <c r="A395" s="11">
        <f>Machines!A395</f>
        <v/>
      </c>
      <c r="B395" s="11">
        <f>Machines!B395</f>
        <v/>
      </c>
      <c r="C395" s="11">
        <f>IF(A395="","",Machines!D395)</f>
        <v/>
      </c>
      <c r="D395" s="11">
        <f>SUMIFS(WorkOrders!$M$2:$M$500,WorkOrders!$C$2:$C$500,A395)</f>
        <v/>
      </c>
      <c r="E395" s="11">
        <f>SUMIFS(WorkOrders!$E$2:$E$500,WorkOrders!$C$2:$C$500,A395)</f>
        <v/>
      </c>
      <c r="F395" s="11">
        <f>SUMIFS(WorkOrders!$F$2:$F$500,WorkOrders!$C$2:$C$500,A395)</f>
        <v/>
      </c>
      <c r="G395" s="11">
        <f>E395-F395</f>
        <v/>
      </c>
      <c r="H395" s="11">
        <f>SUMIFS(Downtime!$G$2:$G$500,Downtime!$A$2:$A$500,A395)</f>
        <v/>
      </c>
      <c r="I395" s="11">
        <f>MAX(0,D395-H395)</f>
        <v/>
      </c>
      <c r="J395" s="15">
        <f>IF(A395="","",IF(D395=0,0,MIN(1,I395/D395)))</f>
        <v/>
      </c>
      <c r="K395" s="15">
        <f>IF(A395="","",IF(OR(I395=0,C395=0),0,MIN(1,E395/((I395/60)*C395))))</f>
        <v/>
      </c>
      <c r="L395" s="15">
        <f>IF(A395="","",IF(E395=0,0,MIN(1,MAX(0,G395/E395))))</f>
        <v/>
      </c>
      <c r="M395" s="15">
        <f>IF(A395="","",J395*K395*L395)</f>
        <v/>
      </c>
    </row>
    <row r="396">
      <c r="A396" s="11">
        <f>Machines!A396</f>
        <v/>
      </c>
      <c r="B396" s="11">
        <f>Machines!B396</f>
        <v/>
      </c>
      <c r="C396" s="11">
        <f>IF(A396="","",Machines!D396)</f>
        <v/>
      </c>
      <c r="D396" s="11">
        <f>SUMIFS(WorkOrders!$M$2:$M$500,WorkOrders!$C$2:$C$500,A396)</f>
        <v/>
      </c>
      <c r="E396" s="11">
        <f>SUMIFS(WorkOrders!$E$2:$E$500,WorkOrders!$C$2:$C$500,A396)</f>
        <v/>
      </c>
      <c r="F396" s="11">
        <f>SUMIFS(WorkOrders!$F$2:$F$500,WorkOrders!$C$2:$C$500,A396)</f>
        <v/>
      </c>
      <c r="G396" s="11">
        <f>E396-F396</f>
        <v/>
      </c>
      <c r="H396" s="11">
        <f>SUMIFS(Downtime!$G$2:$G$500,Downtime!$A$2:$A$500,A396)</f>
        <v/>
      </c>
      <c r="I396" s="11">
        <f>MAX(0,D396-H396)</f>
        <v/>
      </c>
      <c r="J396" s="15">
        <f>IF(A396="","",IF(D396=0,0,MIN(1,I396/D396)))</f>
        <v/>
      </c>
      <c r="K396" s="15">
        <f>IF(A396="","",IF(OR(I396=0,C396=0),0,MIN(1,E396/((I396/60)*C396))))</f>
        <v/>
      </c>
      <c r="L396" s="15">
        <f>IF(A396="","",IF(E396=0,0,MIN(1,MAX(0,G396/E396))))</f>
        <v/>
      </c>
      <c r="M396" s="15">
        <f>IF(A396="","",J396*K396*L396)</f>
        <v/>
      </c>
    </row>
    <row r="397">
      <c r="A397" s="11">
        <f>Machines!A397</f>
        <v/>
      </c>
      <c r="B397" s="11">
        <f>Machines!B397</f>
        <v/>
      </c>
      <c r="C397" s="11">
        <f>IF(A397="","",Machines!D397)</f>
        <v/>
      </c>
      <c r="D397" s="11">
        <f>SUMIFS(WorkOrders!$M$2:$M$500,WorkOrders!$C$2:$C$500,A397)</f>
        <v/>
      </c>
      <c r="E397" s="11">
        <f>SUMIFS(WorkOrders!$E$2:$E$500,WorkOrders!$C$2:$C$500,A397)</f>
        <v/>
      </c>
      <c r="F397" s="11">
        <f>SUMIFS(WorkOrders!$F$2:$F$500,WorkOrders!$C$2:$C$500,A397)</f>
        <v/>
      </c>
      <c r="G397" s="11">
        <f>E397-F397</f>
        <v/>
      </c>
      <c r="H397" s="11">
        <f>SUMIFS(Downtime!$G$2:$G$500,Downtime!$A$2:$A$500,A397)</f>
        <v/>
      </c>
      <c r="I397" s="11">
        <f>MAX(0,D397-H397)</f>
        <v/>
      </c>
      <c r="J397" s="15">
        <f>IF(A397="","",IF(D397=0,0,MIN(1,I397/D397)))</f>
        <v/>
      </c>
      <c r="K397" s="15">
        <f>IF(A397="","",IF(OR(I397=0,C397=0),0,MIN(1,E397/((I397/60)*C397))))</f>
        <v/>
      </c>
      <c r="L397" s="15">
        <f>IF(A397="","",IF(E397=0,0,MIN(1,MAX(0,G397/E397))))</f>
        <v/>
      </c>
      <c r="M397" s="15">
        <f>IF(A397="","",J397*K397*L397)</f>
        <v/>
      </c>
    </row>
    <row r="398">
      <c r="A398" s="11">
        <f>Machines!A398</f>
        <v/>
      </c>
      <c r="B398" s="11">
        <f>Machines!B398</f>
        <v/>
      </c>
      <c r="C398" s="11">
        <f>IF(A398="","",Machines!D398)</f>
        <v/>
      </c>
      <c r="D398" s="11">
        <f>SUMIFS(WorkOrders!$M$2:$M$500,WorkOrders!$C$2:$C$500,A398)</f>
        <v/>
      </c>
      <c r="E398" s="11">
        <f>SUMIFS(WorkOrders!$E$2:$E$500,WorkOrders!$C$2:$C$500,A398)</f>
        <v/>
      </c>
      <c r="F398" s="11">
        <f>SUMIFS(WorkOrders!$F$2:$F$500,WorkOrders!$C$2:$C$500,A398)</f>
        <v/>
      </c>
      <c r="G398" s="11">
        <f>E398-F398</f>
        <v/>
      </c>
      <c r="H398" s="11">
        <f>SUMIFS(Downtime!$G$2:$G$500,Downtime!$A$2:$A$500,A398)</f>
        <v/>
      </c>
      <c r="I398" s="11">
        <f>MAX(0,D398-H398)</f>
        <v/>
      </c>
      <c r="J398" s="15">
        <f>IF(A398="","",IF(D398=0,0,MIN(1,I398/D398)))</f>
        <v/>
      </c>
      <c r="K398" s="15">
        <f>IF(A398="","",IF(OR(I398=0,C398=0),0,MIN(1,E398/((I398/60)*C398))))</f>
        <v/>
      </c>
      <c r="L398" s="15">
        <f>IF(A398="","",IF(E398=0,0,MIN(1,MAX(0,G398/E398))))</f>
        <v/>
      </c>
      <c r="M398" s="15">
        <f>IF(A398="","",J398*K398*L398)</f>
        <v/>
      </c>
    </row>
    <row r="399">
      <c r="A399" s="11">
        <f>Machines!A399</f>
        <v/>
      </c>
      <c r="B399" s="11">
        <f>Machines!B399</f>
        <v/>
      </c>
      <c r="C399" s="11">
        <f>IF(A399="","",Machines!D399)</f>
        <v/>
      </c>
      <c r="D399" s="11">
        <f>SUMIFS(WorkOrders!$M$2:$M$500,WorkOrders!$C$2:$C$500,A399)</f>
        <v/>
      </c>
      <c r="E399" s="11">
        <f>SUMIFS(WorkOrders!$E$2:$E$500,WorkOrders!$C$2:$C$500,A399)</f>
        <v/>
      </c>
      <c r="F399" s="11">
        <f>SUMIFS(WorkOrders!$F$2:$F$500,WorkOrders!$C$2:$C$500,A399)</f>
        <v/>
      </c>
      <c r="G399" s="11">
        <f>E399-F399</f>
        <v/>
      </c>
      <c r="H399" s="11">
        <f>SUMIFS(Downtime!$G$2:$G$500,Downtime!$A$2:$A$500,A399)</f>
        <v/>
      </c>
      <c r="I399" s="11">
        <f>MAX(0,D399-H399)</f>
        <v/>
      </c>
      <c r="J399" s="15">
        <f>IF(A399="","",IF(D399=0,0,MIN(1,I399/D399)))</f>
        <v/>
      </c>
      <c r="K399" s="15">
        <f>IF(A399="","",IF(OR(I399=0,C399=0),0,MIN(1,E399/((I399/60)*C399))))</f>
        <v/>
      </c>
      <c r="L399" s="15">
        <f>IF(A399="","",IF(E399=0,0,MIN(1,MAX(0,G399/E399))))</f>
        <v/>
      </c>
      <c r="M399" s="15">
        <f>IF(A399="","",J399*K399*L399)</f>
        <v/>
      </c>
    </row>
    <row r="400">
      <c r="A400" s="11">
        <f>Machines!A400</f>
        <v/>
      </c>
      <c r="B400" s="11">
        <f>Machines!B400</f>
        <v/>
      </c>
      <c r="C400" s="11">
        <f>IF(A400="","",Machines!D400)</f>
        <v/>
      </c>
      <c r="D400" s="11">
        <f>SUMIFS(WorkOrders!$M$2:$M$500,WorkOrders!$C$2:$C$500,A400)</f>
        <v/>
      </c>
      <c r="E400" s="11">
        <f>SUMIFS(WorkOrders!$E$2:$E$500,WorkOrders!$C$2:$C$500,A400)</f>
        <v/>
      </c>
      <c r="F400" s="11">
        <f>SUMIFS(WorkOrders!$F$2:$F$500,WorkOrders!$C$2:$C$500,A400)</f>
        <v/>
      </c>
      <c r="G400" s="11">
        <f>E400-F400</f>
        <v/>
      </c>
      <c r="H400" s="11">
        <f>SUMIFS(Downtime!$G$2:$G$500,Downtime!$A$2:$A$500,A400)</f>
        <v/>
      </c>
      <c r="I400" s="11">
        <f>MAX(0,D400-H400)</f>
        <v/>
      </c>
      <c r="J400" s="15">
        <f>IF(A400="","",IF(D400=0,0,MIN(1,I400/D400)))</f>
        <v/>
      </c>
      <c r="K400" s="15">
        <f>IF(A400="","",IF(OR(I400=0,C400=0),0,MIN(1,E400/((I400/60)*C400))))</f>
        <v/>
      </c>
      <c r="L400" s="15">
        <f>IF(A400="","",IF(E400=0,0,MIN(1,MAX(0,G400/E400))))</f>
        <v/>
      </c>
      <c r="M400" s="15">
        <f>IF(A400="","",J400*K400*L400)</f>
        <v/>
      </c>
    </row>
    <row r="401">
      <c r="A401" s="11">
        <f>Machines!A401</f>
        <v/>
      </c>
      <c r="B401" s="11">
        <f>Machines!B401</f>
        <v/>
      </c>
      <c r="C401" s="11">
        <f>IF(A401="","",Machines!D401)</f>
        <v/>
      </c>
      <c r="D401" s="11">
        <f>SUMIFS(WorkOrders!$M$2:$M$500,WorkOrders!$C$2:$C$500,A401)</f>
        <v/>
      </c>
      <c r="E401" s="11">
        <f>SUMIFS(WorkOrders!$E$2:$E$500,WorkOrders!$C$2:$C$500,A401)</f>
        <v/>
      </c>
      <c r="F401" s="11">
        <f>SUMIFS(WorkOrders!$F$2:$F$500,WorkOrders!$C$2:$C$500,A401)</f>
        <v/>
      </c>
      <c r="G401" s="11">
        <f>E401-F401</f>
        <v/>
      </c>
      <c r="H401" s="11">
        <f>SUMIFS(Downtime!$G$2:$G$500,Downtime!$A$2:$A$500,A401)</f>
        <v/>
      </c>
      <c r="I401" s="11">
        <f>MAX(0,D401-H401)</f>
        <v/>
      </c>
      <c r="J401" s="15">
        <f>IF(A401="","",IF(D401=0,0,MIN(1,I401/D401)))</f>
        <v/>
      </c>
      <c r="K401" s="15">
        <f>IF(A401="","",IF(OR(I401=0,C401=0),0,MIN(1,E401/((I401/60)*C401))))</f>
        <v/>
      </c>
      <c r="L401" s="15">
        <f>IF(A401="","",IF(E401=0,0,MIN(1,MAX(0,G401/E401))))</f>
        <v/>
      </c>
      <c r="M401" s="15">
        <f>IF(A401="","",J401*K401*L401)</f>
        <v/>
      </c>
    </row>
    <row r="402">
      <c r="A402" s="11">
        <f>Machines!A402</f>
        <v/>
      </c>
      <c r="B402" s="11">
        <f>Machines!B402</f>
        <v/>
      </c>
      <c r="C402" s="11">
        <f>IF(A402="","",Machines!D402)</f>
        <v/>
      </c>
      <c r="D402" s="11">
        <f>SUMIFS(WorkOrders!$M$2:$M$500,WorkOrders!$C$2:$C$500,A402)</f>
        <v/>
      </c>
      <c r="E402" s="11">
        <f>SUMIFS(WorkOrders!$E$2:$E$500,WorkOrders!$C$2:$C$500,A402)</f>
        <v/>
      </c>
      <c r="F402" s="11">
        <f>SUMIFS(WorkOrders!$F$2:$F$500,WorkOrders!$C$2:$C$500,A402)</f>
        <v/>
      </c>
      <c r="G402" s="11">
        <f>E402-F402</f>
        <v/>
      </c>
      <c r="H402" s="11">
        <f>SUMIFS(Downtime!$G$2:$G$500,Downtime!$A$2:$A$500,A402)</f>
        <v/>
      </c>
      <c r="I402" s="11">
        <f>MAX(0,D402-H402)</f>
        <v/>
      </c>
      <c r="J402" s="15">
        <f>IF(A402="","",IF(D402=0,0,MIN(1,I402/D402)))</f>
        <v/>
      </c>
      <c r="K402" s="15">
        <f>IF(A402="","",IF(OR(I402=0,C402=0),0,MIN(1,E402/((I402/60)*C402))))</f>
        <v/>
      </c>
      <c r="L402" s="15">
        <f>IF(A402="","",IF(E402=0,0,MIN(1,MAX(0,G402/E402))))</f>
        <v/>
      </c>
      <c r="M402" s="15">
        <f>IF(A402="","",J402*K402*L402)</f>
        <v/>
      </c>
    </row>
    <row r="403">
      <c r="A403" s="11">
        <f>Machines!A403</f>
        <v/>
      </c>
      <c r="B403" s="11">
        <f>Machines!B403</f>
        <v/>
      </c>
      <c r="C403" s="11">
        <f>IF(A403="","",Machines!D403)</f>
        <v/>
      </c>
      <c r="D403" s="11">
        <f>SUMIFS(WorkOrders!$M$2:$M$500,WorkOrders!$C$2:$C$500,A403)</f>
        <v/>
      </c>
      <c r="E403" s="11">
        <f>SUMIFS(WorkOrders!$E$2:$E$500,WorkOrders!$C$2:$C$500,A403)</f>
        <v/>
      </c>
      <c r="F403" s="11">
        <f>SUMIFS(WorkOrders!$F$2:$F$500,WorkOrders!$C$2:$C$500,A403)</f>
        <v/>
      </c>
      <c r="G403" s="11">
        <f>E403-F403</f>
        <v/>
      </c>
      <c r="H403" s="11">
        <f>SUMIFS(Downtime!$G$2:$G$500,Downtime!$A$2:$A$500,A403)</f>
        <v/>
      </c>
      <c r="I403" s="11">
        <f>MAX(0,D403-H403)</f>
        <v/>
      </c>
      <c r="J403" s="15">
        <f>IF(A403="","",IF(D403=0,0,MIN(1,I403/D403)))</f>
        <v/>
      </c>
      <c r="K403" s="15">
        <f>IF(A403="","",IF(OR(I403=0,C403=0),0,MIN(1,E403/((I403/60)*C403))))</f>
        <v/>
      </c>
      <c r="L403" s="15">
        <f>IF(A403="","",IF(E403=0,0,MIN(1,MAX(0,G403/E403))))</f>
        <v/>
      </c>
      <c r="M403" s="15">
        <f>IF(A403="","",J403*K403*L403)</f>
        <v/>
      </c>
    </row>
    <row r="404">
      <c r="A404" s="11">
        <f>Machines!A404</f>
        <v/>
      </c>
      <c r="B404" s="11">
        <f>Machines!B404</f>
        <v/>
      </c>
      <c r="C404" s="11">
        <f>IF(A404="","",Machines!D404)</f>
        <v/>
      </c>
      <c r="D404" s="11">
        <f>SUMIFS(WorkOrders!$M$2:$M$500,WorkOrders!$C$2:$C$500,A404)</f>
        <v/>
      </c>
      <c r="E404" s="11">
        <f>SUMIFS(WorkOrders!$E$2:$E$500,WorkOrders!$C$2:$C$500,A404)</f>
        <v/>
      </c>
      <c r="F404" s="11">
        <f>SUMIFS(WorkOrders!$F$2:$F$500,WorkOrders!$C$2:$C$500,A404)</f>
        <v/>
      </c>
      <c r="G404" s="11">
        <f>E404-F404</f>
        <v/>
      </c>
      <c r="H404" s="11">
        <f>SUMIFS(Downtime!$G$2:$G$500,Downtime!$A$2:$A$500,A404)</f>
        <v/>
      </c>
      <c r="I404" s="11">
        <f>MAX(0,D404-H404)</f>
        <v/>
      </c>
      <c r="J404" s="15">
        <f>IF(A404="","",IF(D404=0,0,MIN(1,I404/D404)))</f>
        <v/>
      </c>
      <c r="K404" s="15">
        <f>IF(A404="","",IF(OR(I404=0,C404=0),0,MIN(1,E404/((I404/60)*C404))))</f>
        <v/>
      </c>
      <c r="L404" s="15">
        <f>IF(A404="","",IF(E404=0,0,MIN(1,MAX(0,G404/E404))))</f>
        <v/>
      </c>
      <c r="M404" s="15">
        <f>IF(A404="","",J404*K404*L404)</f>
        <v/>
      </c>
    </row>
    <row r="405">
      <c r="A405" s="11">
        <f>Machines!A405</f>
        <v/>
      </c>
      <c r="B405" s="11">
        <f>Machines!B405</f>
        <v/>
      </c>
      <c r="C405" s="11">
        <f>IF(A405="","",Machines!D405)</f>
        <v/>
      </c>
      <c r="D405" s="11">
        <f>SUMIFS(WorkOrders!$M$2:$M$500,WorkOrders!$C$2:$C$500,A405)</f>
        <v/>
      </c>
      <c r="E405" s="11">
        <f>SUMIFS(WorkOrders!$E$2:$E$500,WorkOrders!$C$2:$C$500,A405)</f>
        <v/>
      </c>
      <c r="F405" s="11">
        <f>SUMIFS(WorkOrders!$F$2:$F$500,WorkOrders!$C$2:$C$500,A405)</f>
        <v/>
      </c>
      <c r="G405" s="11">
        <f>E405-F405</f>
        <v/>
      </c>
      <c r="H405" s="11">
        <f>SUMIFS(Downtime!$G$2:$G$500,Downtime!$A$2:$A$500,A405)</f>
        <v/>
      </c>
      <c r="I405" s="11">
        <f>MAX(0,D405-H405)</f>
        <v/>
      </c>
      <c r="J405" s="15">
        <f>IF(A405="","",IF(D405=0,0,MIN(1,I405/D405)))</f>
        <v/>
      </c>
      <c r="K405" s="15">
        <f>IF(A405="","",IF(OR(I405=0,C405=0),0,MIN(1,E405/((I405/60)*C405))))</f>
        <v/>
      </c>
      <c r="L405" s="15">
        <f>IF(A405="","",IF(E405=0,0,MIN(1,MAX(0,G405/E405))))</f>
        <v/>
      </c>
      <c r="M405" s="15">
        <f>IF(A405="","",J405*K405*L405)</f>
        <v/>
      </c>
    </row>
    <row r="406">
      <c r="A406" s="11">
        <f>Machines!A406</f>
        <v/>
      </c>
      <c r="B406" s="11">
        <f>Machines!B406</f>
        <v/>
      </c>
      <c r="C406" s="11">
        <f>IF(A406="","",Machines!D406)</f>
        <v/>
      </c>
      <c r="D406" s="11">
        <f>SUMIFS(WorkOrders!$M$2:$M$500,WorkOrders!$C$2:$C$500,A406)</f>
        <v/>
      </c>
      <c r="E406" s="11">
        <f>SUMIFS(WorkOrders!$E$2:$E$500,WorkOrders!$C$2:$C$500,A406)</f>
        <v/>
      </c>
      <c r="F406" s="11">
        <f>SUMIFS(WorkOrders!$F$2:$F$500,WorkOrders!$C$2:$C$500,A406)</f>
        <v/>
      </c>
      <c r="G406" s="11">
        <f>E406-F406</f>
        <v/>
      </c>
      <c r="H406" s="11">
        <f>SUMIFS(Downtime!$G$2:$G$500,Downtime!$A$2:$A$500,A406)</f>
        <v/>
      </c>
      <c r="I406" s="11">
        <f>MAX(0,D406-H406)</f>
        <v/>
      </c>
      <c r="J406" s="15">
        <f>IF(A406="","",IF(D406=0,0,MIN(1,I406/D406)))</f>
        <v/>
      </c>
      <c r="K406" s="15">
        <f>IF(A406="","",IF(OR(I406=0,C406=0),0,MIN(1,E406/((I406/60)*C406))))</f>
        <v/>
      </c>
      <c r="L406" s="15">
        <f>IF(A406="","",IF(E406=0,0,MIN(1,MAX(0,G406/E406))))</f>
        <v/>
      </c>
      <c r="M406" s="15">
        <f>IF(A406="","",J406*K406*L406)</f>
        <v/>
      </c>
    </row>
    <row r="407">
      <c r="A407" s="11">
        <f>Machines!A407</f>
        <v/>
      </c>
      <c r="B407" s="11">
        <f>Machines!B407</f>
        <v/>
      </c>
      <c r="C407" s="11">
        <f>IF(A407="","",Machines!D407)</f>
        <v/>
      </c>
      <c r="D407" s="11">
        <f>SUMIFS(WorkOrders!$M$2:$M$500,WorkOrders!$C$2:$C$500,A407)</f>
        <v/>
      </c>
      <c r="E407" s="11">
        <f>SUMIFS(WorkOrders!$E$2:$E$500,WorkOrders!$C$2:$C$500,A407)</f>
        <v/>
      </c>
      <c r="F407" s="11">
        <f>SUMIFS(WorkOrders!$F$2:$F$500,WorkOrders!$C$2:$C$500,A407)</f>
        <v/>
      </c>
      <c r="G407" s="11">
        <f>E407-F407</f>
        <v/>
      </c>
      <c r="H407" s="11">
        <f>SUMIFS(Downtime!$G$2:$G$500,Downtime!$A$2:$A$500,A407)</f>
        <v/>
      </c>
      <c r="I407" s="11">
        <f>MAX(0,D407-H407)</f>
        <v/>
      </c>
      <c r="J407" s="15">
        <f>IF(A407="","",IF(D407=0,0,MIN(1,I407/D407)))</f>
        <v/>
      </c>
      <c r="K407" s="15">
        <f>IF(A407="","",IF(OR(I407=0,C407=0),0,MIN(1,E407/((I407/60)*C407))))</f>
        <v/>
      </c>
      <c r="L407" s="15">
        <f>IF(A407="","",IF(E407=0,0,MIN(1,MAX(0,G407/E407))))</f>
        <v/>
      </c>
      <c r="M407" s="15">
        <f>IF(A407="","",J407*K407*L407)</f>
        <v/>
      </c>
    </row>
    <row r="408">
      <c r="A408" s="11">
        <f>Machines!A408</f>
        <v/>
      </c>
      <c r="B408" s="11">
        <f>Machines!B408</f>
        <v/>
      </c>
      <c r="C408" s="11">
        <f>IF(A408="","",Machines!D408)</f>
        <v/>
      </c>
      <c r="D408" s="11">
        <f>SUMIFS(WorkOrders!$M$2:$M$500,WorkOrders!$C$2:$C$500,A408)</f>
        <v/>
      </c>
      <c r="E408" s="11">
        <f>SUMIFS(WorkOrders!$E$2:$E$500,WorkOrders!$C$2:$C$500,A408)</f>
        <v/>
      </c>
      <c r="F408" s="11">
        <f>SUMIFS(WorkOrders!$F$2:$F$500,WorkOrders!$C$2:$C$500,A408)</f>
        <v/>
      </c>
      <c r="G408" s="11">
        <f>E408-F408</f>
        <v/>
      </c>
      <c r="H408" s="11">
        <f>SUMIFS(Downtime!$G$2:$G$500,Downtime!$A$2:$A$500,A408)</f>
        <v/>
      </c>
      <c r="I408" s="11">
        <f>MAX(0,D408-H408)</f>
        <v/>
      </c>
      <c r="J408" s="15">
        <f>IF(A408="","",IF(D408=0,0,MIN(1,I408/D408)))</f>
        <v/>
      </c>
      <c r="K408" s="15">
        <f>IF(A408="","",IF(OR(I408=0,C408=0),0,MIN(1,E408/((I408/60)*C408))))</f>
        <v/>
      </c>
      <c r="L408" s="15">
        <f>IF(A408="","",IF(E408=0,0,MIN(1,MAX(0,G408/E408))))</f>
        <v/>
      </c>
      <c r="M408" s="15">
        <f>IF(A408="","",J408*K408*L408)</f>
        <v/>
      </c>
    </row>
    <row r="409">
      <c r="A409" s="11">
        <f>Machines!A409</f>
        <v/>
      </c>
      <c r="B409" s="11">
        <f>Machines!B409</f>
        <v/>
      </c>
      <c r="C409" s="11">
        <f>IF(A409="","",Machines!D409)</f>
        <v/>
      </c>
      <c r="D409" s="11">
        <f>SUMIFS(WorkOrders!$M$2:$M$500,WorkOrders!$C$2:$C$500,A409)</f>
        <v/>
      </c>
      <c r="E409" s="11">
        <f>SUMIFS(WorkOrders!$E$2:$E$500,WorkOrders!$C$2:$C$500,A409)</f>
        <v/>
      </c>
      <c r="F409" s="11">
        <f>SUMIFS(WorkOrders!$F$2:$F$500,WorkOrders!$C$2:$C$500,A409)</f>
        <v/>
      </c>
      <c r="G409" s="11">
        <f>E409-F409</f>
        <v/>
      </c>
      <c r="H409" s="11">
        <f>SUMIFS(Downtime!$G$2:$G$500,Downtime!$A$2:$A$500,A409)</f>
        <v/>
      </c>
      <c r="I409" s="11">
        <f>MAX(0,D409-H409)</f>
        <v/>
      </c>
      <c r="J409" s="15">
        <f>IF(A409="","",IF(D409=0,0,MIN(1,I409/D409)))</f>
        <v/>
      </c>
      <c r="K409" s="15">
        <f>IF(A409="","",IF(OR(I409=0,C409=0),0,MIN(1,E409/((I409/60)*C409))))</f>
        <v/>
      </c>
      <c r="L409" s="15">
        <f>IF(A409="","",IF(E409=0,0,MIN(1,MAX(0,G409/E409))))</f>
        <v/>
      </c>
      <c r="M409" s="15">
        <f>IF(A409="","",J409*K409*L409)</f>
        <v/>
      </c>
    </row>
    <row r="410">
      <c r="A410" s="11">
        <f>Machines!A410</f>
        <v/>
      </c>
      <c r="B410" s="11">
        <f>Machines!B410</f>
        <v/>
      </c>
      <c r="C410" s="11">
        <f>IF(A410="","",Machines!D410)</f>
        <v/>
      </c>
      <c r="D410" s="11">
        <f>SUMIFS(WorkOrders!$M$2:$M$500,WorkOrders!$C$2:$C$500,A410)</f>
        <v/>
      </c>
      <c r="E410" s="11">
        <f>SUMIFS(WorkOrders!$E$2:$E$500,WorkOrders!$C$2:$C$500,A410)</f>
        <v/>
      </c>
      <c r="F410" s="11">
        <f>SUMIFS(WorkOrders!$F$2:$F$500,WorkOrders!$C$2:$C$500,A410)</f>
        <v/>
      </c>
      <c r="G410" s="11">
        <f>E410-F410</f>
        <v/>
      </c>
      <c r="H410" s="11">
        <f>SUMIFS(Downtime!$G$2:$G$500,Downtime!$A$2:$A$500,A410)</f>
        <v/>
      </c>
      <c r="I410" s="11">
        <f>MAX(0,D410-H410)</f>
        <v/>
      </c>
      <c r="J410" s="15">
        <f>IF(A410="","",IF(D410=0,0,MIN(1,I410/D410)))</f>
        <v/>
      </c>
      <c r="K410" s="15">
        <f>IF(A410="","",IF(OR(I410=0,C410=0),0,MIN(1,E410/((I410/60)*C410))))</f>
        <v/>
      </c>
      <c r="L410" s="15">
        <f>IF(A410="","",IF(E410=0,0,MIN(1,MAX(0,G410/E410))))</f>
        <v/>
      </c>
      <c r="M410" s="15">
        <f>IF(A410="","",J410*K410*L410)</f>
        <v/>
      </c>
    </row>
    <row r="411">
      <c r="A411" s="11">
        <f>Machines!A411</f>
        <v/>
      </c>
      <c r="B411" s="11">
        <f>Machines!B411</f>
        <v/>
      </c>
      <c r="C411" s="11">
        <f>IF(A411="","",Machines!D411)</f>
        <v/>
      </c>
      <c r="D411" s="11">
        <f>SUMIFS(WorkOrders!$M$2:$M$500,WorkOrders!$C$2:$C$500,A411)</f>
        <v/>
      </c>
      <c r="E411" s="11">
        <f>SUMIFS(WorkOrders!$E$2:$E$500,WorkOrders!$C$2:$C$500,A411)</f>
        <v/>
      </c>
      <c r="F411" s="11">
        <f>SUMIFS(WorkOrders!$F$2:$F$500,WorkOrders!$C$2:$C$500,A411)</f>
        <v/>
      </c>
      <c r="G411" s="11">
        <f>E411-F411</f>
        <v/>
      </c>
      <c r="H411" s="11">
        <f>SUMIFS(Downtime!$G$2:$G$500,Downtime!$A$2:$A$500,A411)</f>
        <v/>
      </c>
      <c r="I411" s="11">
        <f>MAX(0,D411-H411)</f>
        <v/>
      </c>
      <c r="J411" s="15">
        <f>IF(A411="","",IF(D411=0,0,MIN(1,I411/D411)))</f>
        <v/>
      </c>
      <c r="K411" s="15">
        <f>IF(A411="","",IF(OR(I411=0,C411=0),0,MIN(1,E411/((I411/60)*C411))))</f>
        <v/>
      </c>
      <c r="L411" s="15">
        <f>IF(A411="","",IF(E411=0,0,MIN(1,MAX(0,G411/E411))))</f>
        <v/>
      </c>
      <c r="M411" s="15">
        <f>IF(A411="","",J411*K411*L411)</f>
        <v/>
      </c>
    </row>
    <row r="412">
      <c r="A412" s="11">
        <f>Machines!A412</f>
        <v/>
      </c>
      <c r="B412" s="11">
        <f>Machines!B412</f>
        <v/>
      </c>
      <c r="C412" s="11">
        <f>IF(A412="","",Machines!D412)</f>
        <v/>
      </c>
      <c r="D412" s="11">
        <f>SUMIFS(WorkOrders!$M$2:$M$500,WorkOrders!$C$2:$C$500,A412)</f>
        <v/>
      </c>
      <c r="E412" s="11">
        <f>SUMIFS(WorkOrders!$E$2:$E$500,WorkOrders!$C$2:$C$500,A412)</f>
        <v/>
      </c>
      <c r="F412" s="11">
        <f>SUMIFS(WorkOrders!$F$2:$F$500,WorkOrders!$C$2:$C$500,A412)</f>
        <v/>
      </c>
      <c r="G412" s="11">
        <f>E412-F412</f>
        <v/>
      </c>
      <c r="H412" s="11">
        <f>SUMIFS(Downtime!$G$2:$G$500,Downtime!$A$2:$A$500,A412)</f>
        <v/>
      </c>
      <c r="I412" s="11">
        <f>MAX(0,D412-H412)</f>
        <v/>
      </c>
      <c r="J412" s="15">
        <f>IF(A412="","",IF(D412=0,0,MIN(1,I412/D412)))</f>
        <v/>
      </c>
      <c r="K412" s="15">
        <f>IF(A412="","",IF(OR(I412=0,C412=0),0,MIN(1,E412/((I412/60)*C412))))</f>
        <v/>
      </c>
      <c r="L412" s="15">
        <f>IF(A412="","",IF(E412=0,0,MIN(1,MAX(0,G412/E412))))</f>
        <v/>
      </c>
      <c r="M412" s="15">
        <f>IF(A412="","",J412*K412*L412)</f>
        <v/>
      </c>
    </row>
    <row r="413">
      <c r="A413" s="11">
        <f>Machines!A413</f>
        <v/>
      </c>
      <c r="B413" s="11">
        <f>Machines!B413</f>
        <v/>
      </c>
      <c r="C413" s="11">
        <f>IF(A413="","",Machines!D413)</f>
        <v/>
      </c>
      <c r="D413" s="11">
        <f>SUMIFS(WorkOrders!$M$2:$M$500,WorkOrders!$C$2:$C$500,A413)</f>
        <v/>
      </c>
      <c r="E413" s="11">
        <f>SUMIFS(WorkOrders!$E$2:$E$500,WorkOrders!$C$2:$C$500,A413)</f>
        <v/>
      </c>
      <c r="F413" s="11">
        <f>SUMIFS(WorkOrders!$F$2:$F$500,WorkOrders!$C$2:$C$500,A413)</f>
        <v/>
      </c>
      <c r="G413" s="11">
        <f>E413-F413</f>
        <v/>
      </c>
      <c r="H413" s="11">
        <f>SUMIFS(Downtime!$G$2:$G$500,Downtime!$A$2:$A$500,A413)</f>
        <v/>
      </c>
      <c r="I413" s="11">
        <f>MAX(0,D413-H413)</f>
        <v/>
      </c>
      <c r="J413" s="15">
        <f>IF(A413="","",IF(D413=0,0,MIN(1,I413/D413)))</f>
        <v/>
      </c>
      <c r="K413" s="15">
        <f>IF(A413="","",IF(OR(I413=0,C413=0),0,MIN(1,E413/((I413/60)*C413))))</f>
        <v/>
      </c>
      <c r="L413" s="15">
        <f>IF(A413="","",IF(E413=0,0,MIN(1,MAX(0,G413/E413))))</f>
        <v/>
      </c>
      <c r="M413" s="15">
        <f>IF(A413="","",J413*K413*L413)</f>
        <v/>
      </c>
    </row>
    <row r="414">
      <c r="A414" s="11">
        <f>Machines!A414</f>
        <v/>
      </c>
      <c r="B414" s="11">
        <f>Machines!B414</f>
        <v/>
      </c>
      <c r="C414" s="11">
        <f>IF(A414="","",Machines!D414)</f>
        <v/>
      </c>
      <c r="D414" s="11">
        <f>SUMIFS(WorkOrders!$M$2:$M$500,WorkOrders!$C$2:$C$500,A414)</f>
        <v/>
      </c>
      <c r="E414" s="11">
        <f>SUMIFS(WorkOrders!$E$2:$E$500,WorkOrders!$C$2:$C$500,A414)</f>
        <v/>
      </c>
      <c r="F414" s="11">
        <f>SUMIFS(WorkOrders!$F$2:$F$500,WorkOrders!$C$2:$C$500,A414)</f>
        <v/>
      </c>
      <c r="G414" s="11">
        <f>E414-F414</f>
        <v/>
      </c>
      <c r="H414" s="11">
        <f>SUMIFS(Downtime!$G$2:$G$500,Downtime!$A$2:$A$500,A414)</f>
        <v/>
      </c>
      <c r="I414" s="11">
        <f>MAX(0,D414-H414)</f>
        <v/>
      </c>
      <c r="J414" s="15">
        <f>IF(A414="","",IF(D414=0,0,MIN(1,I414/D414)))</f>
        <v/>
      </c>
      <c r="K414" s="15">
        <f>IF(A414="","",IF(OR(I414=0,C414=0),0,MIN(1,E414/((I414/60)*C414))))</f>
        <v/>
      </c>
      <c r="L414" s="15">
        <f>IF(A414="","",IF(E414=0,0,MIN(1,MAX(0,G414/E414))))</f>
        <v/>
      </c>
      <c r="M414" s="15">
        <f>IF(A414="","",J414*K414*L414)</f>
        <v/>
      </c>
    </row>
    <row r="415">
      <c r="A415" s="11">
        <f>Machines!A415</f>
        <v/>
      </c>
      <c r="B415" s="11">
        <f>Machines!B415</f>
        <v/>
      </c>
      <c r="C415" s="11">
        <f>IF(A415="","",Machines!D415)</f>
        <v/>
      </c>
      <c r="D415" s="11">
        <f>SUMIFS(WorkOrders!$M$2:$M$500,WorkOrders!$C$2:$C$500,A415)</f>
        <v/>
      </c>
      <c r="E415" s="11">
        <f>SUMIFS(WorkOrders!$E$2:$E$500,WorkOrders!$C$2:$C$500,A415)</f>
        <v/>
      </c>
      <c r="F415" s="11">
        <f>SUMIFS(WorkOrders!$F$2:$F$500,WorkOrders!$C$2:$C$500,A415)</f>
        <v/>
      </c>
      <c r="G415" s="11">
        <f>E415-F415</f>
        <v/>
      </c>
      <c r="H415" s="11">
        <f>SUMIFS(Downtime!$G$2:$G$500,Downtime!$A$2:$A$500,A415)</f>
        <v/>
      </c>
      <c r="I415" s="11">
        <f>MAX(0,D415-H415)</f>
        <v/>
      </c>
      <c r="J415" s="15">
        <f>IF(A415="","",IF(D415=0,0,MIN(1,I415/D415)))</f>
        <v/>
      </c>
      <c r="K415" s="15">
        <f>IF(A415="","",IF(OR(I415=0,C415=0),0,MIN(1,E415/((I415/60)*C415))))</f>
        <v/>
      </c>
      <c r="L415" s="15">
        <f>IF(A415="","",IF(E415=0,0,MIN(1,MAX(0,G415/E415))))</f>
        <v/>
      </c>
      <c r="M415" s="15">
        <f>IF(A415="","",J415*K415*L415)</f>
        <v/>
      </c>
    </row>
    <row r="416">
      <c r="A416" s="11">
        <f>Machines!A416</f>
        <v/>
      </c>
      <c r="B416" s="11">
        <f>Machines!B416</f>
        <v/>
      </c>
      <c r="C416" s="11">
        <f>IF(A416="","",Machines!D416)</f>
        <v/>
      </c>
      <c r="D416" s="11">
        <f>SUMIFS(WorkOrders!$M$2:$M$500,WorkOrders!$C$2:$C$500,A416)</f>
        <v/>
      </c>
      <c r="E416" s="11">
        <f>SUMIFS(WorkOrders!$E$2:$E$500,WorkOrders!$C$2:$C$500,A416)</f>
        <v/>
      </c>
      <c r="F416" s="11">
        <f>SUMIFS(WorkOrders!$F$2:$F$500,WorkOrders!$C$2:$C$500,A416)</f>
        <v/>
      </c>
      <c r="G416" s="11">
        <f>E416-F416</f>
        <v/>
      </c>
      <c r="H416" s="11">
        <f>SUMIFS(Downtime!$G$2:$G$500,Downtime!$A$2:$A$500,A416)</f>
        <v/>
      </c>
      <c r="I416" s="11">
        <f>MAX(0,D416-H416)</f>
        <v/>
      </c>
      <c r="J416" s="15">
        <f>IF(A416="","",IF(D416=0,0,MIN(1,I416/D416)))</f>
        <v/>
      </c>
      <c r="K416" s="15">
        <f>IF(A416="","",IF(OR(I416=0,C416=0),0,MIN(1,E416/((I416/60)*C416))))</f>
        <v/>
      </c>
      <c r="L416" s="15">
        <f>IF(A416="","",IF(E416=0,0,MIN(1,MAX(0,G416/E416))))</f>
        <v/>
      </c>
      <c r="M416" s="15">
        <f>IF(A416="","",J416*K416*L416)</f>
        <v/>
      </c>
    </row>
    <row r="417">
      <c r="A417" s="11">
        <f>Machines!A417</f>
        <v/>
      </c>
      <c r="B417" s="11">
        <f>Machines!B417</f>
        <v/>
      </c>
      <c r="C417" s="11">
        <f>IF(A417="","",Machines!D417)</f>
        <v/>
      </c>
      <c r="D417" s="11">
        <f>SUMIFS(WorkOrders!$M$2:$M$500,WorkOrders!$C$2:$C$500,A417)</f>
        <v/>
      </c>
      <c r="E417" s="11">
        <f>SUMIFS(WorkOrders!$E$2:$E$500,WorkOrders!$C$2:$C$500,A417)</f>
        <v/>
      </c>
      <c r="F417" s="11">
        <f>SUMIFS(WorkOrders!$F$2:$F$500,WorkOrders!$C$2:$C$500,A417)</f>
        <v/>
      </c>
      <c r="G417" s="11">
        <f>E417-F417</f>
        <v/>
      </c>
      <c r="H417" s="11">
        <f>SUMIFS(Downtime!$G$2:$G$500,Downtime!$A$2:$A$500,A417)</f>
        <v/>
      </c>
      <c r="I417" s="11">
        <f>MAX(0,D417-H417)</f>
        <v/>
      </c>
      <c r="J417" s="15">
        <f>IF(A417="","",IF(D417=0,0,MIN(1,I417/D417)))</f>
        <v/>
      </c>
      <c r="K417" s="15">
        <f>IF(A417="","",IF(OR(I417=0,C417=0),0,MIN(1,E417/((I417/60)*C417))))</f>
        <v/>
      </c>
      <c r="L417" s="15">
        <f>IF(A417="","",IF(E417=0,0,MIN(1,MAX(0,G417/E417))))</f>
        <v/>
      </c>
      <c r="M417" s="15">
        <f>IF(A417="","",J417*K417*L417)</f>
        <v/>
      </c>
    </row>
    <row r="418">
      <c r="A418" s="11">
        <f>Machines!A418</f>
        <v/>
      </c>
      <c r="B418" s="11">
        <f>Machines!B418</f>
        <v/>
      </c>
      <c r="C418" s="11">
        <f>IF(A418="","",Machines!D418)</f>
        <v/>
      </c>
      <c r="D418" s="11">
        <f>SUMIFS(WorkOrders!$M$2:$M$500,WorkOrders!$C$2:$C$500,A418)</f>
        <v/>
      </c>
      <c r="E418" s="11">
        <f>SUMIFS(WorkOrders!$E$2:$E$500,WorkOrders!$C$2:$C$500,A418)</f>
        <v/>
      </c>
      <c r="F418" s="11">
        <f>SUMIFS(WorkOrders!$F$2:$F$500,WorkOrders!$C$2:$C$500,A418)</f>
        <v/>
      </c>
      <c r="G418" s="11">
        <f>E418-F418</f>
        <v/>
      </c>
      <c r="H418" s="11">
        <f>SUMIFS(Downtime!$G$2:$G$500,Downtime!$A$2:$A$500,A418)</f>
        <v/>
      </c>
      <c r="I418" s="11">
        <f>MAX(0,D418-H418)</f>
        <v/>
      </c>
      <c r="J418" s="15">
        <f>IF(A418="","",IF(D418=0,0,MIN(1,I418/D418)))</f>
        <v/>
      </c>
      <c r="K418" s="15">
        <f>IF(A418="","",IF(OR(I418=0,C418=0),0,MIN(1,E418/((I418/60)*C418))))</f>
        <v/>
      </c>
      <c r="L418" s="15">
        <f>IF(A418="","",IF(E418=0,0,MIN(1,MAX(0,G418/E418))))</f>
        <v/>
      </c>
      <c r="M418" s="15">
        <f>IF(A418="","",J418*K418*L418)</f>
        <v/>
      </c>
    </row>
    <row r="419">
      <c r="A419" s="11">
        <f>Machines!A419</f>
        <v/>
      </c>
      <c r="B419" s="11">
        <f>Machines!B419</f>
        <v/>
      </c>
      <c r="C419" s="11">
        <f>IF(A419="","",Machines!D419)</f>
        <v/>
      </c>
      <c r="D419" s="11">
        <f>SUMIFS(WorkOrders!$M$2:$M$500,WorkOrders!$C$2:$C$500,A419)</f>
        <v/>
      </c>
      <c r="E419" s="11">
        <f>SUMIFS(WorkOrders!$E$2:$E$500,WorkOrders!$C$2:$C$500,A419)</f>
        <v/>
      </c>
      <c r="F419" s="11">
        <f>SUMIFS(WorkOrders!$F$2:$F$500,WorkOrders!$C$2:$C$500,A419)</f>
        <v/>
      </c>
      <c r="G419" s="11">
        <f>E419-F419</f>
        <v/>
      </c>
      <c r="H419" s="11">
        <f>SUMIFS(Downtime!$G$2:$G$500,Downtime!$A$2:$A$500,A419)</f>
        <v/>
      </c>
      <c r="I419" s="11">
        <f>MAX(0,D419-H419)</f>
        <v/>
      </c>
      <c r="J419" s="15">
        <f>IF(A419="","",IF(D419=0,0,MIN(1,I419/D419)))</f>
        <v/>
      </c>
      <c r="K419" s="15">
        <f>IF(A419="","",IF(OR(I419=0,C419=0),0,MIN(1,E419/((I419/60)*C419))))</f>
        <v/>
      </c>
      <c r="L419" s="15">
        <f>IF(A419="","",IF(E419=0,0,MIN(1,MAX(0,G419/E419))))</f>
        <v/>
      </c>
      <c r="M419" s="15">
        <f>IF(A419="","",J419*K419*L419)</f>
        <v/>
      </c>
    </row>
    <row r="420">
      <c r="A420" s="11">
        <f>Machines!A420</f>
        <v/>
      </c>
      <c r="B420" s="11">
        <f>Machines!B420</f>
        <v/>
      </c>
      <c r="C420" s="11">
        <f>IF(A420="","",Machines!D420)</f>
        <v/>
      </c>
      <c r="D420" s="11">
        <f>SUMIFS(WorkOrders!$M$2:$M$500,WorkOrders!$C$2:$C$500,A420)</f>
        <v/>
      </c>
      <c r="E420" s="11">
        <f>SUMIFS(WorkOrders!$E$2:$E$500,WorkOrders!$C$2:$C$500,A420)</f>
        <v/>
      </c>
      <c r="F420" s="11">
        <f>SUMIFS(WorkOrders!$F$2:$F$500,WorkOrders!$C$2:$C$500,A420)</f>
        <v/>
      </c>
      <c r="G420" s="11">
        <f>E420-F420</f>
        <v/>
      </c>
      <c r="H420" s="11">
        <f>SUMIFS(Downtime!$G$2:$G$500,Downtime!$A$2:$A$500,A420)</f>
        <v/>
      </c>
      <c r="I420" s="11">
        <f>MAX(0,D420-H420)</f>
        <v/>
      </c>
      <c r="J420" s="15">
        <f>IF(A420="","",IF(D420=0,0,MIN(1,I420/D420)))</f>
        <v/>
      </c>
      <c r="K420" s="15">
        <f>IF(A420="","",IF(OR(I420=0,C420=0),0,MIN(1,E420/((I420/60)*C420))))</f>
        <v/>
      </c>
      <c r="L420" s="15">
        <f>IF(A420="","",IF(E420=0,0,MIN(1,MAX(0,G420/E420))))</f>
        <v/>
      </c>
      <c r="M420" s="15">
        <f>IF(A420="","",J420*K420*L420)</f>
        <v/>
      </c>
    </row>
    <row r="421">
      <c r="A421" s="11">
        <f>Machines!A421</f>
        <v/>
      </c>
      <c r="B421" s="11">
        <f>Machines!B421</f>
        <v/>
      </c>
      <c r="C421" s="11">
        <f>IF(A421="","",Machines!D421)</f>
        <v/>
      </c>
      <c r="D421" s="11">
        <f>SUMIFS(WorkOrders!$M$2:$M$500,WorkOrders!$C$2:$C$500,A421)</f>
        <v/>
      </c>
      <c r="E421" s="11">
        <f>SUMIFS(WorkOrders!$E$2:$E$500,WorkOrders!$C$2:$C$500,A421)</f>
        <v/>
      </c>
      <c r="F421" s="11">
        <f>SUMIFS(WorkOrders!$F$2:$F$500,WorkOrders!$C$2:$C$500,A421)</f>
        <v/>
      </c>
      <c r="G421" s="11">
        <f>E421-F421</f>
        <v/>
      </c>
      <c r="H421" s="11">
        <f>SUMIFS(Downtime!$G$2:$G$500,Downtime!$A$2:$A$500,A421)</f>
        <v/>
      </c>
      <c r="I421" s="11">
        <f>MAX(0,D421-H421)</f>
        <v/>
      </c>
      <c r="J421" s="15">
        <f>IF(A421="","",IF(D421=0,0,MIN(1,I421/D421)))</f>
        <v/>
      </c>
      <c r="K421" s="15">
        <f>IF(A421="","",IF(OR(I421=0,C421=0),0,MIN(1,E421/((I421/60)*C421))))</f>
        <v/>
      </c>
      <c r="L421" s="15">
        <f>IF(A421="","",IF(E421=0,0,MIN(1,MAX(0,G421/E421))))</f>
        <v/>
      </c>
      <c r="M421" s="15">
        <f>IF(A421="","",J421*K421*L421)</f>
        <v/>
      </c>
    </row>
    <row r="422">
      <c r="A422" s="11">
        <f>Machines!A422</f>
        <v/>
      </c>
      <c r="B422" s="11">
        <f>Machines!B422</f>
        <v/>
      </c>
      <c r="C422" s="11">
        <f>IF(A422="","",Machines!D422)</f>
        <v/>
      </c>
      <c r="D422" s="11">
        <f>SUMIFS(WorkOrders!$M$2:$M$500,WorkOrders!$C$2:$C$500,A422)</f>
        <v/>
      </c>
      <c r="E422" s="11">
        <f>SUMIFS(WorkOrders!$E$2:$E$500,WorkOrders!$C$2:$C$500,A422)</f>
        <v/>
      </c>
      <c r="F422" s="11">
        <f>SUMIFS(WorkOrders!$F$2:$F$500,WorkOrders!$C$2:$C$500,A422)</f>
        <v/>
      </c>
      <c r="G422" s="11">
        <f>E422-F422</f>
        <v/>
      </c>
      <c r="H422" s="11">
        <f>SUMIFS(Downtime!$G$2:$G$500,Downtime!$A$2:$A$500,A422)</f>
        <v/>
      </c>
      <c r="I422" s="11">
        <f>MAX(0,D422-H422)</f>
        <v/>
      </c>
      <c r="J422" s="15">
        <f>IF(A422="","",IF(D422=0,0,MIN(1,I422/D422)))</f>
        <v/>
      </c>
      <c r="K422" s="15">
        <f>IF(A422="","",IF(OR(I422=0,C422=0),0,MIN(1,E422/((I422/60)*C422))))</f>
        <v/>
      </c>
      <c r="L422" s="15">
        <f>IF(A422="","",IF(E422=0,0,MIN(1,MAX(0,G422/E422))))</f>
        <v/>
      </c>
      <c r="M422" s="15">
        <f>IF(A422="","",J422*K422*L422)</f>
        <v/>
      </c>
    </row>
    <row r="423">
      <c r="A423" s="11">
        <f>Machines!A423</f>
        <v/>
      </c>
      <c r="B423" s="11">
        <f>Machines!B423</f>
        <v/>
      </c>
      <c r="C423" s="11">
        <f>IF(A423="","",Machines!D423)</f>
        <v/>
      </c>
      <c r="D423" s="11">
        <f>SUMIFS(WorkOrders!$M$2:$M$500,WorkOrders!$C$2:$C$500,A423)</f>
        <v/>
      </c>
      <c r="E423" s="11">
        <f>SUMIFS(WorkOrders!$E$2:$E$500,WorkOrders!$C$2:$C$500,A423)</f>
        <v/>
      </c>
      <c r="F423" s="11">
        <f>SUMIFS(WorkOrders!$F$2:$F$500,WorkOrders!$C$2:$C$500,A423)</f>
        <v/>
      </c>
      <c r="G423" s="11">
        <f>E423-F423</f>
        <v/>
      </c>
      <c r="H423" s="11">
        <f>SUMIFS(Downtime!$G$2:$G$500,Downtime!$A$2:$A$500,A423)</f>
        <v/>
      </c>
      <c r="I423" s="11">
        <f>MAX(0,D423-H423)</f>
        <v/>
      </c>
      <c r="J423" s="15">
        <f>IF(A423="","",IF(D423=0,0,MIN(1,I423/D423)))</f>
        <v/>
      </c>
      <c r="K423" s="15">
        <f>IF(A423="","",IF(OR(I423=0,C423=0),0,MIN(1,E423/((I423/60)*C423))))</f>
        <v/>
      </c>
      <c r="L423" s="15">
        <f>IF(A423="","",IF(E423=0,0,MIN(1,MAX(0,G423/E423))))</f>
        <v/>
      </c>
      <c r="M423" s="15">
        <f>IF(A423="","",J423*K423*L423)</f>
        <v/>
      </c>
    </row>
    <row r="424">
      <c r="A424" s="11">
        <f>Machines!A424</f>
        <v/>
      </c>
      <c r="B424" s="11">
        <f>Machines!B424</f>
        <v/>
      </c>
      <c r="C424" s="11">
        <f>IF(A424="","",Machines!D424)</f>
        <v/>
      </c>
      <c r="D424" s="11">
        <f>SUMIFS(WorkOrders!$M$2:$M$500,WorkOrders!$C$2:$C$500,A424)</f>
        <v/>
      </c>
      <c r="E424" s="11">
        <f>SUMIFS(WorkOrders!$E$2:$E$500,WorkOrders!$C$2:$C$500,A424)</f>
        <v/>
      </c>
      <c r="F424" s="11">
        <f>SUMIFS(WorkOrders!$F$2:$F$500,WorkOrders!$C$2:$C$500,A424)</f>
        <v/>
      </c>
      <c r="G424" s="11">
        <f>E424-F424</f>
        <v/>
      </c>
      <c r="H424" s="11">
        <f>SUMIFS(Downtime!$G$2:$G$500,Downtime!$A$2:$A$500,A424)</f>
        <v/>
      </c>
      <c r="I424" s="11">
        <f>MAX(0,D424-H424)</f>
        <v/>
      </c>
      <c r="J424" s="15">
        <f>IF(A424="","",IF(D424=0,0,MIN(1,I424/D424)))</f>
        <v/>
      </c>
      <c r="K424" s="15">
        <f>IF(A424="","",IF(OR(I424=0,C424=0),0,MIN(1,E424/((I424/60)*C424))))</f>
        <v/>
      </c>
      <c r="L424" s="15">
        <f>IF(A424="","",IF(E424=0,0,MIN(1,MAX(0,G424/E424))))</f>
        <v/>
      </c>
      <c r="M424" s="15">
        <f>IF(A424="","",J424*K424*L424)</f>
        <v/>
      </c>
    </row>
    <row r="425">
      <c r="A425" s="11">
        <f>Machines!A425</f>
        <v/>
      </c>
      <c r="B425" s="11">
        <f>Machines!B425</f>
        <v/>
      </c>
      <c r="C425" s="11">
        <f>IF(A425="","",Machines!D425)</f>
        <v/>
      </c>
      <c r="D425" s="11">
        <f>SUMIFS(WorkOrders!$M$2:$M$500,WorkOrders!$C$2:$C$500,A425)</f>
        <v/>
      </c>
      <c r="E425" s="11">
        <f>SUMIFS(WorkOrders!$E$2:$E$500,WorkOrders!$C$2:$C$500,A425)</f>
        <v/>
      </c>
      <c r="F425" s="11">
        <f>SUMIFS(WorkOrders!$F$2:$F$500,WorkOrders!$C$2:$C$500,A425)</f>
        <v/>
      </c>
      <c r="G425" s="11">
        <f>E425-F425</f>
        <v/>
      </c>
      <c r="H425" s="11">
        <f>SUMIFS(Downtime!$G$2:$G$500,Downtime!$A$2:$A$500,A425)</f>
        <v/>
      </c>
      <c r="I425" s="11">
        <f>MAX(0,D425-H425)</f>
        <v/>
      </c>
      <c r="J425" s="15">
        <f>IF(A425="","",IF(D425=0,0,MIN(1,I425/D425)))</f>
        <v/>
      </c>
      <c r="K425" s="15">
        <f>IF(A425="","",IF(OR(I425=0,C425=0),0,MIN(1,E425/((I425/60)*C425))))</f>
        <v/>
      </c>
      <c r="L425" s="15">
        <f>IF(A425="","",IF(E425=0,0,MIN(1,MAX(0,G425/E425))))</f>
        <v/>
      </c>
      <c r="M425" s="15">
        <f>IF(A425="","",J425*K425*L425)</f>
        <v/>
      </c>
    </row>
    <row r="426">
      <c r="A426" s="11">
        <f>Machines!A426</f>
        <v/>
      </c>
      <c r="B426" s="11">
        <f>Machines!B426</f>
        <v/>
      </c>
      <c r="C426" s="11">
        <f>IF(A426="","",Machines!D426)</f>
        <v/>
      </c>
      <c r="D426" s="11">
        <f>SUMIFS(WorkOrders!$M$2:$M$500,WorkOrders!$C$2:$C$500,A426)</f>
        <v/>
      </c>
      <c r="E426" s="11">
        <f>SUMIFS(WorkOrders!$E$2:$E$500,WorkOrders!$C$2:$C$500,A426)</f>
        <v/>
      </c>
      <c r="F426" s="11">
        <f>SUMIFS(WorkOrders!$F$2:$F$500,WorkOrders!$C$2:$C$500,A426)</f>
        <v/>
      </c>
      <c r="G426" s="11">
        <f>E426-F426</f>
        <v/>
      </c>
      <c r="H426" s="11">
        <f>SUMIFS(Downtime!$G$2:$G$500,Downtime!$A$2:$A$500,A426)</f>
        <v/>
      </c>
      <c r="I426" s="11">
        <f>MAX(0,D426-H426)</f>
        <v/>
      </c>
      <c r="J426" s="15">
        <f>IF(A426="","",IF(D426=0,0,MIN(1,I426/D426)))</f>
        <v/>
      </c>
      <c r="K426" s="15">
        <f>IF(A426="","",IF(OR(I426=0,C426=0),0,MIN(1,E426/((I426/60)*C426))))</f>
        <v/>
      </c>
      <c r="L426" s="15">
        <f>IF(A426="","",IF(E426=0,0,MIN(1,MAX(0,G426/E426))))</f>
        <v/>
      </c>
      <c r="M426" s="15">
        <f>IF(A426="","",J426*K426*L426)</f>
        <v/>
      </c>
    </row>
    <row r="427">
      <c r="A427" s="11">
        <f>Machines!A427</f>
        <v/>
      </c>
      <c r="B427" s="11">
        <f>Machines!B427</f>
        <v/>
      </c>
      <c r="C427" s="11">
        <f>IF(A427="","",Machines!D427)</f>
        <v/>
      </c>
      <c r="D427" s="11">
        <f>SUMIFS(WorkOrders!$M$2:$M$500,WorkOrders!$C$2:$C$500,A427)</f>
        <v/>
      </c>
      <c r="E427" s="11">
        <f>SUMIFS(WorkOrders!$E$2:$E$500,WorkOrders!$C$2:$C$500,A427)</f>
        <v/>
      </c>
      <c r="F427" s="11">
        <f>SUMIFS(WorkOrders!$F$2:$F$500,WorkOrders!$C$2:$C$500,A427)</f>
        <v/>
      </c>
      <c r="G427" s="11">
        <f>E427-F427</f>
        <v/>
      </c>
      <c r="H427" s="11">
        <f>SUMIFS(Downtime!$G$2:$G$500,Downtime!$A$2:$A$500,A427)</f>
        <v/>
      </c>
      <c r="I427" s="11">
        <f>MAX(0,D427-H427)</f>
        <v/>
      </c>
      <c r="J427" s="15">
        <f>IF(A427="","",IF(D427=0,0,MIN(1,I427/D427)))</f>
        <v/>
      </c>
      <c r="K427" s="15">
        <f>IF(A427="","",IF(OR(I427=0,C427=0),0,MIN(1,E427/((I427/60)*C427))))</f>
        <v/>
      </c>
      <c r="L427" s="15">
        <f>IF(A427="","",IF(E427=0,0,MIN(1,MAX(0,G427/E427))))</f>
        <v/>
      </c>
      <c r="M427" s="15">
        <f>IF(A427="","",J427*K427*L427)</f>
        <v/>
      </c>
    </row>
    <row r="428">
      <c r="A428" s="11">
        <f>Machines!A428</f>
        <v/>
      </c>
      <c r="B428" s="11">
        <f>Machines!B428</f>
        <v/>
      </c>
      <c r="C428" s="11">
        <f>IF(A428="","",Machines!D428)</f>
        <v/>
      </c>
      <c r="D428" s="11">
        <f>SUMIFS(WorkOrders!$M$2:$M$500,WorkOrders!$C$2:$C$500,A428)</f>
        <v/>
      </c>
      <c r="E428" s="11">
        <f>SUMIFS(WorkOrders!$E$2:$E$500,WorkOrders!$C$2:$C$500,A428)</f>
        <v/>
      </c>
      <c r="F428" s="11">
        <f>SUMIFS(WorkOrders!$F$2:$F$500,WorkOrders!$C$2:$C$500,A428)</f>
        <v/>
      </c>
      <c r="G428" s="11">
        <f>E428-F428</f>
        <v/>
      </c>
      <c r="H428" s="11">
        <f>SUMIFS(Downtime!$G$2:$G$500,Downtime!$A$2:$A$500,A428)</f>
        <v/>
      </c>
      <c r="I428" s="11">
        <f>MAX(0,D428-H428)</f>
        <v/>
      </c>
      <c r="J428" s="15">
        <f>IF(A428="","",IF(D428=0,0,MIN(1,I428/D428)))</f>
        <v/>
      </c>
      <c r="K428" s="15">
        <f>IF(A428="","",IF(OR(I428=0,C428=0),0,MIN(1,E428/((I428/60)*C428))))</f>
        <v/>
      </c>
      <c r="L428" s="15">
        <f>IF(A428="","",IF(E428=0,0,MIN(1,MAX(0,G428/E428))))</f>
        <v/>
      </c>
      <c r="M428" s="15">
        <f>IF(A428="","",J428*K428*L428)</f>
        <v/>
      </c>
    </row>
    <row r="429">
      <c r="A429" s="11">
        <f>Machines!A429</f>
        <v/>
      </c>
      <c r="B429" s="11">
        <f>Machines!B429</f>
        <v/>
      </c>
      <c r="C429" s="11">
        <f>IF(A429="","",Machines!D429)</f>
        <v/>
      </c>
      <c r="D429" s="11">
        <f>SUMIFS(WorkOrders!$M$2:$M$500,WorkOrders!$C$2:$C$500,A429)</f>
        <v/>
      </c>
      <c r="E429" s="11">
        <f>SUMIFS(WorkOrders!$E$2:$E$500,WorkOrders!$C$2:$C$500,A429)</f>
        <v/>
      </c>
      <c r="F429" s="11">
        <f>SUMIFS(WorkOrders!$F$2:$F$500,WorkOrders!$C$2:$C$500,A429)</f>
        <v/>
      </c>
      <c r="G429" s="11">
        <f>E429-F429</f>
        <v/>
      </c>
      <c r="H429" s="11">
        <f>SUMIFS(Downtime!$G$2:$G$500,Downtime!$A$2:$A$500,A429)</f>
        <v/>
      </c>
      <c r="I429" s="11">
        <f>MAX(0,D429-H429)</f>
        <v/>
      </c>
      <c r="J429" s="15">
        <f>IF(A429="","",IF(D429=0,0,MIN(1,I429/D429)))</f>
        <v/>
      </c>
      <c r="K429" s="15">
        <f>IF(A429="","",IF(OR(I429=0,C429=0),0,MIN(1,E429/((I429/60)*C429))))</f>
        <v/>
      </c>
      <c r="L429" s="15">
        <f>IF(A429="","",IF(E429=0,0,MIN(1,MAX(0,G429/E429))))</f>
        <v/>
      </c>
      <c r="M429" s="15">
        <f>IF(A429="","",J429*K429*L429)</f>
        <v/>
      </c>
    </row>
    <row r="430">
      <c r="A430" s="11">
        <f>Machines!A430</f>
        <v/>
      </c>
      <c r="B430" s="11">
        <f>Machines!B430</f>
        <v/>
      </c>
      <c r="C430" s="11">
        <f>IF(A430="","",Machines!D430)</f>
        <v/>
      </c>
      <c r="D430" s="11">
        <f>SUMIFS(WorkOrders!$M$2:$M$500,WorkOrders!$C$2:$C$500,A430)</f>
        <v/>
      </c>
      <c r="E430" s="11">
        <f>SUMIFS(WorkOrders!$E$2:$E$500,WorkOrders!$C$2:$C$500,A430)</f>
        <v/>
      </c>
      <c r="F430" s="11">
        <f>SUMIFS(WorkOrders!$F$2:$F$500,WorkOrders!$C$2:$C$500,A430)</f>
        <v/>
      </c>
      <c r="G430" s="11">
        <f>E430-F430</f>
        <v/>
      </c>
      <c r="H430" s="11">
        <f>SUMIFS(Downtime!$G$2:$G$500,Downtime!$A$2:$A$500,A430)</f>
        <v/>
      </c>
      <c r="I430" s="11">
        <f>MAX(0,D430-H430)</f>
        <v/>
      </c>
      <c r="J430" s="15">
        <f>IF(A430="","",IF(D430=0,0,MIN(1,I430/D430)))</f>
        <v/>
      </c>
      <c r="K430" s="15">
        <f>IF(A430="","",IF(OR(I430=0,C430=0),0,MIN(1,E430/((I430/60)*C430))))</f>
        <v/>
      </c>
      <c r="L430" s="15">
        <f>IF(A430="","",IF(E430=0,0,MIN(1,MAX(0,G430/E430))))</f>
        <v/>
      </c>
      <c r="M430" s="15">
        <f>IF(A430="","",J430*K430*L430)</f>
        <v/>
      </c>
    </row>
    <row r="431">
      <c r="A431" s="11">
        <f>Machines!A431</f>
        <v/>
      </c>
      <c r="B431" s="11">
        <f>Machines!B431</f>
        <v/>
      </c>
      <c r="C431" s="11">
        <f>IF(A431="","",Machines!D431)</f>
        <v/>
      </c>
      <c r="D431" s="11">
        <f>SUMIFS(WorkOrders!$M$2:$M$500,WorkOrders!$C$2:$C$500,A431)</f>
        <v/>
      </c>
      <c r="E431" s="11">
        <f>SUMIFS(WorkOrders!$E$2:$E$500,WorkOrders!$C$2:$C$500,A431)</f>
        <v/>
      </c>
      <c r="F431" s="11">
        <f>SUMIFS(WorkOrders!$F$2:$F$500,WorkOrders!$C$2:$C$500,A431)</f>
        <v/>
      </c>
      <c r="G431" s="11">
        <f>E431-F431</f>
        <v/>
      </c>
      <c r="H431" s="11">
        <f>SUMIFS(Downtime!$G$2:$G$500,Downtime!$A$2:$A$500,A431)</f>
        <v/>
      </c>
      <c r="I431" s="11">
        <f>MAX(0,D431-H431)</f>
        <v/>
      </c>
      <c r="J431" s="15">
        <f>IF(A431="","",IF(D431=0,0,MIN(1,I431/D431)))</f>
        <v/>
      </c>
      <c r="K431" s="15">
        <f>IF(A431="","",IF(OR(I431=0,C431=0),0,MIN(1,E431/((I431/60)*C431))))</f>
        <v/>
      </c>
      <c r="L431" s="15">
        <f>IF(A431="","",IF(E431=0,0,MIN(1,MAX(0,G431/E431))))</f>
        <v/>
      </c>
      <c r="M431" s="15">
        <f>IF(A431="","",J431*K431*L431)</f>
        <v/>
      </c>
    </row>
    <row r="432">
      <c r="A432" s="11">
        <f>Machines!A432</f>
        <v/>
      </c>
      <c r="B432" s="11">
        <f>Machines!B432</f>
        <v/>
      </c>
      <c r="C432" s="11">
        <f>IF(A432="","",Machines!D432)</f>
        <v/>
      </c>
      <c r="D432" s="11">
        <f>SUMIFS(WorkOrders!$M$2:$M$500,WorkOrders!$C$2:$C$500,A432)</f>
        <v/>
      </c>
      <c r="E432" s="11">
        <f>SUMIFS(WorkOrders!$E$2:$E$500,WorkOrders!$C$2:$C$500,A432)</f>
        <v/>
      </c>
      <c r="F432" s="11">
        <f>SUMIFS(WorkOrders!$F$2:$F$500,WorkOrders!$C$2:$C$500,A432)</f>
        <v/>
      </c>
      <c r="G432" s="11">
        <f>E432-F432</f>
        <v/>
      </c>
      <c r="H432" s="11">
        <f>SUMIFS(Downtime!$G$2:$G$500,Downtime!$A$2:$A$500,A432)</f>
        <v/>
      </c>
      <c r="I432" s="11">
        <f>MAX(0,D432-H432)</f>
        <v/>
      </c>
      <c r="J432" s="15">
        <f>IF(A432="","",IF(D432=0,0,MIN(1,I432/D432)))</f>
        <v/>
      </c>
      <c r="K432" s="15">
        <f>IF(A432="","",IF(OR(I432=0,C432=0),0,MIN(1,E432/((I432/60)*C432))))</f>
        <v/>
      </c>
      <c r="L432" s="15">
        <f>IF(A432="","",IF(E432=0,0,MIN(1,MAX(0,G432/E432))))</f>
        <v/>
      </c>
      <c r="M432" s="15">
        <f>IF(A432="","",J432*K432*L432)</f>
        <v/>
      </c>
    </row>
    <row r="433">
      <c r="A433" s="11">
        <f>Machines!A433</f>
        <v/>
      </c>
      <c r="B433" s="11">
        <f>Machines!B433</f>
        <v/>
      </c>
      <c r="C433" s="11">
        <f>IF(A433="","",Machines!D433)</f>
        <v/>
      </c>
      <c r="D433" s="11">
        <f>SUMIFS(WorkOrders!$M$2:$M$500,WorkOrders!$C$2:$C$500,A433)</f>
        <v/>
      </c>
      <c r="E433" s="11">
        <f>SUMIFS(WorkOrders!$E$2:$E$500,WorkOrders!$C$2:$C$500,A433)</f>
        <v/>
      </c>
      <c r="F433" s="11">
        <f>SUMIFS(WorkOrders!$F$2:$F$500,WorkOrders!$C$2:$C$500,A433)</f>
        <v/>
      </c>
      <c r="G433" s="11">
        <f>E433-F433</f>
        <v/>
      </c>
      <c r="H433" s="11">
        <f>SUMIFS(Downtime!$G$2:$G$500,Downtime!$A$2:$A$500,A433)</f>
        <v/>
      </c>
      <c r="I433" s="11">
        <f>MAX(0,D433-H433)</f>
        <v/>
      </c>
      <c r="J433" s="15">
        <f>IF(A433="","",IF(D433=0,0,MIN(1,I433/D433)))</f>
        <v/>
      </c>
      <c r="K433" s="15">
        <f>IF(A433="","",IF(OR(I433=0,C433=0),0,MIN(1,E433/((I433/60)*C433))))</f>
        <v/>
      </c>
      <c r="L433" s="15">
        <f>IF(A433="","",IF(E433=0,0,MIN(1,MAX(0,G433/E433))))</f>
        <v/>
      </c>
      <c r="M433" s="15">
        <f>IF(A433="","",J433*K433*L433)</f>
        <v/>
      </c>
    </row>
    <row r="434">
      <c r="A434" s="11">
        <f>Machines!A434</f>
        <v/>
      </c>
      <c r="B434" s="11">
        <f>Machines!B434</f>
        <v/>
      </c>
      <c r="C434" s="11">
        <f>IF(A434="","",Machines!D434)</f>
        <v/>
      </c>
      <c r="D434" s="11">
        <f>SUMIFS(WorkOrders!$M$2:$M$500,WorkOrders!$C$2:$C$500,A434)</f>
        <v/>
      </c>
      <c r="E434" s="11">
        <f>SUMIFS(WorkOrders!$E$2:$E$500,WorkOrders!$C$2:$C$500,A434)</f>
        <v/>
      </c>
      <c r="F434" s="11">
        <f>SUMIFS(WorkOrders!$F$2:$F$500,WorkOrders!$C$2:$C$500,A434)</f>
        <v/>
      </c>
      <c r="G434" s="11">
        <f>E434-F434</f>
        <v/>
      </c>
      <c r="H434" s="11">
        <f>SUMIFS(Downtime!$G$2:$G$500,Downtime!$A$2:$A$500,A434)</f>
        <v/>
      </c>
      <c r="I434" s="11">
        <f>MAX(0,D434-H434)</f>
        <v/>
      </c>
      <c r="J434" s="15">
        <f>IF(A434="","",IF(D434=0,0,MIN(1,I434/D434)))</f>
        <v/>
      </c>
      <c r="K434" s="15">
        <f>IF(A434="","",IF(OR(I434=0,C434=0),0,MIN(1,E434/((I434/60)*C434))))</f>
        <v/>
      </c>
      <c r="L434" s="15">
        <f>IF(A434="","",IF(E434=0,0,MIN(1,MAX(0,G434/E434))))</f>
        <v/>
      </c>
      <c r="M434" s="15">
        <f>IF(A434="","",J434*K434*L434)</f>
        <v/>
      </c>
    </row>
    <row r="435">
      <c r="A435" s="11">
        <f>Machines!A435</f>
        <v/>
      </c>
      <c r="B435" s="11">
        <f>Machines!B435</f>
        <v/>
      </c>
      <c r="C435" s="11">
        <f>IF(A435="","",Machines!D435)</f>
        <v/>
      </c>
      <c r="D435" s="11">
        <f>SUMIFS(WorkOrders!$M$2:$M$500,WorkOrders!$C$2:$C$500,A435)</f>
        <v/>
      </c>
      <c r="E435" s="11">
        <f>SUMIFS(WorkOrders!$E$2:$E$500,WorkOrders!$C$2:$C$500,A435)</f>
        <v/>
      </c>
      <c r="F435" s="11">
        <f>SUMIFS(WorkOrders!$F$2:$F$500,WorkOrders!$C$2:$C$500,A435)</f>
        <v/>
      </c>
      <c r="G435" s="11">
        <f>E435-F435</f>
        <v/>
      </c>
      <c r="H435" s="11">
        <f>SUMIFS(Downtime!$G$2:$G$500,Downtime!$A$2:$A$500,A435)</f>
        <v/>
      </c>
      <c r="I435" s="11">
        <f>MAX(0,D435-H435)</f>
        <v/>
      </c>
      <c r="J435" s="15">
        <f>IF(A435="","",IF(D435=0,0,MIN(1,I435/D435)))</f>
        <v/>
      </c>
      <c r="K435" s="15">
        <f>IF(A435="","",IF(OR(I435=0,C435=0),0,MIN(1,E435/((I435/60)*C435))))</f>
        <v/>
      </c>
      <c r="L435" s="15">
        <f>IF(A435="","",IF(E435=0,0,MIN(1,MAX(0,G435/E435))))</f>
        <v/>
      </c>
      <c r="M435" s="15">
        <f>IF(A435="","",J435*K435*L435)</f>
        <v/>
      </c>
    </row>
    <row r="436">
      <c r="A436" s="11">
        <f>Machines!A436</f>
        <v/>
      </c>
      <c r="B436" s="11">
        <f>Machines!B436</f>
        <v/>
      </c>
      <c r="C436" s="11">
        <f>IF(A436="","",Machines!D436)</f>
        <v/>
      </c>
      <c r="D436" s="11">
        <f>SUMIFS(WorkOrders!$M$2:$M$500,WorkOrders!$C$2:$C$500,A436)</f>
        <v/>
      </c>
      <c r="E436" s="11">
        <f>SUMIFS(WorkOrders!$E$2:$E$500,WorkOrders!$C$2:$C$500,A436)</f>
        <v/>
      </c>
      <c r="F436" s="11">
        <f>SUMIFS(WorkOrders!$F$2:$F$500,WorkOrders!$C$2:$C$500,A436)</f>
        <v/>
      </c>
      <c r="G436" s="11">
        <f>E436-F436</f>
        <v/>
      </c>
      <c r="H436" s="11">
        <f>SUMIFS(Downtime!$G$2:$G$500,Downtime!$A$2:$A$500,A436)</f>
        <v/>
      </c>
      <c r="I436" s="11">
        <f>MAX(0,D436-H436)</f>
        <v/>
      </c>
      <c r="J436" s="15">
        <f>IF(A436="","",IF(D436=0,0,MIN(1,I436/D436)))</f>
        <v/>
      </c>
      <c r="K436" s="15">
        <f>IF(A436="","",IF(OR(I436=0,C436=0),0,MIN(1,E436/((I436/60)*C436))))</f>
        <v/>
      </c>
      <c r="L436" s="15">
        <f>IF(A436="","",IF(E436=0,0,MIN(1,MAX(0,G436/E436))))</f>
        <v/>
      </c>
      <c r="M436" s="15">
        <f>IF(A436="","",J436*K436*L436)</f>
        <v/>
      </c>
    </row>
    <row r="437">
      <c r="A437" s="11">
        <f>Machines!A437</f>
        <v/>
      </c>
      <c r="B437" s="11">
        <f>Machines!B437</f>
        <v/>
      </c>
      <c r="C437" s="11">
        <f>IF(A437="","",Machines!D437)</f>
        <v/>
      </c>
      <c r="D437" s="11">
        <f>SUMIFS(WorkOrders!$M$2:$M$500,WorkOrders!$C$2:$C$500,A437)</f>
        <v/>
      </c>
      <c r="E437" s="11">
        <f>SUMIFS(WorkOrders!$E$2:$E$500,WorkOrders!$C$2:$C$500,A437)</f>
        <v/>
      </c>
      <c r="F437" s="11">
        <f>SUMIFS(WorkOrders!$F$2:$F$500,WorkOrders!$C$2:$C$500,A437)</f>
        <v/>
      </c>
      <c r="G437" s="11">
        <f>E437-F437</f>
        <v/>
      </c>
      <c r="H437" s="11">
        <f>SUMIFS(Downtime!$G$2:$G$500,Downtime!$A$2:$A$500,A437)</f>
        <v/>
      </c>
      <c r="I437" s="11">
        <f>MAX(0,D437-H437)</f>
        <v/>
      </c>
      <c r="J437" s="15">
        <f>IF(A437="","",IF(D437=0,0,MIN(1,I437/D437)))</f>
        <v/>
      </c>
      <c r="K437" s="15">
        <f>IF(A437="","",IF(OR(I437=0,C437=0),0,MIN(1,E437/((I437/60)*C437))))</f>
        <v/>
      </c>
      <c r="L437" s="15">
        <f>IF(A437="","",IF(E437=0,0,MIN(1,MAX(0,G437/E437))))</f>
        <v/>
      </c>
      <c r="M437" s="15">
        <f>IF(A437="","",J437*K437*L437)</f>
        <v/>
      </c>
    </row>
    <row r="438">
      <c r="A438" s="11">
        <f>Machines!A438</f>
        <v/>
      </c>
      <c r="B438" s="11">
        <f>Machines!B438</f>
        <v/>
      </c>
      <c r="C438" s="11">
        <f>IF(A438="","",Machines!D438)</f>
        <v/>
      </c>
      <c r="D438" s="11">
        <f>SUMIFS(WorkOrders!$M$2:$M$500,WorkOrders!$C$2:$C$500,A438)</f>
        <v/>
      </c>
      <c r="E438" s="11">
        <f>SUMIFS(WorkOrders!$E$2:$E$500,WorkOrders!$C$2:$C$500,A438)</f>
        <v/>
      </c>
      <c r="F438" s="11">
        <f>SUMIFS(WorkOrders!$F$2:$F$500,WorkOrders!$C$2:$C$500,A438)</f>
        <v/>
      </c>
      <c r="G438" s="11">
        <f>E438-F438</f>
        <v/>
      </c>
      <c r="H438" s="11">
        <f>SUMIFS(Downtime!$G$2:$G$500,Downtime!$A$2:$A$500,A438)</f>
        <v/>
      </c>
      <c r="I438" s="11">
        <f>MAX(0,D438-H438)</f>
        <v/>
      </c>
      <c r="J438" s="15">
        <f>IF(A438="","",IF(D438=0,0,MIN(1,I438/D438)))</f>
        <v/>
      </c>
      <c r="K438" s="15">
        <f>IF(A438="","",IF(OR(I438=0,C438=0),0,MIN(1,E438/((I438/60)*C438))))</f>
        <v/>
      </c>
      <c r="L438" s="15">
        <f>IF(A438="","",IF(E438=0,0,MIN(1,MAX(0,G438/E438))))</f>
        <v/>
      </c>
      <c r="M438" s="15">
        <f>IF(A438="","",J438*K438*L438)</f>
        <v/>
      </c>
    </row>
    <row r="439">
      <c r="A439" s="11">
        <f>Machines!A439</f>
        <v/>
      </c>
      <c r="B439" s="11">
        <f>Machines!B439</f>
        <v/>
      </c>
      <c r="C439" s="11">
        <f>IF(A439="","",Machines!D439)</f>
        <v/>
      </c>
      <c r="D439" s="11">
        <f>SUMIFS(WorkOrders!$M$2:$M$500,WorkOrders!$C$2:$C$500,A439)</f>
        <v/>
      </c>
      <c r="E439" s="11">
        <f>SUMIFS(WorkOrders!$E$2:$E$500,WorkOrders!$C$2:$C$500,A439)</f>
        <v/>
      </c>
      <c r="F439" s="11">
        <f>SUMIFS(WorkOrders!$F$2:$F$500,WorkOrders!$C$2:$C$500,A439)</f>
        <v/>
      </c>
      <c r="G439" s="11">
        <f>E439-F439</f>
        <v/>
      </c>
      <c r="H439" s="11">
        <f>SUMIFS(Downtime!$G$2:$G$500,Downtime!$A$2:$A$500,A439)</f>
        <v/>
      </c>
      <c r="I439" s="11">
        <f>MAX(0,D439-H439)</f>
        <v/>
      </c>
      <c r="J439" s="15">
        <f>IF(A439="","",IF(D439=0,0,MIN(1,I439/D439)))</f>
        <v/>
      </c>
      <c r="K439" s="15">
        <f>IF(A439="","",IF(OR(I439=0,C439=0),0,MIN(1,E439/((I439/60)*C439))))</f>
        <v/>
      </c>
      <c r="L439" s="15">
        <f>IF(A439="","",IF(E439=0,0,MIN(1,MAX(0,G439/E439))))</f>
        <v/>
      </c>
      <c r="M439" s="15">
        <f>IF(A439="","",J439*K439*L439)</f>
        <v/>
      </c>
    </row>
    <row r="440">
      <c r="A440" s="11">
        <f>Machines!A440</f>
        <v/>
      </c>
      <c r="B440" s="11">
        <f>Machines!B440</f>
        <v/>
      </c>
      <c r="C440" s="11">
        <f>IF(A440="","",Machines!D440)</f>
        <v/>
      </c>
      <c r="D440" s="11">
        <f>SUMIFS(WorkOrders!$M$2:$M$500,WorkOrders!$C$2:$C$500,A440)</f>
        <v/>
      </c>
      <c r="E440" s="11">
        <f>SUMIFS(WorkOrders!$E$2:$E$500,WorkOrders!$C$2:$C$500,A440)</f>
        <v/>
      </c>
      <c r="F440" s="11">
        <f>SUMIFS(WorkOrders!$F$2:$F$500,WorkOrders!$C$2:$C$500,A440)</f>
        <v/>
      </c>
      <c r="G440" s="11">
        <f>E440-F440</f>
        <v/>
      </c>
      <c r="H440" s="11">
        <f>SUMIFS(Downtime!$G$2:$G$500,Downtime!$A$2:$A$500,A440)</f>
        <v/>
      </c>
      <c r="I440" s="11">
        <f>MAX(0,D440-H440)</f>
        <v/>
      </c>
      <c r="J440" s="15">
        <f>IF(A440="","",IF(D440=0,0,MIN(1,I440/D440)))</f>
        <v/>
      </c>
      <c r="K440" s="15">
        <f>IF(A440="","",IF(OR(I440=0,C440=0),0,MIN(1,E440/((I440/60)*C440))))</f>
        <v/>
      </c>
      <c r="L440" s="15">
        <f>IF(A440="","",IF(E440=0,0,MIN(1,MAX(0,G440/E440))))</f>
        <v/>
      </c>
      <c r="M440" s="15">
        <f>IF(A440="","",J440*K440*L440)</f>
        <v/>
      </c>
    </row>
    <row r="441">
      <c r="A441" s="11">
        <f>Machines!A441</f>
        <v/>
      </c>
      <c r="B441" s="11">
        <f>Machines!B441</f>
        <v/>
      </c>
      <c r="C441" s="11">
        <f>IF(A441="","",Machines!D441)</f>
        <v/>
      </c>
      <c r="D441" s="11">
        <f>SUMIFS(WorkOrders!$M$2:$M$500,WorkOrders!$C$2:$C$500,A441)</f>
        <v/>
      </c>
      <c r="E441" s="11">
        <f>SUMIFS(WorkOrders!$E$2:$E$500,WorkOrders!$C$2:$C$500,A441)</f>
        <v/>
      </c>
      <c r="F441" s="11">
        <f>SUMIFS(WorkOrders!$F$2:$F$500,WorkOrders!$C$2:$C$500,A441)</f>
        <v/>
      </c>
      <c r="G441" s="11">
        <f>E441-F441</f>
        <v/>
      </c>
      <c r="H441" s="11">
        <f>SUMIFS(Downtime!$G$2:$G$500,Downtime!$A$2:$A$500,A441)</f>
        <v/>
      </c>
      <c r="I441" s="11">
        <f>MAX(0,D441-H441)</f>
        <v/>
      </c>
      <c r="J441" s="15">
        <f>IF(A441="","",IF(D441=0,0,MIN(1,I441/D441)))</f>
        <v/>
      </c>
      <c r="K441" s="15">
        <f>IF(A441="","",IF(OR(I441=0,C441=0),0,MIN(1,E441/((I441/60)*C441))))</f>
        <v/>
      </c>
      <c r="L441" s="15">
        <f>IF(A441="","",IF(E441=0,0,MIN(1,MAX(0,G441/E441))))</f>
        <v/>
      </c>
      <c r="M441" s="15">
        <f>IF(A441="","",J441*K441*L441)</f>
        <v/>
      </c>
    </row>
    <row r="442">
      <c r="A442" s="11">
        <f>Machines!A442</f>
        <v/>
      </c>
      <c r="B442" s="11">
        <f>Machines!B442</f>
        <v/>
      </c>
      <c r="C442" s="11">
        <f>IF(A442="","",Machines!D442)</f>
        <v/>
      </c>
      <c r="D442" s="11">
        <f>SUMIFS(WorkOrders!$M$2:$M$500,WorkOrders!$C$2:$C$500,A442)</f>
        <v/>
      </c>
      <c r="E442" s="11">
        <f>SUMIFS(WorkOrders!$E$2:$E$500,WorkOrders!$C$2:$C$500,A442)</f>
        <v/>
      </c>
      <c r="F442" s="11">
        <f>SUMIFS(WorkOrders!$F$2:$F$500,WorkOrders!$C$2:$C$500,A442)</f>
        <v/>
      </c>
      <c r="G442" s="11">
        <f>E442-F442</f>
        <v/>
      </c>
      <c r="H442" s="11">
        <f>SUMIFS(Downtime!$G$2:$G$500,Downtime!$A$2:$A$500,A442)</f>
        <v/>
      </c>
      <c r="I442" s="11">
        <f>MAX(0,D442-H442)</f>
        <v/>
      </c>
      <c r="J442" s="15">
        <f>IF(A442="","",IF(D442=0,0,MIN(1,I442/D442)))</f>
        <v/>
      </c>
      <c r="K442" s="15">
        <f>IF(A442="","",IF(OR(I442=0,C442=0),0,MIN(1,E442/((I442/60)*C442))))</f>
        <v/>
      </c>
      <c r="L442" s="15">
        <f>IF(A442="","",IF(E442=0,0,MIN(1,MAX(0,G442/E442))))</f>
        <v/>
      </c>
      <c r="M442" s="15">
        <f>IF(A442="","",J442*K442*L442)</f>
        <v/>
      </c>
    </row>
    <row r="443">
      <c r="A443" s="11">
        <f>Machines!A443</f>
        <v/>
      </c>
      <c r="B443" s="11">
        <f>Machines!B443</f>
        <v/>
      </c>
      <c r="C443" s="11">
        <f>IF(A443="","",Machines!D443)</f>
        <v/>
      </c>
      <c r="D443" s="11">
        <f>SUMIFS(WorkOrders!$M$2:$M$500,WorkOrders!$C$2:$C$500,A443)</f>
        <v/>
      </c>
      <c r="E443" s="11">
        <f>SUMIFS(WorkOrders!$E$2:$E$500,WorkOrders!$C$2:$C$500,A443)</f>
        <v/>
      </c>
      <c r="F443" s="11">
        <f>SUMIFS(WorkOrders!$F$2:$F$500,WorkOrders!$C$2:$C$500,A443)</f>
        <v/>
      </c>
      <c r="G443" s="11">
        <f>E443-F443</f>
        <v/>
      </c>
      <c r="H443" s="11">
        <f>SUMIFS(Downtime!$G$2:$G$500,Downtime!$A$2:$A$500,A443)</f>
        <v/>
      </c>
      <c r="I443" s="11">
        <f>MAX(0,D443-H443)</f>
        <v/>
      </c>
      <c r="J443" s="15">
        <f>IF(A443="","",IF(D443=0,0,MIN(1,I443/D443)))</f>
        <v/>
      </c>
      <c r="K443" s="15">
        <f>IF(A443="","",IF(OR(I443=0,C443=0),0,MIN(1,E443/((I443/60)*C443))))</f>
        <v/>
      </c>
      <c r="L443" s="15">
        <f>IF(A443="","",IF(E443=0,0,MIN(1,MAX(0,G443/E443))))</f>
        <v/>
      </c>
      <c r="M443" s="15">
        <f>IF(A443="","",J443*K443*L443)</f>
        <v/>
      </c>
    </row>
    <row r="444">
      <c r="A444" s="11">
        <f>Machines!A444</f>
        <v/>
      </c>
      <c r="B444" s="11">
        <f>Machines!B444</f>
        <v/>
      </c>
      <c r="C444" s="11">
        <f>IF(A444="","",Machines!D444)</f>
        <v/>
      </c>
      <c r="D444" s="11">
        <f>SUMIFS(WorkOrders!$M$2:$M$500,WorkOrders!$C$2:$C$500,A444)</f>
        <v/>
      </c>
      <c r="E444" s="11">
        <f>SUMIFS(WorkOrders!$E$2:$E$500,WorkOrders!$C$2:$C$500,A444)</f>
        <v/>
      </c>
      <c r="F444" s="11">
        <f>SUMIFS(WorkOrders!$F$2:$F$500,WorkOrders!$C$2:$C$500,A444)</f>
        <v/>
      </c>
      <c r="G444" s="11">
        <f>E444-F444</f>
        <v/>
      </c>
      <c r="H444" s="11">
        <f>SUMIFS(Downtime!$G$2:$G$500,Downtime!$A$2:$A$500,A444)</f>
        <v/>
      </c>
      <c r="I444" s="11">
        <f>MAX(0,D444-H444)</f>
        <v/>
      </c>
      <c r="J444" s="15">
        <f>IF(A444="","",IF(D444=0,0,MIN(1,I444/D444)))</f>
        <v/>
      </c>
      <c r="K444" s="15">
        <f>IF(A444="","",IF(OR(I444=0,C444=0),0,MIN(1,E444/((I444/60)*C444))))</f>
        <v/>
      </c>
      <c r="L444" s="15">
        <f>IF(A444="","",IF(E444=0,0,MIN(1,MAX(0,G444/E444))))</f>
        <v/>
      </c>
      <c r="M444" s="15">
        <f>IF(A444="","",J444*K444*L444)</f>
        <v/>
      </c>
    </row>
    <row r="445">
      <c r="A445" s="11">
        <f>Machines!A445</f>
        <v/>
      </c>
      <c r="B445" s="11">
        <f>Machines!B445</f>
        <v/>
      </c>
      <c r="C445" s="11">
        <f>IF(A445="","",Machines!D445)</f>
        <v/>
      </c>
      <c r="D445" s="11">
        <f>SUMIFS(WorkOrders!$M$2:$M$500,WorkOrders!$C$2:$C$500,A445)</f>
        <v/>
      </c>
      <c r="E445" s="11">
        <f>SUMIFS(WorkOrders!$E$2:$E$500,WorkOrders!$C$2:$C$500,A445)</f>
        <v/>
      </c>
      <c r="F445" s="11">
        <f>SUMIFS(WorkOrders!$F$2:$F$500,WorkOrders!$C$2:$C$500,A445)</f>
        <v/>
      </c>
      <c r="G445" s="11">
        <f>E445-F445</f>
        <v/>
      </c>
      <c r="H445" s="11">
        <f>SUMIFS(Downtime!$G$2:$G$500,Downtime!$A$2:$A$500,A445)</f>
        <v/>
      </c>
      <c r="I445" s="11">
        <f>MAX(0,D445-H445)</f>
        <v/>
      </c>
      <c r="J445" s="15">
        <f>IF(A445="","",IF(D445=0,0,MIN(1,I445/D445)))</f>
        <v/>
      </c>
      <c r="K445" s="15">
        <f>IF(A445="","",IF(OR(I445=0,C445=0),0,MIN(1,E445/((I445/60)*C445))))</f>
        <v/>
      </c>
      <c r="L445" s="15">
        <f>IF(A445="","",IF(E445=0,0,MIN(1,MAX(0,G445/E445))))</f>
        <v/>
      </c>
      <c r="M445" s="15">
        <f>IF(A445="","",J445*K445*L445)</f>
        <v/>
      </c>
    </row>
    <row r="446">
      <c r="A446" s="11">
        <f>Machines!A446</f>
        <v/>
      </c>
      <c r="B446" s="11">
        <f>Machines!B446</f>
        <v/>
      </c>
      <c r="C446" s="11">
        <f>IF(A446="","",Machines!D446)</f>
        <v/>
      </c>
      <c r="D446" s="11">
        <f>SUMIFS(WorkOrders!$M$2:$M$500,WorkOrders!$C$2:$C$500,A446)</f>
        <v/>
      </c>
      <c r="E446" s="11">
        <f>SUMIFS(WorkOrders!$E$2:$E$500,WorkOrders!$C$2:$C$500,A446)</f>
        <v/>
      </c>
      <c r="F446" s="11">
        <f>SUMIFS(WorkOrders!$F$2:$F$500,WorkOrders!$C$2:$C$500,A446)</f>
        <v/>
      </c>
      <c r="G446" s="11">
        <f>E446-F446</f>
        <v/>
      </c>
      <c r="H446" s="11">
        <f>SUMIFS(Downtime!$G$2:$G$500,Downtime!$A$2:$A$500,A446)</f>
        <v/>
      </c>
      <c r="I446" s="11">
        <f>MAX(0,D446-H446)</f>
        <v/>
      </c>
      <c r="J446" s="15">
        <f>IF(A446="","",IF(D446=0,0,MIN(1,I446/D446)))</f>
        <v/>
      </c>
      <c r="K446" s="15">
        <f>IF(A446="","",IF(OR(I446=0,C446=0),0,MIN(1,E446/((I446/60)*C446))))</f>
        <v/>
      </c>
      <c r="L446" s="15">
        <f>IF(A446="","",IF(E446=0,0,MIN(1,MAX(0,G446/E446))))</f>
        <v/>
      </c>
      <c r="M446" s="15">
        <f>IF(A446="","",J446*K446*L446)</f>
        <v/>
      </c>
    </row>
    <row r="447">
      <c r="A447" s="11">
        <f>Machines!A447</f>
        <v/>
      </c>
      <c r="B447" s="11">
        <f>Machines!B447</f>
        <v/>
      </c>
      <c r="C447" s="11">
        <f>IF(A447="","",Machines!D447)</f>
        <v/>
      </c>
      <c r="D447" s="11">
        <f>SUMIFS(WorkOrders!$M$2:$M$500,WorkOrders!$C$2:$C$500,A447)</f>
        <v/>
      </c>
      <c r="E447" s="11">
        <f>SUMIFS(WorkOrders!$E$2:$E$500,WorkOrders!$C$2:$C$500,A447)</f>
        <v/>
      </c>
      <c r="F447" s="11">
        <f>SUMIFS(WorkOrders!$F$2:$F$500,WorkOrders!$C$2:$C$500,A447)</f>
        <v/>
      </c>
      <c r="G447" s="11">
        <f>E447-F447</f>
        <v/>
      </c>
      <c r="H447" s="11">
        <f>SUMIFS(Downtime!$G$2:$G$500,Downtime!$A$2:$A$500,A447)</f>
        <v/>
      </c>
      <c r="I447" s="11">
        <f>MAX(0,D447-H447)</f>
        <v/>
      </c>
      <c r="J447" s="15">
        <f>IF(A447="","",IF(D447=0,0,MIN(1,I447/D447)))</f>
        <v/>
      </c>
      <c r="K447" s="15">
        <f>IF(A447="","",IF(OR(I447=0,C447=0),0,MIN(1,E447/((I447/60)*C447))))</f>
        <v/>
      </c>
      <c r="L447" s="15">
        <f>IF(A447="","",IF(E447=0,0,MIN(1,MAX(0,G447/E447))))</f>
        <v/>
      </c>
      <c r="M447" s="15">
        <f>IF(A447="","",J447*K447*L447)</f>
        <v/>
      </c>
    </row>
    <row r="448">
      <c r="A448" s="11">
        <f>Machines!A448</f>
        <v/>
      </c>
      <c r="B448" s="11">
        <f>Machines!B448</f>
        <v/>
      </c>
      <c r="C448" s="11">
        <f>IF(A448="","",Machines!D448)</f>
        <v/>
      </c>
      <c r="D448" s="11">
        <f>SUMIFS(WorkOrders!$M$2:$M$500,WorkOrders!$C$2:$C$500,A448)</f>
        <v/>
      </c>
      <c r="E448" s="11">
        <f>SUMIFS(WorkOrders!$E$2:$E$500,WorkOrders!$C$2:$C$500,A448)</f>
        <v/>
      </c>
      <c r="F448" s="11">
        <f>SUMIFS(WorkOrders!$F$2:$F$500,WorkOrders!$C$2:$C$500,A448)</f>
        <v/>
      </c>
      <c r="G448" s="11">
        <f>E448-F448</f>
        <v/>
      </c>
      <c r="H448" s="11">
        <f>SUMIFS(Downtime!$G$2:$G$500,Downtime!$A$2:$A$500,A448)</f>
        <v/>
      </c>
      <c r="I448" s="11">
        <f>MAX(0,D448-H448)</f>
        <v/>
      </c>
      <c r="J448" s="15">
        <f>IF(A448="","",IF(D448=0,0,MIN(1,I448/D448)))</f>
        <v/>
      </c>
      <c r="K448" s="15">
        <f>IF(A448="","",IF(OR(I448=0,C448=0),0,MIN(1,E448/((I448/60)*C448))))</f>
        <v/>
      </c>
      <c r="L448" s="15">
        <f>IF(A448="","",IF(E448=0,0,MIN(1,MAX(0,G448/E448))))</f>
        <v/>
      </c>
      <c r="M448" s="15">
        <f>IF(A448="","",J448*K448*L448)</f>
        <v/>
      </c>
    </row>
    <row r="449">
      <c r="A449" s="11">
        <f>Machines!A449</f>
        <v/>
      </c>
      <c r="B449" s="11">
        <f>Machines!B449</f>
        <v/>
      </c>
      <c r="C449" s="11">
        <f>IF(A449="","",Machines!D449)</f>
        <v/>
      </c>
      <c r="D449" s="11">
        <f>SUMIFS(WorkOrders!$M$2:$M$500,WorkOrders!$C$2:$C$500,A449)</f>
        <v/>
      </c>
      <c r="E449" s="11">
        <f>SUMIFS(WorkOrders!$E$2:$E$500,WorkOrders!$C$2:$C$500,A449)</f>
        <v/>
      </c>
      <c r="F449" s="11">
        <f>SUMIFS(WorkOrders!$F$2:$F$500,WorkOrders!$C$2:$C$500,A449)</f>
        <v/>
      </c>
      <c r="G449" s="11">
        <f>E449-F449</f>
        <v/>
      </c>
      <c r="H449" s="11">
        <f>SUMIFS(Downtime!$G$2:$G$500,Downtime!$A$2:$A$500,A449)</f>
        <v/>
      </c>
      <c r="I449" s="11">
        <f>MAX(0,D449-H449)</f>
        <v/>
      </c>
      <c r="J449" s="15">
        <f>IF(A449="","",IF(D449=0,0,MIN(1,I449/D449)))</f>
        <v/>
      </c>
      <c r="K449" s="15">
        <f>IF(A449="","",IF(OR(I449=0,C449=0),0,MIN(1,E449/((I449/60)*C449))))</f>
        <v/>
      </c>
      <c r="L449" s="15">
        <f>IF(A449="","",IF(E449=0,0,MIN(1,MAX(0,G449/E449))))</f>
        <v/>
      </c>
      <c r="M449" s="15">
        <f>IF(A449="","",J449*K449*L449)</f>
        <v/>
      </c>
    </row>
    <row r="450">
      <c r="A450" s="11">
        <f>Machines!A450</f>
        <v/>
      </c>
      <c r="B450" s="11">
        <f>Machines!B450</f>
        <v/>
      </c>
      <c r="C450" s="11">
        <f>IF(A450="","",Machines!D450)</f>
        <v/>
      </c>
      <c r="D450" s="11">
        <f>SUMIFS(WorkOrders!$M$2:$M$500,WorkOrders!$C$2:$C$500,A450)</f>
        <v/>
      </c>
      <c r="E450" s="11">
        <f>SUMIFS(WorkOrders!$E$2:$E$500,WorkOrders!$C$2:$C$500,A450)</f>
        <v/>
      </c>
      <c r="F450" s="11">
        <f>SUMIFS(WorkOrders!$F$2:$F$500,WorkOrders!$C$2:$C$500,A450)</f>
        <v/>
      </c>
      <c r="G450" s="11">
        <f>E450-F450</f>
        <v/>
      </c>
      <c r="H450" s="11">
        <f>SUMIFS(Downtime!$G$2:$G$500,Downtime!$A$2:$A$500,A450)</f>
        <v/>
      </c>
      <c r="I450" s="11">
        <f>MAX(0,D450-H450)</f>
        <v/>
      </c>
      <c r="J450" s="15">
        <f>IF(A450="","",IF(D450=0,0,MIN(1,I450/D450)))</f>
        <v/>
      </c>
      <c r="K450" s="15">
        <f>IF(A450="","",IF(OR(I450=0,C450=0),0,MIN(1,E450/((I450/60)*C450))))</f>
        <v/>
      </c>
      <c r="L450" s="15">
        <f>IF(A450="","",IF(E450=0,0,MIN(1,MAX(0,G450/E450))))</f>
        <v/>
      </c>
      <c r="M450" s="15">
        <f>IF(A450="","",J450*K450*L450)</f>
        <v/>
      </c>
    </row>
    <row r="451">
      <c r="A451" s="11">
        <f>Machines!A451</f>
        <v/>
      </c>
      <c r="B451" s="11">
        <f>Machines!B451</f>
        <v/>
      </c>
      <c r="C451" s="11">
        <f>IF(A451="","",Machines!D451)</f>
        <v/>
      </c>
      <c r="D451" s="11">
        <f>SUMIFS(WorkOrders!$M$2:$M$500,WorkOrders!$C$2:$C$500,A451)</f>
        <v/>
      </c>
      <c r="E451" s="11">
        <f>SUMIFS(WorkOrders!$E$2:$E$500,WorkOrders!$C$2:$C$500,A451)</f>
        <v/>
      </c>
      <c r="F451" s="11">
        <f>SUMIFS(WorkOrders!$F$2:$F$500,WorkOrders!$C$2:$C$500,A451)</f>
        <v/>
      </c>
      <c r="G451" s="11">
        <f>E451-F451</f>
        <v/>
      </c>
      <c r="H451" s="11">
        <f>SUMIFS(Downtime!$G$2:$G$500,Downtime!$A$2:$A$500,A451)</f>
        <v/>
      </c>
      <c r="I451" s="11">
        <f>MAX(0,D451-H451)</f>
        <v/>
      </c>
      <c r="J451" s="15">
        <f>IF(A451="","",IF(D451=0,0,MIN(1,I451/D451)))</f>
        <v/>
      </c>
      <c r="K451" s="15">
        <f>IF(A451="","",IF(OR(I451=0,C451=0),0,MIN(1,E451/((I451/60)*C451))))</f>
        <v/>
      </c>
      <c r="L451" s="15">
        <f>IF(A451="","",IF(E451=0,0,MIN(1,MAX(0,G451/E451))))</f>
        <v/>
      </c>
      <c r="M451" s="15">
        <f>IF(A451="","",J451*K451*L451)</f>
        <v/>
      </c>
    </row>
    <row r="452">
      <c r="A452" s="11">
        <f>Machines!A452</f>
        <v/>
      </c>
      <c r="B452" s="11">
        <f>Machines!B452</f>
        <v/>
      </c>
      <c r="C452" s="11">
        <f>IF(A452="","",Machines!D452)</f>
        <v/>
      </c>
      <c r="D452" s="11">
        <f>SUMIFS(WorkOrders!$M$2:$M$500,WorkOrders!$C$2:$C$500,A452)</f>
        <v/>
      </c>
      <c r="E452" s="11">
        <f>SUMIFS(WorkOrders!$E$2:$E$500,WorkOrders!$C$2:$C$500,A452)</f>
        <v/>
      </c>
      <c r="F452" s="11">
        <f>SUMIFS(WorkOrders!$F$2:$F$500,WorkOrders!$C$2:$C$500,A452)</f>
        <v/>
      </c>
      <c r="G452" s="11">
        <f>E452-F452</f>
        <v/>
      </c>
      <c r="H452" s="11">
        <f>SUMIFS(Downtime!$G$2:$G$500,Downtime!$A$2:$A$500,A452)</f>
        <v/>
      </c>
      <c r="I452" s="11">
        <f>MAX(0,D452-H452)</f>
        <v/>
      </c>
      <c r="J452" s="15">
        <f>IF(A452="","",IF(D452=0,0,MIN(1,I452/D452)))</f>
        <v/>
      </c>
      <c r="K452" s="15">
        <f>IF(A452="","",IF(OR(I452=0,C452=0),0,MIN(1,E452/((I452/60)*C452))))</f>
        <v/>
      </c>
      <c r="L452" s="15">
        <f>IF(A452="","",IF(E452=0,0,MIN(1,MAX(0,G452/E452))))</f>
        <v/>
      </c>
      <c r="M452" s="15">
        <f>IF(A452="","",J452*K452*L452)</f>
        <v/>
      </c>
    </row>
    <row r="453">
      <c r="A453" s="11">
        <f>Machines!A453</f>
        <v/>
      </c>
      <c r="B453" s="11">
        <f>Machines!B453</f>
        <v/>
      </c>
      <c r="C453" s="11">
        <f>IF(A453="","",Machines!D453)</f>
        <v/>
      </c>
      <c r="D453" s="11">
        <f>SUMIFS(WorkOrders!$M$2:$M$500,WorkOrders!$C$2:$C$500,A453)</f>
        <v/>
      </c>
      <c r="E453" s="11">
        <f>SUMIFS(WorkOrders!$E$2:$E$500,WorkOrders!$C$2:$C$500,A453)</f>
        <v/>
      </c>
      <c r="F453" s="11">
        <f>SUMIFS(WorkOrders!$F$2:$F$500,WorkOrders!$C$2:$C$500,A453)</f>
        <v/>
      </c>
      <c r="G453" s="11">
        <f>E453-F453</f>
        <v/>
      </c>
      <c r="H453" s="11">
        <f>SUMIFS(Downtime!$G$2:$G$500,Downtime!$A$2:$A$500,A453)</f>
        <v/>
      </c>
      <c r="I453" s="11">
        <f>MAX(0,D453-H453)</f>
        <v/>
      </c>
      <c r="J453" s="15">
        <f>IF(A453="","",IF(D453=0,0,MIN(1,I453/D453)))</f>
        <v/>
      </c>
      <c r="K453" s="15">
        <f>IF(A453="","",IF(OR(I453=0,C453=0),0,MIN(1,E453/((I453/60)*C453))))</f>
        <v/>
      </c>
      <c r="L453" s="15">
        <f>IF(A453="","",IF(E453=0,0,MIN(1,MAX(0,G453/E453))))</f>
        <v/>
      </c>
      <c r="M453" s="15">
        <f>IF(A453="","",J453*K453*L453)</f>
        <v/>
      </c>
    </row>
    <row r="454">
      <c r="A454" s="11">
        <f>Machines!A454</f>
        <v/>
      </c>
      <c r="B454" s="11">
        <f>Machines!B454</f>
        <v/>
      </c>
      <c r="C454" s="11">
        <f>IF(A454="","",Machines!D454)</f>
        <v/>
      </c>
      <c r="D454" s="11">
        <f>SUMIFS(WorkOrders!$M$2:$M$500,WorkOrders!$C$2:$C$500,A454)</f>
        <v/>
      </c>
      <c r="E454" s="11">
        <f>SUMIFS(WorkOrders!$E$2:$E$500,WorkOrders!$C$2:$C$500,A454)</f>
        <v/>
      </c>
      <c r="F454" s="11">
        <f>SUMIFS(WorkOrders!$F$2:$F$500,WorkOrders!$C$2:$C$500,A454)</f>
        <v/>
      </c>
      <c r="G454" s="11">
        <f>E454-F454</f>
        <v/>
      </c>
      <c r="H454" s="11">
        <f>SUMIFS(Downtime!$G$2:$G$500,Downtime!$A$2:$A$500,A454)</f>
        <v/>
      </c>
      <c r="I454" s="11">
        <f>MAX(0,D454-H454)</f>
        <v/>
      </c>
      <c r="J454" s="15">
        <f>IF(A454="","",IF(D454=0,0,MIN(1,I454/D454)))</f>
        <v/>
      </c>
      <c r="K454" s="15">
        <f>IF(A454="","",IF(OR(I454=0,C454=0),0,MIN(1,E454/((I454/60)*C454))))</f>
        <v/>
      </c>
      <c r="L454" s="15">
        <f>IF(A454="","",IF(E454=0,0,MIN(1,MAX(0,G454/E454))))</f>
        <v/>
      </c>
      <c r="M454" s="15">
        <f>IF(A454="","",J454*K454*L454)</f>
        <v/>
      </c>
    </row>
    <row r="455">
      <c r="A455" s="11">
        <f>Machines!A455</f>
        <v/>
      </c>
      <c r="B455" s="11">
        <f>Machines!B455</f>
        <v/>
      </c>
      <c r="C455" s="11">
        <f>IF(A455="","",Machines!D455)</f>
        <v/>
      </c>
      <c r="D455" s="11">
        <f>SUMIFS(WorkOrders!$M$2:$M$500,WorkOrders!$C$2:$C$500,A455)</f>
        <v/>
      </c>
      <c r="E455" s="11">
        <f>SUMIFS(WorkOrders!$E$2:$E$500,WorkOrders!$C$2:$C$500,A455)</f>
        <v/>
      </c>
      <c r="F455" s="11">
        <f>SUMIFS(WorkOrders!$F$2:$F$500,WorkOrders!$C$2:$C$500,A455)</f>
        <v/>
      </c>
      <c r="G455" s="11">
        <f>E455-F455</f>
        <v/>
      </c>
      <c r="H455" s="11">
        <f>SUMIFS(Downtime!$G$2:$G$500,Downtime!$A$2:$A$500,A455)</f>
        <v/>
      </c>
      <c r="I455" s="11">
        <f>MAX(0,D455-H455)</f>
        <v/>
      </c>
      <c r="J455" s="15">
        <f>IF(A455="","",IF(D455=0,0,MIN(1,I455/D455)))</f>
        <v/>
      </c>
      <c r="K455" s="15">
        <f>IF(A455="","",IF(OR(I455=0,C455=0),0,MIN(1,E455/((I455/60)*C455))))</f>
        <v/>
      </c>
      <c r="L455" s="15">
        <f>IF(A455="","",IF(E455=0,0,MIN(1,MAX(0,G455/E455))))</f>
        <v/>
      </c>
      <c r="M455" s="15">
        <f>IF(A455="","",J455*K455*L455)</f>
        <v/>
      </c>
    </row>
    <row r="456">
      <c r="A456" s="11">
        <f>Machines!A456</f>
        <v/>
      </c>
      <c r="B456" s="11">
        <f>Machines!B456</f>
        <v/>
      </c>
      <c r="C456" s="11">
        <f>IF(A456="","",Machines!D456)</f>
        <v/>
      </c>
      <c r="D456" s="11">
        <f>SUMIFS(WorkOrders!$M$2:$M$500,WorkOrders!$C$2:$C$500,A456)</f>
        <v/>
      </c>
      <c r="E456" s="11">
        <f>SUMIFS(WorkOrders!$E$2:$E$500,WorkOrders!$C$2:$C$500,A456)</f>
        <v/>
      </c>
      <c r="F456" s="11">
        <f>SUMIFS(WorkOrders!$F$2:$F$500,WorkOrders!$C$2:$C$500,A456)</f>
        <v/>
      </c>
      <c r="G456" s="11">
        <f>E456-F456</f>
        <v/>
      </c>
      <c r="H456" s="11">
        <f>SUMIFS(Downtime!$G$2:$G$500,Downtime!$A$2:$A$500,A456)</f>
        <v/>
      </c>
      <c r="I456" s="11">
        <f>MAX(0,D456-H456)</f>
        <v/>
      </c>
      <c r="J456" s="15">
        <f>IF(A456="","",IF(D456=0,0,MIN(1,I456/D456)))</f>
        <v/>
      </c>
      <c r="K456" s="15">
        <f>IF(A456="","",IF(OR(I456=0,C456=0),0,MIN(1,E456/((I456/60)*C456))))</f>
        <v/>
      </c>
      <c r="L456" s="15">
        <f>IF(A456="","",IF(E456=0,0,MIN(1,MAX(0,G456/E456))))</f>
        <v/>
      </c>
      <c r="M456" s="15">
        <f>IF(A456="","",J456*K456*L456)</f>
        <v/>
      </c>
    </row>
    <row r="457">
      <c r="A457" s="11">
        <f>Machines!A457</f>
        <v/>
      </c>
      <c r="B457" s="11">
        <f>Machines!B457</f>
        <v/>
      </c>
      <c r="C457" s="11">
        <f>IF(A457="","",Machines!D457)</f>
        <v/>
      </c>
      <c r="D457" s="11">
        <f>SUMIFS(WorkOrders!$M$2:$M$500,WorkOrders!$C$2:$C$500,A457)</f>
        <v/>
      </c>
      <c r="E457" s="11">
        <f>SUMIFS(WorkOrders!$E$2:$E$500,WorkOrders!$C$2:$C$500,A457)</f>
        <v/>
      </c>
      <c r="F457" s="11">
        <f>SUMIFS(WorkOrders!$F$2:$F$500,WorkOrders!$C$2:$C$500,A457)</f>
        <v/>
      </c>
      <c r="G457" s="11">
        <f>E457-F457</f>
        <v/>
      </c>
      <c r="H457" s="11">
        <f>SUMIFS(Downtime!$G$2:$G$500,Downtime!$A$2:$A$500,A457)</f>
        <v/>
      </c>
      <c r="I457" s="11">
        <f>MAX(0,D457-H457)</f>
        <v/>
      </c>
      <c r="J457" s="15">
        <f>IF(A457="","",IF(D457=0,0,MIN(1,I457/D457)))</f>
        <v/>
      </c>
      <c r="K457" s="15">
        <f>IF(A457="","",IF(OR(I457=0,C457=0),0,MIN(1,E457/((I457/60)*C457))))</f>
        <v/>
      </c>
      <c r="L457" s="15">
        <f>IF(A457="","",IF(E457=0,0,MIN(1,MAX(0,G457/E457))))</f>
        <v/>
      </c>
      <c r="M457" s="15">
        <f>IF(A457="","",J457*K457*L457)</f>
        <v/>
      </c>
    </row>
    <row r="458">
      <c r="A458" s="11">
        <f>Machines!A458</f>
        <v/>
      </c>
      <c r="B458" s="11">
        <f>Machines!B458</f>
        <v/>
      </c>
      <c r="C458" s="11">
        <f>IF(A458="","",Machines!D458)</f>
        <v/>
      </c>
      <c r="D458" s="11">
        <f>SUMIFS(WorkOrders!$M$2:$M$500,WorkOrders!$C$2:$C$500,A458)</f>
        <v/>
      </c>
      <c r="E458" s="11">
        <f>SUMIFS(WorkOrders!$E$2:$E$500,WorkOrders!$C$2:$C$500,A458)</f>
        <v/>
      </c>
      <c r="F458" s="11">
        <f>SUMIFS(WorkOrders!$F$2:$F$500,WorkOrders!$C$2:$C$500,A458)</f>
        <v/>
      </c>
      <c r="G458" s="11">
        <f>E458-F458</f>
        <v/>
      </c>
      <c r="H458" s="11">
        <f>SUMIFS(Downtime!$G$2:$G$500,Downtime!$A$2:$A$500,A458)</f>
        <v/>
      </c>
      <c r="I458" s="11">
        <f>MAX(0,D458-H458)</f>
        <v/>
      </c>
      <c r="J458" s="15">
        <f>IF(A458="","",IF(D458=0,0,MIN(1,I458/D458)))</f>
        <v/>
      </c>
      <c r="K458" s="15">
        <f>IF(A458="","",IF(OR(I458=0,C458=0),0,MIN(1,E458/((I458/60)*C458))))</f>
        <v/>
      </c>
      <c r="L458" s="15">
        <f>IF(A458="","",IF(E458=0,0,MIN(1,MAX(0,G458/E458))))</f>
        <v/>
      </c>
      <c r="M458" s="15">
        <f>IF(A458="","",J458*K458*L458)</f>
        <v/>
      </c>
    </row>
    <row r="459">
      <c r="A459" s="11">
        <f>Machines!A459</f>
        <v/>
      </c>
      <c r="B459" s="11">
        <f>Machines!B459</f>
        <v/>
      </c>
      <c r="C459" s="11">
        <f>IF(A459="","",Machines!D459)</f>
        <v/>
      </c>
      <c r="D459" s="11">
        <f>SUMIFS(WorkOrders!$M$2:$M$500,WorkOrders!$C$2:$C$500,A459)</f>
        <v/>
      </c>
      <c r="E459" s="11">
        <f>SUMIFS(WorkOrders!$E$2:$E$500,WorkOrders!$C$2:$C$500,A459)</f>
        <v/>
      </c>
      <c r="F459" s="11">
        <f>SUMIFS(WorkOrders!$F$2:$F$500,WorkOrders!$C$2:$C$500,A459)</f>
        <v/>
      </c>
      <c r="G459" s="11">
        <f>E459-F459</f>
        <v/>
      </c>
      <c r="H459" s="11">
        <f>SUMIFS(Downtime!$G$2:$G$500,Downtime!$A$2:$A$500,A459)</f>
        <v/>
      </c>
      <c r="I459" s="11">
        <f>MAX(0,D459-H459)</f>
        <v/>
      </c>
      <c r="J459" s="15">
        <f>IF(A459="","",IF(D459=0,0,MIN(1,I459/D459)))</f>
        <v/>
      </c>
      <c r="K459" s="15">
        <f>IF(A459="","",IF(OR(I459=0,C459=0),0,MIN(1,E459/((I459/60)*C459))))</f>
        <v/>
      </c>
      <c r="L459" s="15">
        <f>IF(A459="","",IF(E459=0,0,MIN(1,MAX(0,G459/E459))))</f>
        <v/>
      </c>
      <c r="M459" s="15">
        <f>IF(A459="","",J459*K459*L459)</f>
        <v/>
      </c>
    </row>
    <row r="460">
      <c r="A460" s="11">
        <f>Machines!A460</f>
        <v/>
      </c>
      <c r="B460" s="11">
        <f>Machines!B460</f>
        <v/>
      </c>
      <c r="C460" s="11">
        <f>IF(A460="","",Machines!D460)</f>
        <v/>
      </c>
      <c r="D460" s="11">
        <f>SUMIFS(WorkOrders!$M$2:$M$500,WorkOrders!$C$2:$C$500,A460)</f>
        <v/>
      </c>
      <c r="E460" s="11">
        <f>SUMIFS(WorkOrders!$E$2:$E$500,WorkOrders!$C$2:$C$500,A460)</f>
        <v/>
      </c>
      <c r="F460" s="11">
        <f>SUMIFS(WorkOrders!$F$2:$F$500,WorkOrders!$C$2:$C$500,A460)</f>
        <v/>
      </c>
      <c r="G460" s="11">
        <f>E460-F460</f>
        <v/>
      </c>
      <c r="H460" s="11">
        <f>SUMIFS(Downtime!$G$2:$G$500,Downtime!$A$2:$A$500,A460)</f>
        <v/>
      </c>
      <c r="I460" s="11">
        <f>MAX(0,D460-H460)</f>
        <v/>
      </c>
      <c r="J460" s="15">
        <f>IF(A460="","",IF(D460=0,0,MIN(1,I460/D460)))</f>
        <v/>
      </c>
      <c r="K460" s="15">
        <f>IF(A460="","",IF(OR(I460=0,C460=0),0,MIN(1,E460/((I460/60)*C460))))</f>
        <v/>
      </c>
      <c r="L460" s="15">
        <f>IF(A460="","",IF(E460=0,0,MIN(1,MAX(0,G460/E460))))</f>
        <v/>
      </c>
      <c r="M460" s="15">
        <f>IF(A460="","",J460*K460*L460)</f>
        <v/>
      </c>
    </row>
    <row r="461">
      <c r="A461" s="11">
        <f>Machines!A461</f>
        <v/>
      </c>
      <c r="B461" s="11">
        <f>Machines!B461</f>
        <v/>
      </c>
      <c r="C461" s="11">
        <f>IF(A461="","",Machines!D461)</f>
        <v/>
      </c>
      <c r="D461" s="11">
        <f>SUMIFS(WorkOrders!$M$2:$M$500,WorkOrders!$C$2:$C$500,A461)</f>
        <v/>
      </c>
      <c r="E461" s="11">
        <f>SUMIFS(WorkOrders!$E$2:$E$500,WorkOrders!$C$2:$C$500,A461)</f>
        <v/>
      </c>
      <c r="F461" s="11">
        <f>SUMIFS(WorkOrders!$F$2:$F$500,WorkOrders!$C$2:$C$500,A461)</f>
        <v/>
      </c>
      <c r="G461" s="11">
        <f>E461-F461</f>
        <v/>
      </c>
      <c r="H461" s="11">
        <f>SUMIFS(Downtime!$G$2:$G$500,Downtime!$A$2:$A$500,A461)</f>
        <v/>
      </c>
      <c r="I461" s="11">
        <f>MAX(0,D461-H461)</f>
        <v/>
      </c>
      <c r="J461" s="15">
        <f>IF(A461="","",IF(D461=0,0,MIN(1,I461/D461)))</f>
        <v/>
      </c>
      <c r="K461" s="15">
        <f>IF(A461="","",IF(OR(I461=0,C461=0),0,MIN(1,E461/((I461/60)*C461))))</f>
        <v/>
      </c>
      <c r="L461" s="15">
        <f>IF(A461="","",IF(E461=0,0,MIN(1,MAX(0,G461/E461))))</f>
        <v/>
      </c>
      <c r="M461" s="15">
        <f>IF(A461="","",J461*K461*L461)</f>
        <v/>
      </c>
    </row>
    <row r="462">
      <c r="A462" s="11">
        <f>Machines!A462</f>
        <v/>
      </c>
      <c r="B462" s="11">
        <f>Machines!B462</f>
        <v/>
      </c>
      <c r="C462" s="11">
        <f>IF(A462="","",Machines!D462)</f>
        <v/>
      </c>
      <c r="D462" s="11">
        <f>SUMIFS(WorkOrders!$M$2:$M$500,WorkOrders!$C$2:$C$500,A462)</f>
        <v/>
      </c>
      <c r="E462" s="11">
        <f>SUMIFS(WorkOrders!$E$2:$E$500,WorkOrders!$C$2:$C$500,A462)</f>
        <v/>
      </c>
      <c r="F462" s="11">
        <f>SUMIFS(WorkOrders!$F$2:$F$500,WorkOrders!$C$2:$C$500,A462)</f>
        <v/>
      </c>
      <c r="G462" s="11">
        <f>E462-F462</f>
        <v/>
      </c>
      <c r="H462" s="11">
        <f>SUMIFS(Downtime!$G$2:$G$500,Downtime!$A$2:$A$500,A462)</f>
        <v/>
      </c>
      <c r="I462" s="11">
        <f>MAX(0,D462-H462)</f>
        <v/>
      </c>
      <c r="J462" s="15">
        <f>IF(A462="","",IF(D462=0,0,MIN(1,I462/D462)))</f>
        <v/>
      </c>
      <c r="K462" s="15">
        <f>IF(A462="","",IF(OR(I462=0,C462=0),0,MIN(1,E462/((I462/60)*C462))))</f>
        <v/>
      </c>
      <c r="L462" s="15">
        <f>IF(A462="","",IF(E462=0,0,MIN(1,MAX(0,G462/E462))))</f>
        <v/>
      </c>
      <c r="M462" s="15">
        <f>IF(A462="","",J462*K462*L462)</f>
        <v/>
      </c>
    </row>
    <row r="463">
      <c r="A463" s="11">
        <f>Machines!A463</f>
        <v/>
      </c>
      <c r="B463" s="11">
        <f>Machines!B463</f>
        <v/>
      </c>
      <c r="C463" s="11">
        <f>IF(A463="","",Machines!D463)</f>
        <v/>
      </c>
      <c r="D463" s="11">
        <f>SUMIFS(WorkOrders!$M$2:$M$500,WorkOrders!$C$2:$C$500,A463)</f>
        <v/>
      </c>
      <c r="E463" s="11">
        <f>SUMIFS(WorkOrders!$E$2:$E$500,WorkOrders!$C$2:$C$500,A463)</f>
        <v/>
      </c>
      <c r="F463" s="11">
        <f>SUMIFS(WorkOrders!$F$2:$F$500,WorkOrders!$C$2:$C$500,A463)</f>
        <v/>
      </c>
      <c r="G463" s="11">
        <f>E463-F463</f>
        <v/>
      </c>
      <c r="H463" s="11">
        <f>SUMIFS(Downtime!$G$2:$G$500,Downtime!$A$2:$A$500,A463)</f>
        <v/>
      </c>
      <c r="I463" s="11">
        <f>MAX(0,D463-H463)</f>
        <v/>
      </c>
      <c r="J463" s="15">
        <f>IF(A463="","",IF(D463=0,0,MIN(1,I463/D463)))</f>
        <v/>
      </c>
      <c r="K463" s="15">
        <f>IF(A463="","",IF(OR(I463=0,C463=0),0,MIN(1,E463/((I463/60)*C463))))</f>
        <v/>
      </c>
      <c r="L463" s="15">
        <f>IF(A463="","",IF(E463=0,0,MIN(1,MAX(0,G463/E463))))</f>
        <v/>
      </c>
      <c r="M463" s="15">
        <f>IF(A463="","",J463*K463*L463)</f>
        <v/>
      </c>
    </row>
    <row r="464">
      <c r="A464" s="11">
        <f>Machines!A464</f>
        <v/>
      </c>
      <c r="B464" s="11">
        <f>Machines!B464</f>
        <v/>
      </c>
      <c r="C464" s="11">
        <f>IF(A464="","",Machines!D464)</f>
        <v/>
      </c>
      <c r="D464" s="11">
        <f>SUMIFS(WorkOrders!$M$2:$M$500,WorkOrders!$C$2:$C$500,A464)</f>
        <v/>
      </c>
      <c r="E464" s="11">
        <f>SUMIFS(WorkOrders!$E$2:$E$500,WorkOrders!$C$2:$C$500,A464)</f>
        <v/>
      </c>
      <c r="F464" s="11">
        <f>SUMIFS(WorkOrders!$F$2:$F$500,WorkOrders!$C$2:$C$500,A464)</f>
        <v/>
      </c>
      <c r="G464" s="11">
        <f>E464-F464</f>
        <v/>
      </c>
      <c r="H464" s="11">
        <f>SUMIFS(Downtime!$G$2:$G$500,Downtime!$A$2:$A$500,A464)</f>
        <v/>
      </c>
      <c r="I464" s="11">
        <f>MAX(0,D464-H464)</f>
        <v/>
      </c>
      <c r="J464" s="15">
        <f>IF(A464="","",IF(D464=0,0,MIN(1,I464/D464)))</f>
        <v/>
      </c>
      <c r="K464" s="15">
        <f>IF(A464="","",IF(OR(I464=0,C464=0),0,MIN(1,E464/((I464/60)*C464))))</f>
        <v/>
      </c>
      <c r="L464" s="15">
        <f>IF(A464="","",IF(E464=0,0,MIN(1,MAX(0,G464/E464))))</f>
        <v/>
      </c>
      <c r="M464" s="15">
        <f>IF(A464="","",J464*K464*L464)</f>
        <v/>
      </c>
    </row>
    <row r="465">
      <c r="A465" s="11">
        <f>Machines!A465</f>
        <v/>
      </c>
      <c r="B465" s="11">
        <f>Machines!B465</f>
        <v/>
      </c>
      <c r="C465" s="11">
        <f>IF(A465="","",Machines!D465)</f>
        <v/>
      </c>
      <c r="D465" s="11">
        <f>SUMIFS(WorkOrders!$M$2:$M$500,WorkOrders!$C$2:$C$500,A465)</f>
        <v/>
      </c>
      <c r="E465" s="11">
        <f>SUMIFS(WorkOrders!$E$2:$E$500,WorkOrders!$C$2:$C$500,A465)</f>
        <v/>
      </c>
      <c r="F465" s="11">
        <f>SUMIFS(WorkOrders!$F$2:$F$500,WorkOrders!$C$2:$C$500,A465)</f>
        <v/>
      </c>
      <c r="G465" s="11">
        <f>E465-F465</f>
        <v/>
      </c>
      <c r="H465" s="11">
        <f>SUMIFS(Downtime!$G$2:$G$500,Downtime!$A$2:$A$500,A465)</f>
        <v/>
      </c>
      <c r="I465" s="11">
        <f>MAX(0,D465-H465)</f>
        <v/>
      </c>
      <c r="J465" s="15">
        <f>IF(A465="","",IF(D465=0,0,MIN(1,I465/D465)))</f>
        <v/>
      </c>
      <c r="K465" s="15">
        <f>IF(A465="","",IF(OR(I465=0,C465=0),0,MIN(1,E465/((I465/60)*C465))))</f>
        <v/>
      </c>
      <c r="L465" s="15">
        <f>IF(A465="","",IF(E465=0,0,MIN(1,MAX(0,G465/E465))))</f>
        <v/>
      </c>
      <c r="M465" s="15">
        <f>IF(A465="","",J465*K465*L465)</f>
        <v/>
      </c>
    </row>
    <row r="466">
      <c r="A466" s="11">
        <f>Machines!A466</f>
        <v/>
      </c>
      <c r="B466" s="11">
        <f>Machines!B466</f>
        <v/>
      </c>
      <c r="C466" s="11">
        <f>IF(A466="","",Machines!D466)</f>
        <v/>
      </c>
      <c r="D466" s="11">
        <f>SUMIFS(WorkOrders!$M$2:$M$500,WorkOrders!$C$2:$C$500,A466)</f>
        <v/>
      </c>
      <c r="E466" s="11">
        <f>SUMIFS(WorkOrders!$E$2:$E$500,WorkOrders!$C$2:$C$500,A466)</f>
        <v/>
      </c>
      <c r="F466" s="11">
        <f>SUMIFS(WorkOrders!$F$2:$F$500,WorkOrders!$C$2:$C$500,A466)</f>
        <v/>
      </c>
      <c r="G466" s="11">
        <f>E466-F466</f>
        <v/>
      </c>
      <c r="H466" s="11">
        <f>SUMIFS(Downtime!$G$2:$G$500,Downtime!$A$2:$A$500,A466)</f>
        <v/>
      </c>
      <c r="I466" s="11">
        <f>MAX(0,D466-H466)</f>
        <v/>
      </c>
      <c r="J466" s="15">
        <f>IF(A466="","",IF(D466=0,0,MIN(1,I466/D466)))</f>
        <v/>
      </c>
      <c r="K466" s="15">
        <f>IF(A466="","",IF(OR(I466=0,C466=0),0,MIN(1,E466/((I466/60)*C466))))</f>
        <v/>
      </c>
      <c r="L466" s="15">
        <f>IF(A466="","",IF(E466=0,0,MIN(1,MAX(0,G466/E466))))</f>
        <v/>
      </c>
      <c r="M466" s="15">
        <f>IF(A466="","",J466*K466*L466)</f>
        <v/>
      </c>
    </row>
    <row r="467">
      <c r="A467" s="11">
        <f>Machines!A467</f>
        <v/>
      </c>
      <c r="B467" s="11">
        <f>Machines!B467</f>
        <v/>
      </c>
      <c r="C467" s="11">
        <f>IF(A467="","",Machines!D467)</f>
        <v/>
      </c>
      <c r="D467" s="11">
        <f>SUMIFS(WorkOrders!$M$2:$M$500,WorkOrders!$C$2:$C$500,A467)</f>
        <v/>
      </c>
      <c r="E467" s="11">
        <f>SUMIFS(WorkOrders!$E$2:$E$500,WorkOrders!$C$2:$C$500,A467)</f>
        <v/>
      </c>
      <c r="F467" s="11">
        <f>SUMIFS(WorkOrders!$F$2:$F$500,WorkOrders!$C$2:$C$500,A467)</f>
        <v/>
      </c>
      <c r="G467" s="11">
        <f>E467-F467</f>
        <v/>
      </c>
      <c r="H467" s="11">
        <f>SUMIFS(Downtime!$G$2:$G$500,Downtime!$A$2:$A$500,A467)</f>
        <v/>
      </c>
      <c r="I467" s="11">
        <f>MAX(0,D467-H467)</f>
        <v/>
      </c>
      <c r="J467" s="15">
        <f>IF(A467="","",IF(D467=0,0,MIN(1,I467/D467)))</f>
        <v/>
      </c>
      <c r="K467" s="15">
        <f>IF(A467="","",IF(OR(I467=0,C467=0),0,MIN(1,E467/((I467/60)*C467))))</f>
        <v/>
      </c>
      <c r="L467" s="15">
        <f>IF(A467="","",IF(E467=0,0,MIN(1,MAX(0,G467/E467))))</f>
        <v/>
      </c>
      <c r="M467" s="15">
        <f>IF(A467="","",J467*K467*L467)</f>
        <v/>
      </c>
    </row>
    <row r="468">
      <c r="A468" s="11">
        <f>Machines!A468</f>
        <v/>
      </c>
      <c r="B468" s="11">
        <f>Machines!B468</f>
        <v/>
      </c>
      <c r="C468" s="11">
        <f>IF(A468="","",Machines!D468)</f>
        <v/>
      </c>
      <c r="D468" s="11">
        <f>SUMIFS(WorkOrders!$M$2:$M$500,WorkOrders!$C$2:$C$500,A468)</f>
        <v/>
      </c>
      <c r="E468" s="11">
        <f>SUMIFS(WorkOrders!$E$2:$E$500,WorkOrders!$C$2:$C$500,A468)</f>
        <v/>
      </c>
      <c r="F468" s="11">
        <f>SUMIFS(WorkOrders!$F$2:$F$500,WorkOrders!$C$2:$C$500,A468)</f>
        <v/>
      </c>
      <c r="G468" s="11">
        <f>E468-F468</f>
        <v/>
      </c>
      <c r="H468" s="11">
        <f>SUMIFS(Downtime!$G$2:$G$500,Downtime!$A$2:$A$500,A468)</f>
        <v/>
      </c>
      <c r="I468" s="11">
        <f>MAX(0,D468-H468)</f>
        <v/>
      </c>
      <c r="J468" s="15">
        <f>IF(A468="","",IF(D468=0,0,MIN(1,I468/D468)))</f>
        <v/>
      </c>
      <c r="K468" s="15">
        <f>IF(A468="","",IF(OR(I468=0,C468=0),0,MIN(1,E468/((I468/60)*C468))))</f>
        <v/>
      </c>
      <c r="L468" s="15">
        <f>IF(A468="","",IF(E468=0,0,MIN(1,MAX(0,G468/E468))))</f>
        <v/>
      </c>
      <c r="M468" s="15">
        <f>IF(A468="","",J468*K468*L468)</f>
        <v/>
      </c>
    </row>
    <row r="469">
      <c r="A469" s="11">
        <f>Machines!A469</f>
        <v/>
      </c>
      <c r="B469" s="11">
        <f>Machines!B469</f>
        <v/>
      </c>
      <c r="C469" s="11">
        <f>IF(A469="","",Machines!D469)</f>
        <v/>
      </c>
      <c r="D469" s="11">
        <f>SUMIFS(WorkOrders!$M$2:$M$500,WorkOrders!$C$2:$C$500,A469)</f>
        <v/>
      </c>
      <c r="E469" s="11">
        <f>SUMIFS(WorkOrders!$E$2:$E$500,WorkOrders!$C$2:$C$500,A469)</f>
        <v/>
      </c>
      <c r="F469" s="11">
        <f>SUMIFS(WorkOrders!$F$2:$F$500,WorkOrders!$C$2:$C$500,A469)</f>
        <v/>
      </c>
      <c r="G469" s="11">
        <f>E469-F469</f>
        <v/>
      </c>
      <c r="H469" s="11">
        <f>SUMIFS(Downtime!$G$2:$G$500,Downtime!$A$2:$A$500,A469)</f>
        <v/>
      </c>
      <c r="I469" s="11">
        <f>MAX(0,D469-H469)</f>
        <v/>
      </c>
      <c r="J469" s="15">
        <f>IF(A469="","",IF(D469=0,0,MIN(1,I469/D469)))</f>
        <v/>
      </c>
      <c r="K469" s="15">
        <f>IF(A469="","",IF(OR(I469=0,C469=0),0,MIN(1,E469/((I469/60)*C469))))</f>
        <v/>
      </c>
      <c r="L469" s="15">
        <f>IF(A469="","",IF(E469=0,0,MIN(1,MAX(0,G469/E469))))</f>
        <v/>
      </c>
      <c r="M469" s="15">
        <f>IF(A469="","",J469*K469*L469)</f>
        <v/>
      </c>
    </row>
    <row r="470">
      <c r="A470" s="11">
        <f>Machines!A470</f>
        <v/>
      </c>
      <c r="B470" s="11">
        <f>Machines!B470</f>
        <v/>
      </c>
      <c r="C470" s="11">
        <f>IF(A470="","",Machines!D470)</f>
        <v/>
      </c>
      <c r="D470" s="11">
        <f>SUMIFS(WorkOrders!$M$2:$M$500,WorkOrders!$C$2:$C$500,A470)</f>
        <v/>
      </c>
      <c r="E470" s="11">
        <f>SUMIFS(WorkOrders!$E$2:$E$500,WorkOrders!$C$2:$C$500,A470)</f>
        <v/>
      </c>
      <c r="F470" s="11">
        <f>SUMIFS(WorkOrders!$F$2:$F$500,WorkOrders!$C$2:$C$500,A470)</f>
        <v/>
      </c>
      <c r="G470" s="11">
        <f>E470-F470</f>
        <v/>
      </c>
      <c r="H470" s="11">
        <f>SUMIFS(Downtime!$G$2:$G$500,Downtime!$A$2:$A$500,A470)</f>
        <v/>
      </c>
      <c r="I470" s="11">
        <f>MAX(0,D470-H470)</f>
        <v/>
      </c>
      <c r="J470" s="15">
        <f>IF(A470="","",IF(D470=0,0,MIN(1,I470/D470)))</f>
        <v/>
      </c>
      <c r="K470" s="15">
        <f>IF(A470="","",IF(OR(I470=0,C470=0),0,MIN(1,E470/((I470/60)*C470))))</f>
        <v/>
      </c>
      <c r="L470" s="15">
        <f>IF(A470="","",IF(E470=0,0,MIN(1,MAX(0,G470/E470))))</f>
        <v/>
      </c>
      <c r="M470" s="15">
        <f>IF(A470="","",J470*K470*L470)</f>
        <v/>
      </c>
    </row>
    <row r="471">
      <c r="A471" s="11">
        <f>Machines!A471</f>
        <v/>
      </c>
      <c r="B471" s="11">
        <f>Machines!B471</f>
        <v/>
      </c>
      <c r="C471" s="11">
        <f>IF(A471="","",Machines!D471)</f>
        <v/>
      </c>
      <c r="D471" s="11">
        <f>SUMIFS(WorkOrders!$M$2:$M$500,WorkOrders!$C$2:$C$500,A471)</f>
        <v/>
      </c>
      <c r="E471" s="11">
        <f>SUMIFS(WorkOrders!$E$2:$E$500,WorkOrders!$C$2:$C$500,A471)</f>
        <v/>
      </c>
      <c r="F471" s="11">
        <f>SUMIFS(WorkOrders!$F$2:$F$500,WorkOrders!$C$2:$C$500,A471)</f>
        <v/>
      </c>
      <c r="G471" s="11">
        <f>E471-F471</f>
        <v/>
      </c>
      <c r="H471" s="11">
        <f>SUMIFS(Downtime!$G$2:$G$500,Downtime!$A$2:$A$500,A471)</f>
        <v/>
      </c>
      <c r="I471" s="11">
        <f>MAX(0,D471-H471)</f>
        <v/>
      </c>
      <c r="J471" s="15">
        <f>IF(A471="","",IF(D471=0,0,MIN(1,I471/D471)))</f>
        <v/>
      </c>
      <c r="K471" s="15">
        <f>IF(A471="","",IF(OR(I471=0,C471=0),0,MIN(1,E471/((I471/60)*C471))))</f>
        <v/>
      </c>
      <c r="L471" s="15">
        <f>IF(A471="","",IF(E471=0,0,MIN(1,MAX(0,G471/E471))))</f>
        <v/>
      </c>
      <c r="M471" s="15">
        <f>IF(A471="","",J471*K471*L471)</f>
        <v/>
      </c>
    </row>
    <row r="472">
      <c r="A472" s="11">
        <f>Machines!A472</f>
        <v/>
      </c>
      <c r="B472" s="11">
        <f>Machines!B472</f>
        <v/>
      </c>
      <c r="C472" s="11">
        <f>IF(A472="","",Machines!D472)</f>
        <v/>
      </c>
      <c r="D472" s="11">
        <f>SUMIFS(WorkOrders!$M$2:$M$500,WorkOrders!$C$2:$C$500,A472)</f>
        <v/>
      </c>
      <c r="E472" s="11">
        <f>SUMIFS(WorkOrders!$E$2:$E$500,WorkOrders!$C$2:$C$500,A472)</f>
        <v/>
      </c>
      <c r="F472" s="11">
        <f>SUMIFS(WorkOrders!$F$2:$F$500,WorkOrders!$C$2:$C$500,A472)</f>
        <v/>
      </c>
      <c r="G472" s="11">
        <f>E472-F472</f>
        <v/>
      </c>
      <c r="H472" s="11">
        <f>SUMIFS(Downtime!$G$2:$G$500,Downtime!$A$2:$A$500,A472)</f>
        <v/>
      </c>
      <c r="I472" s="11">
        <f>MAX(0,D472-H472)</f>
        <v/>
      </c>
      <c r="J472" s="15">
        <f>IF(A472="","",IF(D472=0,0,MIN(1,I472/D472)))</f>
        <v/>
      </c>
      <c r="K472" s="15">
        <f>IF(A472="","",IF(OR(I472=0,C472=0),0,MIN(1,E472/((I472/60)*C472))))</f>
        <v/>
      </c>
      <c r="L472" s="15">
        <f>IF(A472="","",IF(E472=0,0,MIN(1,MAX(0,G472/E472))))</f>
        <v/>
      </c>
      <c r="M472" s="15">
        <f>IF(A472="","",J472*K472*L472)</f>
        <v/>
      </c>
    </row>
    <row r="473">
      <c r="A473" s="11">
        <f>Machines!A473</f>
        <v/>
      </c>
      <c r="B473" s="11">
        <f>Machines!B473</f>
        <v/>
      </c>
      <c r="C473" s="11">
        <f>IF(A473="","",Machines!D473)</f>
        <v/>
      </c>
      <c r="D473" s="11">
        <f>SUMIFS(WorkOrders!$M$2:$M$500,WorkOrders!$C$2:$C$500,A473)</f>
        <v/>
      </c>
      <c r="E473" s="11">
        <f>SUMIFS(WorkOrders!$E$2:$E$500,WorkOrders!$C$2:$C$500,A473)</f>
        <v/>
      </c>
      <c r="F473" s="11">
        <f>SUMIFS(WorkOrders!$F$2:$F$500,WorkOrders!$C$2:$C$500,A473)</f>
        <v/>
      </c>
      <c r="G473" s="11">
        <f>E473-F473</f>
        <v/>
      </c>
      <c r="H473" s="11">
        <f>SUMIFS(Downtime!$G$2:$G$500,Downtime!$A$2:$A$500,A473)</f>
        <v/>
      </c>
      <c r="I473" s="11">
        <f>MAX(0,D473-H473)</f>
        <v/>
      </c>
      <c r="J473" s="15">
        <f>IF(A473="","",IF(D473=0,0,MIN(1,I473/D473)))</f>
        <v/>
      </c>
      <c r="K473" s="15">
        <f>IF(A473="","",IF(OR(I473=0,C473=0),0,MIN(1,E473/((I473/60)*C473))))</f>
        <v/>
      </c>
      <c r="L473" s="15">
        <f>IF(A473="","",IF(E473=0,0,MIN(1,MAX(0,G473/E473))))</f>
        <v/>
      </c>
      <c r="M473" s="15">
        <f>IF(A473="","",J473*K473*L473)</f>
        <v/>
      </c>
    </row>
    <row r="474">
      <c r="A474" s="11">
        <f>Machines!A474</f>
        <v/>
      </c>
      <c r="B474" s="11">
        <f>Machines!B474</f>
        <v/>
      </c>
      <c r="C474" s="11">
        <f>IF(A474="","",Machines!D474)</f>
        <v/>
      </c>
      <c r="D474" s="11">
        <f>SUMIFS(WorkOrders!$M$2:$M$500,WorkOrders!$C$2:$C$500,A474)</f>
        <v/>
      </c>
      <c r="E474" s="11">
        <f>SUMIFS(WorkOrders!$E$2:$E$500,WorkOrders!$C$2:$C$500,A474)</f>
        <v/>
      </c>
      <c r="F474" s="11">
        <f>SUMIFS(WorkOrders!$F$2:$F$500,WorkOrders!$C$2:$C$500,A474)</f>
        <v/>
      </c>
      <c r="G474" s="11">
        <f>E474-F474</f>
        <v/>
      </c>
      <c r="H474" s="11">
        <f>SUMIFS(Downtime!$G$2:$G$500,Downtime!$A$2:$A$500,A474)</f>
        <v/>
      </c>
      <c r="I474" s="11">
        <f>MAX(0,D474-H474)</f>
        <v/>
      </c>
      <c r="J474" s="15">
        <f>IF(A474="","",IF(D474=0,0,MIN(1,I474/D474)))</f>
        <v/>
      </c>
      <c r="K474" s="15">
        <f>IF(A474="","",IF(OR(I474=0,C474=0),0,MIN(1,E474/((I474/60)*C474))))</f>
        <v/>
      </c>
      <c r="L474" s="15">
        <f>IF(A474="","",IF(E474=0,0,MIN(1,MAX(0,G474/E474))))</f>
        <v/>
      </c>
      <c r="M474" s="15">
        <f>IF(A474="","",J474*K474*L474)</f>
        <v/>
      </c>
    </row>
    <row r="475">
      <c r="A475" s="11">
        <f>Machines!A475</f>
        <v/>
      </c>
      <c r="B475" s="11">
        <f>Machines!B475</f>
        <v/>
      </c>
      <c r="C475" s="11">
        <f>IF(A475="","",Machines!D475)</f>
        <v/>
      </c>
      <c r="D475" s="11">
        <f>SUMIFS(WorkOrders!$M$2:$M$500,WorkOrders!$C$2:$C$500,A475)</f>
        <v/>
      </c>
      <c r="E475" s="11">
        <f>SUMIFS(WorkOrders!$E$2:$E$500,WorkOrders!$C$2:$C$500,A475)</f>
        <v/>
      </c>
      <c r="F475" s="11">
        <f>SUMIFS(WorkOrders!$F$2:$F$500,WorkOrders!$C$2:$C$500,A475)</f>
        <v/>
      </c>
      <c r="G475" s="11">
        <f>E475-F475</f>
        <v/>
      </c>
      <c r="H475" s="11">
        <f>SUMIFS(Downtime!$G$2:$G$500,Downtime!$A$2:$A$500,A475)</f>
        <v/>
      </c>
      <c r="I475" s="11">
        <f>MAX(0,D475-H475)</f>
        <v/>
      </c>
      <c r="J475" s="15">
        <f>IF(A475="","",IF(D475=0,0,MIN(1,I475/D475)))</f>
        <v/>
      </c>
      <c r="K475" s="15">
        <f>IF(A475="","",IF(OR(I475=0,C475=0),0,MIN(1,E475/((I475/60)*C475))))</f>
        <v/>
      </c>
      <c r="L475" s="15">
        <f>IF(A475="","",IF(E475=0,0,MIN(1,MAX(0,G475/E475))))</f>
        <v/>
      </c>
      <c r="M475" s="15">
        <f>IF(A475="","",J475*K475*L475)</f>
        <v/>
      </c>
    </row>
    <row r="476">
      <c r="A476" s="11">
        <f>Machines!A476</f>
        <v/>
      </c>
      <c r="B476" s="11">
        <f>Machines!B476</f>
        <v/>
      </c>
      <c r="C476" s="11">
        <f>IF(A476="","",Machines!D476)</f>
        <v/>
      </c>
      <c r="D476" s="11">
        <f>SUMIFS(WorkOrders!$M$2:$M$500,WorkOrders!$C$2:$C$500,A476)</f>
        <v/>
      </c>
      <c r="E476" s="11">
        <f>SUMIFS(WorkOrders!$E$2:$E$500,WorkOrders!$C$2:$C$500,A476)</f>
        <v/>
      </c>
      <c r="F476" s="11">
        <f>SUMIFS(WorkOrders!$F$2:$F$500,WorkOrders!$C$2:$C$500,A476)</f>
        <v/>
      </c>
      <c r="G476" s="11">
        <f>E476-F476</f>
        <v/>
      </c>
      <c r="H476" s="11">
        <f>SUMIFS(Downtime!$G$2:$G$500,Downtime!$A$2:$A$500,A476)</f>
        <v/>
      </c>
      <c r="I476" s="11">
        <f>MAX(0,D476-H476)</f>
        <v/>
      </c>
      <c r="J476" s="15">
        <f>IF(A476="","",IF(D476=0,0,MIN(1,I476/D476)))</f>
        <v/>
      </c>
      <c r="K476" s="15">
        <f>IF(A476="","",IF(OR(I476=0,C476=0),0,MIN(1,E476/((I476/60)*C476))))</f>
        <v/>
      </c>
      <c r="L476" s="15">
        <f>IF(A476="","",IF(E476=0,0,MIN(1,MAX(0,G476/E476))))</f>
        <v/>
      </c>
      <c r="M476" s="15">
        <f>IF(A476="","",J476*K476*L476)</f>
        <v/>
      </c>
    </row>
    <row r="477">
      <c r="A477" s="11">
        <f>Machines!A477</f>
        <v/>
      </c>
      <c r="B477" s="11">
        <f>Machines!B477</f>
        <v/>
      </c>
      <c r="C477" s="11">
        <f>IF(A477="","",Machines!D477)</f>
        <v/>
      </c>
      <c r="D477" s="11">
        <f>SUMIFS(WorkOrders!$M$2:$M$500,WorkOrders!$C$2:$C$500,A477)</f>
        <v/>
      </c>
      <c r="E477" s="11">
        <f>SUMIFS(WorkOrders!$E$2:$E$500,WorkOrders!$C$2:$C$500,A477)</f>
        <v/>
      </c>
      <c r="F477" s="11">
        <f>SUMIFS(WorkOrders!$F$2:$F$500,WorkOrders!$C$2:$C$500,A477)</f>
        <v/>
      </c>
      <c r="G477" s="11">
        <f>E477-F477</f>
        <v/>
      </c>
      <c r="H477" s="11">
        <f>SUMIFS(Downtime!$G$2:$G$500,Downtime!$A$2:$A$500,A477)</f>
        <v/>
      </c>
      <c r="I477" s="11">
        <f>MAX(0,D477-H477)</f>
        <v/>
      </c>
      <c r="J477" s="15">
        <f>IF(A477="","",IF(D477=0,0,MIN(1,I477/D477)))</f>
        <v/>
      </c>
      <c r="K477" s="15">
        <f>IF(A477="","",IF(OR(I477=0,C477=0),0,MIN(1,E477/((I477/60)*C477))))</f>
        <v/>
      </c>
      <c r="L477" s="15">
        <f>IF(A477="","",IF(E477=0,0,MIN(1,MAX(0,G477/E477))))</f>
        <v/>
      </c>
      <c r="M477" s="15">
        <f>IF(A477="","",J477*K477*L477)</f>
        <v/>
      </c>
    </row>
    <row r="478">
      <c r="A478" s="11">
        <f>Machines!A478</f>
        <v/>
      </c>
      <c r="B478" s="11">
        <f>Machines!B478</f>
        <v/>
      </c>
      <c r="C478" s="11">
        <f>IF(A478="","",Machines!D478)</f>
        <v/>
      </c>
      <c r="D478" s="11">
        <f>SUMIFS(WorkOrders!$M$2:$M$500,WorkOrders!$C$2:$C$500,A478)</f>
        <v/>
      </c>
      <c r="E478" s="11">
        <f>SUMIFS(WorkOrders!$E$2:$E$500,WorkOrders!$C$2:$C$500,A478)</f>
        <v/>
      </c>
      <c r="F478" s="11">
        <f>SUMIFS(WorkOrders!$F$2:$F$500,WorkOrders!$C$2:$C$500,A478)</f>
        <v/>
      </c>
      <c r="G478" s="11">
        <f>E478-F478</f>
        <v/>
      </c>
      <c r="H478" s="11">
        <f>SUMIFS(Downtime!$G$2:$G$500,Downtime!$A$2:$A$500,A478)</f>
        <v/>
      </c>
      <c r="I478" s="11">
        <f>MAX(0,D478-H478)</f>
        <v/>
      </c>
      <c r="J478" s="15">
        <f>IF(A478="","",IF(D478=0,0,MIN(1,I478/D478)))</f>
        <v/>
      </c>
      <c r="K478" s="15">
        <f>IF(A478="","",IF(OR(I478=0,C478=0),0,MIN(1,E478/((I478/60)*C478))))</f>
        <v/>
      </c>
      <c r="L478" s="15">
        <f>IF(A478="","",IF(E478=0,0,MIN(1,MAX(0,G478/E478))))</f>
        <v/>
      </c>
      <c r="M478" s="15">
        <f>IF(A478="","",J478*K478*L478)</f>
        <v/>
      </c>
    </row>
    <row r="479">
      <c r="A479" s="11">
        <f>Machines!A479</f>
        <v/>
      </c>
      <c r="B479" s="11">
        <f>Machines!B479</f>
        <v/>
      </c>
      <c r="C479" s="11">
        <f>IF(A479="","",Machines!D479)</f>
        <v/>
      </c>
      <c r="D479" s="11">
        <f>SUMIFS(WorkOrders!$M$2:$M$500,WorkOrders!$C$2:$C$500,A479)</f>
        <v/>
      </c>
      <c r="E479" s="11">
        <f>SUMIFS(WorkOrders!$E$2:$E$500,WorkOrders!$C$2:$C$500,A479)</f>
        <v/>
      </c>
      <c r="F479" s="11">
        <f>SUMIFS(WorkOrders!$F$2:$F$500,WorkOrders!$C$2:$C$500,A479)</f>
        <v/>
      </c>
      <c r="G479" s="11">
        <f>E479-F479</f>
        <v/>
      </c>
      <c r="H479" s="11">
        <f>SUMIFS(Downtime!$G$2:$G$500,Downtime!$A$2:$A$500,A479)</f>
        <v/>
      </c>
      <c r="I479" s="11">
        <f>MAX(0,D479-H479)</f>
        <v/>
      </c>
      <c r="J479" s="15">
        <f>IF(A479="","",IF(D479=0,0,MIN(1,I479/D479)))</f>
        <v/>
      </c>
      <c r="K479" s="15">
        <f>IF(A479="","",IF(OR(I479=0,C479=0),0,MIN(1,E479/((I479/60)*C479))))</f>
        <v/>
      </c>
      <c r="L479" s="15">
        <f>IF(A479="","",IF(E479=0,0,MIN(1,MAX(0,G479/E479))))</f>
        <v/>
      </c>
      <c r="M479" s="15">
        <f>IF(A479="","",J479*K479*L479)</f>
        <v/>
      </c>
    </row>
    <row r="480">
      <c r="A480" s="11">
        <f>Machines!A480</f>
        <v/>
      </c>
      <c r="B480" s="11">
        <f>Machines!B480</f>
        <v/>
      </c>
      <c r="C480" s="11">
        <f>IF(A480="","",Machines!D480)</f>
        <v/>
      </c>
      <c r="D480" s="11">
        <f>SUMIFS(WorkOrders!$M$2:$M$500,WorkOrders!$C$2:$C$500,A480)</f>
        <v/>
      </c>
      <c r="E480" s="11">
        <f>SUMIFS(WorkOrders!$E$2:$E$500,WorkOrders!$C$2:$C$500,A480)</f>
        <v/>
      </c>
      <c r="F480" s="11">
        <f>SUMIFS(WorkOrders!$F$2:$F$500,WorkOrders!$C$2:$C$500,A480)</f>
        <v/>
      </c>
      <c r="G480" s="11">
        <f>E480-F480</f>
        <v/>
      </c>
      <c r="H480" s="11">
        <f>SUMIFS(Downtime!$G$2:$G$500,Downtime!$A$2:$A$500,A480)</f>
        <v/>
      </c>
      <c r="I480" s="11">
        <f>MAX(0,D480-H480)</f>
        <v/>
      </c>
      <c r="J480" s="15">
        <f>IF(A480="","",IF(D480=0,0,MIN(1,I480/D480)))</f>
        <v/>
      </c>
      <c r="K480" s="15">
        <f>IF(A480="","",IF(OR(I480=0,C480=0),0,MIN(1,E480/((I480/60)*C480))))</f>
        <v/>
      </c>
      <c r="L480" s="15">
        <f>IF(A480="","",IF(E480=0,0,MIN(1,MAX(0,G480/E480))))</f>
        <v/>
      </c>
      <c r="M480" s="15">
        <f>IF(A480="","",J480*K480*L480)</f>
        <v/>
      </c>
    </row>
    <row r="481">
      <c r="A481" s="11">
        <f>Machines!A481</f>
        <v/>
      </c>
      <c r="B481" s="11">
        <f>Machines!B481</f>
        <v/>
      </c>
      <c r="C481" s="11">
        <f>IF(A481="","",Machines!D481)</f>
        <v/>
      </c>
      <c r="D481" s="11">
        <f>SUMIFS(WorkOrders!$M$2:$M$500,WorkOrders!$C$2:$C$500,A481)</f>
        <v/>
      </c>
      <c r="E481" s="11">
        <f>SUMIFS(WorkOrders!$E$2:$E$500,WorkOrders!$C$2:$C$500,A481)</f>
        <v/>
      </c>
      <c r="F481" s="11">
        <f>SUMIFS(WorkOrders!$F$2:$F$500,WorkOrders!$C$2:$C$500,A481)</f>
        <v/>
      </c>
      <c r="G481" s="11">
        <f>E481-F481</f>
        <v/>
      </c>
      <c r="H481" s="11">
        <f>SUMIFS(Downtime!$G$2:$G$500,Downtime!$A$2:$A$500,A481)</f>
        <v/>
      </c>
      <c r="I481" s="11">
        <f>MAX(0,D481-H481)</f>
        <v/>
      </c>
      <c r="J481" s="15">
        <f>IF(A481="","",IF(D481=0,0,MIN(1,I481/D481)))</f>
        <v/>
      </c>
      <c r="K481" s="15">
        <f>IF(A481="","",IF(OR(I481=0,C481=0),0,MIN(1,E481/((I481/60)*C481))))</f>
        <v/>
      </c>
      <c r="L481" s="15">
        <f>IF(A481="","",IF(E481=0,0,MIN(1,MAX(0,G481/E481))))</f>
        <v/>
      </c>
      <c r="M481" s="15">
        <f>IF(A481="","",J481*K481*L481)</f>
        <v/>
      </c>
    </row>
    <row r="482">
      <c r="A482" s="11">
        <f>Machines!A482</f>
        <v/>
      </c>
      <c r="B482" s="11">
        <f>Machines!B482</f>
        <v/>
      </c>
      <c r="C482" s="11">
        <f>IF(A482="","",Machines!D482)</f>
        <v/>
      </c>
      <c r="D482" s="11">
        <f>SUMIFS(WorkOrders!$M$2:$M$500,WorkOrders!$C$2:$C$500,A482)</f>
        <v/>
      </c>
      <c r="E482" s="11">
        <f>SUMIFS(WorkOrders!$E$2:$E$500,WorkOrders!$C$2:$C$500,A482)</f>
        <v/>
      </c>
      <c r="F482" s="11">
        <f>SUMIFS(WorkOrders!$F$2:$F$500,WorkOrders!$C$2:$C$500,A482)</f>
        <v/>
      </c>
      <c r="G482" s="11">
        <f>E482-F482</f>
        <v/>
      </c>
      <c r="H482" s="11">
        <f>SUMIFS(Downtime!$G$2:$G$500,Downtime!$A$2:$A$500,A482)</f>
        <v/>
      </c>
      <c r="I482" s="11">
        <f>MAX(0,D482-H482)</f>
        <v/>
      </c>
      <c r="J482" s="15">
        <f>IF(A482="","",IF(D482=0,0,MIN(1,I482/D482)))</f>
        <v/>
      </c>
      <c r="K482" s="15">
        <f>IF(A482="","",IF(OR(I482=0,C482=0),0,MIN(1,E482/((I482/60)*C482))))</f>
        <v/>
      </c>
      <c r="L482" s="15">
        <f>IF(A482="","",IF(E482=0,0,MIN(1,MAX(0,G482/E482))))</f>
        <v/>
      </c>
      <c r="M482" s="15">
        <f>IF(A482="","",J482*K482*L482)</f>
        <v/>
      </c>
    </row>
    <row r="483">
      <c r="A483" s="11">
        <f>Machines!A483</f>
        <v/>
      </c>
      <c r="B483" s="11">
        <f>Machines!B483</f>
        <v/>
      </c>
      <c r="C483" s="11">
        <f>IF(A483="","",Machines!D483)</f>
        <v/>
      </c>
      <c r="D483" s="11">
        <f>SUMIFS(WorkOrders!$M$2:$M$500,WorkOrders!$C$2:$C$500,A483)</f>
        <v/>
      </c>
      <c r="E483" s="11">
        <f>SUMIFS(WorkOrders!$E$2:$E$500,WorkOrders!$C$2:$C$500,A483)</f>
        <v/>
      </c>
      <c r="F483" s="11">
        <f>SUMIFS(WorkOrders!$F$2:$F$500,WorkOrders!$C$2:$C$500,A483)</f>
        <v/>
      </c>
      <c r="G483" s="11">
        <f>E483-F483</f>
        <v/>
      </c>
      <c r="H483" s="11">
        <f>SUMIFS(Downtime!$G$2:$G$500,Downtime!$A$2:$A$500,A483)</f>
        <v/>
      </c>
      <c r="I483" s="11">
        <f>MAX(0,D483-H483)</f>
        <v/>
      </c>
      <c r="J483" s="15">
        <f>IF(A483="","",IF(D483=0,0,MIN(1,I483/D483)))</f>
        <v/>
      </c>
      <c r="K483" s="15">
        <f>IF(A483="","",IF(OR(I483=0,C483=0),0,MIN(1,E483/((I483/60)*C483))))</f>
        <v/>
      </c>
      <c r="L483" s="15">
        <f>IF(A483="","",IF(E483=0,0,MIN(1,MAX(0,G483/E483))))</f>
        <v/>
      </c>
      <c r="M483" s="15">
        <f>IF(A483="","",J483*K483*L483)</f>
        <v/>
      </c>
    </row>
    <row r="484">
      <c r="A484" s="11">
        <f>Machines!A484</f>
        <v/>
      </c>
      <c r="B484" s="11">
        <f>Machines!B484</f>
        <v/>
      </c>
      <c r="C484" s="11">
        <f>IF(A484="","",Machines!D484)</f>
        <v/>
      </c>
      <c r="D484" s="11">
        <f>SUMIFS(WorkOrders!$M$2:$M$500,WorkOrders!$C$2:$C$500,A484)</f>
        <v/>
      </c>
      <c r="E484" s="11">
        <f>SUMIFS(WorkOrders!$E$2:$E$500,WorkOrders!$C$2:$C$500,A484)</f>
        <v/>
      </c>
      <c r="F484" s="11">
        <f>SUMIFS(WorkOrders!$F$2:$F$500,WorkOrders!$C$2:$C$500,A484)</f>
        <v/>
      </c>
      <c r="G484" s="11">
        <f>E484-F484</f>
        <v/>
      </c>
      <c r="H484" s="11">
        <f>SUMIFS(Downtime!$G$2:$G$500,Downtime!$A$2:$A$500,A484)</f>
        <v/>
      </c>
      <c r="I484" s="11">
        <f>MAX(0,D484-H484)</f>
        <v/>
      </c>
      <c r="J484" s="15">
        <f>IF(A484="","",IF(D484=0,0,MIN(1,I484/D484)))</f>
        <v/>
      </c>
      <c r="K484" s="15">
        <f>IF(A484="","",IF(OR(I484=0,C484=0),0,MIN(1,E484/((I484/60)*C484))))</f>
        <v/>
      </c>
      <c r="L484" s="15">
        <f>IF(A484="","",IF(E484=0,0,MIN(1,MAX(0,G484/E484))))</f>
        <v/>
      </c>
      <c r="M484" s="15">
        <f>IF(A484="","",J484*K484*L484)</f>
        <v/>
      </c>
    </row>
    <row r="485">
      <c r="A485" s="11">
        <f>Machines!A485</f>
        <v/>
      </c>
      <c r="B485" s="11">
        <f>Machines!B485</f>
        <v/>
      </c>
      <c r="C485" s="11">
        <f>IF(A485="","",Machines!D485)</f>
        <v/>
      </c>
      <c r="D485" s="11">
        <f>SUMIFS(WorkOrders!$M$2:$M$500,WorkOrders!$C$2:$C$500,A485)</f>
        <v/>
      </c>
      <c r="E485" s="11">
        <f>SUMIFS(WorkOrders!$E$2:$E$500,WorkOrders!$C$2:$C$500,A485)</f>
        <v/>
      </c>
      <c r="F485" s="11">
        <f>SUMIFS(WorkOrders!$F$2:$F$500,WorkOrders!$C$2:$C$500,A485)</f>
        <v/>
      </c>
      <c r="G485" s="11">
        <f>E485-F485</f>
        <v/>
      </c>
      <c r="H485" s="11">
        <f>SUMIFS(Downtime!$G$2:$G$500,Downtime!$A$2:$A$500,A485)</f>
        <v/>
      </c>
      <c r="I485" s="11">
        <f>MAX(0,D485-H485)</f>
        <v/>
      </c>
      <c r="J485" s="15">
        <f>IF(A485="","",IF(D485=0,0,MIN(1,I485/D485)))</f>
        <v/>
      </c>
      <c r="K485" s="15">
        <f>IF(A485="","",IF(OR(I485=0,C485=0),0,MIN(1,E485/((I485/60)*C485))))</f>
        <v/>
      </c>
      <c r="L485" s="15">
        <f>IF(A485="","",IF(E485=0,0,MIN(1,MAX(0,G485/E485))))</f>
        <v/>
      </c>
      <c r="M485" s="15">
        <f>IF(A485="","",J485*K485*L485)</f>
        <v/>
      </c>
    </row>
    <row r="486">
      <c r="A486" s="11">
        <f>Machines!A486</f>
        <v/>
      </c>
      <c r="B486" s="11">
        <f>Machines!B486</f>
        <v/>
      </c>
      <c r="C486" s="11">
        <f>IF(A486="","",Machines!D486)</f>
        <v/>
      </c>
      <c r="D486" s="11">
        <f>SUMIFS(WorkOrders!$M$2:$M$500,WorkOrders!$C$2:$C$500,A486)</f>
        <v/>
      </c>
      <c r="E486" s="11">
        <f>SUMIFS(WorkOrders!$E$2:$E$500,WorkOrders!$C$2:$C$500,A486)</f>
        <v/>
      </c>
      <c r="F486" s="11">
        <f>SUMIFS(WorkOrders!$F$2:$F$500,WorkOrders!$C$2:$C$500,A486)</f>
        <v/>
      </c>
      <c r="G486" s="11">
        <f>E486-F486</f>
        <v/>
      </c>
      <c r="H486" s="11">
        <f>SUMIFS(Downtime!$G$2:$G$500,Downtime!$A$2:$A$500,A486)</f>
        <v/>
      </c>
      <c r="I486" s="11">
        <f>MAX(0,D486-H486)</f>
        <v/>
      </c>
      <c r="J486" s="15">
        <f>IF(A486="","",IF(D486=0,0,MIN(1,I486/D486)))</f>
        <v/>
      </c>
      <c r="K486" s="15">
        <f>IF(A486="","",IF(OR(I486=0,C486=0),0,MIN(1,E486/((I486/60)*C486))))</f>
        <v/>
      </c>
      <c r="L486" s="15">
        <f>IF(A486="","",IF(E486=0,0,MIN(1,MAX(0,G486/E486))))</f>
        <v/>
      </c>
      <c r="M486" s="15">
        <f>IF(A486="","",J486*K486*L486)</f>
        <v/>
      </c>
    </row>
    <row r="487">
      <c r="A487" s="11">
        <f>Machines!A487</f>
        <v/>
      </c>
      <c r="B487" s="11">
        <f>Machines!B487</f>
        <v/>
      </c>
      <c r="C487" s="11">
        <f>IF(A487="","",Machines!D487)</f>
        <v/>
      </c>
      <c r="D487" s="11">
        <f>SUMIFS(WorkOrders!$M$2:$M$500,WorkOrders!$C$2:$C$500,A487)</f>
        <v/>
      </c>
      <c r="E487" s="11">
        <f>SUMIFS(WorkOrders!$E$2:$E$500,WorkOrders!$C$2:$C$500,A487)</f>
        <v/>
      </c>
      <c r="F487" s="11">
        <f>SUMIFS(WorkOrders!$F$2:$F$500,WorkOrders!$C$2:$C$500,A487)</f>
        <v/>
      </c>
      <c r="G487" s="11">
        <f>E487-F487</f>
        <v/>
      </c>
      <c r="H487" s="11">
        <f>SUMIFS(Downtime!$G$2:$G$500,Downtime!$A$2:$A$500,A487)</f>
        <v/>
      </c>
      <c r="I487" s="11">
        <f>MAX(0,D487-H487)</f>
        <v/>
      </c>
      <c r="J487" s="15">
        <f>IF(A487="","",IF(D487=0,0,MIN(1,I487/D487)))</f>
        <v/>
      </c>
      <c r="K487" s="15">
        <f>IF(A487="","",IF(OR(I487=0,C487=0),0,MIN(1,E487/((I487/60)*C487))))</f>
        <v/>
      </c>
      <c r="L487" s="15">
        <f>IF(A487="","",IF(E487=0,0,MIN(1,MAX(0,G487/E487))))</f>
        <v/>
      </c>
      <c r="M487" s="15">
        <f>IF(A487="","",J487*K487*L487)</f>
        <v/>
      </c>
    </row>
    <row r="488">
      <c r="A488" s="11">
        <f>Machines!A488</f>
        <v/>
      </c>
      <c r="B488" s="11">
        <f>Machines!B488</f>
        <v/>
      </c>
      <c r="C488" s="11">
        <f>IF(A488="","",Machines!D488)</f>
        <v/>
      </c>
      <c r="D488" s="11">
        <f>SUMIFS(WorkOrders!$M$2:$M$500,WorkOrders!$C$2:$C$500,A488)</f>
        <v/>
      </c>
      <c r="E488" s="11">
        <f>SUMIFS(WorkOrders!$E$2:$E$500,WorkOrders!$C$2:$C$500,A488)</f>
        <v/>
      </c>
      <c r="F488" s="11">
        <f>SUMIFS(WorkOrders!$F$2:$F$500,WorkOrders!$C$2:$C$500,A488)</f>
        <v/>
      </c>
      <c r="G488" s="11">
        <f>E488-F488</f>
        <v/>
      </c>
      <c r="H488" s="11">
        <f>SUMIFS(Downtime!$G$2:$G$500,Downtime!$A$2:$A$500,A488)</f>
        <v/>
      </c>
      <c r="I488" s="11">
        <f>MAX(0,D488-H488)</f>
        <v/>
      </c>
      <c r="J488" s="15">
        <f>IF(A488="","",IF(D488=0,0,MIN(1,I488/D488)))</f>
        <v/>
      </c>
      <c r="K488" s="15">
        <f>IF(A488="","",IF(OR(I488=0,C488=0),0,MIN(1,E488/((I488/60)*C488))))</f>
        <v/>
      </c>
      <c r="L488" s="15">
        <f>IF(A488="","",IF(E488=0,0,MIN(1,MAX(0,G488/E488))))</f>
        <v/>
      </c>
      <c r="M488" s="15">
        <f>IF(A488="","",J488*K488*L488)</f>
        <v/>
      </c>
    </row>
    <row r="489">
      <c r="A489" s="11">
        <f>Machines!A489</f>
        <v/>
      </c>
      <c r="B489" s="11">
        <f>Machines!B489</f>
        <v/>
      </c>
      <c r="C489" s="11">
        <f>IF(A489="","",Machines!D489)</f>
        <v/>
      </c>
      <c r="D489" s="11">
        <f>SUMIFS(WorkOrders!$M$2:$M$500,WorkOrders!$C$2:$C$500,A489)</f>
        <v/>
      </c>
      <c r="E489" s="11">
        <f>SUMIFS(WorkOrders!$E$2:$E$500,WorkOrders!$C$2:$C$500,A489)</f>
        <v/>
      </c>
      <c r="F489" s="11">
        <f>SUMIFS(WorkOrders!$F$2:$F$500,WorkOrders!$C$2:$C$500,A489)</f>
        <v/>
      </c>
      <c r="G489" s="11">
        <f>E489-F489</f>
        <v/>
      </c>
      <c r="H489" s="11">
        <f>SUMIFS(Downtime!$G$2:$G$500,Downtime!$A$2:$A$500,A489)</f>
        <v/>
      </c>
      <c r="I489" s="11">
        <f>MAX(0,D489-H489)</f>
        <v/>
      </c>
      <c r="J489" s="15">
        <f>IF(A489="","",IF(D489=0,0,MIN(1,I489/D489)))</f>
        <v/>
      </c>
      <c r="K489" s="15">
        <f>IF(A489="","",IF(OR(I489=0,C489=0),0,MIN(1,E489/((I489/60)*C489))))</f>
        <v/>
      </c>
      <c r="L489" s="15">
        <f>IF(A489="","",IF(E489=0,0,MIN(1,MAX(0,G489/E489))))</f>
        <v/>
      </c>
      <c r="M489" s="15">
        <f>IF(A489="","",J489*K489*L489)</f>
        <v/>
      </c>
    </row>
    <row r="490">
      <c r="A490" s="11">
        <f>Machines!A490</f>
        <v/>
      </c>
      <c r="B490" s="11">
        <f>Machines!B490</f>
        <v/>
      </c>
      <c r="C490" s="11">
        <f>IF(A490="","",Machines!D490)</f>
        <v/>
      </c>
      <c r="D490" s="11">
        <f>SUMIFS(WorkOrders!$M$2:$M$500,WorkOrders!$C$2:$C$500,A490)</f>
        <v/>
      </c>
      <c r="E490" s="11">
        <f>SUMIFS(WorkOrders!$E$2:$E$500,WorkOrders!$C$2:$C$500,A490)</f>
        <v/>
      </c>
      <c r="F490" s="11">
        <f>SUMIFS(WorkOrders!$F$2:$F$500,WorkOrders!$C$2:$C$500,A490)</f>
        <v/>
      </c>
      <c r="G490" s="11">
        <f>E490-F490</f>
        <v/>
      </c>
      <c r="H490" s="11">
        <f>SUMIFS(Downtime!$G$2:$G$500,Downtime!$A$2:$A$500,A490)</f>
        <v/>
      </c>
      <c r="I490" s="11">
        <f>MAX(0,D490-H490)</f>
        <v/>
      </c>
      <c r="J490" s="15">
        <f>IF(A490="","",IF(D490=0,0,MIN(1,I490/D490)))</f>
        <v/>
      </c>
      <c r="K490" s="15">
        <f>IF(A490="","",IF(OR(I490=0,C490=0),0,MIN(1,E490/((I490/60)*C490))))</f>
        <v/>
      </c>
      <c r="L490" s="15">
        <f>IF(A490="","",IF(E490=0,0,MIN(1,MAX(0,G490/E490))))</f>
        <v/>
      </c>
      <c r="M490" s="15">
        <f>IF(A490="","",J490*K490*L490)</f>
        <v/>
      </c>
    </row>
    <row r="491">
      <c r="A491" s="11">
        <f>Machines!A491</f>
        <v/>
      </c>
      <c r="B491" s="11">
        <f>Machines!B491</f>
        <v/>
      </c>
      <c r="C491" s="11">
        <f>IF(A491="","",Machines!D491)</f>
        <v/>
      </c>
      <c r="D491" s="11">
        <f>SUMIFS(WorkOrders!$M$2:$M$500,WorkOrders!$C$2:$C$500,A491)</f>
        <v/>
      </c>
      <c r="E491" s="11">
        <f>SUMIFS(WorkOrders!$E$2:$E$500,WorkOrders!$C$2:$C$500,A491)</f>
        <v/>
      </c>
      <c r="F491" s="11">
        <f>SUMIFS(WorkOrders!$F$2:$F$500,WorkOrders!$C$2:$C$500,A491)</f>
        <v/>
      </c>
      <c r="G491" s="11">
        <f>E491-F491</f>
        <v/>
      </c>
      <c r="H491" s="11">
        <f>SUMIFS(Downtime!$G$2:$G$500,Downtime!$A$2:$A$500,A491)</f>
        <v/>
      </c>
      <c r="I491" s="11">
        <f>MAX(0,D491-H491)</f>
        <v/>
      </c>
      <c r="J491" s="15">
        <f>IF(A491="","",IF(D491=0,0,MIN(1,I491/D491)))</f>
        <v/>
      </c>
      <c r="K491" s="15">
        <f>IF(A491="","",IF(OR(I491=0,C491=0),0,MIN(1,E491/((I491/60)*C491))))</f>
        <v/>
      </c>
      <c r="L491" s="15">
        <f>IF(A491="","",IF(E491=0,0,MIN(1,MAX(0,G491/E491))))</f>
        <v/>
      </c>
      <c r="M491" s="15">
        <f>IF(A491="","",J491*K491*L491)</f>
        <v/>
      </c>
    </row>
    <row r="492">
      <c r="A492" s="11">
        <f>Machines!A492</f>
        <v/>
      </c>
      <c r="B492" s="11">
        <f>Machines!B492</f>
        <v/>
      </c>
      <c r="C492" s="11">
        <f>IF(A492="","",Machines!D492)</f>
        <v/>
      </c>
      <c r="D492" s="11">
        <f>SUMIFS(WorkOrders!$M$2:$M$500,WorkOrders!$C$2:$C$500,A492)</f>
        <v/>
      </c>
      <c r="E492" s="11">
        <f>SUMIFS(WorkOrders!$E$2:$E$500,WorkOrders!$C$2:$C$500,A492)</f>
        <v/>
      </c>
      <c r="F492" s="11">
        <f>SUMIFS(WorkOrders!$F$2:$F$500,WorkOrders!$C$2:$C$500,A492)</f>
        <v/>
      </c>
      <c r="G492" s="11">
        <f>E492-F492</f>
        <v/>
      </c>
      <c r="H492" s="11">
        <f>SUMIFS(Downtime!$G$2:$G$500,Downtime!$A$2:$A$500,A492)</f>
        <v/>
      </c>
      <c r="I492" s="11">
        <f>MAX(0,D492-H492)</f>
        <v/>
      </c>
      <c r="J492" s="15">
        <f>IF(A492="","",IF(D492=0,0,MIN(1,I492/D492)))</f>
        <v/>
      </c>
      <c r="K492" s="15">
        <f>IF(A492="","",IF(OR(I492=0,C492=0),0,MIN(1,E492/((I492/60)*C492))))</f>
        <v/>
      </c>
      <c r="L492" s="15">
        <f>IF(A492="","",IF(E492=0,0,MIN(1,MAX(0,G492/E492))))</f>
        <v/>
      </c>
      <c r="M492" s="15">
        <f>IF(A492="","",J492*K492*L492)</f>
        <v/>
      </c>
    </row>
    <row r="493">
      <c r="A493" s="11">
        <f>Machines!A493</f>
        <v/>
      </c>
      <c r="B493" s="11">
        <f>Machines!B493</f>
        <v/>
      </c>
      <c r="C493" s="11">
        <f>IF(A493="","",Machines!D493)</f>
        <v/>
      </c>
      <c r="D493" s="11">
        <f>SUMIFS(WorkOrders!$M$2:$M$500,WorkOrders!$C$2:$C$500,A493)</f>
        <v/>
      </c>
      <c r="E493" s="11">
        <f>SUMIFS(WorkOrders!$E$2:$E$500,WorkOrders!$C$2:$C$500,A493)</f>
        <v/>
      </c>
      <c r="F493" s="11">
        <f>SUMIFS(WorkOrders!$F$2:$F$500,WorkOrders!$C$2:$C$500,A493)</f>
        <v/>
      </c>
      <c r="G493" s="11">
        <f>E493-F493</f>
        <v/>
      </c>
      <c r="H493" s="11">
        <f>SUMIFS(Downtime!$G$2:$G$500,Downtime!$A$2:$A$500,A493)</f>
        <v/>
      </c>
      <c r="I493" s="11">
        <f>MAX(0,D493-H493)</f>
        <v/>
      </c>
      <c r="J493" s="15">
        <f>IF(A493="","",IF(D493=0,0,MIN(1,I493/D493)))</f>
        <v/>
      </c>
      <c r="K493" s="15">
        <f>IF(A493="","",IF(OR(I493=0,C493=0),0,MIN(1,E493/((I493/60)*C493))))</f>
        <v/>
      </c>
      <c r="L493" s="15">
        <f>IF(A493="","",IF(E493=0,0,MIN(1,MAX(0,G493/E493))))</f>
        <v/>
      </c>
      <c r="M493" s="15">
        <f>IF(A493="","",J493*K493*L493)</f>
        <v/>
      </c>
    </row>
    <row r="494">
      <c r="A494" s="11">
        <f>Machines!A494</f>
        <v/>
      </c>
      <c r="B494" s="11">
        <f>Machines!B494</f>
        <v/>
      </c>
      <c r="C494" s="11">
        <f>IF(A494="","",Machines!D494)</f>
        <v/>
      </c>
      <c r="D494" s="11">
        <f>SUMIFS(WorkOrders!$M$2:$M$500,WorkOrders!$C$2:$C$500,A494)</f>
        <v/>
      </c>
      <c r="E494" s="11">
        <f>SUMIFS(WorkOrders!$E$2:$E$500,WorkOrders!$C$2:$C$500,A494)</f>
        <v/>
      </c>
      <c r="F494" s="11">
        <f>SUMIFS(WorkOrders!$F$2:$F$500,WorkOrders!$C$2:$C$500,A494)</f>
        <v/>
      </c>
      <c r="G494" s="11">
        <f>E494-F494</f>
        <v/>
      </c>
      <c r="H494" s="11">
        <f>SUMIFS(Downtime!$G$2:$G$500,Downtime!$A$2:$A$500,A494)</f>
        <v/>
      </c>
      <c r="I494" s="11">
        <f>MAX(0,D494-H494)</f>
        <v/>
      </c>
      <c r="J494" s="15">
        <f>IF(A494="","",IF(D494=0,0,MIN(1,I494/D494)))</f>
        <v/>
      </c>
      <c r="K494" s="15">
        <f>IF(A494="","",IF(OR(I494=0,C494=0),0,MIN(1,E494/((I494/60)*C494))))</f>
        <v/>
      </c>
      <c r="L494" s="15">
        <f>IF(A494="","",IF(E494=0,0,MIN(1,MAX(0,G494/E494))))</f>
        <v/>
      </c>
      <c r="M494" s="15">
        <f>IF(A494="","",J494*K494*L494)</f>
        <v/>
      </c>
    </row>
    <row r="495">
      <c r="A495" s="11">
        <f>Machines!A495</f>
        <v/>
      </c>
      <c r="B495" s="11">
        <f>Machines!B495</f>
        <v/>
      </c>
      <c r="C495" s="11">
        <f>IF(A495="","",Machines!D495)</f>
        <v/>
      </c>
      <c r="D495" s="11">
        <f>SUMIFS(WorkOrders!$M$2:$M$500,WorkOrders!$C$2:$C$500,A495)</f>
        <v/>
      </c>
      <c r="E495" s="11">
        <f>SUMIFS(WorkOrders!$E$2:$E$500,WorkOrders!$C$2:$C$500,A495)</f>
        <v/>
      </c>
      <c r="F495" s="11">
        <f>SUMIFS(WorkOrders!$F$2:$F$500,WorkOrders!$C$2:$C$500,A495)</f>
        <v/>
      </c>
      <c r="G495" s="11">
        <f>E495-F495</f>
        <v/>
      </c>
      <c r="H495" s="11">
        <f>SUMIFS(Downtime!$G$2:$G$500,Downtime!$A$2:$A$500,A495)</f>
        <v/>
      </c>
      <c r="I495" s="11">
        <f>MAX(0,D495-H495)</f>
        <v/>
      </c>
      <c r="J495" s="15">
        <f>IF(A495="","",IF(D495=0,0,MIN(1,I495/D495)))</f>
        <v/>
      </c>
      <c r="K495" s="15">
        <f>IF(A495="","",IF(OR(I495=0,C495=0),0,MIN(1,E495/((I495/60)*C495))))</f>
        <v/>
      </c>
      <c r="L495" s="15">
        <f>IF(A495="","",IF(E495=0,0,MIN(1,MAX(0,G495/E495))))</f>
        <v/>
      </c>
      <c r="M495" s="15">
        <f>IF(A495="","",J495*K495*L495)</f>
        <v/>
      </c>
    </row>
    <row r="496">
      <c r="A496" s="11">
        <f>Machines!A496</f>
        <v/>
      </c>
      <c r="B496" s="11">
        <f>Machines!B496</f>
        <v/>
      </c>
      <c r="C496" s="11">
        <f>IF(A496="","",Machines!D496)</f>
        <v/>
      </c>
      <c r="D496" s="11">
        <f>SUMIFS(WorkOrders!$M$2:$M$500,WorkOrders!$C$2:$C$500,A496)</f>
        <v/>
      </c>
      <c r="E496" s="11">
        <f>SUMIFS(WorkOrders!$E$2:$E$500,WorkOrders!$C$2:$C$500,A496)</f>
        <v/>
      </c>
      <c r="F496" s="11">
        <f>SUMIFS(WorkOrders!$F$2:$F$500,WorkOrders!$C$2:$C$500,A496)</f>
        <v/>
      </c>
      <c r="G496" s="11">
        <f>E496-F496</f>
        <v/>
      </c>
      <c r="H496" s="11">
        <f>SUMIFS(Downtime!$G$2:$G$500,Downtime!$A$2:$A$500,A496)</f>
        <v/>
      </c>
      <c r="I496" s="11">
        <f>MAX(0,D496-H496)</f>
        <v/>
      </c>
      <c r="J496" s="15">
        <f>IF(A496="","",IF(D496=0,0,MIN(1,I496/D496)))</f>
        <v/>
      </c>
      <c r="K496" s="15">
        <f>IF(A496="","",IF(OR(I496=0,C496=0),0,MIN(1,E496/((I496/60)*C496))))</f>
        <v/>
      </c>
      <c r="L496" s="15">
        <f>IF(A496="","",IF(E496=0,0,MIN(1,MAX(0,G496/E496))))</f>
        <v/>
      </c>
      <c r="M496" s="15">
        <f>IF(A496="","",J496*K496*L496)</f>
        <v/>
      </c>
    </row>
    <row r="497">
      <c r="A497" s="11">
        <f>Machines!A497</f>
        <v/>
      </c>
      <c r="B497" s="11">
        <f>Machines!B497</f>
        <v/>
      </c>
      <c r="C497" s="11">
        <f>IF(A497="","",Machines!D497)</f>
        <v/>
      </c>
      <c r="D497" s="11">
        <f>SUMIFS(WorkOrders!$M$2:$M$500,WorkOrders!$C$2:$C$500,A497)</f>
        <v/>
      </c>
      <c r="E497" s="11">
        <f>SUMIFS(WorkOrders!$E$2:$E$500,WorkOrders!$C$2:$C$500,A497)</f>
        <v/>
      </c>
      <c r="F497" s="11">
        <f>SUMIFS(WorkOrders!$F$2:$F$500,WorkOrders!$C$2:$C$500,A497)</f>
        <v/>
      </c>
      <c r="G497" s="11">
        <f>E497-F497</f>
        <v/>
      </c>
      <c r="H497" s="11">
        <f>SUMIFS(Downtime!$G$2:$G$500,Downtime!$A$2:$A$500,A497)</f>
        <v/>
      </c>
      <c r="I497" s="11">
        <f>MAX(0,D497-H497)</f>
        <v/>
      </c>
      <c r="J497" s="15">
        <f>IF(A497="","",IF(D497=0,0,MIN(1,I497/D497)))</f>
        <v/>
      </c>
      <c r="K497" s="15">
        <f>IF(A497="","",IF(OR(I497=0,C497=0),0,MIN(1,E497/((I497/60)*C497))))</f>
        <v/>
      </c>
      <c r="L497" s="15">
        <f>IF(A497="","",IF(E497=0,0,MIN(1,MAX(0,G497/E497))))</f>
        <v/>
      </c>
      <c r="M497" s="15">
        <f>IF(A497="","",J497*K497*L497)</f>
        <v/>
      </c>
    </row>
    <row r="498">
      <c r="A498" s="11">
        <f>Machines!A498</f>
        <v/>
      </c>
      <c r="B498" s="11">
        <f>Machines!B498</f>
        <v/>
      </c>
      <c r="C498" s="11">
        <f>IF(A498="","",Machines!D498)</f>
        <v/>
      </c>
      <c r="D498" s="11">
        <f>SUMIFS(WorkOrders!$M$2:$M$500,WorkOrders!$C$2:$C$500,A498)</f>
        <v/>
      </c>
      <c r="E498" s="11">
        <f>SUMIFS(WorkOrders!$E$2:$E$500,WorkOrders!$C$2:$C$500,A498)</f>
        <v/>
      </c>
      <c r="F498" s="11">
        <f>SUMIFS(WorkOrders!$F$2:$F$500,WorkOrders!$C$2:$C$500,A498)</f>
        <v/>
      </c>
      <c r="G498" s="11">
        <f>E498-F498</f>
        <v/>
      </c>
      <c r="H498" s="11">
        <f>SUMIFS(Downtime!$G$2:$G$500,Downtime!$A$2:$A$500,A498)</f>
        <v/>
      </c>
      <c r="I498" s="11">
        <f>MAX(0,D498-H498)</f>
        <v/>
      </c>
      <c r="J498" s="15">
        <f>IF(A498="","",IF(D498=0,0,MIN(1,I498/D498)))</f>
        <v/>
      </c>
      <c r="K498" s="15">
        <f>IF(A498="","",IF(OR(I498=0,C498=0),0,MIN(1,E498/((I498/60)*C498))))</f>
        <v/>
      </c>
      <c r="L498" s="15">
        <f>IF(A498="","",IF(E498=0,0,MIN(1,MAX(0,G498/E498))))</f>
        <v/>
      </c>
      <c r="M498" s="15">
        <f>IF(A498="","",J498*K498*L498)</f>
        <v/>
      </c>
    </row>
    <row r="499">
      <c r="A499" s="11">
        <f>Machines!A499</f>
        <v/>
      </c>
      <c r="B499" s="11">
        <f>Machines!B499</f>
        <v/>
      </c>
      <c r="C499" s="11">
        <f>IF(A499="","",Machines!D499)</f>
        <v/>
      </c>
      <c r="D499" s="11">
        <f>SUMIFS(WorkOrders!$M$2:$M$500,WorkOrders!$C$2:$C$500,A499)</f>
        <v/>
      </c>
      <c r="E499" s="11">
        <f>SUMIFS(WorkOrders!$E$2:$E$500,WorkOrders!$C$2:$C$500,A499)</f>
        <v/>
      </c>
      <c r="F499" s="11">
        <f>SUMIFS(WorkOrders!$F$2:$F$500,WorkOrders!$C$2:$C$500,A499)</f>
        <v/>
      </c>
      <c r="G499" s="11">
        <f>E499-F499</f>
        <v/>
      </c>
      <c r="H499" s="11">
        <f>SUMIFS(Downtime!$G$2:$G$500,Downtime!$A$2:$A$500,A499)</f>
        <v/>
      </c>
      <c r="I499" s="11">
        <f>MAX(0,D499-H499)</f>
        <v/>
      </c>
      <c r="J499" s="15">
        <f>IF(A499="","",IF(D499=0,0,MIN(1,I499/D499)))</f>
        <v/>
      </c>
      <c r="K499" s="15">
        <f>IF(A499="","",IF(OR(I499=0,C499=0),0,MIN(1,E499/((I499/60)*C499))))</f>
        <v/>
      </c>
      <c r="L499" s="15">
        <f>IF(A499="","",IF(E499=0,0,MIN(1,MAX(0,G499/E499))))</f>
        <v/>
      </c>
      <c r="M499" s="15">
        <f>IF(A499="","",J499*K499*L499)</f>
        <v/>
      </c>
    </row>
    <row r="500">
      <c r="A500" s="11">
        <f>Machines!A500</f>
        <v/>
      </c>
      <c r="B500" s="11">
        <f>Machines!B500</f>
        <v/>
      </c>
      <c r="C500" s="11">
        <f>IF(A500="","",Machines!D500)</f>
        <v/>
      </c>
      <c r="D500" s="11">
        <f>SUMIFS(WorkOrders!$M$2:$M$500,WorkOrders!$C$2:$C$500,A500)</f>
        <v/>
      </c>
      <c r="E500" s="11">
        <f>SUMIFS(WorkOrders!$E$2:$E$500,WorkOrders!$C$2:$C$500,A500)</f>
        <v/>
      </c>
      <c r="F500" s="11">
        <f>SUMIFS(WorkOrders!$F$2:$F$500,WorkOrders!$C$2:$C$500,A500)</f>
        <v/>
      </c>
      <c r="G500" s="11">
        <f>E500-F500</f>
        <v/>
      </c>
      <c r="H500" s="11">
        <f>SUMIFS(Downtime!$G$2:$G$500,Downtime!$A$2:$A$500,A500)</f>
        <v/>
      </c>
      <c r="I500" s="11">
        <f>MAX(0,D500-H500)</f>
        <v/>
      </c>
      <c r="J500" s="15">
        <f>IF(A500="","",IF(D500=0,0,MIN(1,I500/D500)))</f>
        <v/>
      </c>
      <c r="K500" s="15">
        <f>IF(A500="","",IF(OR(I500=0,C500=0),0,MIN(1,E500/((I500/60)*C500))))</f>
        <v/>
      </c>
      <c r="L500" s="15">
        <f>IF(A500="","",IF(E500=0,0,MIN(1,MAX(0,G500/E500))))</f>
        <v/>
      </c>
      <c r="M500" s="15">
        <f>IF(A500="","",J500*K500*L500)</f>
        <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14" customWidth="1" min="2" max="2"/>
    <col width="13" customWidth="1" min="3" max="3"/>
  </cols>
  <sheetData>
    <row r="1">
      <c r="A1" s="7" t="inlineStr">
        <is>
          <t>ReasonCategory</t>
        </is>
      </c>
      <c r="B1" s="7" t="inlineStr">
        <is>
          <t>TotalMinutes</t>
        </is>
      </c>
      <c r="C1" s="7" t="inlineStr">
        <is>
          <t>Occurrences</t>
        </is>
      </c>
    </row>
    <row r="2">
      <c r="A2" s="11" t="inlineStr">
        <is>
          <t>breakdown</t>
        </is>
      </c>
      <c r="B2" s="11">
        <f>SUMIFS(Downtime!$G$2:$G$500,Downtime!$E$2:$E$500,A2)</f>
        <v/>
      </c>
      <c r="C2" s="11">
        <f>COUNTIFS(Downtime!$E$2:$E$500,A2)</f>
        <v/>
      </c>
    </row>
    <row r="3">
      <c r="A3" s="11" t="inlineStr">
        <is>
          <t>changeover</t>
        </is>
      </c>
      <c r="B3" s="11">
        <f>SUMIFS(Downtime!$G$2:$G$500,Downtime!$E$2:$E$500,A3)</f>
        <v/>
      </c>
      <c r="C3" s="11">
        <f>COUNTIFS(Downtime!$E$2:$E$500,A3)</f>
        <v/>
      </c>
    </row>
    <row r="4">
      <c r="A4" s="11" t="inlineStr">
        <is>
          <t>no_material</t>
        </is>
      </c>
      <c r="B4" s="11">
        <f>SUMIFS(Downtime!$G$2:$G$500,Downtime!$E$2:$E$500,A4)</f>
        <v/>
      </c>
      <c r="C4" s="11">
        <f>COUNTIFS(Downtime!$E$2:$E$500,A4)</f>
        <v/>
      </c>
    </row>
    <row r="5">
      <c r="A5" s="11" t="inlineStr">
        <is>
          <t>power</t>
        </is>
      </c>
      <c r="B5" s="11">
        <f>SUMIFS(Downtime!$G$2:$G$500,Downtime!$E$2:$E$500,A5)</f>
        <v/>
      </c>
      <c r="C5" s="11">
        <f>COUNTIFS(Downtime!$E$2:$E$500,A5)</f>
        <v/>
      </c>
    </row>
    <row r="6">
      <c r="A6" s="11" t="inlineStr">
        <is>
          <t>planned_maintenance</t>
        </is>
      </c>
      <c r="B6" s="11">
        <f>SUMIFS(Downtime!$G$2:$G$500,Downtime!$E$2:$E$500,A6)</f>
        <v/>
      </c>
      <c r="C6" s="11">
        <f>COUNTIFS(Downtime!$E$2:$E$500,A6)</f>
        <v/>
      </c>
    </row>
    <row r="7">
      <c r="A7" s="11" t="inlineStr">
        <is>
          <t>other</t>
        </is>
      </c>
      <c r="B7" s="11">
        <f>SUMIFS(Downtime!$G$2:$G$500,Downtime!$E$2:$E$500,A7)</f>
        <v/>
      </c>
      <c r="C7" s="11">
        <f>COUNTIFS(Downtime!$E$2:$E$500,A7)</f>
        <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4" customWidth="1" min="2" max="2"/>
  </cols>
  <sheetData>
    <row r="1">
      <c r="A1" s="3" t="inlineStr">
        <is>
          <t>Production summary</t>
        </is>
      </c>
    </row>
    <row r="2">
      <c r="A2" s="5" t="inlineStr">
        <is>
          <t>Total planned qty</t>
        </is>
      </c>
      <c r="B2" s="16">
        <f>SUM(WorkOrders!$D$2:$D$500)</f>
        <v/>
      </c>
    </row>
    <row r="3">
      <c r="A3" s="5" t="inlineStr">
        <is>
          <t>Total produced qty</t>
        </is>
      </c>
      <c r="B3" s="16">
        <f>SUM(WorkOrders!$E$2:$E$500)</f>
        <v/>
      </c>
    </row>
    <row r="4">
      <c r="A4" s="5" t="inlineStr">
        <is>
          <t>Total rejected qty</t>
        </is>
      </c>
      <c r="B4" s="16">
        <f>SUM(WorkOrders!$F$2:$F$500)</f>
        <v/>
      </c>
    </row>
    <row r="5">
      <c r="A5" s="5" t="inlineStr">
        <is>
          <t>Good qty</t>
        </is>
      </c>
      <c r="B5" s="16">
        <f>B3-B4</f>
        <v/>
      </c>
    </row>
    <row r="6">
      <c r="A6" s="5" t="inlineStr">
        <is>
          <t>Rejection rate</t>
        </is>
      </c>
      <c r="B6" s="17">
        <f>IF(B3=0,0,B4/B3)</f>
        <v/>
      </c>
    </row>
    <row r="7">
      <c r="A7" s="5" t="inlineStr">
        <is>
          <t>Completed work orders</t>
        </is>
      </c>
      <c r="B7" s="16">
        <f>COUNTIFS(WorkOrders!$K$2:$K$500,"completed")</f>
        <v/>
      </c>
    </row>
    <row r="8">
      <c r="A8" s="5" t="inlineStr">
        <is>
          <t>Completed on/before planned end</t>
        </is>
      </c>
      <c r="B8" s="16">
        <f>SUM(WorkOrders!$N$2:$N$500)</f>
        <v/>
      </c>
    </row>
    <row r="9">
      <c r="A9" s="5" t="inlineStr">
        <is>
          <t>Schedule adherence</t>
        </is>
      </c>
      <c r="B9" s="18">
        <f>IF(B7=0,0,B8/B7)</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00"/>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7" t="inlineStr">
        <is>
          <t>OrderNo</t>
        </is>
      </c>
      <c r="B1" s="7" t="inlineStr">
        <is>
          <t>ProductSKU</t>
        </is>
      </c>
      <c r="C1" s="7" t="inlineStr">
        <is>
          <t>StdUnitMaterialCost</t>
        </is>
      </c>
      <c r="D1" s="7" t="inlineStr">
        <is>
          <t>MaterialIssuedValue</t>
        </is>
      </c>
      <c r="E1" s="7" t="inlineStr">
        <is>
          <t>StandardOutputUnits</t>
        </is>
      </c>
      <c r="F1" s="7" t="inlineStr">
        <is>
          <t>GoodQty</t>
        </is>
      </c>
      <c r="G1" s="7" t="inlineStr">
        <is>
          <t>MaterialYieldPct</t>
        </is>
      </c>
      <c r="H1" s="7" t="inlineStr">
        <is>
          <t>MaterialCostPerUnit</t>
        </is>
      </c>
    </row>
    <row r="2">
      <c r="A2" s="11">
        <f>WorkOrders!A2</f>
        <v/>
      </c>
      <c r="B2" s="11">
        <f>IF(A2="","",WorkOrders!B2)</f>
        <v/>
      </c>
      <c r="C2" s="11">
        <f>IF(A2="","",IFERROR(SUMIFS(BOM!$E$2:$E$500,BOM!$A$2:$A$500,B2),""))</f>
        <v/>
      </c>
      <c r="D2" s="11">
        <f>IF(A2="","",SUMIFS(StockMovements!$I$2:$I$500,StockMovements!$H$2:$H$500,A2,StockMovements!$D$2:$D$500,"issue"))</f>
        <v/>
      </c>
      <c r="E2" s="11">
        <f>IF(OR(A2="",C2="",C2=0,D2=0),"",D2/C2)</f>
        <v/>
      </c>
      <c r="F2" s="11">
        <f>IF(A2="","",WorkOrders!L2)</f>
        <v/>
      </c>
      <c r="G2" s="15">
        <f>IF(OR(E2="",E2=0),"",F2/E2)</f>
        <v/>
      </c>
      <c r="H2" s="11">
        <f>IF(OR(C2="",F2="",F2=0),"",C2*WorkOrders!E2/F2)</f>
        <v/>
      </c>
    </row>
    <row r="3">
      <c r="A3" s="11">
        <f>WorkOrders!A3</f>
        <v/>
      </c>
      <c r="B3" s="11">
        <f>IF(A3="","",WorkOrders!B3)</f>
        <v/>
      </c>
      <c r="C3" s="11">
        <f>IF(A3="","",IFERROR(SUMIFS(BOM!$E$2:$E$500,BOM!$A$2:$A$500,B3),""))</f>
        <v/>
      </c>
      <c r="D3" s="11">
        <f>IF(A3="","",SUMIFS(StockMovements!$I$2:$I$500,StockMovements!$H$2:$H$500,A3,StockMovements!$D$2:$D$500,"issue"))</f>
        <v/>
      </c>
      <c r="E3" s="11">
        <f>IF(OR(A3="",C3="",C3=0,D3=0),"",D3/C3)</f>
        <v/>
      </c>
      <c r="F3" s="11">
        <f>IF(A3="","",WorkOrders!L3)</f>
        <v/>
      </c>
      <c r="G3" s="15">
        <f>IF(OR(E3="",E3=0),"",F3/E3)</f>
        <v/>
      </c>
      <c r="H3" s="11">
        <f>IF(OR(C3="",F3="",F3=0),"",C3*WorkOrders!E3/F3)</f>
        <v/>
      </c>
    </row>
    <row r="4">
      <c r="A4" s="11">
        <f>WorkOrders!A4</f>
        <v/>
      </c>
      <c r="B4" s="11">
        <f>IF(A4="","",WorkOrders!B4)</f>
        <v/>
      </c>
      <c r="C4" s="11">
        <f>IF(A4="","",IFERROR(SUMIFS(BOM!$E$2:$E$500,BOM!$A$2:$A$500,B4),""))</f>
        <v/>
      </c>
      <c r="D4" s="11">
        <f>IF(A4="","",SUMIFS(StockMovements!$I$2:$I$500,StockMovements!$H$2:$H$500,A4,StockMovements!$D$2:$D$500,"issue"))</f>
        <v/>
      </c>
      <c r="E4" s="11">
        <f>IF(OR(A4="",C4="",C4=0,D4=0),"",D4/C4)</f>
        <v/>
      </c>
      <c r="F4" s="11">
        <f>IF(A4="","",WorkOrders!L4)</f>
        <v/>
      </c>
      <c r="G4" s="15">
        <f>IF(OR(E4="",E4=0),"",F4/E4)</f>
        <v/>
      </c>
      <c r="H4" s="11">
        <f>IF(OR(C4="",F4="",F4=0),"",C4*WorkOrders!E4/F4)</f>
        <v/>
      </c>
    </row>
    <row r="5">
      <c r="A5" s="11">
        <f>WorkOrders!A5</f>
        <v/>
      </c>
      <c r="B5" s="11">
        <f>IF(A5="","",WorkOrders!B5)</f>
        <v/>
      </c>
      <c r="C5" s="11">
        <f>IF(A5="","",IFERROR(SUMIFS(BOM!$E$2:$E$500,BOM!$A$2:$A$500,B5),""))</f>
        <v/>
      </c>
      <c r="D5" s="11">
        <f>IF(A5="","",SUMIFS(StockMovements!$I$2:$I$500,StockMovements!$H$2:$H$500,A5,StockMovements!$D$2:$D$500,"issue"))</f>
        <v/>
      </c>
      <c r="E5" s="11">
        <f>IF(OR(A5="",C5="",C5=0,D5=0),"",D5/C5)</f>
        <v/>
      </c>
      <c r="F5" s="11">
        <f>IF(A5="","",WorkOrders!L5)</f>
        <v/>
      </c>
      <c r="G5" s="15">
        <f>IF(OR(E5="",E5=0),"",F5/E5)</f>
        <v/>
      </c>
      <c r="H5" s="11">
        <f>IF(OR(C5="",F5="",F5=0),"",C5*WorkOrders!E5/F5)</f>
        <v/>
      </c>
    </row>
    <row r="6">
      <c r="A6" s="11">
        <f>WorkOrders!A6</f>
        <v/>
      </c>
      <c r="B6" s="11">
        <f>IF(A6="","",WorkOrders!B6)</f>
        <v/>
      </c>
      <c r="C6" s="11">
        <f>IF(A6="","",IFERROR(SUMIFS(BOM!$E$2:$E$500,BOM!$A$2:$A$500,B6),""))</f>
        <v/>
      </c>
      <c r="D6" s="11">
        <f>IF(A6="","",SUMIFS(StockMovements!$I$2:$I$500,StockMovements!$H$2:$H$500,A6,StockMovements!$D$2:$D$500,"issue"))</f>
        <v/>
      </c>
      <c r="E6" s="11">
        <f>IF(OR(A6="",C6="",C6=0,D6=0),"",D6/C6)</f>
        <v/>
      </c>
      <c r="F6" s="11">
        <f>IF(A6="","",WorkOrders!L6)</f>
        <v/>
      </c>
      <c r="G6" s="15">
        <f>IF(OR(E6="",E6=0),"",F6/E6)</f>
        <v/>
      </c>
      <c r="H6" s="11">
        <f>IF(OR(C6="",F6="",F6=0),"",C6*WorkOrders!E6/F6)</f>
        <v/>
      </c>
    </row>
    <row r="7">
      <c r="A7" s="11">
        <f>WorkOrders!A7</f>
        <v/>
      </c>
      <c r="B7" s="11">
        <f>IF(A7="","",WorkOrders!B7)</f>
        <v/>
      </c>
      <c r="C7" s="11">
        <f>IF(A7="","",IFERROR(SUMIFS(BOM!$E$2:$E$500,BOM!$A$2:$A$500,B7),""))</f>
        <v/>
      </c>
      <c r="D7" s="11">
        <f>IF(A7="","",SUMIFS(StockMovements!$I$2:$I$500,StockMovements!$H$2:$H$500,A7,StockMovements!$D$2:$D$500,"issue"))</f>
        <v/>
      </c>
      <c r="E7" s="11">
        <f>IF(OR(A7="",C7="",C7=0,D7=0),"",D7/C7)</f>
        <v/>
      </c>
      <c r="F7" s="11">
        <f>IF(A7="","",WorkOrders!L7)</f>
        <v/>
      </c>
      <c r="G7" s="15">
        <f>IF(OR(E7="",E7=0),"",F7/E7)</f>
        <v/>
      </c>
      <c r="H7" s="11">
        <f>IF(OR(C7="",F7="",F7=0),"",C7*WorkOrders!E7/F7)</f>
        <v/>
      </c>
    </row>
    <row r="8">
      <c r="A8" s="11">
        <f>WorkOrders!A8</f>
        <v/>
      </c>
      <c r="B8" s="11">
        <f>IF(A8="","",WorkOrders!B8)</f>
        <v/>
      </c>
      <c r="C8" s="11">
        <f>IF(A8="","",IFERROR(SUMIFS(BOM!$E$2:$E$500,BOM!$A$2:$A$500,B8),""))</f>
        <v/>
      </c>
      <c r="D8" s="11">
        <f>IF(A8="","",SUMIFS(StockMovements!$I$2:$I$500,StockMovements!$H$2:$H$500,A8,StockMovements!$D$2:$D$500,"issue"))</f>
        <v/>
      </c>
      <c r="E8" s="11">
        <f>IF(OR(A8="",C8="",C8=0,D8=0),"",D8/C8)</f>
        <v/>
      </c>
      <c r="F8" s="11">
        <f>IF(A8="","",WorkOrders!L8)</f>
        <v/>
      </c>
      <c r="G8" s="15">
        <f>IF(OR(E8="",E8=0),"",F8/E8)</f>
        <v/>
      </c>
      <c r="H8" s="11">
        <f>IF(OR(C8="",F8="",F8=0),"",C8*WorkOrders!E8/F8)</f>
        <v/>
      </c>
    </row>
    <row r="9">
      <c r="A9" s="11">
        <f>WorkOrders!A9</f>
        <v/>
      </c>
      <c r="B9" s="11">
        <f>IF(A9="","",WorkOrders!B9)</f>
        <v/>
      </c>
      <c r="C9" s="11">
        <f>IF(A9="","",IFERROR(SUMIFS(BOM!$E$2:$E$500,BOM!$A$2:$A$500,B9),""))</f>
        <v/>
      </c>
      <c r="D9" s="11">
        <f>IF(A9="","",SUMIFS(StockMovements!$I$2:$I$500,StockMovements!$H$2:$H$500,A9,StockMovements!$D$2:$D$500,"issue"))</f>
        <v/>
      </c>
      <c r="E9" s="11">
        <f>IF(OR(A9="",C9="",C9=0,D9=0),"",D9/C9)</f>
        <v/>
      </c>
      <c r="F9" s="11">
        <f>IF(A9="","",WorkOrders!L9)</f>
        <v/>
      </c>
      <c r="G9" s="15">
        <f>IF(OR(E9="",E9=0),"",F9/E9)</f>
        <v/>
      </c>
      <c r="H9" s="11">
        <f>IF(OR(C9="",F9="",F9=0),"",C9*WorkOrders!E9/F9)</f>
        <v/>
      </c>
    </row>
    <row r="10">
      <c r="A10" s="11">
        <f>WorkOrders!A10</f>
        <v/>
      </c>
      <c r="B10" s="11">
        <f>IF(A10="","",WorkOrders!B10)</f>
        <v/>
      </c>
      <c r="C10" s="11">
        <f>IF(A10="","",IFERROR(SUMIFS(BOM!$E$2:$E$500,BOM!$A$2:$A$500,B10),""))</f>
        <v/>
      </c>
      <c r="D10" s="11">
        <f>IF(A10="","",SUMIFS(StockMovements!$I$2:$I$500,StockMovements!$H$2:$H$500,A10,StockMovements!$D$2:$D$500,"issue"))</f>
        <v/>
      </c>
      <c r="E10" s="11">
        <f>IF(OR(A10="",C10="",C10=0,D10=0),"",D10/C10)</f>
        <v/>
      </c>
      <c r="F10" s="11">
        <f>IF(A10="","",WorkOrders!L10)</f>
        <v/>
      </c>
      <c r="G10" s="15">
        <f>IF(OR(E10="",E10=0),"",F10/E10)</f>
        <v/>
      </c>
      <c r="H10" s="11">
        <f>IF(OR(C10="",F10="",F10=0),"",C10*WorkOrders!E10/F10)</f>
        <v/>
      </c>
    </row>
    <row r="11">
      <c r="A11" s="11">
        <f>WorkOrders!A11</f>
        <v/>
      </c>
      <c r="B11" s="11">
        <f>IF(A11="","",WorkOrders!B11)</f>
        <v/>
      </c>
      <c r="C11" s="11">
        <f>IF(A11="","",IFERROR(SUMIFS(BOM!$E$2:$E$500,BOM!$A$2:$A$500,B11),""))</f>
        <v/>
      </c>
      <c r="D11" s="11">
        <f>IF(A11="","",SUMIFS(StockMovements!$I$2:$I$500,StockMovements!$H$2:$H$500,A11,StockMovements!$D$2:$D$500,"issue"))</f>
        <v/>
      </c>
      <c r="E11" s="11">
        <f>IF(OR(A11="",C11="",C11=0,D11=0),"",D11/C11)</f>
        <v/>
      </c>
      <c r="F11" s="11">
        <f>IF(A11="","",WorkOrders!L11)</f>
        <v/>
      </c>
      <c r="G11" s="15">
        <f>IF(OR(E11="",E11=0),"",F11/E11)</f>
        <v/>
      </c>
      <c r="H11" s="11">
        <f>IF(OR(C11="",F11="",F11=0),"",C11*WorkOrders!E11/F11)</f>
        <v/>
      </c>
    </row>
    <row r="12">
      <c r="A12" s="11">
        <f>WorkOrders!A12</f>
        <v/>
      </c>
      <c r="B12" s="11">
        <f>IF(A12="","",WorkOrders!B12)</f>
        <v/>
      </c>
      <c r="C12" s="11">
        <f>IF(A12="","",IFERROR(SUMIFS(BOM!$E$2:$E$500,BOM!$A$2:$A$500,B12),""))</f>
        <v/>
      </c>
      <c r="D12" s="11">
        <f>IF(A12="","",SUMIFS(StockMovements!$I$2:$I$500,StockMovements!$H$2:$H$500,A12,StockMovements!$D$2:$D$500,"issue"))</f>
        <v/>
      </c>
      <c r="E12" s="11">
        <f>IF(OR(A12="",C12="",C12=0,D12=0),"",D12/C12)</f>
        <v/>
      </c>
      <c r="F12" s="11">
        <f>IF(A12="","",WorkOrders!L12)</f>
        <v/>
      </c>
      <c r="G12" s="15">
        <f>IF(OR(E12="",E12=0),"",F12/E12)</f>
        <v/>
      </c>
      <c r="H12" s="11">
        <f>IF(OR(C12="",F12="",F12=0),"",C12*WorkOrders!E12/F12)</f>
        <v/>
      </c>
    </row>
    <row r="13">
      <c r="A13" s="11">
        <f>WorkOrders!A13</f>
        <v/>
      </c>
      <c r="B13" s="11">
        <f>IF(A13="","",WorkOrders!B13)</f>
        <v/>
      </c>
      <c r="C13" s="11">
        <f>IF(A13="","",IFERROR(SUMIFS(BOM!$E$2:$E$500,BOM!$A$2:$A$500,B13),""))</f>
        <v/>
      </c>
      <c r="D13" s="11">
        <f>IF(A13="","",SUMIFS(StockMovements!$I$2:$I$500,StockMovements!$H$2:$H$500,A13,StockMovements!$D$2:$D$500,"issue"))</f>
        <v/>
      </c>
      <c r="E13" s="11">
        <f>IF(OR(A13="",C13="",C13=0,D13=0),"",D13/C13)</f>
        <v/>
      </c>
      <c r="F13" s="11">
        <f>IF(A13="","",WorkOrders!L13)</f>
        <v/>
      </c>
      <c r="G13" s="15">
        <f>IF(OR(E13="",E13=0),"",F13/E13)</f>
        <v/>
      </c>
      <c r="H13" s="11">
        <f>IF(OR(C13="",F13="",F13=0),"",C13*WorkOrders!E13/F13)</f>
        <v/>
      </c>
    </row>
    <row r="14">
      <c r="A14" s="11">
        <f>WorkOrders!A14</f>
        <v/>
      </c>
      <c r="B14" s="11">
        <f>IF(A14="","",WorkOrders!B14)</f>
        <v/>
      </c>
      <c r="C14" s="11">
        <f>IF(A14="","",IFERROR(SUMIFS(BOM!$E$2:$E$500,BOM!$A$2:$A$500,B14),""))</f>
        <v/>
      </c>
      <c r="D14" s="11">
        <f>IF(A14="","",SUMIFS(StockMovements!$I$2:$I$500,StockMovements!$H$2:$H$500,A14,StockMovements!$D$2:$D$500,"issue"))</f>
        <v/>
      </c>
      <c r="E14" s="11">
        <f>IF(OR(A14="",C14="",C14=0,D14=0),"",D14/C14)</f>
        <v/>
      </c>
      <c r="F14" s="11">
        <f>IF(A14="","",WorkOrders!L14)</f>
        <v/>
      </c>
      <c r="G14" s="15">
        <f>IF(OR(E14="",E14=0),"",F14/E14)</f>
        <v/>
      </c>
      <c r="H14" s="11">
        <f>IF(OR(C14="",F14="",F14=0),"",C14*WorkOrders!E14/F14)</f>
        <v/>
      </c>
    </row>
    <row r="15">
      <c r="A15" s="11">
        <f>WorkOrders!A15</f>
        <v/>
      </c>
      <c r="B15" s="11">
        <f>IF(A15="","",WorkOrders!B15)</f>
        <v/>
      </c>
      <c r="C15" s="11">
        <f>IF(A15="","",IFERROR(SUMIFS(BOM!$E$2:$E$500,BOM!$A$2:$A$500,B15),""))</f>
        <v/>
      </c>
      <c r="D15" s="11">
        <f>IF(A15="","",SUMIFS(StockMovements!$I$2:$I$500,StockMovements!$H$2:$H$500,A15,StockMovements!$D$2:$D$500,"issue"))</f>
        <v/>
      </c>
      <c r="E15" s="11">
        <f>IF(OR(A15="",C15="",C15=0,D15=0),"",D15/C15)</f>
        <v/>
      </c>
      <c r="F15" s="11">
        <f>IF(A15="","",WorkOrders!L15)</f>
        <v/>
      </c>
      <c r="G15" s="15">
        <f>IF(OR(E15="",E15=0),"",F15/E15)</f>
        <v/>
      </c>
      <c r="H15" s="11">
        <f>IF(OR(C15="",F15="",F15=0),"",C15*WorkOrders!E15/F15)</f>
        <v/>
      </c>
    </row>
    <row r="16">
      <c r="A16" s="11">
        <f>WorkOrders!A16</f>
        <v/>
      </c>
      <c r="B16" s="11">
        <f>IF(A16="","",WorkOrders!B16)</f>
        <v/>
      </c>
      <c r="C16" s="11">
        <f>IF(A16="","",IFERROR(SUMIFS(BOM!$E$2:$E$500,BOM!$A$2:$A$500,B16),""))</f>
        <v/>
      </c>
      <c r="D16" s="11">
        <f>IF(A16="","",SUMIFS(StockMovements!$I$2:$I$500,StockMovements!$H$2:$H$500,A16,StockMovements!$D$2:$D$500,"issue"))</f>
        <v/>
      </c>
      <c r="E16" s="11">
        <f>IF(OR(A16="",C16="",C16=0,D16=0),"",D16/C16)</f>
        <v/>
      </c>
      <c r="F16" s="11">
        <f>IF(A16="","",WorkOrders!L16)</f>
        <v/>
      </c>
      <c r="G16" s="15">
        <f>IF(OR(E16="",E16=0),"",F16/E16)</f>
        <v/>
      </c>
      <c r="H16" s="11">
        <f>IF(OR(C16="",F16="",F16=0),"",C16*WorkOrders!E16/F16)</f>
        <v/>
      </c>
    </row>
    <row r="17">
      <c r="A17" s="11">
        <f>WorkOrders!A17</f>
        <v/>
      </c>
      <c r="B17" s="11">
        <f>IF(A17="","",WorkOrders!B17)</f>
        <v/>
      </c>
      <c r="C17" s="11">
        <f>IF(A17="","",IFERROR(SUMIFS(BOM!$E$2:$E$500,BOM!$A$2:$A$500,B17),""))</f>
        <v/>
      </c>
      <c r="D17" s="11">
        <f>IF(A17="","",SUMIFS(StockMovements!$I$2:$I$500,StockMovements!$H$2:$H$500,A17,StockMovements!$D$2:$D$500,"issue"))</f>
        <v/>
      </c>
      <c r="E17" s="11">
        <f>IF(OR(A17="",C17="",C17=0,D17=0),"",D17/C17)</f>
        <v/>
      </c>
      <c r="F17" s="11">
        <f>IF(A17="","",WorkOrders!L17)</f>
        <v/>
      </c>
      <c r="G17" s="15">
        <f>IF(OR(E17="",E17=0),"",F17/E17)</f>
        <v/>
      </c>
      <c r="H17" s="11">
        <f>IF(OR(C17="",F17="",F17=0),"",C17*WorkOrders!E17/F17)</f>
        <v/>
      </c>
    </row>
    <row r="18">
      <c r="A18" s="11">
        <f>WorkOrders!A18</f>
        <v/>
      </c>
      <c r="B18" s="11">
        <f>IF(A18="","",WorkOrders!B18)</f>
        <v/>
      </c>
      <c r="C18" s="11">
        <f>IF(A18="","",IFERROR(SUMIFS(BOM!$E$2:$E$500,BOM!$A$2:$A$500,B18),""))</f>
        <v/>
      </c>
      <c r="D18" s="11">
        <f>IF(A18="","",SUMIFS(StockMovements!$I$2:$I$500,StockMovements!$H$2:$H$500,A18,StockMovements!$D$2:$D$500,"issue"))</f>
        <v/>
      </c>
      <c r="E18" s="11">
        <f>IF(OR(A18="",C18="",C18=0,D18=0),"",D18/C18)</f>
        <v/>
      </c>
      <c r="F18" s="11">
        <f>IF(A18="","",WorkOrders!L18)</f>
        <v/>
      </c>
      <c r="G18" s="15">
        <f>IF(OR(E18="",E18=0),"",F18/E18)</f>
        <v/>
      </c>
      <c r="H18" s="11">
        <f>IF(OR(C18="",F18="",F18=0),"",C18*WorkOrders!E18/F18)</f>
        <v/>
      </c>
    </row>
    <row r="19">
      <c r="A19" s="11">
        <f>WorkOrders!A19</f>
        <v/>
      </c>
      <c r="B19" s="11">
        <f>IF(A19="","",WorkOrders!B19)</f>
        <v/>
      </c>
      <c r="C19" s="11">
        <f>IF(A19="","",IFERROR(SUMIFS(BOM!$E$2:$E$500,BOM!$A$2:$A$500,B19),""))</f>
        <v/>
      </c>
      <c r="D19" s="11">
        <f>IF(A19="","",SUMIFS(StockMovements!$I$2:$I$500,StockMovements!$H$2:$H$500,A19,StockMovements!$D$2:$D$500,"issue"))</f>
        <v/>
      </c>
      <c r="E19" s="11">
        <f>IF(OR(A19="",C19="",C19=0,D19=0),"",D19/C19)</f>
        <v/>
      </c>
      <c r="F19" s="11">
        <f>IF(A19="","",WorkOrders!L19)</f>
        <v/>
      </c>
      <c r="G19" s="15">
        <f>IF(OR(E19="",E19=0),"",F19/E19)</f>
        <v/>
      </c>
      <c r="H19" s="11">
        <f>IF(OR(C19="",F19="",F19=0),"",C19*WorkOrders!E19/F19)</f>
        <v/>
      </c>
    </row>
    <row r="20">
      <c r="A20" s="11">
        <f>WorkOrders!A20</f>
        <v/>
      </c>
      <c r="B20" s="11">
        <f>IF(A20="","",WorkOrders!B20)</f>
        <v/>
      </c>
      <c r="C20" s="11">
        <f>IF(A20="","",IFERROR(SUMIFS(BOM!$E$2:$E$500,BOM!$A$2:$A$500,B20),""))</f>
        <v/>
      </c>
      <c r="D20" s="11">
        <f>IF(A20="","",SUMIFS(StockMovements!$I$2:$I$500,StockMovements!$H$2:$H$500,A20,StockMovements!$D$2:$D$500,"issue"))</f>
        <v/>
      </c>
      <c r="E20" s="11">
        <f>IF(OR(A20="",C20="",C20=0,D20=0),"",D20/C20)</f>
        <v/>
      </c>
      <c r="F20" s="11">
        <f>IF(A20="","",WorkOrders!L20)</f>
        <v/>
      </c>
      <c r="G20" s="15">
        <f>IF(OR(E20="",E20=0),"",F20/E20)</f>
        <v/>
      </c>
      <c r="H20" s="11">
        <f>IF(OR(C20="",F20="",F20=0),"",C20*WorkOrders!E20/F20)</f>
        <v/>
      </c>
    </row>
    <row r="21">
      <c r="A21" s="11">
        <f>WorkOrders!A21</f>
        <v/>
      </c>
      <c r="B21" s="11">
        <f>IF(A21="","",WorkOrders!B21)</f>
        <v/>
      </c>
      <c r="C21" s="11">
        <f>IF(A21="","",IFERROR(SUMIFS(BOM!$E$2:$E$500,BOM!$A$2:$A$500,B21),""))</f>
        <v/>
      </c>
      <c r="D21" s="11">
        <f>IF(A21="","",SUMIFS(StockMovements!$I$2:$I$500,StockMovements!$H$2:$H$500,A21,StockMovements!$D$2:$D$500,"issue"))</f>
        <v/>
      </c>
      <c r="E21" s="11">
        <f>IF(OR(A21="",C21="",C21=0,D21=0),"",D21/C21)</f>
        <v/>
      </c>
      <c r="F21" s="11">
        <f>IF(A21="","",WorkOrders!L21)</f>
        <v/>
      </c>
      <c r="G21" s="15">
        <f>IF(OR(E21="",E21=0),"",F21/E21)</f>
        <v/>
      </c>
      <c r="H21" s="11">
        <f>IF(OR(C21="",F21="",F21=0),"",C21*WorkOrders!E21/F21)</f>
        <v/>
      </c>
    </row>
    <row r="22">
      <c r="A22" s="11">
        <f>WorkOrders!A22</f>
        <v/>
      </c>
      <c r="B22" s="11">
        <f>IF(A22="","",WorkOrders!B22)</f>
        <v/>
      </c>
      <c r="C22" s="11">
        <f>IF(A22="","",IFERROR(SUMIFS(BOM!$E$2:$E$500,BOM!$A$2:$A$500,B22),""))</f>
        <v/>
      </c>
      <c r="D22" s="11">
        <f>IF(A22="","",SUMIFS(StockMovements!$I$2:$I$500,StockMovements!$H$2:$H$500,A22,StockMovements!$D$2:$D$500,"issue"))</f>
        <v/>
      </c>
      <c r="E22" s="11">
        <f>IF(OR(A22="",C22="",C22=0,D22=0),"",D22/C22)</f>
        <v/>
      </c>
      <c r="F22" s="11">
        <f>IF(A22="","",WorkOrders!L22)</f>
        <v/>
      </c>
      <c r="G22" s="15">
        <f>IF(OR(E22="",E22=0),"",F22/E22)</f>
        <v/>
      </c>
      <c r="H22" s="11">
        <f>IF(OR(C22="",F22="",F22=0),"",C22*WorkOrders!E22/F22)</f>
        <v/>
      </c>
    </row>
    <row r="23">
      <c r="A23" s="11">
        <f>WorkOrders!A23</f>
        <v/>
      </c>
      <c r="B23" s="11">
        <f>IF(A23="","",WorkOrders!B23)</f>
        <v/>
      </c>
      <c r="C23" s="11">
        <f>IF(A23="","",IFERROR(SUMIFS(BOM!$E$2:$E$500,BOM!$A$2:$A$500,B23),""))</f>
        <v/>
      </c>
      <c r="D23" s="11">
        <f>IF(A23="","",SUMIFS(StockMovements!$I$2:$I$500,StockMovements!$H$2:$H$500,A23,StockMovements!$D$2:$D$500,"issue"))</f>
        <v/>
      </c>
      <c r="E23" s="11">
        <f>IF(OR(A23="",C23="",C23=0,D23=0),"",D23/C23)</f>
        <v/>
      </c>
      <c r="F23" s="11">
        <f>IF(A23="","",WorkOrders!L23)</f>
        <v/>
      </c>
      <c r="G23" s="15">
        <f>IF(OR(E23="",E23=0),"",F23/E23)</f>
        <v/>
      </c>
      <c r="H23" s="11">
        <f>IF(OR(C23="",F23="",F23=0),"",C23*WorkOrders!E23/F23)</f>
        <v/>
      </c>
    </row>
    <row r="24">
      <c r="A24" s="11">
        <f>WorkOrders!A24</f>
        <v/>
      </c>
      <c r="B24" s="11">
        <f>IF(A24="","",WorkOrders!B24)</f>
        <v/>
      </c>
      <c r="C24" s="11">
        <f>IF(A24="","",IFERROR(SUMIFS(BOM!$E$2:$E$500,BOM!$A$2:$A$500,B24),""))</f>
        <v/>
      </c>
      <c r="D24" s="11">
        <f>IF(A24="","",SUMIFS(StockMovements!$I$2:$I$500,StockMovements!$H$2:$H$500,A24,StockMovements!$D$2:$D$500,"issue"))</f>
        <v/>
      </c>
      <c r="E24" s="11">
        <f>IF(OR(A24="",C24="",C24=0,D24=0),"",D24/C24)</f>
        <v/>
      </c>
      <c r="F24" s="11">
        <f>IF(A24="","",WorkOrders!L24)</f>
        <v/>
      </c>
      <c r="G24" s="15">
        <f>IF(OR(E24="",E24=0),"",F24/E24)</f>
        <v/>
      </c>
      <c r="H24" s="11">
        <f>IF(OR(C24="",F24="",F24=0),"",C24*WorkOrders!E24/F24)</f>
        <v/>
      </c>
    </row>
    <row r="25">
      <c r="A25" s="11">
        <f>WorkOrders!A25</f>
        <v/>
      </c>
      <c r="B25" s="11">
        <f>IF(A25="","",WorkOrders!B25)</f>
        <v/>
      </c>
      <c r="C25" s="11">
        <f>IF(A25="","",IFERROR(SUMIFS(BOM!$E$2:$E$500,BOM!$A$2:$A$500,B25),""))</f>
        <v/>
      </c>
      <c r="D25" s="11">
        <f>IF(A25="","",SUMIFS(StockMovements!$I$2:$I$500,StockMovements!$H$2:$H$500,A25,StockMovements!$D$2:$D$500,"issue"))</f>
        <v/>
      </c>
      <c r="E25" s="11">
        <f>IF(OR(A25="",C25="",C25=0,D25=0),"",D25/C25)</f>
        <v/>
      </c>
      <c r="F25" s="11">
        <f>IF(A25="","",WorkOrders!L25)</f>
        <v/>
      </c>
      <c r="G25" s="15">
        <f>IF(OR(E25="",E25=0),"",F25/E25)</f>
        <v/>
      </c>
      <c r="H25" s="11">
        <f>IF(OR(C25="",F25="",F25=0),"",C25*WorkOrders!E25/F25)</f>
        <v/>
      </c>
    </row>
    <row r="26">
      <c r="A26" s="11">
        <f>WorkOrders!A26</f>
        <v/>
      </c>
      <c r="B26" s="11">
        <f>IF(A26="","",WorkOrders!B26)</f>
        <v/>
      </c>
      <c r="C26" s="11">
        <f>IF(A26="","",IFERROR(SUMIFS(BOM!$E$2:$E$500,BOM!$A$2:$A$500,B26),""))</f>
        <v/>
      </c>
      <c r="D26" s="11">
        <f>IF(A26="","",SUMIFS(StockMovements!$I$2:$I$500,StockMovements!$H$2:$H$500,A26,StockMovements!$D$2:$D$500,"issue"))</f>
        <v/>
      </c>
      <c r="E26" s="11">
        <f>IF(OR(A26="",C26="",C26=0,D26=0),"",D26/C26)</f>
        <v/>
      </c>
      <c r="F26" s="11">
        <f>IF(A26="","",WorkOrders!L26)</f>
        <v/>
      </c>
      <c r="G26" s="15">
        <f>IF(OR(E26="",E26=0),"",F26/E26)</f>
        <v/>
      </c>
      <c r="H26" s="11">
        <f>IF(OR(C26="",F26="",F26=0),"",C26*WorkOrders!E26/F26)</f>
        <v/>
      </c>
    </row>
    <row r="27">
      <c r="A27" s="11">
        <f>WorkOrders!A27</f>
        <v/>
      </c>
      <c r="B27" s="11">
        <f>IF(A27="","",WorkOrders!B27)</f>
        <v/>
      </c>
      <c r="C27" s="11">
        <f>IF(A27="","",IFERROR(SUMIFS(BOM!$E$2:$E$500,BOM!$A$2:$A$500,B27),""))</f>
        <v/>
      </c>
      <c r="D27" s="11">
        <f>IF(A27="","",SUMIFS(StockMovements!$I$2:$I$500,StockMovements!$H$2:$H$500,A27,StockMovements!$D$2:$D$500,"issue"))</f>
        <v/>
      </c>
      <c r="E27" s="11">
        <f>IF(OR(A27="",C27="",C27=0,D27=0),"",D27/C27)</f>
        <v/>
      </c>
      <c r="F27" s="11">
        <f>IF(A27="","",WorkOrders!L27)</f>
        <v/>
      </c>
      <c r="G27" s="15">
        <f>IF(OR(E27="",E27=0),"",F27/E27)</f>
        <v/>
      </c>
      <c r="H27" s="11">
        <f>IF(OR(C27="",F27="",F27=0),"",C27*WorkOrders!E27/F27)</f>
        <v/>
      </c>
    </row>
    <row r="28">
      <c r="A28" s="11">
        <f>WorkOrders!A28</f>
        <v/>
      </c>
      <c r="B28" s="11">
        <f>IF(A28="","",WorkOrders!B28)</f>
        <v/>
      </c>
      <c r="C28" s="11">
        <f>IF(A28="","",IFERROR(SUMIFS(BOM!$E$2:$E$500,BOM!$A$2:$A$500,B28),""))</f>
        <v/>
      </c>
      <c r="D28" s="11">
        <f>IF(A28="","",SUMIFS(StockMovements!$I$2:$I$500,StockMovements!$H$2:$H$500,A28,StockMovements!$D$2:$D$500,"issue"))</f>
        <v/>
      </c>
      <c r="E28" s="11">
        <f>IF(OR(A28="",C28="",C28=0,D28=0),"",D28/C28)</f>
        <v/>
      </c>
      <c r="F28" s="11">
        <f>IF(A28="","",WorkOrders!L28)</f>
        <v/>
      </c>
      <c r="G28" s="15">
        <f>IF(OR(E28="",E28=0),"",F28/E28)</f>
        <v/>
      </c>
      <c r="H28" s="11">
        <f>IF(OR(C28="",F28="",F28=0),"",C28*WorkOrders!E28/F28)</f>
        <v/>
      </c>
    </row>
    <row r="29">
      <c r="A29" s="11">
        <f>WorkOrders!A29</f>
        <v/>
      </c>
      <c r="B29" s="11">
        <f>IF(A29="","",WorkOrders!B29)</f>
        <v/>
      </c>
      <c r="C29" s="11">
        <f>IF(A29="","",IFERROR(SUMIFS(BOM!$E$2:$E$500,BOM!$A$2:$A$500,B29),""))</f>
        <v/>
      </c>
      <c r="D29" s="11">
        <f>IF(A29="","",SUMIFS(StockMovements!$I$2:$I$500,StockMovements!$H$2:$H$500,A29,StockMovements!$D$2:$D$500,"issue"))</f>
        <v/>
      </c>
      <c r="E29" s="11">
        <f>IF(OR(A29="",C29="",C29=0,D29=0),"",D29/C29)</f>
        <v/>
      </c>
      <c r="F29" s="11">
        <f>IF(A29="","",WorkOrders!L29)</f>
        <v/>
      </c>
      <c r="G29" s="15">
        <f>IF(OR(E29="",E29=0),"",F29/E29)</f>
        <v/>
      </c>
      <c r="H29" s="11">
        <f>IF(OR(C29="",F29="",F29=0),"",C29*WorkOrders!E29/F29)</f>
        <v/>
      </c>
    </row>
    <row r="30">
      <c r="A30" s="11">
        <f>WorkOrders!A30</f>
        <v/>
      </c>
      <c r="B30" s="11">
        <f>IF(A30="","",WorkOrders!B30)</f>
        <v/>
      </c>
      <c r="C30" s="11">
        <f>IF(A30="","",IFERROR(SUMIFS(BOM!$E$2:$E$500,BOM!$A$2:$A$500,B30),""))</f>
        <v/>
      </c>
      <c r="D30" s="11">
        <f>IF(A30="","",SUMIFS(StockMovements!$I$2:$I$500,StockMovements!$H$2:$H$500,A30,StockMovements!$D$2:$D$500,"issue"))</f>
        <v/>
      </c>
      <c r="E30" s="11">
        <f>IF(OR(A30="",C30="",C30=0,D30=0),"",D30/C30)</f>
        <v/>
      </c>
      <c r="F30" s="11">
        <f>IF(A30="","",WorkOrders!L30)</f>
        <v/>
      </c>
      <c r="G30" s="15">
        <f>IF(OR(E30="",E30=0),"",F30/E30)</f>
        <v/>
      </c>
      <c r="H30" s="11">
        <f>IF(OR(C30="",F30="",F30=0),"",C30*WorkOrders!E30/F30)</f>
        <v/>
      </c>
    </row>
    <row r="31">
      <c r="A31" s="11">
        <f>WorkOrders!A31</f>
        <v/>
      </c>
      <c r="B31" s="11">
        <f>IF(A31="","",WorkOrders!B31)</f>
        <v/>
      </c>
      <c r="C31" s="11">
        <f>IF(A31="","",IFERROR(SUMIFS(BOM!$E$2:$E$500,BOM!$A$2:$A$500,B31),""))</f>
        <v/>
      </c>
      <c r="D31" s="11">
        <f>IF(A31="","",SUMIFS(StockMovements!$I$2:$I$500,StockMovements!$H$2:$H$500,A31,StockMovements!$D$2:$D$500,"issue"))</f>
        <v/>
      </c>
      <c r="E31" s="11">
        <f>IF(OR(A31="",C31="",C31=0,D31=0),"",D31/C31)</f>
        <v/>
      </c>
      <c r="F31" s="11">
        <f>IF(A31="","",WorkOrders!L31)</f>
        <v/>
      </c>
      <c r="G31" s="15">
        <f>IF(OR(E31="",E31=0),"",F31/E31)</f>
        <v/>
      </c>
      <c r="H31" s="11">
        <f>IF(OR(C31="",F31="",F31=0),"",C31*WorkOrders!E31/F31)</f>
        <v/>
      </c>
    </row>
    <row r="32">
      <c r="A32" s="11">
        <f>WorkOrders!A32</f>
        <v/>
      </c>
      <c r="B32" s="11">
        <f>IF(A32="","",WorkOrders!B32)</f>
        <v/>
      </c>
      <c r="C32" s="11">
        <f>IF(A32="","",IFERROR(SUMIFS(BOM!$E$2:$E$500,BOM!$A$2:$A$500,B32),""))</f>
        <v/>
      </c>
      <c r="D32" s="11">
        <f>IF(A32="","",SUMIFS(StockMovements!$I$2:$I$500,StockMovements!$H$2:$H$500,A32,StockMovements!$D$2:$D$500,"issue"))</f>
        <v/>
      </c>
      <c r="E32" s="11">
        <f>IF(OR(A32="",C32="",C32=0,D32=0),"",D32/C32)</f>
        <v/>
      </c>
      <c r="F32" s="11">
        <f>IF(A32="","",WorkOrders!L32)</f>
        <v/>
      </c>
      <c r="G32" s="15">
        <f>IF(OR(E32="",E32=0),"",F32/E32)</f>
        <v/>
      </c>
      <c r="H32" s="11">
        <f>IF(OR(C32="",F32="",F32=0),"",C32*WorkOrders!E32/F32)</f>
        <v/>
      </c>
    </row>
    <row r="33">
      <c r="A33" s="11">
        <f>WorkOrders!A33</f>
        <v/>
      </c>
      <c r="B33" s="11">
        <f>IF(A33="","",WorkOrders!B33)</f>
        <v/>
      </c>
      <c r="C33" s="11">
        <f>IF(A33="","",IFERROR(SUMIFS(BOM!$E$2:$E$500,BOM!$A$2:$A$500,B33),""))</f>
        <v/>
      </c>
      <c r="D33" s="11">
        <f>IF(A33="","",SUMIFS(StockMovements!$I$2:$I$500,StockMovements!$H$2:$H$500,A33,StockMovements!$D$2:$D$500,"issue"))</f>
        <v/>
      </c>
      <c r="E33" s="11">
        <f>IF(OR(A33="",C33="",C33=0,D33=0),"",D33/C33)</f>
        <v/>
      </c>
      <c r="F33" s="11">
        <f>IF(A33="","",WorkOrders!L33)</f>
        <v/>
      </c>
      <c r="G33" s="15">
        <f>IF(OR(E33="",E33=0),"",F33/E33)</f>
        <v/>
      </c>
      <c r="H33" s="11">
        <f>IF(OR(C33="",F33="",F33=0),"",C33*WorkOrders!E33/F33)</f>
        <v/>
      </c>
    </row>
    <row r="34">
      <c r="A34" s="11">
        <f>WorkOrders!A34</f>
        <v/>
      </c>
      <c r="B34" s="11">
        <f>IF(A34="","",WorkOrders!B34)</f>
        <v/>
      </c>
      <c r="C34" s="11">
        <f>IF(A34="","",IFERROR(SUMIFS(BOM!$E$2:$E$500,BOM!$A$2:$A$500,B34),""))</f>
        <v/>
      </c>
      <c r="D34" s="11">
        <f>IF(A34="","",SUMIFS(StockMovements!$I$2:$I$500,StockMovements!$H$2:$H$500,A34,StockMovements!$D$2:$D$500,"issue"))</f>
        <v/>
      </c>
      <c r="E34" s="11">
        <f>IF(OR(A34="",C34="",C34=0,D34=0),"",D34/C34)</f>
        <v/>
      </c>
      <c r="F34" s="11">
        <f>IF(A34="","",WorkOrders!L34)</f>
        <v/>
      </c>
      <c r="G34" s="15">
        <f>IF(OR(E34="",E34=0),"",F34/E34)</f>
        <v/>
      </c>
      <c r="H34" s="11">
        <f>IF(OR(C34="",F34="",F34=0),"",C34*WorkOrders!E34/F34)</f>
        <v/>
      </c>
    </row>
    <row r="35">
      <c r="A35" s="11">
        <f>WorkOrders!A35</f>
        <v/>
      </c>
      <c r="B35" s="11">
        <f>IF(A35="","",WorkOrders!B35)</f>
        <v/>
      </c>
      <c r="C35" s="11">
        <f>IF(A35="","",IFERROR(SUMIFS(BOM!$E$2:$E$500,BOM!$A$2:$A$500,B35),""))</f>
        <v/>
      </c>
      <c r="D35" s="11">
        <f>IF(A35="","",SUMIFS(StockMovements!$I$2:$I$500,StockMovements!$H$2:$H$500,A35,StockMovements!$D$2:$D$500,"issue"))</f>
        <v/>
      </c>
      <c r="E35" s="11">
        <f>IF(OR(A35="",C35="",C35=0,D35=0),"",D35/C35)</f>
        <v/>
      </c>
      <c r="F35" s="11">
        <f>IF(A35="","",WorkOrders!L35)</f>
        <v/>
      </c>
      <c r="G35" s="15">
        <f>IF(OR(E35="",E35=0),"",F35/E35)</f>
        <v/>
      </c>
      <c r="H35" s="11">
        <f>IF(OR(C35="",F35="",F35=0),"",C35*WorkOrders!E35/F35)</f>
        <v/>
      </c>
    </row>
    <row r="36">
      <c r="A36" s="11">
        <f>WorkOrders!A36</f>
        <v/>
      </c>
      <c r="B36" s="11">
        <f>IF(A36="","",WorkOrders!B36)</f>
        <v/>
      </c>
      <c r="C36" s="11">
        <f>IF(A36="","",IFERROR(SUMIFS(BOM!$E$2:$E$500,BOM!$A$2:$A$500,B36),""))</f>
        <v/>
      </c>
      <c r="D36" s="11">
        <f>IF(A36="","",SUMIFS(StockMovements!$I$2:$I$500,StockMovements!$H$2:$H$500,A36,StockMovements!$D$2:$D$500,"issue"))</f>
        <v/>
      </c>
      <c r="E36" s="11">
        <f>IF(OR(A36="",C36="",C36=0,D36=0),"",D36/C36)</f>
        <v/>
      </c>
      <c r="F36" s="11">
        <f>IF(A36="","",WorkOrders!L36)</f>
        <v/>
      </c>
      <c r="G36" s="15">
        <f>IF(OR(E36="",E36=0),"",F36/E36)</f>
        <v/>
      </c>
      <c r="H36" s="11">
        <f>IF(OR(C36="",F36="",F36=0),"",C36*WorkOrders!E36/F36)</f>
        <v/>
      </c>
    </row>
    <row r="37">
      <c r="A37" s="11">
        <f>WorkOrders!A37</f>
        <v/>
      </c>
      <c r="B37" s="11">
        <f>IF(A37="","",WorkOrders!B37)</f>
        <v/>
      </c>
      <c r="C37" s="11">
        <f>IF(A37="","",IFERROR(SUMIFS(BOM!$E$2:$E$500,BOM!$A$2:$A$500,B37),""))</f>
        <v/>
      </c>
      <c r="D37" s="11">
        <f>IF(A37="","",SUMIFS(StockMovements!$I$2:$I$500,StockMovements!$H$2:$H$500,A37,StockMovements!$D$2:$D$500,"issue"))</f>
        <v/>
      </c>
      <c r="E37" s="11">
        <f>IF(OR(A37="",C37="",C37=0,D37=0),"",D37/C37)</f>
        <v/>
      </c>
      <c r="F37" s="11">
        <f>IF(A37="","",WorkOrders!L37)</f>
        <v/>
      </c>
      <c r="G37" s="15">
        <f>IF(OR(E37="",E37=0),"",F37/E37)</f>
        <v/>
      </c>
      <c r="H37" s="11">
        <f>IF(OR(C37="",F37="",F37=0),"",C37*WorkOrders!E37/F37)</f>
        <v/>
      </c>
    </row>
    <row r="38">
      <c r="A38" s="11">
        <f>WorkOrders!A38</f>
        <v/>
      </c>
      <c r="B38" s="11">
        <f>IF(A38="","",WorkOrders!B38)</f>
        <v/>
      </c>
      <c r="C38" s="11">
        <f>IF(A38="","",IFERROR(SUMIFS(BOM!$E$2:$E$500,BOM!$A$2:$A$500,B38),""))</f>
        <v/>
      </c>
      <c r="D38" s="11">
        <f>IF(A38="","",SUMIFS(StockMovements!$I$2:$I$500,StockMovements!$H$2:$H$500,A38,StockMovements!$D$2:$D$500,"issue"))</f>
        <v/>
      </c>
      <c r="E38" s="11">
        <f>IF(OR(A38="",C38="",C38=0,D38=0),"",D38/C38)</f>
        <v/>
      </c>
      <c r="F38" s="11">
        <f>IF(A38="","",WorkOrders!L38)</f>
        <v/>
      </c>
      <c r="G38" s="15">
        <f>IF(OR(E38="",E38=0),"",F38/E38)</f>
        <v/>
      </c>
      <c r="H38" s="11">
        <f>IF(OR(C38="",F38="",F38=0),"",C38*WorkOrders!E38/F38)</f>
        <v/>
      </c>
    </row>
    <row r="39">
      <c r="A39" s="11">
        <f>WorkOrders!A39</f>
        <v/>
      </c>
      <c r="B39" s="11">
        <f>IF(A39="","",WorkOrders!B39)</f>
        <v/>
      </c>
      <c r="C39" s="11">
        <f>IF(A39="","",IFERROR(SUMIFS(BOM!$E$2:$E$500,BOM!$A$2:$A$500,B39),""))</f>
        <v/>
      </c>
      <c r="D39" s="11">
        <f>IF(A39="","",SUMIFS(StockMovements!$I$2:$I$500,StockMovements!$H$2:$H$500,A39,StockMovements!$D$2:$D$500,"issue"))</f>
        <v/>
      </c>
      <c r="E39" s="11">
        <f>IF(OR(A39="",C39="",C39=0,D39=0),"",D39/C39)</f>
        <v/>
      </c>
      <c r="F39" s="11">
        <f>IF(A39="","",WorkOrders!L39)</f>
        <v/>
      </c>
      <c r="G39" s="15">
        <f>IF(OR(E39="",E39=0),"",F39/E39)</f>
        <v/>
      </c>
      <c r="H39" s="11">
        <f>IF(OR(C39="",F39="",F39=0),"",C39*WorkOrders!E39/F39)</f>
        <v/>
      </c>
    </row>
    <row r="40">
      <c r="A40" s="11">
        <f>WorkOrders!A40</f>
        <v/>
      </c>
      <c r="B40" s="11">
        <f>IF(A40="","",WorkOrders!B40)</f>
        <v/>
      </c>
      <c r="C40" s="11">
        <f>IF(A40="","",IFERROR(SUMIFS(BOM!$E$2:$E$500,BOM!$A$2:$A$500,B40),""))</f>
        <v/>
      </c>
      <c r="D40" s="11">
        <f>IF(A40="","",SUMIFS(StockMovements!$I$2:$I$500,StockMovements!$H$2:$H$500,A40,StockMovements!$D$2:$D$500,"issue"))</f>
        <v/>
      </c>
      <c r="E40" s="11">
        <f>IF(OR(A40="",C40="",C40=0,D40=0),"",D40/C40)</f>
        <v/>
      </c>
      <c r="F40" s="11">
        <f>IF(A40="","",WorkOrders!L40)</f>
        <v/>
      </c>
      <c r="G40" s="15">
        <f>IF(OR(E40="",E40=0),"",F40/E40)</f>
        <v/>
      </c>
      <c r="H40" s="11">
        <f>IF(OR(C40="",F40="",F40=0),"",C40*WorkOrders!E40/F40)</f>
        <v/>
      </c>
    </row>
    <row r="41">
      <c r="A41" s="11">
        <f>WorkOrders!A41</f>
        <v/>
      </c>
      <c r="B41" s="11">
        <f>IF(A41="","",WorkOrders!B41)</f>
        <v/>
      </c>
      <c r="C41" s="11">
        <f>IF(A41="","",IFERROR(SUMIFS(BOM!$E$2:$E$500,BOM!$A$2:$A$500,B41),""))</f>
        <v/>
      </c>
      <c r="D41" s="11">
        <f>IF(A41="","",SUMIFS(StockMovements!$I$2:$I$500,StockMovements!$H$2:$H$500,A41,StockMovements!$D$2:$D$500,"issue"))</f>
        <v/>
      </c>
      <c r="E41" s="11">
        <f>IF(OR(A41="",C41="",C41=0,D41=0),"",D41/C41)</f>
        <v/>
      </c>
      <c r="F41" s="11">
        <f>IF(A41="","",WorkOrders!L41)</f>
        <v/>
      </c>
      <c r="G41" s="15">
        <f>IF(OR(E41="",E41=0),"",F41/E41)</f>
        <v/>
      </c>
      <c r="H41" s="11">
        <f>IF(OR(C41="",F41="",F41=0),"",C41*WorkOrders!E41/F41)</f>
        <v/>
      </c>
    </row>
    <row r="42">
      <c r="A42" s="11">
        <f>WorkOrders!A42</f>
        <v/>
      </c>
      <c r="B42" s="11">
        <f>IF(A42="","",WorkOrders!B42)</f>
        <v/>
      </c>
      <c r="C42" s="11">
        <f>IF(A42="","",IFERROR(SUMIFS(BOM!$E$2:$E$500,BOM!$A$2:$A$500,B42),""))</f>
        <v/>
      </c>
      <c r="D42" s="11">
        <f>IF(A42="","",SUMIFS(StockMovements!$I$2:$I$500,StockMovements!$H$2:$H$500,A42,StockMovements!$D$2:$D$500,"issue"))</f>
        <v/>
      </c>
      <c r="E42" s="11">
        <f>IF(OR(A42="",C42="",C42=0,D42=0),"",D42/C42)</f>
        <v/>
      </c>
      <c r="F42" s="11">
        <f>IF(A42="","",WorkOrders!L42)</f>
        <v/>
      </c>
      <c r="G42" s="15">
        <f>IF(OR(E42="",E42=0),"",F42/E42)</f>
        <v/>
      </c>
      <c r="H42" s="11">
        <f>IF(OR(C42="",F42="",F42=0),"",C42*WorkOrders!E42/F42)</f>
        <v/>
      </c>
    </row>
    <row r="43">
      <c r="A43" s="11">
        <f>WorkOrders!A43</f>
        <v/>
      </c>
      <c r="B43" s="11">
        <f>IF(A43="","",WorkOrders!B43)</f>
        <v/>
      </c>
      <c r="C43" s="11">
        <f>IF(A43="","",IFERROR(SUMIFS(BOM!$E$2:$E$500,BOM!$A$2:$A$500,B43),""))</f>
        <v/>
      </c>
      <c r="D43" s="11">
        <f>IF(A43="","",SUMIFS(StockMovements!$I$2:$I$500,StockMovements!$H$2:$H$500,A43,StockMovements!$D$2:$D$500,"issue"))</f>
        <v/>
      </c>
      <c r="E43" s="11">
        <f>IF(OR(A43="",C43="",C43=0,D43=0),"",D43/C43)</f>
        <v/>
      </c>
      <c r="F43" s="11">
        <f>IF(A43="","",WorkOrders!L43)</f>
        <v/>
      </c>
      <c r="G43" s="15">
        <f>IF(OR(E43="",E43=0),"",F43/E43)</f>
        <v/>
      </c>
      <c r="H43" s="11">
        <f>IF(OR(C43="",F43="",F43=0),"",C43*WorkOrders!E43/F43)</f>
        <v/>
      </c>
    </row>
    <row r="44">
      <c r="A44" s="11">
        <f>WorkOrders!A44</f>
        <v/>
      </c>
      <c r="B44" s="11">
        <f>IF(A44="","",WorkOrders!B44)</f>
        <v/>
      </c>
      <c r="C44" s="11">
        <f>IF(A44="","",IFERROR(SUMIFS(BOM!$E$2:$E$500,BOM!$A$2:$A$500,B44),""))</f>
        <v/>
      </c>
      <c r="D44" s="11">
        <f>IF(A44="","",SUMIFS(StockMovements!$I$2:$I$500,StockMovements!$H$2:$H$500,A44,StockMovements!$D$2:$D$500,"issue"))</f>
        <v/>
      </c>
      <c r="E44" s="11">
        <f>IF(OR(A44="",C44="",C44=0,D44=0),"",D44/C44)</f>
        <v/>
      </c>
      <c r="F44" s="11">
        <f>IF(A44="","",WorkOrders!L44)</f>
        <v/>
      </c>
      <c r="G44" s="15">
        <f>IF(OR(E44="",E44=0),"",F44/E44)</f>
        <v/>
      </c>
      <c r="H44" s="11">
        <f>IF(OR(C44="",F44="",F44=0),"",C44*WorkOrders!E44/F44)</f>
        <v/>
      </c>
    </row>
    <row r="45">
      <c r="A45" s="11">
        <f>WorkOrders!A45</f>
        <v/>
      </c>
      <c r="B45" s="11">
        <f>IF(A45="","",WorkOrders!B45)</f>
        <v/>
      </c>
      <c r="C45" s="11">
        <f>IF(A45="","",IFERROR(SUMIFS(BOM!$E$2:$E$500,BOM!$A$2:$A$500,B45),""))</f>
        <v/>
      </c>
      <c r="D45" s="11">
        <f>IF(A45="","",SUMIFS(StockMovements!$I$2:$I$500,StockMovements!$H$2:$H$500,A45,StockMovements!$D$2:$D$500,"issue"))</f>
        <v/>
      </c>
      <c r="E45" s="11">
        <f>IF(OR(A45="",C45="",C45=0,D45=0),"",D45/C45)</f>
        <v/>
      </c>
      <c r="F45" s="11">
        <f>IF(A45="","",WorkOrders!L45)</f>
        <v/>
      </c>
      <c r="G45" s="15">
        <f>IF(OR(E45="",E45=0),"",F45/E45)</f>
        <v/>
      </c>
      <c r="H45" s="11">
        <f>IF(OR(C45="",F45="",F45=0),"",C45*WorkOrders!E45/F45)</f>
        <v/>
      </c>
    </row>
    <row r="46">
      <c r="A46" s="11">
        <f>WorkOrders!A46</f>
        <v/>
      </c>
      <c r="B46" s="11">
        <f>IF(A46="","",WorkOrders!B46)</f>
        <v/>
      </c>
      <c r="C46" s="11">
        <f>IF(A46="","",IFERROR(SUMIFS(BOM!$E$2:$E$500,BOM!$A$2:$A$500,B46),""))</f>
        <v/>
      </c>
      <c r="D46" s="11">
        <f>IF(A46="","",SUMIFS(StockMovements!$I$2:$I$500,StockMovements!$H$2:$H$500,A46,StockMovements!$D$2:$D$500,"issue"))</f>
        <v/>
      </c>
      <c r="E46" s="11">
        <f>IF(OR(A46="",C46="",C46=0,D46=0),"",D46/C46)</f>
        <v/>
      </c>
      <c r="F46" s="11">
        <f>IF(A46="","",WorkOrders!L46)</f>
        <v/>
      </c>
      <c r="G46" s="15">
        <f>IF(OR(E46="",E46=0),"",F46/E46)</f>
        <v/>
      </c>
      <c r="H46" s="11">
        <f>IF(OR(C46="",F46="",F46=0),"",C46*WorkOrders!E46/F46)</f>
        <v/>
      </c>
    </row>
    <row r="47">
      <c r="A47" s="11">
        <f>WorkOrders!A47</f>
        <v/>
      </c>
      <c r="B47" s="11">
        <f>IF(A47="","",WorkOrders!B47)</f>
        <v/>
      </c>
      <c r="C47" s="11">
        <f>IF(A47="","",IFERROR(SUMIFS(BOM!$E$2:$E$500,BOM!$A$2:$A$500,B47),""))</f>
        <v/>
      </c>
      <c r="D47" s="11">
        <f>IF(A47="","",SUMIFS(StockMovements!$I$2:$I$500,StockMovements!$H$2:$H$500,A47,StockMovements!$D$2:$D$500,"issue"))</f>
        <v/>
      </c>
      <c r="E47" s="11">
        <f>IF(OR(A47="",C47="",C47=0,D47=0),"",D47/C47)</f>
        <v/>
      </c>
      <c r="F47" s="11">
        <f>IF(A47="","",WorkOrders!L47)</f>
        <v/>
      </c>
      <c r="G47" s="15">
        <f>IF(OR(E47="",E47=0),"",F47/E47)</f>
        <v/>
      </c>
      <c r="H47" s="11">
        <f>IF(OR(C47="",F47="",F47=0),"",C47*WorkOrders!E47/F47)</f>
        <v/>
      </c>
    </row>
    <row r="48">
      <c r="A48" s="11">
        <f>WorkOrders!A48</f>
        <v/>
      </c>
      <c r="B48" s="11">
        <f>IF(A48="","",WorkOrders!B48)</f>
        <v/>
      </c>
      <c r="C48" s="11">
        <f>IF(A48="","",IFERROR(SUMIFS(BOM!$E$2:$E$500,BOM!$A$2:$A$500,B48),""))</f>
        <v/>
      </c>
      <c r="D48" s="11">
        <f>IF(A48="","",SUMIFS(StockMovements!$I$2:$I$500,StockMovements!$H$2:$H$500,A48,StockMovements!$D$2:$D$500,"issue"))</f>
        <v/>
      </c>
      <c r="E48" s="11">
        <f>IF(OR(A48="",C48="",C48=0,D48=0),"",D48/C48)</f>
        <v/>
      </c>
      <c r="F48" s="11">
        <f>IF(A48="","",WorkOrders!L48)</f>
        <v/>
      </c>
      <c r="G48" s="15">
        <f>IF(OR(E48="",E48=0),"",F48/E48)</f>
        <v/>
      </c>
      <c r="H48" s="11">
        <f>IF(OR(C48="",F48="",F48=0),"",C48*WorkOrders!E48/F48)</f>
        <v/>
      </c>
    </row>
    <row r="49">
      <c r="A49" s="11">
        <f>WorkOrders!A49</f>
        <v/>
      </c>
      <c r="B49" s="11">
        <f>IF(A49="","",WorkOrders!B49)</f>
        <v/>
      </c>
      <c r="C49" s="11">
        <f>IF(A49="","",IFERROR(SUMIFS(BOM!$E$2:$E$500,BOM!$A$2:$A$500,B49),""))</f>
        <v/>
      </c>
      <c r="D49" s="11">
        <f>IF(A49="","",SUMIFS(StockMovements!$I$2:$I$500,StockMovements!$H$2:$H$500,A49,StockMovements!$D$2:$D$500,"issue"))</f>
        <v/>
      </c>
      <c r="E49" s="11">
        <f>IF(OR(A49="",C49="",C49=0,D49=0),"",D49/C49)</f>
        <v/>
      </c>
      <c r="F49" s="11">
        <f>IF(A49="","",WorkOrders!L49)</f>
        <v/>
      </c>
      <c r="G49" s="15">
        <f>IF(OR(E49="",E49=0),"",F49/E49)</f>
        <v/>
      </c>
      <c r="H49" s="11">
        <f>IF(OR(C49="",F49="",F49=0),"",C49*WorkOrders!E49/F49)</f>
        <v/>
      </c>
    </row>
    <row r="50">
      <c r="A50" s="11">
        <f>WorkOrders!A50</f>
        <v/>
      </c>
      <c r="B50" s="11">
        <f>IF(A50="","",WorkOrders!B50)</f>
        <v/>
      </c>
      <c r="C50" s="11">
        <f>IF(A50="","",IFERROR(SUMIFS(BOM!$E$2:$E$500,BOM!$A$2:$A$500,B50),""))</f>
        <v/>
      </c>
      <c r="D50" s="11">
        <f>IF(A50="","",SUMIFS(StockMovements!$I$2:$I$500,StockMovements!$H$2:$H$500,A50,StockMovements!$D$2:$D$500,"issue"))</f>
        <v/>
      </c>
      <c r="E50" s="11">
        <f>IF(OR(A50="",C50="",C50=0,D50=0),"",D50/C50)</f>
        <v/>
      </c>
      <c r="F50" s="11">
        <f>IF(A50="","",WorkOrders!L50)</f>
        <v/>
      </c>
      <c r="G50" s="15">
        <f>IF(OR(E50="",E50=0),"",F50/E50)</f>
        <v/>
      </c>
      <c r="H50" s="11">
        <f>IF(OR(C50="",F50="",F50=0),"",C50*WorkOrders!E50/F50)</f>
        <v/>
      </c>
    </row>
    <row r="51">
      <c r="A51" s="11">
        <f>WorkOrders!A51</f>
        <v/>
      </c>
      <c r="B51" s="11">
        <f>IF(A51="","",WorkOrders!B51)</f>
        <v/>
      </c>
      <c r="C51" s="11">
        <f>IF(A51="","",IFERROR(SUMIFS(BOM!$E$2:$E$500,BOM!$A$2:$A$500,B51),""))</f>
        <v/>
      </c>
      <c r="D51" s="11">
        <f>IF(A51="","",SUMIFS(StockMovements!$I$2:$I$500,StockMovements!$H$2:$H$500,A51,StockMovements!$D$2:$D$500,"issue"))</f>
        <v/>
      </c>
      <c r="E51" s="11">
        <f>IF(OR(A51="",C51="",C51=0,D51=0),"",D51/C51)</f>
        <v/>
      </c>
      <c r="F51" s="11">
        <f>IF(A51="","",WorkOrders!L51)</f>
        <v/>
      </c>
      <c r="G51" s="15">
        <f>IF(OR(E51="",E51=0),"",F51/E51)</f>
        <v/>
      </c>
      <c r="H51" s="11">
        <f>IF(OR(C51="",F51="",F51=0),"",C51*WorkOrders!E51/F51)</f>
        <v/>
      </c>
    </row>
    <row r="52">
      <c r="A52" s="11">
        <f>WorkOrders!A52</f>
        <v/>
      </c>
      <c r="B52" s="11">
        <f>IF(A52="","",WorkOrders!B52)</f>
        <v/>
      </c>
      <c r="C52" s="11">
        <f>IF(A52="","",IFERROR(SUMIFS(BOM!$E$2:$E$500,BOM!$A$2:$A$500,B52),""))</f>
        <v/>
      </c>
      <c r="D52" s="11">
        <f>IF(A52="","",SUMIFS(StockMovements!$I$2:$I$500,StockMovements!$H$2:$H$500,A52,StockMovements!$D$2:$D$500,"issue"))</f>
        <v/>
      </c>
      <c r="E52" s="11">
        <f>IF(OR(A52="",C52="",C52=0,D52=0),"",D52/C52)</f>
        <v/>
      </c>
      <c r="F52" s="11">
        <f>IF(A52="","",WorkOrders!L52)</f>
        <v/>
      </c>
      <c r="G52" s="15">
        <f>IF(OR(E52="",E52=0),"",F52/E52)</f>
        <v/>
      </c>
      <c r="H52" s="11">
        <f>IF(OR(C52="",F52="",F52=0),"",C52*WorkOrders!E52/F52)</f>
        <v/>
      </c>
    </row>
    <row r="53">
      <c r="A53" s="11">
        <f>WorkOrders!A53</f>
        <v/>
      </c>
      <c r="B53" s="11">
        <f>IF(A53="","",WorkOrders!B53)</f>
        <v/>
      </c>
      <c r="C53" s="11">
        <f>IF(A53="","",IFERROR(SUMIFS(BOM!$E$2:$E$500,BOM!$A$2:$A$500,B53),""))</f>
        <v/>
      </c>
      <c r="D53" s="11">
        <f>IF(A53="","",SUMIFS(StockMovements!$I$2:$I$500,StockMovements!$H$2:$H$500,A53,StockMovements!$D$2:$D$500,"issue"))</f>
        <v/>
      </c>
      <c r="E53" s="11">
        <f>IF(OR(A53="",C53="",C53=0,D53=0),"",D53/C53)</f>
        <v/>
      </c>
      <c r="F53" s="11">
        <f>IF(A53="","",WorkOrders!L53)</f>
        <v/>
      </c>
      <c r="G53" s="15">
        <f>IF(OR(E53="",E53=0),"",F53/E53)</f>
        <v/>
      </c>
      <c r="H53" s="11">
        <f>IF(OR(C53="",F53="",F53=0),"",C53*WorkOrders!E53/F53)</f>
        <v/>
      </c>
    </row>
    <row r="54">
      <c r="A54" s="11">
        <f>WorkOrders!A54</f>
        <v/>
      </c>
      <c r="B54" s="11">
        <f>IF(A54="","",WorkOrders!B54)</f>
        <v/>
      </c>
      <c r="C54" s="11">
        <f>IF(A54="","",IFERROR(SUMIFS(BOM!$E$2:$E$500,BOM!$A$2:$A$500,B54),""))</f>
        <v/>
      </c>
      <c r="D54" s="11">
        <f>IF(A54="","",SUMIFS(StockMovements!$I$2:$I$500,StockMovements!$H$2:$H$500,A54,StockMovements!$D$2:$D$500,"issue"))</f>
        <v/>
      </c>
      <c r="E54" s="11">
        <f>IF(OR(A54="",C54="",C54=0,D54=0),"",D54/C54)</f>
        <v/>
      </c>
      <c r="F54" s="11">
        <f>IF(A54="","",WorkOrders!L54)</f>
        <v/>
      </c>
      <c r="G54" s="15">
        <f>IF(OR(E54="",E54=0),"",F54/E54)</f>
        <v/>
      </c>
      <c r="H54" s="11">
        <f>IF(OR(C54="",F54="",F54=0),"",C54*WorkOrders!E54/F54)</f>
        <v/>
      </c>
    </row>
    <row r="55">
      <c r="A55" s="11">
        <f>WorkOrders!A55</f>
        <v/>
      </c>
      <c r="B55" s="11">
        <f>IF(A55="","",WorkOrders!B55)</f>
        <v/>
      </c>
      <c r="C55" s="11">
        <f>IF(A55="","",IFERROR(SUMIFS(BOM!$E$2:$E$500,BOM!$A$2:$A$500,B55),""))</f>
        <v/>
      </c>
      <c r="D55" s="11">
        <f>IF(A55="","",SUMIFS(StockMovements!$I$2:$I$500,StockMovements!$H$2:$H$500,A55,StockMovements!$D$2:$D$500,"issue"))</f>
        <v/>
      </c>
      <c r="E55" s="11">
        <f>IF(OR(A55="",C55="",C55=0,D55=0),"",D55/C55)</f>
        <v/>
      </c>
      <c r="F55" s="11">
        <f>IF(A55="","",WorkOrders!L55)</f>
        <v/>
      </c>
      <c r="G55" s="15">
        <f>IF(OR(E55="",E55=0),"",F55/E55)</f>
        <v/>
      </c>
      <c r="H55" s="11">
        <f>IF(OR(C55="",F55="",F55=0),"",C55*WorkOrders!E55/F55)</f>
        <v/>
      </c>
    </row>
    <row r="56">
      <c r="A56" s="11">
        <f>WorkOrders!A56</f>
        <v/>
      </c>
      <c r="B56" s="11">
        <f>IF(A56="","",WorkOrders!B56)</f>
        <v/>
      </c>
      <c r="C56" s="11">
        <f>IF(A56="","",IFERROR(SUMIFS(BOM!$E$2:$E$500,BOM!$A$2:$A$500,B56),""))</f>
        <v/>
      </c>
      <c r="D56" s="11">
        <f>IF(A56="","",SUMIFS(StockMovements!$I$2:$I$500,StockMovements!$H$2:$H$500,A56,StockMovements!$D$2:$D$500,"issue"))</f>
        <v/>
      </c>
      <c r="E56" s="11">
        <f>IF(OR(A56="",C56="",C56=0,D56=0),"",D56/C56)</f>
        <v/>
      </c>
      <c r="F56" s="11">
        <f>IF(A56="","",WorkOrders!L56)</f>
        <v/>
      </c>
      <c r="G56" s="15">
        <f>IF(OR(E56="",E56=0),"",F56/E56)</f>
        <v/>
      </c>
      <c r="H56" s="11">
        <f>IF(OR(C56="",F56="",F56=0),"",C56*WorkOrders!E56/F56)</f>
        <v/>
      </c>
    </row>
    <row r="57">
      <c r="A57" s="11">
        <f>WorkOrders!A57</f>
        <v/>
      </c>
      <c r="B57" s="11">
        <f>IF(A57="","",WorkOrders!B57)</f>
        <v/>
      </c>
      <c r="C57" s="11">
        <f>IF(A57="","",IFERROR(SUMIFS(BOM!$E$2:$E$500,BOM!$A$2:$A$500,B57),""))</f>
        <v/>
      </c>
      <c r="D57" s="11">
        <f>IF(A57="","",SUMIFS(StockMovements!$I$2:$I$500,StockMovements!$H$2:$H$500,A57,StockMovements!$D$2:$D$500,"issue"))</f>
        <v/>
      </c>
      <c r="E57" s="11">
        <f>IF(OR(A57="",C57="",C57=0,D57=0),"",D57/C57)</f>
        <v/>
      </c>
      <c r="F57" s="11">
        <f>IF(A57="","",WorkOrders!L57)</f>
        <v/>
      </c>
      <c r="G57" s="15">
        <f>IF(OR(E57="",E57=0),"",F57/E57)</f>
        <v/>
      </c>
      <c r="H57" s="11">
        <f>IF(OR(C57="",F57="",F57=0),"",C57*WorkOrders!E57/F57)</f>
        <v/>
      </c>
    </row>
    <row r="58">
      <c r="A58" s="11">
        <f>WorkOrders!A58</f>
        <v/>
      </c>
      <c r="B58" s="11">
        <f>IF(A58="","",WorkOrders!B58)</f>
        <v/>
      </c>
      <c r="C58" s="11">
        <f>IF(A58="","",IFERROR(SUMIFS(BOM!$E$2:$E$500,BOM!$A$2:$A$500,B58),""))</f>
        <v/>
      </c>
      <c r="D58" s="11">
        <f>IF(A58="","",SUMIFS(StockMovements!$I$2:$I$500,StockMovements!$H$2:$H$500,A58,StockMovements!$D$2:$D$500,"issue"))</f>
        <v/>
      </c>
      <c r="E58" s="11">
        <f>IF(OR(A58="",C58="",C58=0,D58=0),"",D58/C58)</f>
        <v/>
      </c>
      <c r="F58" s="11">
        <f>IF(A58="","",WorkOrders!L58)</f>
        <v/>
      </c>
      <c r="G58" s="15">
        <f>IF(OR(E58="",E58=0),"",F58/E58)</f>
        <v/>
      </c>
      <c r="H58" s="11">
        <f>IF(OR(C58="",F58="",F58=0),"",C58*WorkOrders!E58/F58)</f>
        <v/>
      </c>
    </row>
    <row r="59">
      <c r="A59" s="11">
        <f>WorkOrders!A59</f>
        <v/>
      </c>
      <c r="B59" s="11">
        <f>IF(A59="","",WorkOrders!B59)</f>
        <v/>
      </c>
      <c r="C59" s="11">
        <f>IF(A59="","",IFERROR(SUMIFS(BOM!$E$2:$E$500,BOM!$A$2:$A$500,B59),""))</f>
        <v/>
      </c>
      <c r="D59" s="11">
        <f>IF(A59="","",SUMIFS(StockMovements!$I$2:$I$500,StockMovements!$H$2:$H$500,A59,StockMovements!$D$2:$D$500,"issue"))</f>
        <v/>
      </c>
      <c r="E59" s="11">
        <f>IF(OR(A59="",C59="",C59=0,D59=0),"",D59/C59)</f>
        <v/>
      </c>
      <c r="F59" s="11">
        <f>IF(A59="","",WorkOrders!L59)</f>
        <v/>
      </c>
      <c r="G59" s="15">
        <f>IF(OR(E59="",E59=0),"",F59/E59)</f>
        <v/>
      </c>
      <c r="H59" s="11">
        <f>IF(OR(C59="",F59="",F59=0),"",C59*WorkOrders!E59/F59)</f>
        <v/>
      </c>
    </row>
    <row r="60">
      <c r="A60" s="11">
        <f>WorkOrders!A60</f>
        <v/>
      </c>
      <c r="B60" s="11">
        <f>IF(A60="","",WorkOrders!B60)</f>
        <v/>
      </c>
      <c r="C60" s="11">
        <f>IF(A60="","",IFERROR(SUMIFS(BOM!$E$2:$E$500,BOM!$A$2:$A$500,B60),""))</f>
        <v/>
      </c>
      <c r="D60" s="11">
        <f>IF(A60="","",SUMIFS(StockMovements!$I$2:$I$500,StockMovements!$H$2:$H$500,A60,StockMovements!$D$2:$D$500,"issue"))</f>
        <v/>
      </c>
      <c r="E60" s="11">
        <f>IF(OR(A60="",C60="",C60=0,D60=0),"",D60/C60)</f>
        <v/>
      </c>
      <c r="F60" s="11">
        <f>IF(A60="","",WorkOrders!L60)</f>
        <v/>
      </c>
      <c r="G60" s="15">
        <f>IF(OR(E60="",E60=0),"",F60/E60)</f>
        <v/>
      </c>
      <c r="H60" s="11">
        <f>IF(OR(C60="",F60="",F60=0),"",C60*WorkOrders!E60/F60)</f>
        <v/>
      </c>
    </row>
    <row r="61">
      <c r="A61" s="11">
        <f>WorkOrders!A61</f>
        <v/>
      </c>
      <c r="B61" s="11">
        <f>IF(A61="","",WorkOrders!B61)</f>
        <v/>
      </c>
      <c r="C61" s="11">
        <f>IF(A61="","",IFERROR(SUMIFS(BOM!$E$2:$E$500,BOM!$A$2:$A$500,B61),""))</f>
        <v/>
      </c>
      <c r="D61" s="11">
        <f>IF(A61="","",SUMIFS(StockMovements!$I$2:$I$500,StockMovements!$H$2:$H$500,A61,StockMovements!$D$2:$D$500,"issue"))</f>
        <v/>
      </c>
      <c r="E61" s="11">
        <f>IF(OR(A61="",C61="",C61=0,D61=0),"",D61/C61)</f>
        <v/>
      </c>
      <c r="F61" s="11">
        <f>IF(A61="","",WorkOrders!L61)</f>
        <v/>
      </c>
      <c r="G61" s="15">
        <f>IF(OR(E61="",E61=0),"",F61/E61)</f>
        <v/>
      </c>
      <c r="H61" s="11">
        <f>IF(OR(C61="",F61="",F61=0),"",C61*WorkOrders!E61/F61)</f>
        <v/>
      </c>
    </row>
    <row r="62">
      <c r="A62" s="11">
        <f>WorkOrders!A62</f>
        <v/>
      </c>
      <c r="B62" s="11">
        <f>IF(A62="","",WorkOrders!B62)</f>
        <v/>
      </c>
      <c r="C62" s="11">
        <f>IF(A62="","",IFERROR(SUMIFS(BOM!$E$2:$E$500,BOM!$A$2:$A$500,B62),""))</f>
        <v/>
      </c>
      <c r="D62" s="11">
        <f>IF(A62="","",SUMIFS(StockMovements!$I$2:$I$500,StockMovements!$H$2:$H$500,A62,StockMovements!$D$2:$D$500,"issue"))</f>
        <v/>
      </c>
      <c r="E62" s="11">
        <f>IF(OR(A62="",C62="",C62=0,D62=0),"",D62/C62)</f>
        <v/>
      </c>
      <c r="F62" s="11">
        <f>IF(A62="","",WorkOrders!L62)</f>
        <v/>
      </c>
      <c r="G62" s="15">
        <f>IF(OR(E62="",E62=0),"",F62/E62)</f>
        <v/>
      </c>
      <c r="H62" s="11">
        <f>IF(OR(C62="",F62="",F62=0),"",C62*WorkOrders!E62/F62)</f>
        <v/>
      </c>
    </row>
    <row r="63">
      <c r="A63" s="11">
        <f>WorkOrders!A63</f>
        <v/>
      </c>
      <c r="B63" s="11">
        <f>IF(A63="","",WorkOrders!B63)</f>
        <v/>
      </c>
      <c r="C63" s="11">
        <f>IF(A63="","",IFERROR(SUMIFS(BOM!$E$2:$E$500,BOM!$A$2:$A$500,B63),""))</f>
        <v/>
      </c>
      <c r="D63" s="11">
        <f>IF(A63="","",SUMIFS(StockMovements!$I$2:$I$500,StockMovements!$H$2:$H$500,A63,StockMovements!$D$2:$D$500,"issue"))</f>
        <v/>
      </c>
      <c r="E63" s="11">
        <f>IF(OR(A63="",C63="",C63=0,D63=0),"",D63/C63)</f>
        <v/>
      </c>
      <c r="F63" s="11">
        <f>IF(A63="","",WorkOrders!L63)</f>
        <v/>
      </c>
      <c r="G63" s="15">
        <f>IF(OR(E63="",E63=0),"",F63/E63)</f>
        <v/>
      </c>
      <c r="H63" s="11">
        <f>IF(OR(C63="",F63="",F63=0),"",C63*WorkOrders!E63/F63)</f>
        <v/>
      </c>
    </row>
    <row r="64">
      <c r="A64" s="11">
        <f>WorkOrders!A64</f>
        <v/>
      </c>
      <c r="B64" s="11">
        <f>IF(A64="","",WorkOrders!B64)</f>
        <v/>
      </c>
      <c r="C64" s="11">
        <f>IF(A64="","",IFERROR(SUMIFS(BOM!$E$2:$E$500,BOM!$A$2:$A$500,B64),""))</f>
        <v/>
      </c>
      <c r="D64" s="11">
        <f>IF(A64="","",SUMIFS(StockMovements!$I$2:$I$500,StockMovements!$H$2:$H$500,A64,StockMovements!$D$2:$D$500,"issue"))</f>
        <v/>
      </c>
      <c r="E64" s="11">
        <f>IF(OR(A64="",C64="",C64=0,D64=0),"",D64/C64)</f>
        <v/>
      </c>
      <c r="F64" s="11">
        <f>IF(A64="","",WorkOrders!L64)</f>
        <v/>
      </c>
      <c r="G64" s="15">
        <f>IF(OR(E64="",E64=0),"",F64/E64)</f>
        <v/>
      </c>
      <c r="H64" s="11">
        <f>IF(OR(C64="",F64="",F64=0),"",C64*WorkOrders!E64/F64)</f>
        <v/>
      </c>
    </row>
    <row r="65">
      <c r="A65" s="11">
        <f>WorkOrders!A65</f>
        <v/>
      </c>
      <c r="B65" s="11">
        <f>IF(A65="","",WorkOrders!B65)</f>
        <v/>
      </c>
      <c r="C65" s="11">
        <f>IF(A65="","",IFERROR(SUMIFS(BOM!$E$2:$E$500,BOM!$A$2:$A$500,B65),""))</f>
        <v/>
      </c>
      <c r="D65" s="11">
        <f>IF(A65="","",SUMIFS(StockMovements!$I$2:$I$500,StockMovements!$H$2:$H$500,A65,StockMovements!$D$2:$D$500,"issue"))</f>
        <v/>
      </c>
      <c r="E65" s="11">
        <f>IF(OR(A65="",C65="",C65=0,D65=0),"",D65/C65)</f>
        <v/>
      </c>
      <c r="F65" s="11">
        <f>IF(A65="","",WorkOrders!L65)</f>
        <v/>
      </c>
      <c r="G65" s="15">
        <f>IF(OR(E65="",E65=0),"",F65/E65)</f>
        <v/>
      </c>
      <c r="H65" s="11">
        <f>IF(OR(C65="",F65="",F65=0),"",C65*WorkOrders!E65/F65)</f>
        <v/>
      </c>
    </row>
    <row r="66">
      <c r="A66" s="11">
        <f>WorkOrders!A66</f>
        <v/>
      </c>
      <c r="B66" s="11">
        <f>IF(A66="","",WorkOrders!B66)</f>
        <v/>
      </c>
      <c r="C66" s="11">
        <f>IF(A66="","",IFERROR(SUMIFS(BOM!$E$2:$E$500,BOM!$A$2:$A$500,B66),""))</f>
        <v/>
      </c>
      <c r="D66" s="11">
        <f>IF(A66="","",SUMIFS(StockMovements!$I$2:$I$500,StockMovements!$H$2:$H$500,A66,StockMovements!$D$2:$D$500,"issue"))</f>
        <v/>
      </c>
      <c r="E66" s="11">
        <f>IF(OR(A66="",C66="",C66=0,D66=0),"",D66/C66)</f>
        <v/>
      </c>
      <c r="F66" s="11">
        <f>IF(A66="","",WorkOrders!L66)</f>
        <v/>
      </c>
      <c r="G66" s="15">
        <f>IF(OR(E66="",E66=0),"",F66/E66)</f>
        <v/>
      </c>
      <c r="H66" s="11">
        <f>IF(OR(C66="",F66="",F66=0),"",C66*WorkOrders!E66/F66)</f>
        <v/>
      </c>
    </row>
    <row r="67">
      <c r="A67" s="11">
        <f>WorkOrders!A67</f>
        <v/>
      </c>
      <c r="B67" s="11">
        <f>IF(A67="","",WorkOrders!B67)</f>
        <v/>
      </c>
      <c r="C67" s="11">
        <f>IF(A67="","",IFERROR(SUMIFS(BOM!$E$2:$E$500,BOM!$A$2:$A$500,B67),""))</f>
        <v/>
      </c>
      <c r="D67" s="11">
        <f>IF(A67="","",SUMIFS(StockMovements!$I$2:$I$500,StockMovements!$H$2:$H$500,A67,StockMovements!$D$2:$D$500,"issue"))</f>
        <v/>
      </c>
      <c r="E67" s="11">
        <f>IF(OR(A67="",C67="",C67=0,D67=0),"",D67/C67)</f>
        <v/>
      </c>
      <c r="F67" s="11">
        <f>IF(A67="","",WorkOrders!L67)</f>
        <v/>
      </c>
      <c r="G67" s="15">
        <f>IF(OR(E67="",E67=0),"",F67/E67)</f>
        <v/>
      </c>
      <c r="H67" s="11">
        <f>IF(OR(C67="",F67="",F67=0),"",C67*WorkOrders!E67/F67)</f>
        <v/>
      </c>
    </row>
    <row r="68">
      <c r="A68" s="11">
        <f>WorkOrders!A68</f>
        <v/>
      </c>
      <c r="B68" s="11">
        <f>IF(A68="","",WorkOrders!B68)</f>
        <v/>
      </c>
      <c r="C68" s="11">
        <f>IF(A68="","",IFERROR(SUMIFS(BOM!$E$2:$E$500,BOM!$A$2:$A$500,B68),""))</f>
        <v/>
      </c>
      <c r="D68" s="11">
        <f>IF(A68="","",SUMIFS(StockMovements!$I$2:$I$500,StockMovements!$H$2:$H$500,A68,StockMovements!$D$2:$D$500,"issue"))</f>
        <v/>
      </c>
      <c r="E68" s="11">
        <f>IF(OR(A68="",C68="",C68=0,D68=0),"",D68/C68)</f>
        <v/>
      </c>
      <c r="F68" s="11">
        <f>IF(A68="","",WorkOrders!L68)</f>
        <v/>
      </c>
      <c r="G68" s="15">
        <f>IF(OR(E68="",E68=0),"",F68/E68)</f>
        <v/>
      </c>
      <c r="H68" s="11">
        <f>IF(OR(C68="",F68="",F68=0),"",C68*WorkOrders!E68/F68)</f>
        <v/>
      </c>
    </row>
    <row r="69">
      <c r="A69" s="11">
        <f>WorkOrders!A69</f>
        <v/>
      </c>
      <c r="B69" s="11">
        <f>IF(A69="","",WorkOrders!B69)</f>
        <v/>
      </c>
      <c r="C69" s="11">
        <f>IF(A69="","",IFERROR(SUMIFS(BOM!$E$2:$E$500,BOM!$A$2:$A$500,B69),""))</f>
        <v/>
      </c>
      <c r="D69" s="11">
        <f>IF(A69="","",SUMIFS(StockMovements!$I$2:$I$500,StockMovements!$H$2:$H$500,A69,StockMovements!$D$2:$D$500,"issue"))</f>
        <v/>
      </c>
      <c r="E69" s="11">
        <f>IF(OR(A69="",C69="",C69=0,D69=0),"",D69/C69)</f>
        <v/>
      </c>
      <c r="F69" s="11">
        <f>IF(A69="","",WorkOrders!L69)</f>
        <v/>
      </c>
      <c r="G69" s="15">
        <f>IF(OR(E69="",E69=0),"",F69/E69)</f>
        <v/>
      </c>
      <c r="H69" s="11">
        <f>IF(OR(C69="",F69="",F69=0),"",C69*WorkOrders!E69/F69)</f>
        <v/>
      </c>
    </row>
    <row r="70">
      <c r="A70" s="11">
        <f>WorkOrders!A70</f>
        <v/>
      </c>
      <c r="B70" s="11">
        <f>IF(A70="","",WorkOrders!B70)</f>
        <v/>
      </c>
      <c r="C70" s="11">
        <f>IF(A70="","",IFERROR(SUMIFS(BOM!$E$2:$E$500,BOM!$A$2:$A$500,B70),""))</f>
        <v/>
      </c>
      <c r="D70" s="11">
        <f>IF(A70="","",SUMIFS(StockMovements!$I$2:$I$500,StockMovements!$H$2:$H$500,A70,StockMovements!$D$2:$D$500,"issue"))</f>
        <v/>
      </c>
      <c r="E70" s="11">
        <f>IF(OR(A70="",C70="",C70=0,D70=0),"",D70/C70)</f>
        <v/>
      </c>
      <c r="F70" s="11">
        <f>IF(A70="","",WorkOrders!L70)</f>
        <v/>
      </c>
      <c r="G70" s="15">
        <f>IF(OR(E70="",E70=0),"",F70/E70)</f>
        <v/>
      </c>
      <c r="H70" s="11">
        <f>IF(OR(C70="",F70="",F70=0),"",C70*WorkOrders!E70/F70)</f>
        <v/>
      </c>
    </row>
    <row r="71">
      <c r="A71" s="11">
        <f>WorkOrders!A71</f>
        <v/>
      </c>
      <c r="B71" s="11">
        <f>IF(A71="","",WorkOrders!B71)</f>
        <v/>
      </c>
      <c r="C71" s="11">
        <f>IF(A71="","",IFERROR(SUMIFS(BOM!$E$2:$E$500,BOM!$A$2:$A$500,B71),""))</f>
        <v/>
      </c>
      <c r="D71" s="11">
        <f>IF(A71="","",SUMIFS(StockMovements!$I$2:$I$500,StockMovements!$H$2:$H$500,A71,StockMovements!$D$2:$D$500,"issue"))</f>
        <v/>
      </c>
      <c r="E71" s="11">
        <f>IF(OR(A71="",C71="",C71=0,D71=0),"",D71/C71)</f>
        <v/>
      </c>
      <c r="F71" s="11">
        <f>IF(A71="","",WorkOrders!L71)</f>
        <v/>
      </c>
      <c r="G71" s="15">
        <f>IF(OR(E71="",E71=0),"",F71/E71)</f>
        <v/>
      </c>
      <c r="H71" s="11">
        <f>IF(OR(C71="",F71="",F71=0),"",C71*WorkOrders!E71/F71)</f>
        <v/>
      </c>
    </row>
    <row r="72">
      <c r="A72" s="11">
        <f>WorkOrders!A72</f>
        <v/>
      </c>
      <c r="B72" s="11">
        <f>IF(A72="","",WorkOrders!B72)</f>
        <v/>
      </c>
      <c r="C72" s="11">
        <f>IF(A72="","",IFERROR(SUMIFS(BOM!$E$2:$E$500,BOM!$A$2:$A$500,B72),""))</f>
        <v/>
      </c>
      <c r="D72" s="11">
        <f>IF(A72="","",SUMIFS(StockMovements!$I$2:$I$500,StockMovements!$H$2:$H$500,A72,StockMovements!$D$2:$D$500,"issue"))</f>
        <v/>
      </c>
      <c r="E72" s="11">
        <f>IF(OR(A72="",C72="",C72=0,D72=0),"",D72/C72)</f>
        <v/>
      </c>
      <c r="F72" s="11">
        <f>IF(A72="","",WorkOrders!L72)</f>
        <v/>
      </c>
      <c r="G72" s="15">
        <f>IF(OR(E72="",E72=0),"",F72/E72)</f>
        <v/>
      </c>
      <c r="H72" s="11">
        <f>IF(OR(C72="",F72="",F72=0),"",C72*WorkOrders!E72/F72)</f>
        <v/>
      </c>
    </row>
    <row r="73">
      <c r="A73" s="11">
        <f>WorkOrders!A73</f>
        <v/>
      </c>
      <c r="B73" s="11">
        <f>IF(A73="","",WorkOrders!B73)</f>
        <v/>
      </c>
      <c r="C73" s="11">
        <f>IF(A73="","",IFERROR(SUMIFS(BOM!$E$2:$E$500,BOM!$A$2:$A$500,B73),""))</f>
        <v/>
      </c>
      <c r="D73" s="11">
        <f>IF(A73="","",SUMIFS(StockMovements!$I$2:$I$500,StockMovements!$H$2:$H$500,A73,StockMovements!$D$2:$D$500,"issue"))</f>
        <v/>
      </c>
      <c r="E73" s="11">
        <f>IF(OR(A73="",C73="",C73=0,D73=0),"",D73/C73)</f>
        <v/>
      </c>
      <c r="F73" s="11">
        <f>IF(A73="","",WorkOrders!L73)</f>
        <v/>
      </c>
      <c r="G73" s="15">
        <f>IF(OR(E73="",E73=0),"",F73/E73)</f>
        <v/>
      </c>
      <c r="H73" s="11">
        <f>IF(OR(C73="",F73="",F73=0),"",C73*WorkOrders!E73/F73)</f>
        <v/>
      </c>
    </row>
    <row r="74">
      <c r="A74" s="11">
        <f>WorkOrders!A74</f>
        <v/>
      </c>
      <c r="B74" s="11">
        <f>IF(A74="","",WorkOrders!B74)</f>
        <v/>
      </c>
      <c r="C74" s="11">
        <f>IF(A74="","",IFERROR(SUMIFS(BOM!$E$2:$E$500,BOM!$A$2:$A$500,B74),""))</f>
        <v/>
      </c>
      <c r="D74" s="11">
        <f>IF(A74="","",SUMIFS(StockMovements!$I$2:$I$500,StockMovements!$H$2:$H$500,A74,StockMovements!$D$2:$D$500,"issue"))</f>
        <v/>
      </c>
      <c r="E74" s="11">
        <f>IF(OR(A74="",C74="",C74=0,D74=0),"",D74/C74)</f>
        <v/>
      </c>
      <c r="F74" s="11">
        <f>IF(A74="","",WorkOrders!L74)</f>
        <v/>
      </c>
      <c r="G74" s="15">
        <f>IF(OR(E74="",E74=0),"",F74/E74)</f>
        <v/>
      </c>
      <c r="H74" s="11">
        <f>IF(OR(C74="",F74="",F74=0),"",C74*WorkOrders!E74/F74)</f>
        <v/>
      </c>
    </row>
    <row r="75">
      <c r="A75" s="11">
        <f>WorkOrders!A75</f>
        <v/>
      </c>
      <c r="B75" s="11">
        <f>IF(A75="","",WorkOrders!B75)</f>
        <v/>
      </c>
      <c r="C75" s="11">
        <f>IF(A75="","",IFERROR(SUMIFS(BOM!$E$2:$E$500,BOM!$A$2:$A$500,B75),""))</f>
        <v/>
      </c>
      <c r="D75" s="11">
        <f>IF(A75="","",SUMIFS(StockMovements!$I$2:$I$500,StockMovements!$H$2:$H$500,A75,StockMovements!$D$2:$D$500,"issue"))</f>
        <v/>
      </c>
      <c r="E75" s="11">
        <f>IF(OR(A75="",C75="",C75=0,D75=0),"",D75/C75)</f>
        <v/>
      </c>
      <c r="F75" s="11">
        <f>IF(A75="","",WorkOrders!L75)</f>
        <v/>
      </c>
      <c r="G75" s="15">
        <f>IF(OR(E75="",E75=0),"",F75/E75)</f>
        <v/>
      </c>
      <c r="H75" s="11">
        <f>IF(OR(C75="",F75="",F75=0),"",C75*WorkOrders!E75/F75)</f>
        <v/>
      </c>
    </row>
    <row r="76">
      <c r="A76" s="11">
        <f>WorkOrders!A76</f>
        <v/>
      </c>
      <c r="B76" s="11">
        <f>IF(A76="","",WorkOrders!B76)</f>
        <v/>
      </c>
      <c r="C76" s="11">
        <f>IF(A76="","",IFERROR(SUMIFS(BOM!$E$2:$E$500,BOM!$A$2:$A$500,B76),""))</f>
        <v/>
      </c>
      <c r="D76" s="11">
        <f>IF(A76="","",SUMIFS(StockMovements!$I$2:$I$500,StockMovements!$H$2:$H$500,A76,StockMovements!$D$2:$D$500,"issue"))</f>
        <v/>
      </c>
      <c r="E76" s="11">
        <f>IF(OR(A76="",C76="",C76=0,D76=0),"",D76/C76)</f>
        <v/>
      </c>
      <c r="F76" s="11">
        <f>IF(A76="","",WorkOrders!L76)</f>
        <v/>
      </c>
      <c r="G76" s="15">
        <f>IF(OR(E76="",E76=0),"",F76/E76)</f>
        <v/>
      </c>
      <c r="H76" s="11">
        <f>IF(OR(C76="",F76="",F76=0),"",C76*WorkOrders!E76/F76)</f>
        <v/>
      </c>
    </row>
    <row r="77">
      <c r="A77" s="11">
        <f>WorkOrders!A77</f>
        <v/>
      </c>
      <c r="B77" s="11">
        <f>IF(A77="","",WorkOrders!B77)</f>
        <v/>
      </c>
      <c r="C77" s="11">
        <f>IF(A77="","",IFERROR(SUMIFS(BOM!$E$2:$E$500,BOM!$A$2:$A$500,B77),""))</f>
        <v/>
      </c>
      <c r="D77" s="11">
        <f>IF(A77="","",SUMIFS(StockMovements!$I$2:$I$500,StockMovements!$H$2:$H$500,A77,StockMovements!$D$2:$D$500,"issue"))</f>
        <v/>
      </c>
      <c r="E77" s="11">
        <f>IF(OR(A77="",C77="",C77=0,D77=0),"",D77/C77)</f>
        <v/>
      </c>
      <c r="F77" s="11">
        <f>IF(A77="","",WorkOrders!L77)</f>
        <v/>
      </c>
      <c r="G77" s="15">
        <f>IF(OR(E77="",E77=0),"",F77/E77)</f>
        <v/>
      </c>
      <c r="H77" s="11">
        <f>IF(OR(C77="",F77="",F77=0),"",C77*WorkOrders!E77/F77)</f>
        <v/>
      </c>
    </row>
    <row r="78">
      <c r="A78" s="11">
        <f>WorkOrders!A78</f>
        <v/>
      </c>
      <c r="B78" s="11">
        <f>IF(A78="","",WorkOrders!B78)</f>
        <v/>
      </c>
      <c r="C78" s="11">
        <f>IF(A78="","",IFERROR(SUMIFS(BOM!$E$2:$E$500,BOM!$A$2:$A$500,B78),""))</f>
        <v/>
      </c>
      <c r="D78" s="11">
        <f>IF(A78="","",SUMIFS(StockMovements!$I$2:$I$500,StockMovements!$H$2:$H$500,A78,StockMovements!$D$2:$D$500,"issue"))</f>
        <v/>
      </c>
      <c r="E78" s="11">
        <f>IF(OR(A78="",C78="",C78=0,D78=0),"",D78/C78)</f>
        <v/>
      </c>
      <c r="F78" s="11">
        <f>IF(A78="","",WorkOrders!L78)</f>
        <v/>
      </c>
      <c r="G78" s="15">
        <f>IF(OR(E78="",E78=0),"",F78/E78)</f>
        <v/>
      </c>
      <c r="H78" s="11">
        <f>IF(OR(C78="",F78="",F78=0),"",C78*WorkOrders!E78/F78)</f>
        <v/>
      </c>
    </row>
    <row r="79">
      <c r="A79" s="11">
        <f>WorkOrders!A79</f>
        <v/>
      </c>
      <c r="B79" s="11">
        <f>IF(A79="","",WorkOrders!B79)</f>
        <v/>
      </c>
      <c r="C79" s="11">
        <f>IF(A79="","",IFERROR(SUMIFS(BOM!$E$2:$E$500,BOM!$A$2:$A$500,B79),""))</f>
        <v/>
      </c>
      <c r="D79" s="11">
        <f>IF(A79="","",SUMIFS(StockMovements!$I$2:$I$500,StockMovements!$H$2:$H$500,A79,StockMovements!$D$2:$D$500,"issue"))</f>
        <v/>
      </c>
      <c r="E79" s="11">
        <f>IF(OR(A79="",C79="",C79=0,D79=0),"",D79/C79)</f>
        <v/>
      </c>
      <c r="F79" s="11">
        <f>IF(A79="","",WorkOrders!L79)</f>
        <v/>
      </c>
      <c r="G79" s="15">
        <f>IF(OR(E79="",E79=0),"",F79/E79)</f>
        <v/>
      </c>
      <c r="H79" s="11">
        <f>IF(OR(C79="",F79="",F79=0),"",C79*WorkOrders!E79/F79)</f>
        <v/>
      </c>
    </row>
    <row r="80">
      <c r="A80" s="11">
        <f>WorkOrders!A80</f>
        <v/>
      </c>
      <c r="B80" s="11">
        <f>IF(A80="","",WorkOrders!B80)</f>
        <v/>
      </c>
      <c r="C80" s="11">
        <f>IF(A80="","",IFERROR(SUMIFS(BOM!$E$2:$E$500,BOM!$A$2:$A$500,B80),""))</f>
        <v/>
      </c>
      <c r="D80" s="11">
        <f>IF(A80="","",SUMIFS(StockMovements!$I$2:$I$500,StockMovements!$H$2:$H$500,A80,StockMovements!$D$2:$D$500,"issue"))</f>
        <v/>
      </c>
      <c r="E80" s="11">
        <f>IF(OR(A80="",C80="",C80=0,D80=0),"",D80/C80)</f>
        <v/>
      </c>
      <c r="F80" s="11">
        <f>IF(A80="","",WorkOrders!L80)</f>
        <v/>
      </c>
      <c r="G80" s="15">
        <f>IF(OR(E80="",E80=0),"",F80/E80)</f>
        <v/>
      </c>
      <c r="H80" s="11">
        <f>IF(OR(C80="",F80="",F80=0),"",C80*WorkOrders!E80/F80)</f>
        <v/>
      </c>
    </row>
    <row r="81">
      <c r="A81" s="11">
        <f>WorkOrders!A81</f>
        <v/>
      </c>
      <c r="B81" s="11">
        <f>IF(A81="","",WorkOrders!B81)</f>
        <v/>
      </c>
      <c r="C81" s="11">
        <f>IF(A81="","",IFERROR(SUMIFS(BOM!$E$2:$E$500,BOM!$A$2:$A$500,B81),""))</f>
        <v/>
      </c>
      <c r="D81" s="11">
        <f>IF(A81="","",SUMIFS(StockMovements!$I$2:$I$500,StockMovements!$H$2:$H$500,A81,StockMovements!$D$2:$D$500,"issue"))</f>
        <v/>
      </c>
      <c r="E81" s="11">
        <f>IF(OR(A81="",C81="",C81=0,D81=0),"",D81/C81)</f>
        <v/>
      </c>
      <c r="F81" s="11">
        <f>IF(A81="","",WorkOrders!L81)</f>
        <v/>
      </c>
      <c r="G81" s="15">
        <f>IF(OR(E81="",E81=0),"",F81/E81)</f>
        <v/>
      </c>
      <c r="H81" s="11">
        <f>IF(OR(C81="",F81="",F81=0),"",C81*WorkOrders!E81/F81)</f>
        <v/>
      </c>
    </row>
    <row r="82">
      <c r="A82" s="11">
        <f>WorkOrders!A82</f>
        <v/>
      </c>
      <c r="B82" s="11">
        <f>IF(A82="","",WorkOrders!B82)</f>
        <v/>
      </c>
      <c r="C82" s="11">
        <f>IF(A82="","",IFERROR(SUMIFS(BOM!$E$2:$E$500,BOM!$A$2:$A$500,B82),""))</f>
        <v/>
      </c>
      <c r="D82" s="11">
        <f>IF(A82="","",SUMIFS(StockMovements!$I$2:$I$500,StockMovements!$H$2:$H$500,A82,StockMovements!$D$2:$D$500,"issue"))</f>
        <v/>
      </c>
      <c r="E82" s="11">
        <f>IF(OR(A82="",C82="",C82=0,D82=0),"",D82/C82)</f>
        <v/>
      </c>
      <c r="F82" s="11">
        <f>IF(A82="","",WorkOrders!L82)</f>
        <v/>
      </c>
      <c r="G82" s="15">
        <f>IF(OR(E82="",E82=0),"",F82/E82)</f>
        <v/>
      </c>
      <c r="H82" s="11">
        <f>IF(OR(C82="",F82="",F82=0),"",C82*WorkOrders!E82/F82)</f>
        <v/>
      </c>
    </row>
    <row r="83">
      <c r="A83" s="11">
        <f>WorkOrders!A83</f>
        <v/>
      </c>
      <c r="B83" s="11">
        <f>IF(A83="","",WorkOrders!B83)</f>
        <v/>
      </c>
      <c r="C83" s="11">
        <f>IF(A83="","",IFERROR(SUMIFS(BOM!$E$2:$E$500,BOM!$A$2:$A$500,B83),""))</f>
        <v/>
      </c>
      <c r="D83" s="11">
        <f>IF(A83="","",SUMIFS(StockMovements!$I$2:$I$500,StockMovements!$H$2:$H$500,A83,StockMovements!$D$2:$D$500,"issue"))</f>
        <v/>
      </c>
      <c r="E83" s="11">
        <f>IF(OR(A83="",C83="",C83=0,D83=0),"",D83/C83)</f>
        <v/>
      </c>
      <c r="F83" s="11">
        <f>IF(A83="","",WorkOrders!L83)</f>
        <v/>
      </c>
      <c r="G83" s="15">
        <f>IF(OR(E83="",E83=0),"",F83/E83)</f>
        <v/>
      </c>
      <c r="H83" s="11">
        <f>IF(OR(C83="",F83="",F83=0),"",C83*WorkOrders!E83/F83)</f>
        <v/>
      </c>
    </row>
    <row r="84">
      <c r="A84" s="11">
        <f>WorkOrders!A84</f>
        <v/>
      </c>
      <c r="B84" s="11">
        <f>IF(A84="","",WorkOrders!B84)</f>
        <v/>
      </c>
      <c r="C84" s="11">
        <f>IF(A84="","",IFERROR(SUMIFS(BOM!$E$2:$E$500,BOM!$A$2:$A$500,B84),""))</f>
        <v/>
      </c>
      <c r="D84" s="11">
        <f>IF(A84="","",SUMIFS(StockMovements!$I$2:$I$500,StockMovements!$H$2:$H$500,A84,StockMovements!$D$2:$D$500,"issue"))</f>
        <v/>
      </c>
      <c r="E84" s="11">
        <f>IF(OR(A84="",C84="",C84=0,D84=0),"",D84/C84)</f>
        <v/>
      </c>
      <c r="F84" s="11">
        <f>IF(A84="","",WorkOrders!L84)</f>
        <v/>
      </c>
      <c r="G84" s="15">
        <f>IF(OR(E84="",E84=0),"",F84/E84)</f>
        <v/>
      </c>
      <c r="H84" s="11">
        <f>IF(OR(C84="",F84="",F84=0),"",C84*WorkOrders!E84/F84)</f>
        <v/>
      </c>
    </row>
    <row r="85">
      <c r="A85" s="11">
        <f>WorkOrders!A85</f>
        <v/>
      </c>
      <c r="B85" s="11">
        <f>IF(A85="","",WorkOrders!B85)</f>
        <v/>
      </c>
      <c r="C85" s="11">
        <f>IF(A85="","",IFERROR(SUMIFS(BOM!$E$2:$E$500,BOM!$A$2:$A$500,B85),""))</f>
        <v/>
      </c>
      <c r="D85" s="11">
        <f>IF(A85="","",SUMIFS(StockMovements!$I$2:$I$500,StockMovements!$H$2:$H$500,A85,StockMovements!$D$2:$D$500,"issue"))</f>
        <v/>
      </c>
      <c r="E85" s="11">
        <f>IF(OR(A85="",C85="",C85=0,D85=0),"",D85/C85)</f>
        <v/>
      </c>
      <c r="F85" s="11">
        <f>IF(A85="","",WorkOrders!L85)</f>
        <v/>
      </c>
      <c r="G85" s="15">
        <f>IF(OR(E85="",E85=0),"",F85/E85)</f>
        <v/>
      </c>
      <c r="H85" s="11">
        <f>IF(OR(C85="",F85="",F85=0),"",C85*WorkOrders!E85/F85)</f>
        <v/>
      </c>
    </row>
    <row r="86">
      <c r="A86" s="11">
        <f>WorkOrders!A86</f>
        <v/>
      </c>
      <c r="B86" s="11">
        <f>IF(A86="","",WorkOrders!B86)</f>
        <v/>
      </c>
      <c r="C86" s="11">
        <f>IF(A86="","",IFERROR(SUMIFS(BOM!$E$2:$E$500,BOM!$A$2:$A$500,B86),""))</f>
        <v/>
      </c>
      <c r="D86" s="11">
        <f>IF(A86="","",SUMIFS(StockMovements!$I$2:$I$500,StockMovements!$H$2:$H$500,A86,StockMovements!$D$2:$D$500,"issue"))</f>
        <v/>
      </c>
      <c r="E86" s="11">
        <f>IF(OR(A86="",C86="",C86=0,D86=0),"",D86/C86)</f>
        <v/>
      </c>
      <c r="F86" s="11">
        <f>IF(A86="","",WorkOrders!L86)</f>
        <v/>
      </c>
      <c r="G86" s="15">
        <f>IF(OR(E86="",E86=0),"",F86/E86)</f>
        <v/>
      </c>
      <c r="H86" s="11">
        <f>IF(OR(C86="",F86="",F86=0),"",C86*WorkOrders!E86/F86)</f>
        <v/>
      </c>
    </row>
    <row r="87">
      <c r="A87" s="11">
        <f>WorkOrders!A87</f>
        <v/>
      </c>
      <c r="B87" s="11">
        <f>IF(A87="","",WorkOrders!B87)</f>
        <v/>
      </c>
      <c r="C87" s="11">
        <f>IF(A87="","",IFERROR(SUMIFS(BOM!$E$2:$E$500,BOM!$A$2:$A$500,B87),""))</f>
        <v/>
      </c>
      <c r="D87" s="11">
        <f>IF(A87="","",SUMIFS(StockMovements!$I$2:$I$500,StockMovements!$H$2:$H$500,A87,StockMovements!$D$2:$D$500,"issue"))</f>
        <v/>
      </c>
      <c r="E87" s="11">
        <f>IF(OR(A87="",C87="",C87=0,D87=0),"",D87/C87)</f>
        <v/>
      </c>
      <c r="F87" s="11">
        <f>IF(A87="","",WorkOrders!L87)</f>
        <v/>
      </c>
      <c r="G87" s="15">
        <f>IF(OR(E87="",E87=0),"",F87/E87)</f>
        <v/>
      </c>
      <c r="H87" s="11">
        <f>IF(OR(C87="",F87="",F87=0),"",C87*WorkOrders!E87/F87)</f>
        <v/>
      </c>
    </row>
    <row r="88">
      <c r="A88" s="11">
        <f>WorkOrders!A88</f>
        <v/>
      </c>
      <c r="B88" s="11">
        <f>IF(A88="","",WorkOrders!B88)</f>
        <v/>
      </c>
      <c r="C88" s="11">
        <f>IF(A88="","",IFERROR(SUMIFS(BOM!$E$2:$E$500,BOM!$A$2:$A$500,B88),""))</f>
        <v/>
      </c>
      <c r="D88" s="11">
        <f>IF(A88="","",SUMIFS(StockMovements!$I$2:$I$500,StockMovements!$H$2:$H$500,A88,StockMovements!$D$2:$D$500,"issue"))</f>
        <v/>
      </c>
      <c r="E88" s="11">
        <f>IF(OR(A88="",C88="",C88=0,D88=0),"",D88/C88)</f>
        <v/>
      </c>
      <c r="F88" s="11">
        <f>IF(A88="","",WorkOrders!L88)</f>
        <v/>
      </c>
      <c r="G88" s="15">
        <f>IF(OR(E88="",E88=0),"",F88/E88)</f>
        <v/>
      </c>
      <c r="H88" s="11">
        <f>IF(OR(C88="",F88="",F88=0),"",C88*WorkOrders!E88/F88)</f>
        <v/>
      </c>
    </row>
    <row r="89">
      <c r="A89" s="11">
        <f>WorkOrders!A89</f>
        <v/>
      </c>
      <c r="B89" s="11">
        <f>IF(A89="","",WorkOrders!B89)</f>
        <v/>
      </c>
      <c r="C89" s="11">
        <f>IF(A89="","",IFERROR(SUMIFS(BOM!$E$2:$E$500,BOM!$A$2:$A$500,B89),""))</f>
        <v/>
      </c>
      <c r="D89" s="11">
        <f>IF(A89="","",SUMIFS(StockMovements!$I$2:$I$500,StockMovements!$H$2:$H$500,A89,StockMovements!$D$2:$D$500,"issue"))</f>
        <v/>
      </c>
      <c r="E89" s="11">
        <f>IF(OR(A89="",C89="",C89=0,D89=0),"",D89/C89)</f>
        <v/>
      </c>
      <c r="F89" s="11">
        <f>IF(A89="","",WorkOrders!L89)</f>
        <v/>
      </c>
      <c r="G89" s="15">
        <f>IF(OR(E89="",E89=0),"",F89/E89)</f>
        <v/>
      </c>
      <c r="H89" s="11">
        <f>IF(OR(C89="",F89="",F89=0),"",C89*WorkOrders!E89/F89)</f>
        <v/>
      </c>
    </row>
    <row r="90">
      <c r="A90" s="11">
        <f>WorkOrders!A90</f>
        <v/>
      </c>
      <c r="B90" s="11">
        <f>IF(A90="","",WorkOrders!B90)</f>
        <v/>
      </c>
      <c r="C90" s="11">
        <f>IF(A90="","",IFERROR(SUMIFS(BOM!$E$2:$E$500,BOM!$A$2:$A$500,B90),""))</f>
        <v/>
      </c>
      <c r="D90" s="11">
        <f>IF(A90="","",SUMIFS(StockMovements!$I$2:$I$500,StockMovements!$H$2:$H$500,A90,StockMovements!$D$2:$D$500,"issue"))</f>
        <v/>
      </c>
      <c r="E90" s="11">
        <f>IF(OR(A90="",C90="",C90=0,D90=0),"",D90/C90)</f>
        <v/>
      </c>
      <c r="F90" s="11">
        <f>IF(A90="","",WorkOrders!L90)</f>
        <v/>
      </c>
      <c r="G90" s="15">
        <f>IF(OR(E90="",E90=0),"",F90/E90)</f>
        <v/>
      </c>
      <c r="H90" s="11">
        <f>IF(OR(C90="",F90="",F90=0),"",C90*WorkOrders!E90/F90)</f>
        <v/>
      </c>
    </row>
    <row r="91">
      <c r="A91" s="11">
        <f>WorkOrders!A91</f>
        <v/>
      </c>
      <c r="B91" s="11">
        <f>IF(A91="","",WorkOrders!B91)</f>
        <v/>
      </c>
      <c r="C91" s="11">
        <f>IF(A91="","",IFERROR(SUMIFS(BOM!$E$2:$E$500,BOM!$A$2:$A$500,B91),""))</f>
        <v/>
      </c>
      <c r="D91" s="11">
        <f>IF(A91="","",SUMIFS(StockMovements!$I$2:$I$500,StockMovements!$H$2:$H$500,A91,StockMovements!$D$2:$D$500,"issue"))</f>
        <v/>
      </c>
      <c r="E91" s="11">
        <f>IF(OR(A91="",C91="",C91=0,D91=0),"",D91/C91)</f>
        <v/>
      </c>
      <c r="F91" s="11">
        <f>IF(A91="","",WorkOrders!L91)</f>
        <v/>
      </c>
      <c r="G91" s="15">
        <f>IF(OR(E91="",E91=0),"",F91/E91)</f>
        <v/>
      </c>
      <c r="H91" s="11">
        <f>IF(OR(C91="",F91="",F91=0),"",C91*WorkOrders!E91/F91)</f>
        <v/>
      </c>
    </row>
    <row r="92">
      <c r="A92" s="11">
        <f>WorkOrders!A92</f>
        <v/>
      </c>
      <c r="B92" s="11">
        <f>IF(A92="","",WorkOrders!B92)</f>
        <v/>
      </c>
      <c r="C92" s="11">
        <f>IF(A92="","",IFERROR(SUMIFS(BOM!$E$2:$E$500,BOM!$A$2:$A$500,B92),""))</f>
        <v/>
      </c>
      <c r="D92" s="11">
        <f>IF(A92="","",SUMIFS(StockMovements!$I$2:$I$500,StockMovements!$H$2:$H$500,A92,StockMovements!$D$2:$D$500,"issue"))</f>
        <v/>
      </c>
      <c r="E92" s="11">
        <f>IF(OR(A92="",C92="",C92=0,D92=0),"",D92/C92)</f>
        <v/>
      </c>
      <c r="F92" s="11">
        <f>IF(A92="","",WorkOrders!L92)</f>
        <v/>
      </c>
      <c r="G92" s="15">
        <f>IF(OR(E92="",E92=0),"",F92/E92)</f>
        <v/>
      </c>
      <c r="H92" s="11">
        <f>IF(OR(C92="",F92="",F92=0),"",C92*WorkOrders!E92/F92)</f>
        <v/>
      </c>
    </row>
    <row r="93">
      <c r="A93" s="11">
        <f>WorkOrders!A93</f>
        <v/>
      </c>
      <c r="B93" s="11">
        <f>IF(A93="","",WorkOrders!B93)</f>
        <v/>
      </c>
      <c r="C93" s="11">
        <f>IF(A93="","",IFERROR(SUMIFS(BOM!$E$2:$E$500,BOM!$A$2:$A$500,B93),""))</f>
        <v/>
      </c>
      <c r="D93" s="11">
        <f>IF(A93="","",SUMIFS(StockMovements!$I$2:$I$500,StockMovements!$H$2:$H$500,A93,StockMovements!$D$2:$D$500,"issue"))</f>
        <v/>
      </c>
      <c r="E93" s="11">
        <f>IF(OR(A93="",C93="",C93=0,D93=0),"",D93/C93)</f>
        <v/>
      </c>
      <c r="F93" s="11">
        <f>IF(A93="","",WorkOrders!L93)</f>
        <v/>
      </c>
      <c r="G93" s="15">
        <f>IF(OR(E93="",E93=0),"",F93/E93)</f>
        <v/>
      </c>
      <c r="H93" s="11">
        <f>IF(OR(C93="",F93="",F93=0),"",C93*WorkOrders!E93/F93)</f>
        <v/>
      </c>
    </row>
    <row r="94">
      <c r="A94" s="11">
        <f>WorkOrders!A94</f>
        <v/>
      </c>
      <c r="B94" s="11">
        <f>IF(A94="","",WorkOrders!B94)</f>
        <v/>
      </c>
      <c r="C94" s="11">
        <f>IF(A94="","",IFERROR(SUMIFS(BOM!$E$2:$E$500,BOM!$A$2:$A$500,B94),""))</f>
        <v/>
      </c>
      <c r="D94" s="11">
        <f>IF(A94="","",SUMIFS(StockMovements!$I$2:$I$500,StockMovements!$H$2:$H$500,A94,StockMovements!$D$2:$D$500,"issue"))</f>
        <v/>
      </c>
      <c r="E94" s="11">
        <f>IF(OR(A94="",C94="",C94=0,D94=0),"",D94/C94)</f>
        <v/>
      </c>
      <c r="F94" s="11">
        <f>IF(A94="","",WorkOrders!L94)</f>
        <v/>
      </c>
      <c r="G94" s="15">
        <f>IF(OR(E94="",E94=0),"",F94/E94)</f>
        <v/>
      </c>
      <c r="H94" s="11">
        <f>IF(OR(C94="",F94="",F94=0),"",C94*WorkOrders!E94/F94)</f>
        <v/>
      </c>
    </row>
    <row r="95">
      <c r="A95" s="11">
        <f>WorkOrders!A95</f>
        <v/>
      </c>
      <c r="B95" s="11">
        <f>IF(A95="","",WorkOrders!B95)</f>
        <v/>
      </c>
      <c r="C95" s="11">
        <f>IF(A95="","",IFERROR(SUMIFS(BOM!$E$2:$E$500,BOM!$A$2:$A$500,B95),""))</f>
        <v/>
      </c>
      <c r="D95" s="11">
        <f>IF(A95="","",SUMIFS(StockMovements!$I$2:$I$500,StockMovements!$H$2:$H$500,A95,StockMovements!$D$2:$D$500,"issue"))</f>
        <v/>
      </c>
      <c r="E95" s="11">
        <f>IF(OR(A95="",C95="",C95=0,D95=0),"",D95/C95)</f>
        <v/>
      </c>
      <c r="F95" s="11">
        <f>IF(A95="","",WorkOrders!L95)</f>
        <v/>
      </c>
      <c r="G95" s="15">
        <f>IF(OR(E95="",E95=0),"",F95/E95)</f>
        <v/>
      </c>
      <c r="H95" s="11">
        <f>IF(OR(C95="",F95="",F95=0),"",C95*WorkOrders!E95/F95)</f>
        <v/>
      </c>
    </row>
    <row r="96">
      <c r="A96" s="11">
        <f>WorkOrders!A96</f>
        <v/>
      </c>
      <c r="B96" s="11">
        <f>IF(A96="","",WorkOrders!B96)</f>
        <v/>
      </c>
      <c r="C96" s="11">
        <f>IF(A96="","",IFERROR(SUMIFS(BOM!$E$2:$E$500,BOM!$A$2:$A$500,B96),""))</f>
        <v/>
      </c>
      <c r="D96" s="11">
        <f>IF(A96="","",SUMIFS(StockMovements!$I$2:$I$500,StockMovements!$H$2:$H$500,A96,StockMovements!$D$2:$D$500,"issue"))</f>
        <v/>
      </c>
      <c r="E96" s="11">
        <f>IF(OR(A96="",C96="",C96=0,D96=0),"",D96/C96)</f>
        <v/>
      </c>
      <c r="F96" s="11">
        <f>IF(A96="","",WorkOrders!L96)</f>
        <v/>
      </c>
      <c r="G96" s="15">
        <f>IF(OR(E96="",E96=0),"",F96/E96)</f>
        <v/>
      </c>
      <c r="H96" s="11">
        <f>IF(OR(C96="",F96="",F96=0),"",C96*WorkOrders!E96/F96)</f>
        <v/>
      </c>
    </row>
    <row r="97">
      <c r="A97" s="11">
        <f>WorkOrders!A97</f>
        <v/>
      </c>
      <c r="B97" s="11">
        <f>IF(A97="","",WorkOrders!B97)</f>
        <v/>
      </c>
      <c r="C97" s="11">
        <f>IF(A97="","",IFERROR(SUMIFS(BOM!$E$2:$E$500,BOM!$A$2:$A$500,B97),""))</f>
        <v/>
      </c>
      <c r="D97" s="11">
        <f>IF(A97="","",SUMIFS(StockMovements!$I$2:$I$500,StockMovements!$H$2:$H$500,A97,StockMovements!$D$2:$D$500,"issue"))</f>
        <v/>
      </c>
      <c r="E97" s="11">
        <f>IF(OR(A97="",C97="",C97=0,D97=0),"",D97/C97)</f>
        <v/>
      </c>
      <c r="F97" s="11">
        <f>IF(A97="","",WorkOrders!L97)</f>
        <v/>
      </c>
      <c r="G97" s="15">
        <f>IF(OR(E97="",E97=0),"",F97/E97)</f>
        <v/>
      </c>
      <c r="H97" s="11">
        <f>IF(OR(C97="",F97="",F97=0),"",C97*WorkOrders!E97/F97)</f>
        <v/>
      </c>
    </row>
    <row r="98">
      <c r="A98" s="11">
        <f>WorkOrders!A98</f>
        <v/>
      </c>
      <c r="B98" s="11">
        <f>IF(A98="","",WorkOrders!B98)</f>
        <v/>
      </c>
      <c r="C98" s="11">
        <f>IF(A98="","",IFERROR(SUMIFS(BOM!$E$2:$E$500,BOM!$A$2:$A$500,B98),""))</f>
        <v/>
      </c>
      <c r="D98" s="11">
        <f>IF(A98="","",SUMIFS(StockMovements!$I$2:$I$500,StockMovements!$H$2:$H$500,A98,StockMovements!$D$2:$D$500,"issue"))</f>
        <v/>
      </c>
      <c r="E98" s="11">
        <f>IF(OR(A98="",C98="",C98=0,D98=0),"",D98/C98)</f>
        <v/>
      </c>
      <c r="F98" s="11">
        <f>IF(A98="","",WorkOrders!L98)</f>
        <v/>
      </c>
      <c r="G98" s="15">
        <f>IF(OR(E98="",E98=0),"",F98/E98)</f>
        <v/>
      </c>
      <c r="H98" s="11">
        <f>IF(OR(C98="",F98="",F98=0),"",C98*WorkOrders!E98/F98)</f>
        <v/>
      </c>
    </row>
    <row r="99">
      <c r="A99" s="11">
        <f>WorkOrders!A99</f>
        <v/>
      </c>
      <c r="B99" s="11">
        <f>IF(A99="","",WorkOrders!B99)</f>
        <v/>
      </c>
      <c r="C99" s="11">
        <f>IF(A99="","",IFERROR(SUMIFS(BOM!$E$2:$E$500,BOM!$A$2:$A$500,B99),""))</f>
        <v/>
      </c>
      <c r="D99" s="11">
        <f>IF(A99="","",SUMIFS(StockMovements!$I$2:$I$500,StockMovements!$H$2:$H$500,A99,StockMovements!$D$2:$D$500,"issue"))</f>
        <v/>
      </c>
      <c r="E99" s="11">
        <f>IF(OR(A99="",C99="",C99=0,D99=0),"",D99/C99)</f>
        <v/>
      </c>
      <c r="F99" s="11">
        <f>IF(A99="","",WorkOrders!L99)</f>
        <v/>
      </c>
      <c r="G99" s="15">
        <f>IF(OR(E99="",E99=0),"",F99/E99)</f>
        <v/>
      </c>
      <c r="H99" s="11">
        <f>IF(OR(C99="",F99="",F99=0),"",C99*WorkOrders!E99/F99)</f>
        <v/>
      </c>
    </row>
    <row r="100">
      <c r="A100" s="11">
        <f>WorkOrders!A100</f>
        <v/>
      </c>
      <c r="B100" s="11">
        <f>IF(A100="","",WorkOrders!B100)</f>
        <v/>
      </c>
      <c r="C100" s="11">
        <f>IF(A100="","",IFERROR(SUMIFS(BOM!$E$2:$E$500,BOM!$A$2:$A$500,B100),""))</f>
        <v/>
      </c>
      <c r="D100" s="11">
        <f>IF(A100="","",SUMIFS(StockMovements!$I$2:$I$500,StockMovements!$H$2:$H$500,A100,StockMovements!$D$2:$D$500,"issue"))</f>
        <v/>
      </c>
      <c r="E100" s="11">
        <f>IF(OR(A100="",C100="",C100=0,D100=0),"",D100/C100)</f>
        <v/>
      </c>
      <c r="F100" s="11">
        <f>IF(A100="","",WorkOrders!L100)</f>
        <v/>
      </c>
      <c r="G100" s="15">
        <f>IF(OR(E100="",E100=0),"",F100/E100)</f>
        <v/>
      </c>
      <c r="H100" s="11">
        <f>IF(OR(C100="",F100="",F100=0),"",C100*WorkOrders!E100/F100)</f>
        <v/>
      </c>
    </row>
    <row r="101">
      <c r="A101" s="11">
        <f>WorkOrders!A101</f>
        <v/>
      </c>
      <c r="B101" s="11">
        <f>IF(A101="","",WorkOrders!B101)</f>
        <v/>
      </c>
      <c r="C101" s="11">
        <f>IF(A101="","",IFERROR(SUMIFS(BOM!$E$2:$E$500,BOM!$A$2:$A$500,B101),""))</f>
        <v/>
      </c>
      <c r="D101" s="11">
        <f>IF(A101="","",SUMIFS(StockMovements!$I$2:$I$500,StockMovements!$H$2:$H$500,A101,StockMovements!$D$2:$D$500,"issue"))</f>
        <v/>
      </c>
      <c r="E101" s="11">
        <f>IF(OR(A101="",C101="",C101=0,D101=0),"",D101/C101)</f>
        <v/>
      </c>
      <c r="F101" s="11">
        <f>IF(A101="","",WorkOrders!L101)</f>
        <v/>
      </c>
      <c r="G101" s="15">
        <f>IF(OR(E101="",E101=0),"",F101/E101)</f>
        <v/>
      </c>
      <c r="H101" s="11">
        <f>IF(OR(C101="",F101="",F101=0),"",C101*WorkOrders!E101/F101)</f>
        <v/>
      </c>
    </row>
    <row r="102">
      <c r="A102" s="11">
        <f>WorkOrders!A102</f>
        <v/>
      </c>
      <c r="B102" s="11">
        <f>IF(A102="","",WorkOrders!B102)</f>
        <v/>
      </c>
      <c r="C102" s="11">
        <f>IF(A102="","",IFERROR(SUMIFS(BOM!$E$2:$E$500,BOM!$A$2:$A$500,B102),""))</f>
        <v/>
      </c>
      <c r="D102" s="11">
        <f>IF(A102="","",SUMIFS(StockMovements!$I$2:$I$500,StockMovements!$H$2:$H$500,A102,StockMovements!$D$2:$D$500,"issue"))</f>
        <v/>
      </c>
      <c r="E102" s="11">
        <f>IF(OR(A102="",C102="",C102=0,D102=0),"",D102/C102)</f>
        <v/>
      </c>
      <c r="F102" s="11">
        <f>IF(A102="","",WorkOrders!L102)</f>
        <v/>
      </c>
      <c r="G102" s="15">
        <f>IF(OR(E102="",E102=0),"",F102/E102)</f>
        <v/>
      </c>
      <c r="H102" s="11">
        <f>IF(OR(C102="",F102="",F102=0),"",C102*WorkOrders!E102/F102)</f>
        <v/>
      </c>
    </row>
    <row r="103">
      <c r="A103" s="11">
        <f>WorkOrders!A103</f>
        <v/>
      </c>
      <c r="B103" s="11">
        <f>IF(A103="","",WorkOrders!B103)</f>
        <v/>
      </c>
      <c r="C103" s="11">
        <f>IF(A103="","",IFERROR(SUMIFS(BOM!$E$2:$E$500,BOM!$A$2:$A$500,B103),""))</f>
        <v/>
      </c>
      <c r="D103" s="11">
        <f>IF(A103="","",SUMIFS(StockMovements!$I$2:$I$500,StockMovements!$H$2:$H$500,A103,StockMovements!$D$2:$D$500,"issue"))</f>
        <v/>
      </c>
      <c r="E103" s="11">
        <f>IF(OR(A103="",C103="",C103=0,D103=0),"",D103/C103)</f>
        <v/>
      </c>
      <c r="F103" s="11">
        <f>IF(A103="","",WorkOrders!L103)</f>
        <v/>
      </c>
      <c r="G103" s="15">
        <f>IF(OR(E103="",E103=0),"",F103/E103)</f>
        <v/>
      </c>
      <c r="H103" s="11">
        <f>IF(OR(C103="",F103="",F103=0),"",C103*WorkOrders!E103/F103)</f>
        <v/>
      </c>
    </row>
    <row r="104">
      <c r="A104" s="11">
        <f>WorkOrders!A104</f>
        <v/>
      </c>
      <c r="B104" s="11">
        <f>IF(A104="","",WorkOrders!B104)</f>
        <v/>
      </c>
      <c r="C104" s="11">
        <f>IF(A104="","",IFERROR(SUMIFS(BOM!$E$2:$E$500,BOM!$A$2:$A$500,B104),""))</f>
        <v/>
      </c>
      <c r="D104" s="11">
        <f>IF(A104="","",SUMIFS(StockMovements!$I$2:$I$500,StockMovements!$H$2:$H$500,A104,StockMovements!$D$2:$D$500,"issue"))</f>
        <v/>
      </c>
      <c r="E104" s="11">
        <f>IF(OR(A104="",C104="",C104=0,D104=0),"",D104/C104)</f>
        <v/>
      </c>
      <c r="F104" s="11">
        <f>IF(A104="","",WorkOrders!L104)</f>
        <v/>
      </c>
      <c r="G104" s="15">
        <f>IF(OR(E104="",E104=0),"",F104/E104)</f>
        <v/>
      </c>
      <c r="H104" s="11">
        <f>IF(OR(C104="",F104="",F104=0),"",C104*WorkOrders!E104/F104)</f>
        <v/>
      </c>
    </row>
    <row r="105">
      <c r="A105" s="11">
        <f>WorkOrders!A105</f>
        <v/>
      </c>
      <c r="B105" s="11">
        <f>IF(A105="","",WorkOrders!B105)</f>
        <v/>
      </c>
      <c r="C105" s="11">
        <f>IF(A105="","",IFERROR(SUMIFS(BOM!$E$2:$E$500,BOM!$A$2:$A$500,B105),""))</f>
        <v/>
      </c>
      <c r="D105" s="11">
        <f>IF(A105="","",SUMIFS(StockMovements!$I$2:$I$500,StockMovements!$H$2:$H$500,A105,StockMovements!$D$2:$D$500,"issue"))</f>
        <v/>
      </c>
      <c r="E105" s="11">
        <f>IF(OR(A105="",C105="",C105=0,D105=0),"",D105/C105)</f>
        <v/>
      </c>
      <c r="F105" s="11">
        <f>IF(A105="","",WorkOrders!L105)</f>
        <v/>
      </c>
      <c r="G105" s="15">
        <f>IF(OR(E105="",E105=0),"",F105/E105)</f>
        <v/>
      </c>
      <c r="H105" s="11">
        <f>IF(OR(C105="",F105="",F105=0),"",C105*WorkOrders!E105/F105)</f>
        <v/>
      </c>
    </row>
    <row r="106">
      <c r="A106" s="11">
        <f>WorkOrders!A106</f>
        <v/>
      </c>
      <c r="B106" s="11">
        <f>IF(A106="","",WorkOrders!B106)</f>
        <v/>
      </c>
      <c r="C106" s="11">
        <f>IF(A106="","",IFERROR(SUMIFS(BOM!$E$2:$E$500,BOM!$A$2:$A$500,B106),""))</f>
        <v/>
      </c>
      <c r="D106" s="11">
        <f>IF(A106="","",SUMIFS(StockMovements!$I$2:$I$500,StockMovements!$H$2:$H$500,A106,StockMovements!$D$2:$D$500,"issue"))</f>
        <v/>
      </c>
      <c r="E106" s="11">
        <f>IF(OR(A106="",C106="",C106=0,D106=0),"",D106/C106)</f>
        <v/>
      </c>
      <c r="F106" s="11">
        <f>IF(A106="","",WorkOrders!L106)</f>
        <v/>
      </c>
      <c r="G106" s="15">
        <f>IF(OR(E106="",E106=0),"",F106/E106)</f>
        <v/>
      </c>
      <c r="H106" s="11">
        <f>IF(OR(C106="",F106="",F106=0),"",C106*WorkOrders!E106/F106)</f>
        <v/>
      </c>
    </row>
    <row r="107">
      <c r="A107" s="11">
        <f>WorkOrders!A107</f>
        <v/>
      </c>
      <c r="B107" s="11">
        <f>IF(A107="","",WorkOrders!B107)</f>
        <v/>
      </c>
      <c r="C107" s="11">
        <f>IF(A107="","",IFERROR(SUMIFS(BOM!$E$2:$E$500,BOM!$A$2:$A$500,B107),""))</f>
        <v/>
      </c>
      <c r="D107" s="11">
        <f>IF(A107="","",SUMIFS(StockMovements!$I$2:$I$500,StockMovements!$H$2:$H$500,A107,StockMovements!$D$2:$D$500,"issue"))</f>
        <v/>
      </c>
      <c r="E107" s="11">
        <f>IF(OR(A107="",C107="",C107=0,D107=0),"",D107/C107)</f>
        <v/>
      </c>
      <c r="F107" s="11">
        <f>IF(A107="","",WorkOrders!L107)</f>
        <v/>
      </c>
      <c r="G107" s="15">
        <f>IF(OR(E107="",E107=0),"",F107/E107)</f>
        <v/>
      </c>
      <c r="H107" s="11">
        <f>IF(OR(C107="",F107="",F107=0),"",C107*WorkOrders!E107/F107)</f>
        <v/>
      </c>
    </row>
    <row r="108">
      <c r="A108" s="11">
        <f>WorkOrders!A108</f>
        <v/>
      </c>
      <c r="B108" s="11">
        <f>IF(A108="","",WorkOrders!B108)</f>
        <v/>
      </c>
      <c r="C108" s="11">
        <f>IF(A108="","",IFERROR(SUMIFS(BOM!$E$2:$E$500,BOM!$A$2:$A$500,B108),""))</f>
        <v/>
      </c>
      <c r="D108" s="11">
        <f>IF(A108="","",SUMIFS(StockMovements!$I$2:$I$500,StockMovements!$H$2:$H$500,A108,StockMovements!$D$2:$D$500,"issue"))</f>
        <v/>
      </c>
      <c r="E108" s="11">
        <f>IF(OR(A108="",C108="",C108=0,D108=0),"",D108/C108)</f>
        <v/>
      </c>
      <c r="F108" s="11">
        <f>IF(A108="","",WorkOrders!L108)</f>
        <v/>
      </c>
      <c r="G108" s="15">
        <f>IF(OR(E108="",E108=0),"",F108/E108)</f>
        <v/>
      </c>
      <c r="H108" s="11">
        <f>IF(OR(C108="",F108="",F108=0),"",C108*WorkOrders!E108/F108)</f>
        <v/>
      </c>
    </row>
    <row r="109">
      <c r="A109" s="11">
        <f>WorkOrders!A109</f>
        <v/>
      </c>
      <c r="B109" s="11">
        <f>IF(A109="","",WorkOrders!B109)</f>
        <v/>
      </c>
      <c r="C109" s="11">
        <f>IF(A109="","",IFERROR(SUMIFS(BOM!$E$2:$E$500,BOM!$A$2:$A$500,B109),""))</f>
        <v/>
      </c>
      <c r="D109" s="11">
        <f>IF(A109="","",SUMIFS(StockMovements!$I$2:$I$500,StockMovements!$H$2:$H$500,A109,StockMovements!$D$2:$D$500,"issue"))</f>
        <v/>
      </c>
      <c r="E109" s="11">
        <f>IF(OR(A109="",C109="",C109=0,D109=0),"",D109/C109)</f>
        <v/>
      </c>
      <c r="F109" s="11">
        <f>IF(A109="","",WorkOrders!L109)</f>
        <v/>
      </c>
      <c r="G109" s="15">
        <f>IF(OR(E109="",E109=0),"",F109/E109)</f>
        <v/>
      </c>
      <c r="H109" s="11">
        <f>IF(OR(C109="",F109="",F109=0),"",C109*WorkOrders!E109/F109)</f>
        <v/>
      </c>
    </row>
    <row r="110">
      <c r="A110" s="11">
        <f>WorkOrders!A110</f>
        <v/>
      </c>
      <c r="B110" s="11">
        <f>IF(A110="","",WorkOrders!B110)</f>
        <v/>
      </c>
      <c r="C110" s="11">
        <f>IF(A110="","",IFERROR(SUMIFS(BOM!$E$2:$E$500,BOM!$A$2:$A$500,B110),""))</f>
        <v/>
      </c>
      <c r="D110" s="11">
        <f>IF(A110="","",SUMIFS(StockMovements!$I$2:$I$500,StockMovements!$H$2:$H$500,A110,StockMovements!$D$2:$D$500,"issue"))</f>
        <v/>
      </c>
      <c r="E110" s="11">
        <f>IF(OR(A110="",C110="",C110=0,D110=0),"",D110/C110)</f>
        <v/>
      </c>
      <c r="F110" s="11">
        <f>IF(A110="","",WorkOrders!L110)</f>
        <v/>
      </c>
      <c r="G110" s="15">
        <f>IF(OR(E110="",E110=0),"",F110/E110)</f>
        <v/>
      </c>
      <c r="H110" s="11">
        <f>IF(OR(C110="",F110="",F110=0),"",C110*WorkOrders!E110/F110)</f>
        <v/>
      </c>
    </row>
    <row r="111">
      <c r="A111" s="11">
        <f>WorkOrders!A111</f>
        <v/>
      </c>
      <c r="B111" s="11">
        <f>IF(A111="","",WorkOrders!B111)</f>
        <v/>
      </c>
      <c r="C111" s="11">
        <f>IF(A111="","",IFERROR(SUMIFS(BOM!$E$2:$E$500,BOM!$A$2:$A$500,B111),""))</f>
        <v/>
      </c>
      <c r="D111" s="11">
        <f>IF(A111="","",SUMIFS(StockMovements!$I$2:$I$500,StockMovements!$H$2:$H$500,A111,StockMovements!$D$2:$D$500,"issue"))</f>
        <v/>
      </c>
      <c r="E111" s="11">
        <f>IF(OR(A111="",C111="",C111=0,D111=0),"",D111/C111)</f>
        <v/>
      </c>
      <c r="F111" s="11">
        <f>IF(A111="","",WorkOrders!L111)</f>
        <v/>
      </c>
      <c r="G111" s="15">
        <f>IF(OR(E111="",E111=0),"",F111/E111)</f>
        <v/>
      </c>
      <c r="H111" s="11">
        <f>IF(OR(C111="",F111="",F111=0),"",C111*WorkOrders!E111/F111)</f>
        <v/>
      </c>
    </row>
    <row r="112">
      <c r="A112" s="11">
        <f>WorkOrders!A112</f>
        <v/>
      </c>
      <c r="B112" s="11">
        <f>IF(A112="","",WorkOrders!B112)</f>
        <v/>
      </c>
      <c r="C112" s="11">
        <f>IF(A112="","",IFERROR(SUMIFS(BOM!$E$2:$E$500,BOM!$A$2:$A$500,B112),""))</f>
        <v/>
      </c>
      <c r="D112" s="11">
        <f>IF(A112="","",SUMIFS(StockMovements!$I$2:$I$500,StockMovements!$H$2:$H$500,A112,StockMovements!$D$2:$D$500,"issue"))</f>
        <v/>
      </c>
      <c r="E112" s="11">
        <f>IF(OR(A112="",C112="",C112=0,D112=0),"",D112/C112)</f>
        <v/>
      </c>
      <c r="F112" s="11">
        <f>IF(A112="","",WorkOrders!L112)</f>
        <v/>
      </c>
      <c r="G112" s="15">
        <f>IF(OR(E112="",E112=0),"",F112/E112)</f>
        <v/>
      </c>
      <c r="H112" s="11">
        <f>IF(OR(C112="",F112="",F112=0),"",C112*WorkOrders!E112/F112)</f>
        <v/>
      </c>
    </row>
    <row r="113">
      <c r="A113" s="11">
        <f>WorkOrders!A113</f>
        <v/>
      </c>
      <c r="B113" s="11">
        <f>IF(A113="","",WorkOrders!B113)</f>
        <v/>
      </c>
      <c r="C113" s="11">
        <f>IF(A113="","",IFERROR(SUMIFS(BOM!$E$2:$E$500,BOM!$A$2:$A$500,B113),""))</f>
        <v/>
      </c>
      <c r="D113" s="11">
        <f>IF(A113="","",SUMIFS(StockMovements!$I$2:$I$500,StockMovements!$H$2:$H$500,A113,StockMovements!$D$2:$D$500,"issue"))</f>
        <v/>
      </c>
      <c r="E113" s="11">
        <f>IF(OR(A113="",C113="",C113=0,D113=0),"",D113/C113)</f>
        <v/>
      </c>
      <c r="F113" s="11">
        <f>IF(A113="","",WorkOrders!L113)</f>
        <v/>
      </c>
      <c r="G113" s="15">
        <f>IF(OR(E113="",E113=0),"",F113/E113)</f>
        <v/>
      </c>
      <c r="H113" s="11">
        <f>IF(OR(C113="",F113="",F113=0),"",C113*WorkOrders!E113/F113)</f>
        <v/>
      </c>
    </row>
    <row r="114">
      <c r="A114" s="11">
        <f>WorkOrders!A114</f>
        <v/>
      </c>
      <c r="B114" s="11">
        <f>IF(A114="","",WorkOrders!B114)</f>
        <v/>
      </c>
      <c r="C114" s="11">
        <f>IF(A114="","",IFERROR(SUMIFS(BOM!$E$2:$E$500,BOM!$A$2:$A$500,B114),""))</f>
        <v/>
      </c>
      <c r="D114" s="11">
        <f>IF(A114="","",SUMIFS(StockMovements!$I$2:$I$500,StockMovements!$H$2:$H$500,A114,StockMovements!$D$2:$D$500,"issue"))</f>
        <v/>
      </c>
      <c r="E114" s="11">
        <f>IF(OR(A114="",C114="",C114=0,D114=0),"",D114/C114)</f>
        <v/>
      </c>
      <c r="F114" s="11">
        <f>IF(A114="","",WorkOrders!L114)</f>
        <v/>
      </c>
      <c r="G114" s="15">
        <f>IF(OR(E114="",E114=0),"",F114/E114)</f>
        <v/>
      </c>
      <c r="H114" s="11">
        <f>IF(OR(C114="",F114="",F114=0),"",C114*WorkOrders!E114/F114)</f>
        <v/>
      </c>
    </row>
    <row r="115">
      <c r="A115" s="11">
        <f>WorkOrders!A115</f>
        <v/>
      </c>
      <c r="B115" s="11">
        <f>IF(A115="","",WorkOrders!B115)</f>
        <v/>
      </c>
      <c r="C115" s="11">
        <f>IF(A115="","",IFERROR(SUMIFS(BOM!$E$2:$E$500,BOM!$A$2:$A$500,B115),""))</f>
        <v/>
      </c>
      <c r="D115" s="11">
        <f>IF(A115="","",SUMIFS(StockMovements!$I$2:$I$500,StockMovements!$H$2:$H$500,A115,StockMovements!$D$2:$D$500,"issue"))</f>
        <v/>
      </c>
      <c r="E115" s="11">
        <f>IF(OR(A115="",C115="",C115=0,D115=0),"",D115/C115)</f>
        <v/>
      </c>
      <c r="F115" s="11">
        <f>IF(A115="","",WorkOrders!L115)</f>
        <v/>
      </c>
      <c r="G115" s="15">
        <f>IF(OR(E115="",E115=0),"",F115/E115)</f>
        <v/>
      </c>
      <c r="H115" s="11">
        <f>IF(OR(C115="",F115="",F115=0),"",C115*WorkOrders!E115/F115)</f>
        <v/>
      </c>
    </row>
    <row r="116">
      <c r="A116" s="11">
        <f>WorkOrders!A116</f>
        <v/>
      </c>
      <c r="B116" s="11">
        <f>IF(A116="","",WorkOrders!B116)</f>
        <v/>
      </c>
      <c r="C116" s="11">
        <f>IF(A116="","",IFERROR(SUMIFS(BOM!$E$2:$E$500,BOM!$A$2:$A$500,B116),""))</f>
        <v/>
      </c>
      <c r="D116" s="11">
        <f>IF(A116="","",SUMIFS(StockMovements!$I$2:$I$500,StockMovements!$H$2:$H$500,A116,StockMovements!$D$2:$D$500,"issue"))</f>
        <v/>
      </c>
      <c r="E116" s="11">
        <f>IF(OR(A116="",C116="",C116=0,D116=0),"",D116/C116)</f>
        <v/>
      </c>
      <c r="F116" s="11">
        <f>IF(A116="","",WorkOrders!L116)</f>
        <v/>
      </c>
      <c r="G116" s="15">
        <f>IF(OR(E116="",E116=0),"",F116/E116)</f>
        <v/>
      </c>
      <c r="H116" s="11">
        <f>IF(OR(C116="",F116="",F116=0),"",C116*WorkOrders!E116/F116)</f>
        <v/>
      </c>
    </row>
    <row r="117">
      <c r="A117" s="11">
        <f>WorkOrders!A117</f>
        <v/>
      </c>
      <c r="B117" s="11">
        <f>IF(A117="","",WorkOrders!B117)</f>
        <v/>
      </c>
      <c r="C117" s="11">
        <f>IF(A117="","",IFERROR(SUMIFS(BOM!$E$2:$E$500,BOM!$A$2:$A$500,B117),""))</f>
        <v/>
      </c>
      <c r="D117" s="11">
        <f>IF(A117="","",SUMIFS(StockMovements!$I$2:$I$500,StockMovements!$H$2:$H$500,A117,StockMovements!$D$2:$D$500,"issue"))</f>
        <v/>
      </c>
      <c r="E117" s="11">
        <f>IF(OR(A117="",C117="",C117=0,D117=0),"",D117/C117)</f>
        <v/>
      </c>
      <c r="F117" s="11">
        <f>IF(A117="","",WorkOrders!L117)</f>
        <v/>
      </c>
      <c r="G117" s="15">
        <f>IF(OR(E117="",E117=0),"",F117/E117)</f>
        <v/>
      </c>
      <c r="H117" s="11">
        <f>IF(OR(C117="",F117="",F117=0),"",C117*WorkOrders!E117/F117)</f>
        <v/>
      </c>
    </row>
    <row r="118">
      <c r="A118" s="11">
        <f>WorkOrders!A118</f>
        <v/>
      </c>
      <c r="B118" s="11">
        <f>IF(A118="","",WorkOrders!B118)</f>
        <v/>
      </c>
      <c r="C118" s="11">
        <f>IF(A118="","",IFERROR(SUMIFS(BOM!$E$2:$E$500,BOM!$A$2:$A$500,B118),""))</f>
        <v/>
      </c>
      <c r="D118" s="11">
        <f>IF(A118="","",SUMIFS(StockMovements!$I$2:$I$500,StockMovements!$H$2:$H$500,A118,StockMovements!$D$2:$D$500,"issue"))</f>
        <v/>
      </c>
      <c r="E118" s="11">
        <f>IF(OR(A118="",C118="",C118=0,D118=0),"",D118/C118)</f>
        <v/>
      </c>
      <c r="F118" s="11">
        <f>IF(A118="","",WorkOrders!L118)</f>
        <v/>
      </c>
      <c r="G118" s="15">
        <f>IF(OR(E118="",E118=0),"",F118/E118)</f>
        <v/>
      </c>
      <c r="H118" s="11">
        <f>IF(OR(C118="",F118="",F118=0),"",C118*WorkOrders!E118/F118)</f>
        <v/>
      </c>
    </row>
    <row r="119">
      <c r="A119" s="11">
        <f>WorkOrders!A119</f>
        <v/>
      </c>
      <c r="B119" s="11">
        <f>IF(A119="","",WorkOrders!B119)</f>
        <v/>
      </c>
      <c r="C119" s="11">
        <f>IF(A119="","",IFERROR(SUMIFS(BOM!$E$2:$E$500,BOM!$A$2:$A$500,B119),""))</f>
        <v/>
      </c>
      <c r="D119" s="11">
        <f>IF(A119="","",SUMIFS(StockMovements!$I$2:$I$500,StockMovements!$H$2:$H$500,A119,StockMovements!$D$2:$D$500,"issue"))</f>
        <v/>
      </c>
      <c r="E119" s="11">
        <f>IF(OR(A119="",C119="",C119=0,D119=0),"",D119/C119)</f>
        <v/>
      </c>
      <c r="F119" s="11">
        <f>IF(A119="","",WorkOrders!L119)</f>
        <v/>
      </c>
      <c r="G119" s="15">
        <f>IF(OR(E119="",E119=0),"",F119/E119)</f>
        <v/>
      </c>
      <c r="H119" s="11">
        <f>IF(OR(C119="",F119="",F119=0),"",C119*WorkOrders!E119/F119)</f>
        <v/>
      </c>
    </row>
    <row r="120">
      <c r="A120" s="11">
        <f>WorkOrders!A120</f>
        <v/>
      </c>
      <c r="B120" s="11">
        <f>IF(A120="","",WorkOrders!B120)</f>
        <v/>
      </c>
      <c r="C120" s="11">
        <f>IF(A120="","",IFERROR(SUMIFS(BOM!$E$2:$E$500,BOM!$A$2:$A$500,B120),""))</f>
        <v/>
      </c>
      <c r="D120" s="11">
        <f>IF(A120="","",SUMIFS(StockMovements!$I$2:$I$500,StockMovements!$H$2:$H$500,A120,StockMovements!$D$2:$D$500,"issue"))</f>
        <v/>
      </c>
      <c r="E120" s="11">
        <f>IF(OR(A120="",C120="",C120=0,D120=0),"",D120/C120)</f>
        <v/>
      </c>
      <c r="F120" s="11">
        <f>IF(A120="","",WorkOrders!L120)</f>
        <v/>
      </c>
      <c r="G120" s="15">
        <f>IF(OR(E120="",E120=0),"",F120/E120)</f>
        <v/>
      </c>
      <c r="H120" s="11">
        <f>IF(OR(C120="",F120="",F120=0),"",C120*WorkOrders!E120/F120)</f>
        <v/>
      </c>
    </row>
    <row r="121">
      <c r="A121" s="11">
        <f>WorkOrders!A121</f>
        <v/>
      </c>
      <c r="B121" s="11">
        <f>IF(A121="","",WorkOrders!B121)</f>
        <v/>
      </c>
      <c r="C121" s="11">
        <f>IF(A121="","",IFERROR(SUMIFS(BOM!$E$2:$E$500,BOM!$A$2:$A$500,B121),""))</f>
        <v/>
      </c>
      <c r="D121" s="11">
        <f>IF(A121="","",SUMIFS(StockMovements!$I$2:$I$500,StockMovements!$H$2:$H$500,A121,StockMovements!$D$2:$D$500,"issue"))</f>
        <v/>
      </c>
      <c r="E121" s="11">
        <f>IF(OR(A121="",C121="",C121=0,D121=0),"",D121/C121)</f>
        <v/>
      </c>
      <c r="F121" s="11">
        <f>IF(A121="","",WorkOrders!L121)</f>
        <v/>
      </c>
      <c r="G121" s="15">
        <f>IF(OR(E121="",E121=0),"",F121/E121)</f>
        <v/>
      </c>
      <c r="H121" s="11">
        <f>IF(OR(C121="",F121="",F121=0),"",C121*WorkOrders!E121/F121)</f>
        <v/>
      </c>
    </row>
    <row r="122">
      <c r="A122" s="11">
        <f>WorkOrders!A122</f>
        <v/>
      </c>
      <c r="B122" s="11">
        <f>IF(A122="","",WorkOrders!B122)</f>
        <v/>
      </c>
      <c r="C122" s="11">
        <f>IF(A122="","",IFERROR(SUMIFS(BOM!$E$2:$E$500,BOM!$A$2:$A$500,B122),""))</f>
        <v/>
      </c>
      <c r="D122" s="11">
        <f>IF(A122="","",SUMIFS(StockMovements!$I$2:$I$500,StockMovements!$H$2:$H$500,A122,StockMovements!$D$2:$D$500,"issue"))</f>
        <v/>
      </c>
      <c r="E122" s="11">
        <f>IF(OR(A122="",C122="",C122=0,D122=0),"",D122/C122)</f>
        <v/>
      </c>
      <c r="F122" s="11">
        <f>IF(A122="","",WorkOrders!L122)</f>
        <v/>
      </c>
      <c r="G122" s="15">
        <f>IF(OR(E122="",E122=0),"",F122/E122)</f>
        <v/>
      </c>
      <c r="H122" s="11">
        <f>IF(OR(C122="",F122="",F122=0),"",C122*WorkOrders!E122/F122)</f>
        <v/>
      </c>
    </row>
    <row r="123">
      <c r="A123" s="11">
        <f>WorkOrders!A123</f>
        <v/>
      </c>
      <c r="B123" s="11">
        <f>IF(A123="","",WorkOrders!B123)</f>
        <v/>
      </c>
      <c r="C123" s="11">
        <f>IF(A123="","",IFERROR(SUMIFS(BOM!$E$2:$E$500,BOM!$A$2:$A$500,B123),""))</f>
        <v/>
      </c>
      <c r="D123" s="11">
        <f>IF(A123="","",SUMIFS(StockMovements!$I$2:$I$500,StockMovements!$H$2:$H$500,A123,StockMovements!$D$2:$D$500,"issue"))</f>
        <v/>
      </c>
      <c r="E123" s="11">
        <f>IF(OR(A123="",C123="",C123=0,D123=0),"",D123/C123)</f>
        <v/>
      </c>
      <c r="F123" s="11">
        <f>IF(A123="","",WorkOrders!L123)</f>
        <v/>
      </c>
      <c r="G123" s="15">
        <f>IF(OR(E123="",E123=0),"",F123/E123)</f>
        <v/>
      </c>
      <c r="H123" s="11">
        <f>IF(OR(C123="",F123="",F123=0),"",C123*WorkOrders!E123/F123)</f>
        <v/>
      </c>
    </row>
    <row r="124">
      <c r="A124" s="11">
        <f>WorkOrders!A124</f>
        <v/>
      </c>
      <c r="B124" s="11">
        <f>IF(A124="","",WorkOrders!B124)</f>
        <v/>
      </c>
      <c r="C124" s="11">
        <f>IF(A124="","",IFERROR(SUMIFS(BOM!$E$2:$E$500,BOM!$A$2:$A$500,B124),""))</f>
        <v/>
      </c>
      <c r="D124" s="11">
        <f>IF(A124="","",SUMIFS(StockMovements!$I$2:$I$500,StockMovements!$H$2:$H$500,A124,StockMovements!$D$2:$D$500,"issue"))</f>
        <v/>
      </c>
      <c r="E124" s="11">
        <f>IF(OR(A124="",C124="",C124=0,D124=0),"",D124/C124)</f>
        <v/>
      </c>
      <c r="F124" s="11">
        <f>IF(A124="","",WorkOrders!L124)</f>
        <v/>
      </c>
      <c r="G124" s="15">
        <f>IF(OR(E124="",E124=0),"",F124/E124)</f>
        <v/>
      </c>
      <c r="H124" s="11">
        <f>IF(OR(C124="",F124="",F124=0),"",C124*WorkOrders!E124/F124)</f>
        <v/>
      </c>
    </row>
    <row r="125">
      <c r="A125" s="11">
        <f>WorkOrders!A125</f>
        <v/>
      </c>
      <c r="B125" s="11">
        <f>IF(A125="","",WorkOrders!B125)</f>
        <v/>
      </c>
      <c r="C125" s="11">
        <f>IF(A125="","",IFERROR(SUMIFS(BOM!$E$2:$E$500,BOM!$A$2:$A$500,B125),""))</f>
        <v/>
      </c>
      <c r="D125" s="11">
        <f>IF(A125="","",SUMIFS(StockMovements!$I$2:$I$500,StockMovements!$H$2:$H$500,A125,StockMovements!$D$2:$D$500,"issue"))</f>
        <v/>
      </c>
      <c r="E125" s="11">
        <f>IF(OR(A125="",C125="",C125=0,D125=0),"",D125/C125)</f>
        <v/>
      </c>
      <c r="F125" s="11">
        <f>IF(A125="","",WorkOrders!L125)</f>
        <v/>
      </c>
      <c r="G125" s="15">
        <f>IF(OR(E125="",E125=0),"",F125/E125)</f>
        <v/>
      </c>
      <c r="H125" s="11">
        <f>IF(OR(C125="",F125="",F125=0),"",C125*WorkOrders!E125/F125)</f>
        <v/>
      </c>
    </row>
    <row r="126">
      <c r="A126" s="11">
        <f>WorkOrders!A126</f>
        <v/>
      </c>
      <c r="B126" s="11">
        <f>IF(A126="","",WorkOrders!B126)</f>
        <v/>
      </c>
      <c r="C126" s="11">
        <f>IF(A126="","",IFERROR(SUMIFS(BOM!$E$2:$E$500,BOM!$A$2:$A$500,B126),""))</f>
        <v/>
      </c>
      <c r="D126" s="11">
        <f>IF(A126="","",SUMIFS(StockMovements!$I$2:$I$500,StockMovements!$H$2:$H$500,A126,StockMovements!$D$2:$D$500,"issue"))</f>
        <v/>
      </c>
      <c r="E126" s="11">
        <f>IF(OR(A126="",C126="",C126=0,D126=0),"",D126/C126)</f>
        <v/>
      </c>
      <c r="F126" s="11">
        <f>IF(A126="","",WorkOrders!L126)</f>
        <v/>
      </c>
      <c r="G126" s="15">
        <f>IF(OR(E126="",E126=0),"",F126/E126)</f>
        <v/>
      </c>
      <c r="H126" s="11">
        <f>IF(OR(C126="",F126="",F126=0),"",C126*WorkOrders!E126/F126)</f>
        <v/>
      </c>
    </row>
    <row r="127">
      <c r="A127" s="11">
        <f>WorkOrders!A127</f>
        <v/>
      </c>
      <c r="B127" s="11">
        <f>IF(A127="","",WorkOrders!B127)</f>
        <v/>
      </c>
      <c r="C127" s="11">
        <f>IF(A127="","",IFERROR(SUMIFS(BOM!$E$2:$E$500,BOM!$A$2:$A$500,B127),""))</f>
        <v/>
      </c>
      <c r="D127" s="11">
        <f>IF(A127="","",SUMIFS(StockMovements!$I$2:$I$500,StockMovements!$H$2:$H$500,A127,StockMovements!$D$2:$D$500,"issue"))</f>
        <v/>
      </c>
      <c r="E127" s="11">
        <f>IF(OR(A127="",C127="",C127=0,D127=0),"",D127/C127)</f>
        <v/>
      </c>
      <c r="F127" s="11">
        <f>IF(A127="","",WorkOrders!L127)</f>
        <v/>
      </c>
      <c r="G127" s="15">
        <f>IF(OR(E127="",E127=0),"",F127/E127)</f>
        <v/>
      </c>
      <c r="H127" s="11">
        <f>IF(OR(C127="",F127="",F127=0),"",C127*WorkOrders!E127/F127)</f>
        <v/>
      </c>
    </row>
    <row r="128">
      <c r="A128" s="11">
        <f>WorkOrders!A128</f>
        <v/>
      </c>
      <c r="B128" s="11">
        <f>IF(A128="","",WorkOrders!B128)</f>
        <v/>
      </c>
      <c r="C128" s="11">
        <f>IF(A128="","",IFERROR(SUMIFS(BOM!$E$2:$E$500,BOM!$A$2:$A$500,B128),""))</f>
        <v/>
      </c>
      <c r="D128" s="11">
        <f>IF(A128="","",SUMIFS(StockMovements!$I$2:$I$500,StockMovements!$H$2:$H$500,A128,StockMovements!$D$2:$D$500,"issue"))</f>
        <v/>
      </c>
      <c r="E128" s="11">
        <f>IF(OR(A128="",C128="",C128=0,D128=0),"",D128/C128)</f>
        <v/>
      </c>
      <c r="F128" s="11">
        <f>IF(A128="","",WorkOrders!L128)</f>
        <v/>
      </c>
      <c r="G128" s="15">
        <f>IF(OR(E128="",E128=0),"",F128/E128)</f>
        <v/>
      </c>
      <c r="H128" s="11">
        <f>IF(OR(C128="",F128="",F128=0),"",C128*WorkOrders!E128/F128)</f>
        <v/>
      </c>
    </row>
    <row r="129">
      <c r="A129" s="11">
        <f>WorkOrders!A129</f>
        <v/>
      </c>
      <c r="B129" s="11">
        <f>IF(A129="","",WorkOrders!B129)</f>
        <v/>
      </c>
      <c r="C129" s="11">
        <f>IF(A129="","",IFERROR(SUMIFS(BOM!$E$2:$E$500,BOM!$A$2:$A$500,B129),""))</f>
        <v/>
      </c>
      <c r="D129" s="11">
        <f>IF(A129="","",SUMIFS(StockMovements!$I$2:$I$500,StockMovements!$H$2:$H$500,A129,StockMovements!$D$2:$D$500,"issue"))</f>
        <v/>
      </c>
      <c r="E129" s="11">
        <f>IF(OR(A129="",C129="",C129=0,D129=0),"",D129/C129)</f>
        <v/>
      </c>
      <c r="F129" s="11">
        <f>IF(A129="","",WorkOrders!L129)</f>
        <v/>
      </c>
      <c r="G129" s="15">
        <f>IF(OR(E129="",E129=0),"",F129/E129)</f>
        <v/>
      </c>
      <c r="H129" s="11">
        <f>IF(OR(C129="",F129="",F129=0),"",C129*WorkOrders!E129/F129)</f>
        <v/>
      </c>
    </row>
    <row r="130">
      <c r="A130" s="11">
        <f>WorkOrders!A130</f>
        <v/>
      </c>
      <c r="B130" s="11">
        <f>IF(A130="","",WorkOrders!B130)</f>
        <v/>
      </c>
      <c r="C130" s="11">
        <f>IF(A130="","",IFERROR(SUMIFS(BOM!$E$2:$E$500,BOM!$A$2:$A$500,B130),""))</f>
        <v/>
      </c>
      <c r="D130" s="11">
        <f>IF(A130="","",SUMIFS(StockMovements!$I$2:$I$500,StockMovements!$H$2:$H$500,A130,StockMovements!$D$2:$D$500,"issue"))</f>
        <v/>
      </c>
      <c r="E130" s="11">
        <f>IF(OR(A130="",C130="",C130=0,D130=0),"",D130/C130)</f>
        <v/>
      </c>
      <c r="F130" s="11">
        <f>IF(A130="","",WorkOrders!L130)</f>
        <v/>
      </c>
      <c r="G130" s="15">
        <f>IF(OR(E130="",E130=0),"",F130/E130)</f>
        <v/>
      </c>
      <c r="H130" s="11">
        <f>IF(OR(C130="",F130="",F130=0),"",C130*WorkOrders!E130/F130)</f>
        <v/>
      </c>
    </row>
    <row r="131">
      <c r="A131" s="11">
        <f>WorkOrders!A131</f>
        <v/>
      </c>
      <c r="B131" s="11">
        <f>IF(A131="","",WorkOrders!B131)</f>
        <v/>
      </c>
      <c r="C131" s="11">
        <f>IF(A131="","",IFERROR(SUMIFS(BOM!$E$2:$E$500,BOM!$A$2:$A$500,B131),""))</f>
        <v/>
      </c>
      <c r="D131" s="11">
        <f>IF(A131="","",SUMIFS(StockMovements!$I$2:$I$500,StockMovements!$H$2:$H$500,A131,StockMovements!$D$2:$D$500,"issue"))</f>
        <v/>
      </c>
      <c r="E131" s="11">
        <f>IF(OR(A131="",C131="",C131=0,D131=0),"",D131/C131)</f>
        <v/>
      </c>
      <c r="F131" s="11">
        <f>IF(A131="","",WorkOrders!L131)</f>
        <v/>
      </c>
      <c r="G131" s="15">
        <f>IF(OR(E131="",E131=0),"",F131/E131)</f>
        <v/>
      </c>
      <c r="H131" s="11">
        <f>IF(OR(C131="",F131="",F131=0),"",C131*WorkOrders!E131/F131)</f>
        <v/>
      </c>
    </row>
    <row r="132">
      <c r="A132" s="11">
        <f>WorkOrders!A132</f>
        <v/>
      </c>
      <c r="B132" s="11">
        <f>IF(A132="","",WorkOrders!B132)</f>
        <v/>
      </c>
      <c r="C132" s="11">
        <f>IF(A132="","",IFERROR(SUMIFS(BOM!$E$2:$E$500,BOM!$A$2:$A$500,B132),""))</f>
        <v/>
      </c>
      <c r="D132" s="11">
        <f>IF(A132="","",SUMIFS(StockMovements!$I$2:$I$500,StockMovements!$H$2:$H$500,A132,StockMovements!$D$2:$D$500,"issue"))</f>
        <v/>
      </c>
      <c r="E132" s="11">
        <f>IF(OR(A132="",C132="",C132=0,D132=0),"",D132/C132)</f>
        <v/>
      </c>
      <c r="F132" s="11">
        <f>IF(A132="","",WorkOrders!L132)</f>
        <v/>
      </c>
      <c r="G132" s="15">
        <f>IF(OR(E132="",E132=0),"",F132/E132)</f>
        <v/>
      </c>
      <c r="H132" s="11">
        <f>IF(OR(C132="",F132="",F132=0),"",C132*WorkOrders!E132/F132)</f>
        <v/>
      </c>
    </row>
    <row r="133">
      <c r="A133" s="11">
        <f>WorkOrders!A133</f>
        <v/>
      </c>
      <c r="B133" s="11">
        <f>IF(A133="","",WorkOrders!B133)</f>
        <v/>
      </c>
      <c r="C133" s="11">
        <f>IF(A133="","",IFERROR(SUMIFS(BOM!$E$2:$E$500,BOM!$A$2:$A$500,B133),""))</f>
        <v/>
      </c>
      <c r="D133" s="11">
        <f>IF(A133="","",SUMIFS(StockMovements!$I$2:$I$500,StockMovements!$H$2:$H$500,A133,StockMovements!$D$2:$D$500,"issue"))</f>
        <v/>
      </c>
      <c r="E133" s="11">
        <f>IF(OR(A133="",C133="",C133=0,D133=0),"",D133/C133)</f>
        <v/>
      </c>
      <c r="F133" s="11">
        <f>IF(A133="","",WorkOrders!L133)</f>
        <v/>
      </c>
      <c r="G133" s="15">
        <f>IF(OR(E133="",E133=0),"",F133/E133)</f>
        <v/>
      </c>
      <c r="H133" s="11">
        <f>IF(OR(C133="",F133="",F133=0),"",C133*WorkOrders!E133/F133)</f>
        <v/>
      </c>
    </row>
    <row r="134">
      <c r="A134" s="11">
        <f>WorkOrders!A134</f>
        <v/>
      </c>
      <c r="B134" s="11">
        <f>IF(A134="","",WorkOrders!B134)</f>
        <v/>
      </c>
      <c r="C134" s="11">
        <f>IF(A134="","",IFERROR(SUMIFS(BOM!$E$2:$E$500,BOM!$A$2:$A$500,B134),""))</f>
        <v/>
      </c>
      <c r="D134" s="11">
        <f>IF(A134="","",SUMIFS(StockMovements!$I$2:$I$500,StockMovements!$H$2:$H$500,A134,StockMovements!$D$2:$D$500,"issue"))</f>
        <v/>
      </c>
      <c r="E134" s="11">
        <f>IF(OR(A134="",C134="",C134=0,D134=0),"",D134/C134)</f>
        <v/>
      </c>
      <c r="F134" s="11">
        <f>IF(A134="","",WorkOrders!L134)</f>
        <v/>
      </c>
      <c r="G134" s="15">
        <f>IF(OR(E134="",E134=0),"",F134/E134)</f>
        <v/>
      </c>
      <c r="H134" s="11">
        <f>IF(OR(C134="",F134="",F134=0),"",C134*WorkOrders!E134/F134)</f>
        <v/>
      </c>
    </row>
    <row r="135">
      <c r="A135" s="11">
        <f>WorkOrders!A135</f>
        <v/>
      </c>
      <c r="B135" s="11">
        <f>IF(A135="","",WorkOrders!B135)</f>
        <v/>
      </c>
      <c r="C135" s="11">
        <f>IF(A135="","",IFERROR(SUMIFS(BOM!$E$2:$E$500,BOM!$A$2:$A$500,B135),""))</f>
        <v/>
      </c>
      <c r="D135" s="11">
        <f>IF(A135="","",SUMIFS(StockMovements!$I$2:$I$500,StockMovements!$H$2:$H$500,A135,StockMovements!$D$2:$D$500,"issue"))</f>
        <v/>
      </c>
      <c r="E135" s="11">
        <f>IF(OR(A135="",C135="",C135=0,D135=0),"",D135/C135)</f>
        <v/>
      </c>
      <c r="F135" s="11">
        <f>IF(A135="","",WorkOrders!L135)</f>
        <v/>
      </c>
      <c r="G135" s="15">
        <f>IF(OR(E135="",E135=0),"",F135/E135)</f>
        <v/>
      </c>
      <c r="H135" s="11">
        <f>IF(OR(C135="",F135="",F135=0),"",C135*WorkOrders!E135/F135)</f>
        <v/>
      </c>
    </row>
    <row r="136">
      <c r="A136" s="11">
        <f>WorkOrders!A136</f>
        <v/>
      </c>
      <c r="B136" s="11">
        <f>IF(A136="","",WorkOrders!B136)</f>
        <v/>
      </c>
      <c r="C136" s="11">
        <f>IF(A136="","",IFERROR(SUMIFS(BOM!$E$2:$E$500,BOM!$A$2:$A$500,B136),""))</f>
        <v/>
      </c>
      <c r="D136" s="11">
        <f>IF(A136="","",SUMIFS(StockMovements!$I$2:$I$500,StockMovements!$H$2:$H$500,A136,StockMovements!$D$2:$D$500,"issue"))</f>
        <v/>
      </c>
      <c r="E136" s="11">
        <f>IF(OR(A136="",C136="",C136=0,D136=0),"",D136/C136)</f>
        <v/>
      </c>
      <c r="F136" s="11">
        <f>IF(A136="","",WorkOrders!L136)</f>
        <v/>
      </c>
      <c r="G136" s="15">
        <f>IF(OR(E136="",E136=0),"",F136/E136)</f>
        <v/>
      </c>
      <c r="H136" s="11">
        <f>IF(OR(C136="",F136="",F136=0),"",C136*WorkOrders!E136/F136)</f>
        <v/>
      </c>
    </row>
    <row r="137">
      <c r="A137" s="11">
        <f>WorkOrders!A137</f>
        <v/>
      </c>
      <c r="B137" s="11">
        <f>IF(A137="","",WorkOrders!B137)</f>
        <v/>
      </c>
      <c r="C137" s="11">
        <f>IF(A137="","",IFERROR(SUMIFS(BOM!$E$2:$E$500,BOM!$A$2:$A$500,B137),""))</f>
        <v/>
      </c>
      <c r="D137" s="11">
        <f>IF(A137="","",SUMIFS(StockMovements!$I$2:$I$500,StockMovements!$H$2:$H$500,A137,StockMovements!$D$2:$D$500,"issue"))</f>
        <v/>
      </c>
      <c r="E137" s="11">
        <f>IF(OR(A137="",C137="",C137=0,D137=0),"",D137/C137)</f>
        <v/>
      </c>
      <c r="F137" s="11">
        <f>IF(A137="","",WorkOrders!L137)</f>
        <v/>
      </c>
      <c r="G137" s="15">
        <f>IF(OR(E137="",E137=0),"",F137/E137)</f>
        <v/>
      </c>
      <c r="H137" s="11">
        <f>IF(OR(C137="",F137="",F137=0),"",C137*WorkOrders!E137/F137)</f>
        <v/>
      </c>
    </row>
    <row r="138">
      <c r="A138" s="11">
        <f>WorkOrders!A138</f>
        <v/>
      </c>
      <c r="B138" s="11">
        <f>IF(A138="","",WorkOrders!B138)</f>
        <v/>
      </c>
      <c r="C138" s="11">
        <f>IF(A138="","",IFERROR(SUMIFS(BOM!$E$2:$E$500,BOM!$A$2:$A$500,B138),""))</f>
        <v/>
      </c>
      <c r="D138" s="11">
        <f>IF(A138="","",SUMIFS(StockMovements!$I$2:$I$500,StockMovements!$H$2:$H$500,A138,StockMovements!$D$2:$D$500,"issue"))</f>
        <v/>
      </c>
      <c r="E138" s="11">
        <f>IF(OR(A138="",C138="",C138=0,D138=0),"",D138/C138)</f>
        <v/>
      </c>
      <c r="F138" s="11">
        <f>IF(A138="","",WorkOrders!L138)</f>
        <v/>
      </c>
      <c r="G138" s="15">
        <f>IF(OR(E138="",E138=0),"",F138/E138)</f>
        <v/>
      </c>
      <c r="H138" s="11">
        <f>IF(OR(C138="",F138="",F138=0),"",C138*WorkOrders!E138/F138)</f>
        <v/>
      </c>
    </row>
    <row r="139">
      <c r="A139" s="11">
        <f>WorkOrders!A139</f>
        <v/>
      </c>
      <c r="B139" s="11">
        <f>IF(A139="","",WorkOrders!B139)</f>
        <v/>
      </c>
      <c r="C139" s="11">
        <f>IF(A139="","",IFERROR(SUMIFS(BOM!$E$2:$E$500,BOM!$A$2:$A$500,B139),""))</f>
        <v/>
      </c>
      <c r="D139" s="11">
        <f>IF(A139="","",SUMIFS(StockMovements!$I$2:$I$500,StockMovements!$H$2:$H$500,A139,StockMovements!$D$2:$D$500,"issue"))</f>
        <v/>
      </c>
      <c r="E139" s="11">
        <f>IF(OR(A139="",C139="",C139=0,D139=0),"",D139/C139)</f>
        <v/>
      </c>
      <c r="F139" s="11">
        <f>IF(A139="","",WorkOrders!L139)</f>
        <v/>
      </c>
      <c r="G139" s="15">
        <f>IF(OR(E139="",E139=0),"",F139/E139)</f>
        <v/>
      </c>
      <c r="H139" s="11">
        <f>IF(OR(C139="",F139="",F139=0),"",C139*WorkOrders!E139/F139)</f>
        <v/>
      </c>
    </row>
    <row r="140">
      <c r="A140" s="11">
        <f>WorkOrders!A140</f>
        <v/>
      </c>
      <c r="B140" s="11">
        <f>IF(A140="","",WorkOrders!B140)</f>
        <v/>
      </c>
      <c r="C140" s="11">
        <f>IF(A140="","",IFERROR(SUMIFS(BOM!$E$2:$E$500,BOM!$A$2:$A$500,B140),""))</f>
        <v/>
      </c>
      <c r="D140" s="11">
        <f>IF(A140="","",SUMIFS(StockMovements!$I$2:$I$500,StockMovements!$H$2:$H$500,A140,StockMovements!$D$2:$D$500,"issue"))</f>
        <v/>
      </c>
      <c r="E140" s="11">
        <f>IF(OR(A140="",C140="",C140=0,D140=0),"",D140/C140)</f>
        <v/>
      </c>
      <c r="F140" s="11">
        <f>IF(A140="","",WorkOrders!L140)</f>
        <v/>
      </c>
      <c r="G140" s="15">
        <f>IF(OR(E140="",E140=0),"",F140/E140)</f>
        <v/>
      </c>
      <c r="H140" s="11">
        <f>IF(OR(C140="",F140="",F140=0),"",C140*WorkOrders!E140/F140)</f>
        <v/>
      </c>
    </row>
    <row r="141">
      <c r="A141" s="11">
        <f>WorkOrders!A141</f>
        <v/>
      </c>
      <c r="B141" s="11">
        <f>IF(A141="","",WorkOrders!B141)</f>
        <v/>
      </c>
      <c r="C141" s="11">
        <f>IF(A141="","",IFERROR(SUMIFS(BOM!$E$2:$E$500,BOM!$A$2:$A$500,B141),""))</f>
        <v/>
      </c>
      <c r="D141" s="11">
        <f>IF(A141="","",SUMIFS(StockMovements!$I$2:$I$500,StockMovements!$H$2:$H$500,A141,StockMovements!$D$2:$D$500,"issue"))</f>
        <v/>
      </c>
      <c r="E141" s="11">
        <f>IF(OR(A141="",C141="",C141=0,D141=0),"",D141/C141)</f>
        <v/>
      </c>
      <c r="F141" s="11">
        <f>IF(A141="","",WorkOrders!L141)</f>
        <v/>
      </c>
      <c r="G141" s="15">
        <f>IF(OR(E141="",E141=0),"",F141/E141)</f>
        <v/>
      </c>
      <c r="H141" s="11">
        <f>IF(OR(C141="",F141="",F141=0),"",C141*WorkOrders!E141/F141)</f>
        <v/>
      </c>
    </row>
    <row r="142">
      <c r="A142" s="11">
        <f>WorkOrders!A142</f>
        <v/>
      </c>
      <c r="B142" s="11">
        <f>IF(A142="","",WorkOrders!B142)</f>
        <v/>
      </c>
      <c r="C142" s="11">
        <f>IF(A142="","",IFERROR(SUMIFS(BOM!$E$2:$E$500,BOM!$A$2:$A$500,B142),""))</f>
        <v/>
      </c>
      <c r="D142" s="11">
        <f>IF(A142="","",SUMIFS(StockMovements!$I$2:$I$500,StockMovements!$H$2:$H$500,A142,StockMovements!$D$2:$D$500,"issue"))</f>
        <v/>
      </c>
      <c r="E142" s="11">
        <f>IF(OR(A142="",C142="",C142=0,D142=0),"",D142/C142)</f>
        <v/>
      </c>
      <c r="F142" s="11">
        <f>IF(A142="","",WorkOrders!L142)</f>
        <v/>
      </c>
      <c r="G142" s="15">
        <f>IF(OR(E142="",E142=0),"",F142/E142)</f>
        <v/>
      </c>
      <c r="H142" s="11">
        <f>IF(OR(C142="",F142="",F142=0),"",C142*WorkOrders!E142/F142)</f>
        <v/>
      </c>
    </row>
    <row r="143">
      <c r="A143" s="11">
        <f>WorkOrders!A143</f>
        <v/>
      </c>
      <c r="B143" s="11">
        <f>IF(A143="","",WorkOrders!B143)</f>
        <v/>
      </c>
      <c r="C143" s="11">
        <f>IF(A143="","",IFERROR(SUMIFS(BOM!$E$2:$E$500,BOM!$A$2:$A$500,B143),""))</f>
        <v/>
      </c>
      <c r="D143" s="11">
        <f>IF(A143="","",SUMIFS(StockMovements!$I$2:$I$500,StockMovements!$H$2:$H$500,A143,StockMovements!$D$2:$D$500,"issue"))</f>
        <v/>
      </c>
      <c r="E143" s="11">
        <f>IF(OR(A143="",C143="",C143=0,D143=0),"",D143/C143)</f>
        <v/>
      </c>
      <c r="F143" s="11">
        <f>IF(A143="","",WorkOrders!L143)</f>
        <v/>
      </c>
      <c r="G143" s="15">
        <f>IF(OR(E143="",E143=0),"",F143/E143)</f>
        <v/>
      </c>
      <c r="H143" s="11">
        <f>IF(OR(C143="",F143="",F143=0),"",C143*WorkOrders!E143/F143)</f>
        <v/>
      </c>
    </row>
    <row r="144">
      <c r="A144" s="11">
        <f>WorkOrders!A144</f>
        <v/>
      </c>
      <c r="B144" s="11">
        <f>IF(A144="","",WorkOrders!B144)</f>
        <v/>
      </c>
      <c r="C144" s="11">
        <f>IF(A144="","",IFERROR(SUMIFS(BOM!$E$2:$E$500,BOM!$A$2:$A$500,B144),""))</f>
        <v/>
      </c>
      <c r="D144" s="11">
        <f>IF(A144="","",SUMIFS(StockMovements!$I$2:$I$500,StockMovements!$H$2:$H$500,A144,StockMovements!$D$2:$D$500,"issue"))</f>
        <v/>
      </c>
      <c r="E144" s="11">
        <f>IF(OR(A144="",C144="",C144=0,D144=0),"",D144/C144)</f>
        <v/>
      </c>
      <c r="F144" s="11">
        <f>IF(A144="","",WorkOrders!L144)</f>
        <v/>
      </c>
      <c r="G144" s="15">
        <f>IF(OR(E144="",E144=0),"",F144/E144)</f>
        <v/>
      </c>
      <c r="H144" s="11">
        <f>IF(OR(C144="",F144="",F144=0),"",C144*WorkOrders!E144/F144)</f>
        <v/>
      </c>
    </row>
    <row r="145">
      <c r="A145" s="11">
        <f>WorkOrders!A145</f>
        <v/>
      </c>
      <c r="B145" s="11">
        <f>IF(A145="","",WorkOrders!B145)</f>
        <v/>
      </c>
      <c r="C145" s="11">
        <f>IF(A145="","",IFERROR(SUMIFS(BOM!$E$2:$E$500,BOM!$A$2:$A$500,B145),""))</f>
        <v/>
      </c>
      <c r="D145" s="11">
        <f>IF(A145="","",SUMIFS(StockMovements!$I$2:$I$500,StockMovements!$H$2:$H$500,A145,StockMovements!$D$2:$D$500,"issue"))</f>
        <v/>
      </c>
      <c r="E145" s="11">
        <f>IF(OR(A145="",C145="",C145=0,D145=0),"",D145/C145)</f>
        <v/>
      </c>
      <c r="F145" s="11">
        <f>IF(A145="","",WorkOrders!L145)</f>
        <v/>
      </c>
      <c r="G145" s="15">
        <f>IF(OR(E145="",E145=0),"",F145/E145)</f>
        <v/>
      </c>
      <c r="H145" s="11">
        <f>IF(OR(C145="",F145="",F145=0),"",C145*WorkOrders!E145/F145)</f>
        <v/>
      </c>
    </row>
    <row r="146">
      <c r="A146" s="11">
        <f>WorkOrders!A146</f>
        <v/>
      </c>
      <c r="B146" s="11">
        <f>IF(A146="","",WorkOrders!B146)</f>
        <v/>
      </c>
      <c r="C146" s="11">
        <f>IF(A146="","",IFERROR(SUMIFS(BOM!$E$2:$E$500,BOM!$A$2:$A$500,B146),""))</f>
        <v/>
      </c>
      <c r="D146" s="11">
        <f>IF(A146="","",SUMIFS(StockMovements!$I$2:$I$500,StockMovements!$H$2:$H$500,A146,StockMovements!$D$2:$D$500,"issue"))</f>
        <v/>
      </c>
      <c r="E146" s="11">
        <f>IF(OR(A146="",C146="",C146=0,D146=0),"",D146/C146)</f>
        <v/>
      </c>
      <c r="F146" s="11">
        <f>IF(A146="","",WorkOrders!L146)</f>
        <v/>
      </c>
      <c r="G146" s="15">
        <f>IF(OR(E146="",E146=0),"",F146/E146)</f>
        <v/>
      </c>
      <c r="H146" s="11">
        <f>IF(OR(C146="",F146="",F146=0),"",C146*WorkOrders!E146/F146)</f>
        <v/>
      </c>
    </row>
    <row r="147">
      <c r="A147" s="11">
        <f>WorkOrders!A147</f>
        <v/>
      </c>
      <c r="B147" s="11">
        <f>IF(A147="","",WorkOrders!B147)</f>
        <v/>
      </c>
      <c r="C147" s="11">
        <f>IF(A147="","",IFERROR(SUMIFS(BOM!$E$2:$E$500,BOM!$A$2:$A$500,B147),""))</f>
        <v/>
      </c>
      <c r="D147" s="11">
        <f>IF(A147="","",SUMIFS(StockMovements!$I$2:$I$500,StockMovements!$H$2:$H$500,A147,StockMovements!$D$2:$D$500,"issue"))</f>
        <v/>
      </c>
      <c r="E147" s="11">
        <f>IF(OR(A147="",C147="",C147=0,D147=0),"",D147/C147)</f>
        <v/>
      </c>
      <c r="F147" s="11">
        <f>IF(A147="","",WorkOrders!L147)</f>
        <v/>
      </c>
      <c r="G147" s="15">
        <f>IF(OR(E147="",E147=0),"",F147/E147)</f>
        <v/>
      </c>
      <c r="H147" s="11">
        <f>IF(OR(C147="",F147="",F147=0),"",C147*WorkOrders!E147/F147)</f>
        <v/>
      </c>
    </row>
    <row r="148">
      <c r="A148" s="11">
        <f>WorkOrders!A148</f>
        <v/>
      </c>
      <c r="B148" s="11">
        <f>IF(A148="","",WorkOrders!B148)</f>
        <v/>
      </c>
      <c r="C148" s="11">
        <f>IF(A148="","",IFERROR(SUMIFS(BOM!$E$2:$E$500,BOM!$A$2:$A$500,B148),""))</f>
        <v/>
      </c>
      <c r="D148" s="11">
        <f>IF(A148="","",SUMIFS(StockMovements!$I$2:$I$500,StockMovements!$H$2:$H$500,A148,StockMovements!$D$2:$D$500,"issue"))</f>
        <v/>
      </c>
      <c r="E148" s="11">
        <f>IF(OR(A148="",C148="",C148=0,D148=0),"",D148/C148)</f>
        <v/>
      </c>
      <c r="F148" s="11">
        <f>IF(A148="","",WorkOrders!L148)</f>
        <v/>
      </c>
      <c r="G148" s="15">
        <f>IF(OR(E148="",E148=0),"",F148/E148)</f>
        <v/>
      </c>
      <c r="H148" s="11">
        <f>IF(OR(C148="",F148="",F148=0),"",C148*WorkOrders!E148/F148)</f>
        <v/>
      </c>
    </row>
    <row r="149">
      <c r="A149" s="11">
        <f>WorkOrders!A149</f>
        <v/>
      </c>
      <c r="B149" s="11">
        <f>IF(A149="","",WorkOrders!B149)</f>
        <v/>
      </c>
      <c r="C149" s="11">
        <f>IF(A149="","",IFERROR(SUMIFS(BOM!$E$2:$E$500,BOM!$A$2:$A$500,B149),""))</f>
        <v/>
      </c>
      <c r="D149" s="11">
        <f>IF(A149="","",SUMIFS(StockMovements!$I$2:$I$500,StockMovements!$H$2:$H$500,A149,StockMovements!$D$2:$D$500,"issue"))</f>
        <v/>
      </c>
      <c r="E149" s="11">
        <f>IF(OR(A149="",C149="",C149=0,D149=0),"",D149/C149)</f>
        <v/>
      </c>
      <c r="F149" s="11">
        <f>IF(A149="","",WorkOrders!L149)</f>
        <v/>
      </c>
      <c r="G149" s="15">
        <f>IF(OR(E149="",E149=0),"",F149/E149)</f>
        <v/>
      </c>
      <c r="H149" s="11">
        <f>IF(OR(C149="",F149="",F149=0),"",C149*WorkOrders!E149/F149)</f>
        <v/>
      </c>
    </row>
    <row r="150">
      <c r="A150" s="11">
        <f>WorkOrders!A150</f>
        <v/>
      </c>
      <c r="B150" s="11">
        <f>IF(A150="","",WorkOrders!B150)</f>
        <v/>
      </c>
      <c r="C150" s="11">
        <f>IF(A150="","",IFERROR(SUMIFS(BOM!$E$2:$E$500,BOM!$A$2:$A$500,B150),""))</f>
        <v/>
      </c>
      <c r="D150" s="11">
        <f>IF(A150="","",SUMIFS(StockMovements!$I$2:$I$500,StockMovements!$H$2:$H$500,A150,StockMovements!$D$2:$D$500,"issue"))</f>
        <v/>
      </c>
      <c r="E150" s="11">
        <f>IF(OR(A150="",C150="",C150=0,D150=0),"",D150/C150)</f>
        <v/>
      </c>
      <c r="F150" s="11">
        <f>IF(A150="","",WorkOrders!L150)</f>
        <v/>
      </c>
      <c r="G150" s="15">
        <f>IF(OR(E150="",E150=0),"",F150/E150)</f>
        <v/>
      </c>
      <c r="H150" s="11">
        <f>IF(OR(C150="",F150="",F150=0),"",C150*WorkOrders!E150/F150)</f>
        <v/>
      </c>
    </row>
    <row r="151">
      <c r="A151" s="11">
        <f>WorkOrders!A151</f>
        <v/>
      </c>
      <c r="B151" s="11">
        <f>IF(A151="","",WorkOrders!B151)</f>
        <v/>
      </c>
      <c r="C151" s="11">
        <f>IF(A151="","",IFERROR(SUMIFS(BOM!$E$2:$E$500,BOM!$A$2:$A$500,B151),""))</f>
        <v/>
      </c>
      <c r="D151" s="11">
        <f>IF(A151="","",SUMIFS(StockMovements!$I$2:$I$500,StockMovements!$H$2:$H$500,A151,StockMovements!$D$2:$D$500,"issue"))</f>
        <v/>
      </c>
      <c r="E151" s="11">
        <f>IF(OR(A151="",C151="",C151=0,D151=0),"",D151/C151)</f>
        <v/>
      </c>
      <c r="F151" s="11">
        <f>IF(A151="","",WorkOrders!L151)</f>
        <v/>
      </c>
      <c r="G151" s="15">
        <f>IF(OR(E151="",E151=0),"",F151/E151)</f>
        <v/>
      </c>
      <c r="H151" s="11">
        <f>IF(OR(C151="",F151="",F151=0),"",C151*WorkOrders!E151/F151)</f>
        <v/>
      </c>
    </row>
    <row r="152">
      <c r="A152" s="11">
        <f>WorkOrders!A152</f>
        <v/>
      </c>
      <c r="B152" s="11">
        <f>IF(A152="","",WorkOrders!B152)</f>
        <v/>
      </c>
      <c r="C152" s="11">
        <f>IF(A152="","",IFERROR(SUMIFS(BOM!$E$2:$E$500,BOM!$A$2:$A$500,B152),""))</f>
        <v/>
      </c>
      <c r="D152" s="11">
        <f>IF(A152="","",SUMIFS(StockMovements!$I$2:$I$500,StockMovements!$H$2:$H$500,A152,StockMovements!$D$2:$D$500,"issue"))</f>
        <v/>
      </c>
      <c r="E152" s="11">
        <f>IF(OR(A152="",C152="",C152=0,D152=0),"",D152/C152)</f>
        <v/>
      </c>
      <c r="F152" s="11">
        <f>IF(A152="","",WorkOrders!L152)</f>
        <v/>
      </c>
      <c r="G152" s="15">
        <f>IF(OR(E152="",E152=0),"",F152/E152)</f>
        <v/>
      </c>
      <c r="H152" s="11">
        <f>IF(OR(C152="",F152="",F152=0),"",C152*WorkOrders!E152/F152)</f>
        <v/>
      </c>
    </row>
    <row r="153">
      <c r="A153" s="11">
        <f>WorkOrders!A153</f>
        <v/>
      </c>
      <c r="B153" s="11">
        <f>IF(A153="","",WorkOrders!B153)</f>
        <v/>
      </c>
      <c r="C153" s="11">
        <f>IF(A153="","",IFERROR(SUMIFS(BOM!$E$2:$E$500,BOM!$A$2:$A$500,B153),""))</f>
        <v/>
      </c>
      <c r="D153" s="11">
        <f>IF(A153="","",SUMIFS(StockMovements!$I$2:$I$500,StockMovements!$H$2:$H$500,A153,StockMovements!$D$2:$D$500,"issue"))</f>
        <v/>
      </c>
      <c r="E153" s="11">
        <f>IF(OR(A153="",C153="",C153=0,D153=0),"",D153/C153)</f>
        <v/>
      </c>
      <c r="F153" s="11">
        <f>IF(A153="","",WorkOrders!L153)</f>
        <v/>
      </c>
      <c r="G153" s="15">
        <f>IF(OR(E153="",E153=0),"",F153/E153)</f>
        <v/>
      </c>
      <c r="H153" s="11">
        <f>IF(OR(C153="",F153="",F153=0),"",C153*WorkOrders!E153/F153)</f>
        <v/>
      </c>
    </row>
    <row r="154">
      <c r="A154" s="11">
        <f>WorkOrders!A154</f>
        <v/>
      </c>
      <c r="B154" s="11">
        <f>IF(A154="","",WorkOrders!B154)</f>
        <v/>
      </c>
      <c r="C154" s="11">
        <f>IF(A154="","",IFERROR(SUMIFS(BOM!$E$2:$E$500,BOM!$A$2:$A$500,B154),""))</f>
        <v/>
      </c>
      <c r="D154" s="11">
        <f>IF(A154="","",SUMIFS(StockMovements!$I$2:$I$500,StockMovements!$H$2:$H$500,A154,StockMovements!$D$2:$D$500,"issue"))</f>
        <v/>
      </c>
      <c r="E154" s="11">
        <f>IF(OR(A154="",C154="",C154=0,D154=0),"",D154/C154)</f>
        <v/>
      </c>
      <c r="F154" s="11">
        <f>IF(A154="","",WorkOrders!L154)</f>
        <v/>
      </c>
      <c r="G154" s="15">
        <f>IF(OR(E154="",E154=0),"",F154/E154)</f>
        <v/>
      </c>
      <c r="H154" s="11">
        <f>IF(OR(C154="",F154="",F154=0),"",C154*WorkOrders!E154/F154)</f>
        <v/>
      </c>
    </row>
    <row r="155">
      <c r="A155" s="11">
        <f>WorkOrders!A155</f>
        <v/>
      </c>
      <c r="B155" s="11">
        <f>IF(A155="","",WorkOrders!B155)</f>
        <v/>
      </c>
      <c r="C155" s="11">
        <f>IF(A155="","",IFERROR(SUMIFS(BOM!$E$2:$E$500,BOM!$A$2:$A$500,B155),""))</f>
        <v/>
      </c>
      <c r="D155" s="11">
        <f>IF(A155="","",SUMIFS(StockMovements!$I$2:$I$500,StockMovements!$H$2:$H$500,A155,StockMovements!$D$2:$D$500,"issue"))</f>
        <v/>
      </c>
      <c r="E155" s="11">
        <f>IF(OR(A155="",C155="",C155=0,D155=0),"",D155/C155)</f>
        <v/>
      </c>
      <c r="F155" s="11">
        <f>IF(A155="","",WorkOrders!L155)</f>
        <v/>
      </c>
      <c r="G155" s="15">
        <f>IF(OR(E155="",E155=0),"",F155/E155)</f>
        <v/>
      </c>
      <c r="H155" s="11">
        <f>IF(OR(C155="",F155="",F155=0),"",C155*WorkOrders!E155/F155)</f>
        <v/>
      </c>
    </row>
    <row r="156">
      <c r="A156" s="11">
        <f>WorkOrders!A156</f>
        <v/>
      </c>
      <c r="B156" s="11">
        <f>IF(A156="","",WorkOrders!B156)</f>
        <v/>
      </c>
      <c r="C156" s="11">
        <f>IF(A156="","",IFERROR(SUMIFS(BOM!$E$2:$E$500,BOM!$A$2:$A$500,B156),""))</f>
        <v/>
      </c>
      <c r="D156" s="11">
        <f>IF(A156="","",SUMIFS(StockMovements!$I$2:$I$500,StockMovements!$H$2:$H$500,A156,StockMovements!$D$2:$D$500,"issue"))</f>
        <v/>
      </c>
      <c r="E156" s="11">
        <f>IF(OR(A156="",C156="",C156=0,D156=0),"",D156/C156)</f>
        <v/>
      </c>
      <c r="F156" s="11">
        <f>IF(A156="","",WorkOrders!L156)</f>
        <v/>
      </c>
      <c r="G156" s="15">
        <f>IF(OR(E156="",E156=0),"",F156/E156)</f>
        <v/>
      </c>
      <c r="H156" s="11">
        <f>IF(OR(C156="",F156="",F156=0),"",C156*WorkOrders!E156/F156)</f>
        <v/>
      </c>
    </row>
    <row r="157">
      <c r="A157" s="11">
        <f>WorkOrders!A157</f>
        <v/>
      </c>
      <c r="B157" s="11">
        <f>IF(A157="","",WorkOrders!B157)</f>
        <v/>
      </c>
      <c r="C157" s="11">
        <f>IF(A157="","",IFERROR(SUMIFS(BOM!$E$2:$E$500,BOM!$A$2:$A$500,B157),""))</f>
        <v/>
      </c>
      <c r="D157" s="11">
        <f>IF(A157="","",SUMIFS(StockMovements!$I$2:$I$500,StockMovements!$H$2:$H$500,A157,StockMovements!$D$2:$D$500,"issue"))</f>
        <v/>
      </c>
      <c r="E157" s="11">
        <f>IF(OR(A157="",C157="",C157=0,D157=0),"",D157/C157)</f>
        <v/>
      </c>
      <c r="F157" s="11">
        <f>IF(A157="","",WorkOrders!L157)</f>
        <v/>
      </c>
      <c r="G157" s="15">
        <f>IF(OR(E157="",E157=0),"",F157/E157)</f>
        <v/>
      </c>
      <c r="H157" s="11">
        <f>IF(OR(C157="",F157="",F157=0),"",C157*WorkOrders!E157/F157)</f>
        <v/>
      </c>
    </row>
    <row r="158">
      <c r="A158" s="11">
        <f>WorkOrders!A158</f>
        <v/>
      </c>
      <c r="B158" s="11">
        <f>IF(A158="","",WorkOrders!B158)</f>
        <v/>
      </c>
      <c r="C158" s="11">
        <f>IF(A158="","",IFERROR(SUMIFS(BOM!$E$2:$E$500,BOM!$A$2:$A$500,B158),""))</f>
        <v/>
      </c>
      <c r="D158" s="11">
        <f>IF(A158="","",SUMIFS(StockMovements!$I$2:$I$500,StockMovements!$H$2:$H$500,A158,StockMovements!$D$2:$D$500,"issue"))</f>
        <v/>
      </c>
      <c r="E158" s="11">
        <f>IF(OR(A158="",C158="",C158=0,D158=0),"",D158/C158)</f>
        <v/>
      </c>
      <c r="F158" s="11">
        <f>IF(A158="","",WorkOrders!L158)</f>
        <v/>
      </c>
      <c r="G158" s="15">
        <f>IF(OR(E158="",E158=0),"",F158/E158)</f>
        <v/>
      </c>
      <c r="H158" s="11">
        <f>IF(OR(C158="",F158="",F158=0),"",C158*WorkOrders!E158/F158)</f>
        <v/>
      </c>
    </row>
    <row r="159">
      <c r="A159" s="11">
        <f>WorkOrders!A159</f>
        <v/>
      </c>
      <c r="B159" s="11">
        <f>IF(A159="","",WorkOrders!B159)</f>
        <v/>
      </c>
      <c r="C159" s="11">
        <f>IF(A159="","",IFERROR(SUMIFS(BOM!$E$2:$E$500,BOM!$A$2:$A$500,B159),""))</f>
        <v/>
      </c>
      <c r="D159" s="11">
        <f>IF(A159="","",SUMIFS(StockMovements!$I$2:$I$500,StockMovements!$H$2:$H$500,A159,StockMovements!$D$2:$D$500,"issue"))</f>
        <v/>
      </c>
      <c r="E159" s="11">
        <f>IF(OR(A159="",C159="",C159=0,D159=0),"",D159/C159)</f>
        <v/>
      </c>
      <c r="F159" s="11">
        <f>IF(A159="","",WorkOrders!L159)</f>
        <v/>
      </c>
      <c r="G159" s="15">
        <f>IF(OR(E159="",E159=0),"",F159/E159)</f>
        <v/>
      </c>
      <c r="H159" s="11">
        <f>IF(OR(C159="",F159="",F159=0),"",C159*WorkOrders!E159/F159)</f>
        <v/>
      </c>
    </row>
    <row r="160">
      <c r="A160" s="11">
        <f>WorkOrders!A160</f>
        <v/>
      </c>
      <c r="B160" s="11">
        <f>IF(A160="","",WorkOrders!B160)</f>
        <v/>
      </c>
      <c r="C160" s="11">
        <f>IF(A160="","",IFERROR(SUMIFS(BOM!$E$2:$E$500,BOM!$A$2:$A$500,B160),""))</f>
        <v/>
      </c>
      <c r="D160" s="11">
        <f>IF(A160="","",SUMIFS(StockMovements!$I$2:$I$500,StockMovements!$H$2:$H$500,A160,StockMovements!$D$2:$D$500,"issue"))</f>
        <v/>
      </c>
      <c r="E160" s="11">
        <f>IF(OR(A160="",C160="",C160=0,D160=0),"",D160/C160)</f>
        <v/>
      </c>
      <c r="F160" s="11">
        <f>IF(A160="","",WorkOrders!L160)</f>
        <v/>
      </c>
      <c r="G160" s="15">
        <f>IF(OR(E160="",E160=0),"",F160/E160)</f>
        <v/>
      </c>
      <c r="H160" s="11">
        <f>IF(OR(C160="",F160="",F160=0),"",C160*WorkOrders!E160/F160)</f>
        <v/>
      </c>
    </row>
    <row r="161">
      <c r="A161" s="11">
        <f>WorkOrders!A161</f>
        <v/>
      </c>
      <c r="B161" s="11">
        <f>IF(A161="","",WorkOrders!B161)</f>
        <v/>
      </c>
      <c r="C161" s="11">
        <f>IF(A161="","",IFERROR(SUMIFS(BOM!$E$2:$E$500,BOM!$A$2:$A$500,B161),""))</f>
        <v/>
      </c>
      <c r="D161" s="11">
        <f>IF(A161="","",SUMIFS(StockMovements!$I$2:$I$500,StockMovements!$H$2:$H$500,A161,StockMovements!$D$2:$D$500,"issue"))</f>
        <v/>
      </c>
      <c r="E161" s="11">
        <f>IF(OR(A161="",C161="",C161=0,D161=0),"",D161/C161)</f>
        <v/>
      </c>
      <c r="F161" s="11">
        <f>IF(A161="","",WorkOrders!L161)</f>
        <v/>
      </c>
      <c r="G161" s="15">
        <f>IF(OR(E161="",E161=0),"",F161/E161)</f>
        <v/>
      </c>
      <c r="H161" s="11">
        <f>IF(OR(C161="",F161="",F161=0),"",C161*WorkOrders!E161/F161)</f>
        <v/>
      </c>
    </row>
    <row r="162">
      <c r="A162" s="11">
        <f>WorkOrders!A162</f>
        <v/>
      </c>
      <c r="B162" s="11">
        <f>IF(A162="","",WorkOrders!B162)</f>
        <v/>
      </c>
      <c r="C162" s="11">
        <f>IF(A162="","",IFERROR(SUMIFS(BOM!$E$2:$E$500,BOM!$A$2:$A$500,B162),""))</f>
        <v/>
      </c>
      <c r="D162" s="11">
        <f>IF(A162="","",SUMIFS(StockMovements!$I$2:$I$500,StockMovements!$H$2:$H$500,A162,StockMovements!$D$2:$D$500,"issue"))</f>
        <v/>
      </c>
      <c r="E162" s="11">
        <f>IF(OR(A162="",C162="",C162=0,D162=0),"",D162/C162)</f>
        <v/>
      </c>
      <c r="F162" s="11">
        <f>IF(A162="","",WorkOrders!L162)</f>
        <v/>
      </c>
      <c r="G162" s="15">
        <f>IF(OR(E162="",E162=0),"",F162/E162)</f>
        <v/>
      </c>
      <c r="H162" s="11">
        <f>IF(OR(C162="",F162="",F162=0),"",C162*WorkOrders!E162/F162)</f>
        <v/>
      </c>
    </row>
    <row r="163">
      <c r="A163" s="11">
        <f>WorkOrders!A163</f>
        <v/>
      </c>
      <c r="B163" s="11">
        <f>IF(A163="","",WorkOrders!B163)</f>
        <v/>
      </c>
      <c r="C163" s="11">
        <f>IF(A163="","",IFERROR(SUMIFS(BOM!$E$2:$E$500,BOM!$A$2:$A$500,B163),""))</f>
        <v/>
      </c>
      <c r="D163" s="11">
        <f>IF(A163="","",SUMIFS(StockMovements!$I$2:$I$500,StockMovements!$H$2:$H$500,A163,StockMovements!$D$2:$D$500,"issue"))</f>
        <v/>
      </c>
      <c r="E163" s="11">
        <f>IF(OR(A163="",C163="",C163=0,D163=0),"",D163/C163)</f>
        <v/>
      </c>
      <c r="F163" s="11">
        <f>IF(A163="","",WorkOrders!L163)</f>
        <v/>
      </c>
      <c r="G163" s="15">
        <f>IF(OR(E163="",E163=0),"",F163/E163)</f>
        <v/>
      </c>
      <c r="H163" s="11">
        <f>IF(OR(C163="",F163="",F163=0),"",C163*WorkOrders!E163/F163)</f>
        <v/>
      </c>
    </row>
    <row r="164">
      <c r="A164" s="11">
        <f>WorkOrders!A164</f>
        <v/>
      </c>
      <c r="B164" s="11">
        <f>IF(A164="","",WorkOrders!B164)</f>
        <v/>
      </c>
      <c r="C164" s="11">
        <f>IF(A164="","",IFERROR(SUMIFS(BOM!$E$2:$E$500,BOM!$A$2:$A$500,B164),""))</f>
        <v/>
      </c>
      <c r="D164" s="11">
        <f>IF(A164="","",SUMIFS(StockMovements!$I$2:$I$500,StockMovements!$H$2:$H$500,A164,StockMovements!$D$2:$D$500,"issue"))</f>
        <v/>
      </c>
      <c r="E164" s="11">
        <f>IF(OR(A164="",C164="",C164=0,D164=0),"",D164/C164)</f>
        <v/>
      </c>
      <c r="F164" s="11">
        <f>IF(A164="","",WorkOrders!L164)</f>
        <v/>
      </c>
      <c r="G164" s="15">
        <f>IF(OR(E164="",E164=0),"",F164/E164)</f>
        <v/>
      </c>
      <c r="H164" s="11">
        <f>IF(OR(C164="",F164="",F164=0),"",C164*WorkOrders!E164/F164)</f>
        <v/>
      </c>
    </row>
    <row r="165">
      <c r="A165" s="11">
        <f>WorkOrders!A165</f>
        <v/>
      </c>
      <c r="B165" s="11">
        <f>IF(A165="","",WorkOrders!B165)</f>
        <v/>
      </c>
      <c r="C165" s="11">
        <f>IF(A165="","",IFERROR(SUMIFS(BOM!$E$2:$E$500,BOM!$A$2:$A$500,B165),""))</f>
        <v/>
      </c>
      <c r="D165" s="11">
        <f>IF(A165="","",SUMIFS(StockMovements!$I$2:$I$500,StockMovements!$H$2:$H$500,A165,StockMovements!$D$2:$D$500,"issue"))</f>
        <v/>
      </c>
      <c r="E165" s="11">
        <f>IF(OR(A165="",C165="",C165=0,D165=0),"",D165/C165)</f>
        <v/>
      </c>
      <c r="F165" s="11">
        <f>IF(A165="","",WorkOrders!L165)</f>
        <v/>
      </c>
      <c r="G165" s="15">
        <f>IF(OR(E165="",E165=0),"",F165/E165)</f>
        <v/>
      </c>
      <c r="H165" s="11">
        <f>IF(OR(C165="",F165="",F165=0),"",C165*WorkOrders!E165/F165)</f>
        <v/>
      </c>
    </row>
    <row r="166">
      <c r="A166" s="11">
        <f>WorkOrders!A166</f>
        <v/>
      </c>
      <c r="B166" s="11">
        <f>IF(A166="","",WorkOrders!B166)</f>
        <v/>
      </c>
      <c r="C166" s="11">
        <f>IF(A166="","",IFERROR(SUMIFS(BOM!$E$2:$E$500,BOM!$A$2:$A$500,B166),""))</f>
        <v/>
      </c>
      <c r="D166" s="11">
        <f>IF(A166="","",SUMIFS(StockMovements!$I$2:$I$500,StockMovements!$H$2:$H$500,A166,StockMovements!$D$2:$D$500,"issue"))</f>
        <v/>
      </c>
      <c r="E166" s="11">
        <f>IF(OR(A166="",C166="",C166=0,D166=0),"",D166/C166)</f>
        <v/>
      </c>
      <c r="F166" s="11">
        <f>IF(A166="","",WorkOrders!L166)</f>
        <v/>
      </c>
      <c r="G166" s="15">
        <f>IF(OR(E166="",E166=0),"",F166/E166)</f>
        <v/>
      </c>
      <c r="H166" s="11">
        <f>IF(OR(C166="",F166="",F166=0),"",C166*WorkOrders!E166/F166)</f>
        <v/>
      </c>
    </row>
    <row r="167">
      <c r="A167" s="11">
        <f>WorkOrders!A167</f>
        <v/>
      </c>
      <c r="B167" s="11">
        <f>IF(A167="","",WorkOrders!B167)</f>
        <v/>
      </c>
      <c r="C167" s="11">
        <f>IF(A167="","",IFERROR(SUMIFS(BOM!$E$2:$E$500,BOM!$A$2:$A$500,B167),""))</f>
        <v/>
      </c>
      <c r="D167" s="11">
        <f>IF(A167="","",SUMIFS(StockMovements!$I$2:$I$500,StockMovements!$H$2:$H$500,A167,StockMovements!$D$2:$D$500,"issue"))</f>
        <v/>
      </c>
      <c r="E167" s="11">
        <f>IF(OR(A167="",C167="",C167=0,D167=0),"",D167/C167)</f>
        <v/>
      </c>
      <c r="F167" s="11">
        <f>IF(A167="","",WorkOrders!L167)</f>
        <v/>
      </c>
      <c r="G167" s="15">
        <f>IF(OR(E167="",E167=0),"",F167/E167)</f>
        <v/>
      </c>
      <c r="H167" s="11">
        <f>IF(OR(C167="",F167="",F167=0),"",C167*WorkOrders!E167/F167)</f>
        <v/>
      </c>
    </row>
    <row r="168">
      <c r="A168" s="11">
        <f>WorkOrders!A168</f>
        <v/>
      </c>
      <c r="B168" s="11">
        <f>IF(A168="","",WorkOrders!B168)</f>
        <v/>
      </c>
      <c r="C168" s="11">
        <f>IF(A168="","",IFERROR(SUMIFS(BOM!$E$2:$E$500,BOM!$A$2:$A$500,B168),""))</f>
        <v/>
      </c>
      <c r="D168" s="11">
        <f>IF(A168="","",SUMIFS(StockMovements!$I$2:$I$500,StockMovements!$H$2:$H$500,A168,StockMovements!$D$2:$D$500,"issue"))</f>
        <v/>
      </c>
      <c r="E168" s="11">
        <f>IF(OR(A168="",C168="",C168=0,D168=0),"",D168/C168)</f>
        <v/>
      </c>
      <c r="F168" s="11">
        <f>IF(A168="","",WorkOrders!L168)</f>
        <v/>
      </c>
      <c r="G168" s="15">
        <f>IF(OR(E168="",E168=0),"",F168/E168)</f>
        <v/>
      </c>
      <c r="H168" s="11">
        <f>IF(OR(C168="",F168="",F168=0),"",C168*WorkOrders!E168/F168)</f>
        <v/>
      </c>
    </row>
    <row r="169">
      <c r="A169" s="11">
        <f>WorkOrders!A169</f>
        <v/>
      </c>
      <c r="B169" s="11">
        <f>IF(A169="","",WorkOrders!B169)</f>
        <v/>
      </c>
      <c r="C169" s="11">
        <f>IF(A169="","",IFERROR(SUMIFS(BOM!$E$2:$E$500,BOM!$A$2:$A$500,B169),""))</f>
        <v/>
      </c>
      <c r="D169" s="11">
        <f>IF(A169="","",SUMIFS(StockMovements!$I$2:$I$500,StockMovements!$H$2:$H$500,A169,StockMovements!$D$2:$D$500,"issue"))</f>
        <v/>
      </c>
      <c r="E169" s="11">
        <f>IF(OR(A169="",C169="",C169=0,D169=0),"",D169/C169)</f>
        <v/>
      </c>
      <c r="F169" s="11">
        <f>IF(A169="","",WorkOrders!L169)</f>
        <v/>
      </c>
      <c r="G169" s="15">
        <f>IF(OR(E169="",E169=0),"",F169/E169)</f>
        <v/>
      </c>
      <c r="H169" s="11">
        <f>IF(OR(C169="",F169="",F169=0),"",C169*WorkOrders!E169/F169)</f>
        <v/>
      </c>
    </row>
    <row r="170">
      <c r="A170" s="11">
        <f>WorkOrders!A170</f>
        <v/>
      </c>
      <c r="B170" s="11">
        <f>IF(A170="","",WorkOrders!B170)</f>
        <v/>
      </c>
      <c r="C170" s="11">
        <f>IF(A170="","",IFERROR(SUMIFS(BOM!$E$2:$E$500,BOM!$A$2:$A$500,B170),""))</f>
        <v/>
      </c>
      <c r="D170" s="11">
        <f>IF(A170="","",SUMIFS(StockMovements!$I$2:$I$500,StockMovements!$H$2:$H$500,A170,StockMovements!$D$2:$D$500,"issue"))</f>
        <v/>
      </c>
      <c r="E170" s="11">
        <f>IF(OR(A170="",C170="",C170=0,D170=0),"",D170/C170)</f>
        <v/>
      </c>
      <c r="F170" s="11">
        <f>IF(A170="","",WorkOrders!L170)</f>
        <v/>
      </c>
      <c r="G170" s="15">
        <f>IF(OR(E170="",E170=0),"",F170/E170)</f>
        <v/>
      </c>
      <c r="H170" s="11">
        <f>IF(OR(C170="",F170="",F170=0),"",C170*WorkOrders!E170/F170)</f>
        <v/>
      </c>
    </row>
    <row r="171">
      <c r="A171" s="11">
        <f>WorkOrders!A171</f>
        <v/>
      </c>
      <c r="B171" s="11">
        <f>IF(A171="","",WorkOrders!B171)</f>
        <v/>
      </c>
      <c r="C171" s="11">
        <f>IF(A171="","",IFERROR(SUMIFS(BOM!$E$2:$E$500,BOM!$A$2:$A$500,B171),""))</f>
        <v/>
      </c>
      <c r="D171" s="11">
        <f>IF(A171="","",SUMIFS(StockMovements!$I$2:$I$500,StockMovements!$H$2:$H$500,A171,StockMovements!$D$2:$D$500,"issue"))</f>
        <v/>
      </c>
      <c r="E171" s="11">
        <f>IF(OR(A171="",C171="",C171=0,D171=0),"",D171/C171)</f>
        <v/>
      </c>
      <c r="F171" s="11">
        <f>IF(A171="","",WorkOrders!L171)</f>
        <v/>
      </c>
      <c r="G171" s="15">
        <f>IF(OR(E171="",E171=0),"",F171/E171)</f>
        <v/>
      </c>
      <c r="H171" s="11">
        <f>IF(OR(C171="",F171="",F171=0),"",C171*WorkOrders!E171/F171)</f>
        <v/>
      </c>
    </row>
    <row r="172">
      <c r="A172" s="11">
        <f>WorkOrders!A172</f>
        <v/>
      </c>
      <c r="B172" s="11">
        <f>IF(A172="","",WorkOrders!B172)</f>
        <v/>
      </c>
      <c r="C172" s="11">
        <f>IF(A172="","",IFERROR(SUMIFS(BOM!$E$2:$E$500,BOM!$A$2:$A$500,B172),""))</f>
        <v/>
      </c>
      <c r="D172" s="11">
        <f>IF(A172="","",SUMIFS(StockMovements!$I$2:$I$500,StockMovements!$H$2:$H$500,A172,StockMovements!$D$2:$D$500,"issue"))</f>
        <v/>
      </c>
      <c r="E172" s="11">
        <f>IF(OR(A172="",C172="",C172=0,D172=0),"",D172/C172)</f>
        <v/>
      </c>
      <c r="F172" s="11">
        <f>IF(A172="","",WorkOrders!L172)</f>
        <v/>
      </c>
      <c r="G172" s="15">
        <f>IF(OR(E172="",E172=0),"",F172/E172)</f>
        <v/>
      </c>
      <c r="H172" s="11">
        <f>IF(OR(C172="",F172="",F172=0),"",C172*WorkOrders!E172/F172)</f>
        <v/>
      </c>
    </row>
    <row r="173">
      <c r="A173" s="11">
        <f>WorkOrders!A173</f>
        <v/>
      </c>
      <c r="B173" s="11">
        <f>IF(A173="","",WorkOrders!B173)</f>
        <v/>
      </c>
      <c r="C173" s="11">
        <f>IF(A173="","",IFERROR(SUMIFS(BOM!$E$2:$E$500,BOM!$A$2:$A$500,B173),""))</f>
        <v/>
      </c>
      <c r="D173" s="11">
        <f>IF(A173="","",SUMIFS(StockMovements!$I$2:$I$500,StockMovements!$H$2:$H$500,A173,StockMovements!$D$2:$D$500,"issue"))</f>
        <v/>
      </c>
      <c r="E173" s="11">
        <f>IF(OR(A173="",C173="",C173=0,D173=0),"",D173/C173)</f>
        <v/>
      </c>
      <c r="F173" s="11">
        <f>IF(A173="","",WorkOrders!L173)</f>
        <v/>
      </c>
      <c r="G173" s="15">
        <f>IF(OR(E173="",E173=0),"",F173/E173)</f>
        <v/>
      </c>
      <c r="H173" s="11">
        <f>IF(OR(C173="",F173="",F173=0),"",C173*WorkOrders!E173/F173)</f>
        <v/>
      </c>
    </row>
    <row r="174">
      <c r="A174" s="11">
        <f>WorkOrders!A174</f>
        <v/>
      </c>
      <c r="B174" s="11">
        <f>IF(A174="","",WorkOrders!B174)</f>
        <v/>
      </c>
      <c r="C174" s="11">
        <f>IF(A174="","",IFERROR(SUMIFS(BOM!$E$2:$E$500,BOM!$A$2:$A$500,B174),""))</f>
        <v/>
      </c>
      <c r="D174" s="11">
        <f>IF(A174="","",SUMIFS(StockMovements!$I$2:$I$500,StockMovements!$H$2:$H$500,A174,StockMovements!$D$2:$D$500,"issue"))</f>
        <v/>
      </c>
      <c r="E174" s="11">
        <f>IF(OR(A174="",C174="",C174=0,D174=0),"",D174/C174)</f>
        <v/>
      </c>
      <c r="F174" s="11">
        <f>IF(A174="","",WorkOrders!L174)</f>
        <v/>
      </c>
      <c r="G174" s="15">
        <f>IF(OR(E174="",E174=0),"",F174/E174)</f>
        <v/>
      </c>
      <c r="H174" s="11">
        <f>IF(OR(C174="",F174="",F174=0),"",C174*WorkOrders!E174/F174)</f>
        <v/>
      </c>
    </row>
    <row r="175">
      <c r="A175" s="11">
        <f>WorkOrders!A175</f>
        <v/>
      </c>
      <c r="B175" s="11">
        <f>IF(A175="","",WorkOrders!B175)</f>
        <v/>
      </c>
      <c r="C175" s="11">
        <f>IF(A175="","",IFERROR(SUMIFS(BOM!$E$2:$E$500,BOM!$A$2:$A$500,B175),""))</f>
        <v/>
      </c>
      <c r="D175" s="11">
        <f>IF(A175="","",SUMIFS(StockMovements!$I$2:$I$500,StockMovements!$H$2:$H$500,A175,StockMovements!$D$2:$D$500,"issue"))</f>
        <v/>
      </c>
      <c r="E175" s="11">
        <f>IF(OR(A175="",C175="",C175=0,D175=0),"",D175/C175)</f>
        <v/>
      </c>
      <c r="F175" s="11">
        <f>IF(A175="","",WorkOrders!L175)</f>
        <v/>
      </c>
      <c r="G175" s="15">
        <f>IF(OR(E175="",E175=0),"",F175/E175)</f>
        <v/>
      </c>
      <c r="H175" s="11">
        <f>IF(OR(C175="",F175="",F175=0),"",C175*WorkOrders!E175/F175)</f>
        <v/>
      </c>
    </row>
    <row r="176">
      <c r="A176" s="11">
        <f>WorkOrders!A176</f>
        <v/>
      </c>
      <c r="B176" s="11">
        <f>IF(A176="","",WorkOrders!B176)</f>
        <v/>
      </c>
      <c r="C176" s="11">
        <f>IF(A176="","",IFERROR(SUMIFS(BOM!$E$2:$E$500,BOM!$A$2:$A$500,B176),""))</f>
        <v/>
      </c>
      <c r="D176" s="11">
        <f>IF(A176="","",SUMIFS(StockMovements!$I$2:$I$500,StockMovements!$H$2:$H$500,A176,StockMovements!$D$2:$D$500,"issue"))</f>
        <v/>
      </c>
      <c r="E176" s="11">
        <f>IF(OR(A176="",C176="",C176=0,D176=0),"",D176/C176)</f>
        <v/>
      </c>
      <c r="F176" s="11">
        <f>IF(A176="","",WorkOrders!L176)</f>
        <v/>
      </c>
      <c r="G176" s="15">
        <f>IF(OR(E176="",E176=0),"",F176/E176)</f>
        <v/>
      </c>
      <c r="H176" s="11">
        <f>IF(OR(C176="",F176="",F176=0),"",C176*WorkOrders!E176/F176)</f>
        <v/>
      </c>
    </row>
    <row r="177">
      <c r="A177" s="11">
        <f>WorkOrders!A177</f>
        <v/>
      </c>
      <c r="B177" s="11">
        <f>IF(A177="","",WorkOrders!B177)</f>
        <v/>
      </c>
      <c r="C177" s="11">
        <f>IF(A177="","",IFERROR(SUMIFS(BOM!$E$2:$E$500,BOM!$A$2:$A$500,B177),""))</f>
        <v/>
      </c>
      <c r="D177" s="11">
        <f>IF(A177="","",SUMIFS(StockMovements!$I$2:$I$500,StockMovements!$H$2:$H$500,A177,StockMovements!$D$2:$D$500,"issue"))</f>
        <v/>
      </c>
      <c r="E177" s="11">
        <f>IF(OR(A177="",C177="",C177=0,D177=0),"",D177/C177)</f>
        <v/>
      </c>
      <c r="F177" s="11">
        <f>IF(A177="","",WorkOrders!L177)</f>
        <v/>
      </c>
      <c r="G177" s="15">
        <f>IF(OR(E177="",E177=0),"",F177/E177)</f>
        <v/>
      </c>
      <c r="H177" s="11">
        <f>IF(OR(C177="",F177="",F177=0),"",C177*WorkOrders!E177/F177)</f>
        <v/>
      </c>
    </row>
    <row r="178">
      <c r="A178" s="11">
        <f>WorkOrders!A178</f>
        <v/>
      </c>
      <c r="B178" s="11">
        <f>IF(A178="","",WorkOrders!B178)</f>
        <v/>
      </c>
      <c r="C178" s="11">
        <f>IF(A178="","",IFERROR(SUMIFS(BOM!$E$2:$E$500,BOM!$A$2:$A$500,B178),""))</f>
        <v/>
      </c>
      <c r="D178" s="11">
        <f>IF(A178="","",SUMIFS(StockMovements!$I$2:$I$500,StockMovements!$H$2:$H$500,A178,StockMovements!$D$2:$D$500,"issue"))</f>
        <v/>
      </c>
      <c r="E178" s="11">
        <f>IF(OR(A178="",C178="",C178=0,D178=0),"",D178/C178)</f>
        <v/>
      </c>
      <c r="F178" s="11">
        <f>IF(A178="","",WorkOrders!L178)</f>
        <v/>
      </c>
      <c r="G178" s="15">
        <f>IF(OR(E178="",E178=0),"",F178/E178)</f>
        <v/>
      </c>
      <c r="H178" s="11">
        <f>IF(OR(C178="",F178="",F178=0),"",C178*WorkOrders!E178/F178)</f>
        <v/>
      </c>
    </row>
    <row r="179">
      <c r="A179" s="11">
        <f>WorkOrders!A179</f>
        <v/>
      </c>
      <c r="B179" s="11">
        <f>IF(A179="","",WorkOrders!B179)</f>
        <v/>
      </c>
      <c r="C179" s="11">
        <f>IF(A179="","",IFERROR(SUMIFS(BOM!$E$2:$E$500,BOM!$A$2:$A$500,B179),""))</f>
        <v/>
      </c>
      <c r="D179" s="11">
        <f>IF(A179="","",SUMIFS(StockMovements!$I$2:$I$500,StockMovements!$H$2:$H$500,A179,StockMovements!$D$2:$D$500,"issue"))</f>
        <v/>
      </c>
      <c r="E179" s="11">
        <f>IF(OR(A179="",C179="",C179=0,D179=0),"",D179/C179)</f>
        <v/>
      </c>
      <c r="F179" s="11">
        <f>IF(A179="","",WorkOrders!L179)</f>
        <v/>
      </c>
      <c r="G179" s="15">
        <f>IF(OR(E179="",E179=0),"",F179/E179)</f>
        <v/>
      </c>
      <c r="H179" s="11">
        <f>IF(OR(C179="",F179="",F179=0),"",C179*WorkOrders!E179/F179)</f>
        <v/>
      </c>
    </row>
    <row r="180">
      <c r="A180" s="11">
        <f>WorkOrders!A180</f>
        <v/>
      </c>
      <c r="B180" s="11">
        <f>IF(A180="","",WorkOrders!B180)</f>
        <v/>
      </c>
      <c r="C180" s="11">
        <f>IF(A180="","",IFERROR(SUMIFS(BOM!$E$2:$E$500,BOM!$A$2:$A$500,B180),""))</f>
        <v/>
      </c>
      <c r="D180" s="11">
        <f>IF(A180="","",SUMIFS(StockMovements!$I$2:$I$500,StockMovements!$H$2:$H$500,A180,StockMovements!$D$2:$D$500,"issue"))</f>
        <v/>
      </c>
      <c r="E180" s="11">
        <f>IF(OR(A180="",C180="",C180=0,D180=0),"",D180/C180)</f>
        <v/>
      </c>
      <c r="F180" s="11">
        <f>IF(A180="","",WorkOrders!L180)</f>
        <v/>
      </c>
      <c r="G180" s="15">
        <f>IF(OR(E180="",E180=0),"",F180/E180)</f>
        <v/>
      </c>
      <c r="H180" s="11">
        <f>IF(OR(C180="",F180="",F180=0),"",C180*WorkOrders!E180/F180)</f>
        <v/>
      </c>
    </row>
    <row r="181">
      <c r="A181" s="11">
        <f>WorkOrders!A181</f>
        <v/>
      </c>
      <c r="B181" s="11">
        <f>IF(A181="","",WorkOrders!B181)</f>
        <v/>
      </c>
      <c r="C181" s="11">
        <f>IF(A181="","",IFERROR(SUMIFS(BOM!$E$2:$E$500,BOM!$A$2:$A$500,B181),""))</f>
        <v/>
      </c>
      <c r="D181" s="11">
        <f>IF(A181="","",SUMIFS(StockMovements!$I$2:$I$500,StockMovements!$H$2:$H$500,A181,StockMovements!$D$2:$D$500,"issue"))</f>
        <v/>
      </c>
      <c r="E181" s="11">
        <f>IF(OR(A181="",C181="",C181=0,D181=0),"",D181/C181)</f>
        <v/>
      </c>
      <c r="F181" s="11">
        <f>IF(A181="","",WorkOrders!L181)</f>
        <v/>
      </c>
      <c r="G181" s="15">
        <f>IF(OR(E181="",E181=0),"",F181/E181)</f>
        <v/>
      </c>
      <c r="H181" s="11">
        <f>IF(OR(C181="",F181="",F181=0),"",C181*WorkOrders!E181/F181)</f>
        <v/>
      </c>
    </row>
    <row r="182">
      <c r="A182" s="11">
        <f>WorkOrders!A182</f>
        <v/>
      </c>
      <c r="B182" s="11">
        <f>IF(A182="","",WorkOrders!B182)</f>
        <v/>
      </c>
      <c r="C182" s="11">
        <f>IF(A182="","",IFERROR(SUMIFS(BOM!$E$2:$E$500,BOM!$A$2:$A$500,B182),""))</f>
        <v/>
      </c>
      <c r="D182" s="11">
        <f>IF(A182="","",SUMIFS(StockMovements!$I$2:$I$500,StockMovements!$H$2:$H$500,A182,StockMovements!$D$2:$D$500,"issue"))</f>
        <v/>
      </c>
      <c r="E182" s="11">
        <f>IF(OR(A182="",C182="",C182=0,D182=0),"",D182/C182)</f>
        <v/>
      </c>
      <c r="F182" s="11">
        <f>IF(A182="","",WorkOrders!L182)</f>
        <v/>
      </c>
      <c r="G182" s="15">
        <f>IF(OR(E182="",E182=0),"",F182/E182)</f>
        <v/>
      </c>
      <c r="H182" s="11">
        <f>IF(OR(C182="",F182="",F182=0),"",C182*WorkOrders!E182/F182)</f>
        <v/>
      </c>
    </row>
    <row r="183">
      <c r="A183" s="11">
        <f>WorkOrders!A183</f>
        <v/>
      </c>
      <c r="B183" s="11">
        <f>IF(A183="","",WorkOrders!B183)</f>
        <v/>
      </c>
      <c r="C183" s="11">
        <f>IF(A183="","",IFERROR(SUMIFS(BOM!$E$2:$E$500,BOM!$A$2:$A$500,B183),""))</f>
        <v/>
      </c>
      <c r="D183" s="11">
        <f>IF(A183="","",SUMIFS(StockMovements!$I$2:$I$500,StockMovements!$H$2:$H$500,A183,StockMovements!$D$2:$D$500,"issue"))</f>
        <v/>
      </c>
      <c r="E183" s="11">
        <f>IF(OR(A183="",C183="",C183=0,D183=0),"",D183/C183)</f>
        <v/>
      </c>
      <c r="F183" s="11">
        <f>IF(A183="","",WorkOrders!L183)</f>
        <v/>
      </c>
      <c r="G183" s="15">
        <f>IF(OR(E183="",E183=0),"",F183/E183)</f>
        <v/>
      </c>
      <c r="H183" s="11">
        <f>IF(OR(C183="",F183="",F183=0),"",C183*WorkOrders!E183/F183)</f>
        <v/>
      </c>
    </row>
    <row r="184">
      <c r="A184" s="11">
        <f>WorkOrders!A184</f>
        <v/>
      </c>
      <c r="B184" s="11">
        <f>IF(A184="","",WorkOrders!B184)</f>
        <v/>
      </c>
      <c r="C184" s="11">
        <f>IF(A184="","",IFERROR(SUMIFS(BOM!$E$2:$E$500,BOM!$A$2:$A$500,B184),""))</f>
        <v/>
      </c>
      <c r="D184" s="11">
        <f>IF(A184="","",SUMIFS(StockMovements!$I$2:$I$500,StockMovements!$H$2:$H$500,A184,StockMovements!$D$2:$D$500,"issue"))</f>
        <v/>
      </c>
      <c r="E184" s="11">
        <f>IF(OR(A184="",C184="",C184=0,D184=0),"",D184/C184)</f>
        <v/>
      </c>
      <c r="F184" s="11">
        <f>IF(A184="","",WorkOrders!L184)</f>
        <v/>
      </c>
      <c r="G184" s="15">
        <f>IF(OR(E184="",E184=0),"",F184/E184)</f>
        <v/>
      </c>
      <c r="H184" s="11">
        <f>IF(OR(C184="",F184="",F184=0),"",C184*WorkOrders!E184/F184)</f>
        <v/>
      </c>
    </row>
    <row r="185">
      <c r="A185" s="11">
        <f>WorkOrders!A185</f>
        <v/>
      </c>
      <c r="B185" s="11">
        <f>IF(A185="","",WorkOrders!B185)</f>
        <v/>
      </c>
      <c r="C185" s="11">
        <f>IF(A185="","",IFERROR(SUMIFS(BOM!$E$2:$E$500,BOM!$A$2:$A$500,B185),""))</f>
        <v/>
      </c>
      <c r="D185" s="11">
        <f>IF(A185="","",SUMIFS(StockMovements!$I$2:$I$500,StockMovements!$H$2:$H$500,A185,StockMovements!$D$2:$D$500,"issue"))</f>
        <v/>
      </c>
      <c r="E185" s="11">
        <f>IF(OR(A185="",C185="",C185=0,D185=0),"",D185/C185)</f>
        <v/>
      </c>
      <c r="F185" s="11">
        <f>IF(A185="","",WorkOrders!L185)</f>
        <v/>
      </c>
      <c r="G185" s="15">
        <f>IF(OR(E185="",E185=0),"",F185/E185)</f>
        <v/>
      </c>
      <c r="H185" s="11">
        <f>IF(OR(C185="",F185="",F185=0),"",C185*WorkOrders!E185/F185)</f>
        <v/>
      </c>
    </row>
    <row r="186">
      <c r="A186" s="11">
        <f>WorkOrders!A186</f>
        <v/>
      </c>
      <c r="B186" s="11">
        <f>IF(A186="","",WorkOrders!B186)</f>
        <v/>
      </c>
      <c r="C186" s="11">
        <f>IF(A186="","",IFERROR(SUMIFS(BOM!$E$2:$E$500,BOM!$A$2:$A$500,B186),""))</f>
        <v/>
      </c>
      <c r="D186" s="11">
        <f>IF(A186="","",SUMIFS(StockMovements!$I$2:$I$500,StockMovements!$H$2:$H$500,A186,StockMovements!$D$2:$D$500,"issue"))</f>
        <v/>
      </c>
      <c r="E186" s="11">
        <f>IF(OR(A186="",C186="",C186=0,D186=0),"",D186/C186)</f>
        <v/>
      </c>
      <c r="F186" s="11">
        <f>IF(A186="","",WorkOrders!L186)</f>
        <v/>
      </c>
      <c r="G186" s="15">
        <f>IF(OR(E186="",E186=0),"",F186/E186)</f>
        <v/>
      </c>
      <c r="H186" s="11">
        <f>IF(OR(C186="",F186="",F186=0),"",C186*WorkOrders!E186/F186)</f>
        <v/>
      </c>
    </row>
    <row r="187">
      <c r="A187" s="11">
        <f>WorkOrders!A187</f>
        <v/>
      </c>
      <c r="B187" s="11">
        <f>IF(A187="","",WorkOrders!B187)</f>
        <v/>
      </c>
      <c r="C187" s="11">
        <f>IF(A187="","",IFERROR(SUMIFS(BOM!$E$2:$E$500,BOM!$A$2:$A$500,B187),""))</f>
        <v/>
      </c>
      <c r="D187" s="11">
        <f>IF(A187="","",SUMIFS(StockMovements!$I$2:$I$500,StockMovements!$H$2:$H$500,A187,StockMovements!$D$2:$D$500,"issue"))</f>
        <v/>
      </c>
      <c r="E187" s="11">
        <f>IF(OR(A187="",C187="",C187=0,D187=0),"",D187/C187)</f>
        <v/>
      </c>
      <c r="F187" s="11">
        <f>IF(A187="","",WorkOrders!L187)</f>
        <v/>
      </c>
      <c r="G187" s="15">
        <f>IF(OR(E187="",E187=0),"",F187/E187)</f>
        <v/>
      </c>
      <c r="H187" s="11">
        <f>IF(OR(C187="",F187="",F187=0),"",C187*WorkOrders!E187/F187)</f>
        <v/>
      </c>
    </row>
    <row r="188">
      <c r="A188" s="11">
        <f>WorkOrders!A188</f>
        <v/>
      </c>
      <c r="B188" s="11">
        <f>IF(A188="","",WorkOrders!B188)</f>
        <v/>
      </c>
      <c r="C188" s="11">
        <f>IF(A188="","",IFERROR(SUMIFS(BOM!$E$2:$E$500,BOM!$A$2:$A$500,B188),""))</f>
        <v/>
      </c>
      <c r="D188" s="11">
        <f>IF(A188="","",SUMIFS(StockMovements!$I$2:$I$500,StockMovements!$H$2:$H$500,A188,StockMovements!$D$2:$D$500,"issue"))</f>
        <v/>
      </c>
      <c r="E188" s="11">
        <f>IF(OR(A188="",C188="",C188=0,D188=0),"",D188/C188)</f>
        <v/>
      </c>
      <c r="F188" s="11">
        <f>IF(A188="","",WorkOrders!L188)</f>
        <v/>
      </c>
      <c r="G188" s="15">
        <f>IF(OR(E188="",E188=0),"",F188/E188)</f>
        <v/>
      </c>
      <c r="H188" s="11">
        <f>IF(OR(C188="",F188="",F188=0),"",C188*WorkOrders!E188/F188)</f>
        <v/>
      </c>
    </row>
    <row r="189">
      <c r="A189" s="11">
        <f>WorkOrders!A189</f>
        <v/>
      </c>
      <c r="B189" s="11">
        <f>IF(A189="","",WorkOrders!B189)</f>
        <v/>
      </c>
      <c r="C189" s="11">
        <f>IF(A189="","",IFERROR(SUMIFS(BOM!$E$2:$E$500,BOM!$A$2:$A$500,B189),""))</f>
        <v/>
      </c>
      <c r="D189" s="11">
        <f>IF(A189="","",SUMIFS(StockMovements!$I$2:$I$500,StockMovements!$H$2:$H$500,A189,StockMovements!$D$2:$D$500,"issue"))</f>
        <v/>
      </c>
      <c r="E189" s="11">
        <f>IF(OR(A189="",C189="",C189=0,D189=0),"",D189/C189)</f>
        <v/>
      </c>
      <c r="F189" s="11">
        <f>IF(A189="","",WorkOrders!L189)</f>
        <v/>
      </c>
      <c r="G189" s="15">
        <f>IF(OR(E189="",E189=0),"",F189/E189)</f>
        <v/>
      </c>
      <c r="H189" s="11">
        <f>IF(OR(C189="",F189="",F189=0),"",C189*WorkOrders!E189/F189)</f>
        <v/>
      </c>
    </row>
    <row r="190">
      <c r="A190" s="11">
        <f>WorkOrders!A190</f>
        <v/>
      </c>
      <c r="B190" s="11">
        <f>IF(A190="","",WorkOrders!B190)</f>
        <v/>
      </c>
      <c r="C190" s="11">
        <f>IF(A190="","",IFERROR(SUMIFS(BOM!$E$2:$E$500,BOM!$A$2:$A$500,B190),""))</f>
        <v/>
      </c>
      <c r="D190" s="11">
        <f>IF(A190="","",SUMIFS(StockMovements!$I$2:$I$500,StockMovements!$H$2:$H$500,A190,StockMovements!$D$2:$D$500,"issue"))</f>
        <v/>
      </c>
      <c r="E190" s="11">
        <f>IF(OR(A190="",C190="",C190=0,D190=0),"",D190/C190)</f>
        <v/>
      </c>
      <c r="F190" s="11">
        <f>IF(A190="","",WorkOrders!L190)</f>
        <v/>
      </c>
      <c r="G190" s="15">
        <f>IF(OR(E190="",E190=0),"",F190/E190)</f>
        <v/>
      </c>
      <c r="H190" s="11">
        <f>IF(OR(C190="",F190="",F190=0),"",C190*WorkOrders!E190/F190)</f>
        <v/>
      </c>
    </row>
    <row r="191">
      <c r="A191" s="11">
        <f>WorkOrders!A191</f>
        <v/>
      </c>
      <c r="B191" s="11">
        <f>IF(A191="","",WorkOrders!B191)</f>
        <v/>
      </c>
      <c r="C191" s="11">
        <f>IF(A191="","",IFERROR(SUMIFS(BOM!$E$2:$E$500,BOM!$A$2:$A$500,B191),""))</f>
        <v/>
      </c>
      <c r="D191" s="11">
        <f>IF(A191="","",SUMIFS(StockMovements!$I$2:$I$500,StockMovements!$H$2:$H$500,A191,StockMovements!$D$2:$D$500,"issue"))</f>
        <v/>
      </c>
      <c r="E191" s="11">
        <f>IF(OR(A191="",C191="",C191=0,D191=0),"",D191/C191)</f>
        <v/>
      </c>
      <c r="F191" s="11">
        <f>IF(A191="","",WorkOrders!L191)</f>
        <v/>
      </c>
      <c r="G191" s="15">
        <f>IF(OR(E191="",E191=0),"",F191/E191)</f>
        <v/>
      </c>
      <c r="H191" s="11">
        <f>IF(OR(C191="",F191="",F191=0),"",C191*WorkOrders!E191/F191)</f>
        <v/>
      </c>
    </row>
    <row r="192">
      <c r="A192" s="11">
        <f>WorkOrders!A192</f>
        <v/>
      </c>
      <c r="B192" s="11">
        <f>IF(A192="","",WorkOrders!B192)</f>
        <v/>
      </c>
      <c r="C192" s="11">
        <f>IF(A192="","",IFERROR(SUMIFS(BOM!$E$2:$E$500,BOM!$A$2:$A$500,B192),""))</f>
        <v/>
      </c>
      <c r="D192" s="11">
        <f>IF(A192="","",SUMIFS(StockMovements!$I$2:$I$500,StockMovements!$H$2:$H$500,A192,StockMovements!$D$2:$D$500,"issue"))</f>
        <v/>
      </c>
      <c r="E192" s="11">
        <f>IF(OR(A192="",C192="",C192=0,D192=0),"",D192/C192)</f>
        <v/>
      </c>
      <c r="F192" s="11">
        <f>IF(A192="","",WorkOrders!L192)</f>
        <v/>
      </c>
      <c r="G192" s="15">
        <f>IF(OR(E192="",E192=0),"",F192/E192)</f>
        <v/>
      </c>
      <c r="H192" s="11">
        <f>IF(OR(C192="",F192="",F192=0),"",C192*WorkOrders!E192/F192)</f>
        <v/>
      </c>
    </row>
    <row r="193">
      <c r="A193" s="11">
        <f>WorkOrders!A193</f>
        <v/>
      </c>
      <c r="B193" s="11">
        <f>IF(A193="","",WorkOrders!B193)</f>
        <v/>
      </c>
      <c r="C193" s="11">
        <f>IF(A193="","",IFERROR(SUMIFS(BOM!$E$2:$E$500,BOM!$A$2:$A$500,B193),""))</f>
        <v/>
      </c>
      <c r="D193" s="11">
        <f>IF(A193="","",SUMIFS(StockMovements!$I$2:$I$500,StockMovements!$H$2:$H$500,A193,StockMovements!$D$2:$D$500,"issue"))</f>
        <v/>
      </c>
      <c r="E193" s="11">
        <f>IF(OR(A193="",C193="",C193=0,D193=0),"",D193/C193)</f>
        <v/>
      </c>
      <c r="F193" s="11">
        <f>IF(A193="","",WorkOrders!L193)</f>
        <v/>
      </c>
      <c r="G193" s="15">
        <f>IF(OR(E193="",E193=0),"",F193/E193)</f>
        <v/>
      </c>
      <c r="H193" s="11">
        <f>IF(OR(C193="",F193="",F193=0),"",C193*WorkOrders!E193/F193)</f>
        <v/>
      </c>
    </row>
    <row r="194">
      <c r="A194" s="11">
        <f>WorkOrders!A194</f>
        <v/>
      </c>
      <c r="B194" s="11">
        <f>IF(A194="","",WorkOrders!B194)</f>
        <v/>
      </c>
      <c r="C194" s="11">
        <f>IF(A194="","",IFERROR(SUMIFS(BOM!$E$2:$E$500,BOM!$A$2:$A$500,B194),""))</f>
        <v/>
      </c>
      <c r="D194" s="11">
        <f>IF(A194="","",SUMIFS(StockMovements!$I$2:$I$500,StockMovements!$H$2:$H$500,A194,StockMovements!$D$2:$D$500,"issue"))</f>
        <v/>
      </c>
      <c r="E194" s="11">
        <f>IF(OR(A194="",C194="",C194=0,D194=0),"",D194/C194)</f>
        <v/>
      </c>
      <c r="F194" s="11">
        <f>IF(A194="","",WorkOrders!L194)</f>
        <v/>
      </c>
      <c r="G194" s="15">
        <f>IF(OR(E194="",E194=0),"",F194/E194)</f>
        <v/>
      </c>
      <c r="H194" s="11">
        <f>IF(OR(C194="",F194="",F194=0),"",C194*WorkOrders!E194/F194)</f>
        <v/>
      </c>
    </row>
    <row r="195">
      <c r="A195" s="11">
        <f>WorkOrders!A195</f>
        <v/>
      </c>
      <c r="B195" s="11">
        <f>IF(A195="","",WorkOrders!B195)</f>
        <v/>
      </c>
      <c r="C195" s="11">
        <f>IF(A195="","",IFERROR(SUMIFS(BOM!$E$2:$E$500,BOM!$A$2:$A$500,B195),""))</f>
        <v/>
      </c>
      <c r="D195" s="11">
        <f>IF(A195="","",SUMIFS(StockMovements!$I$2:$I$500,StockMovements!$H$2:$H$500,A195,StockMovements!$D$2:$D$500,"issue"))</f>
        <v/>
      </c>
      <c r="E195" s="11">
        <f>IF(OR(A195="",C195="",C195=0,D195=0),"",D195/C195)</f>
        <v/>
      </c>
      <c r="F195" s="11">
        <f>IF(A195="","",WorkOrders!L195)</f>
        <v/>
      </c>
      <c r="G195" s="15">
        <f>IF(OR(E195="",E195=0),"",F195/E195)</f>
        <v/>
      </c>
      <c r="H195" s="11">
        <f>IF(OR(C195="",F195="",F195=0),"",C195*WorkOrders!E195/F195)</f>
        <v/>
      </c>
    </row>
    <row r="196">
      <c r="A196" s="11">
        <f>WorkOrders!A196</f>
        <v/>
      </c>
      <c r="B196" s="11">
        <f>IF(A196="","",WorkOrders!B196)</f>
        <v/>
      </c>
      <c r="C196" s="11">
        <f>IF(A196="","",IFERROR(SUMIFS(BOM!$E$2:$E$500,BOM!$A$2:$A$500,B196),""))</f>
        <v/>
      </c>
      <c r="D196" s="11">
        <f>IF(A196="","",SUMIFS(StockMovements!$I$2:$I$500,StockMovements!$H$2:$H$500,A196,StockMovements!$D$2:$D$500,"issue"))</f>
        <v/>
      </c>
      <c r="E196" s="11">
        <f>IF(OR(A196="",C196="",C196=0,D196=0),"",D196/C196)</f>
        <v/>
      </c>
      <c r="F196" s="11">
        <f>IF(A196="","",WorkOrders!L196)</f>
        <v/>
      </c>
      <c r="G196" s="15">
        <f>IF(OR(E196="",E196=0),"",F196/E196)</f>
        <v/>
      </c>
      <c r="H196" s="11">
        <f>IF(OR(C196="",F196="",F196=0),"",C196*WorkOrders!E196/F196)</f>
        <v/>
      </c>
    </row>
    <row r="197">
      <c r="A197" s="11">
        <f>WorkOrders!A197</f>
        <v/>
      </c>
      <c r="B197" s="11">
        <f>IF(A197="","",WorkOrders!B197)</f>
        <v/>
      </c>
      <c r="C197" s="11">
        <f>IF(A197="","",IFERROR(SUMIFS(BOM!$E$2:$E$500,BOM!$A$2:$A$500,B197),""))</f>
        <v/>
      </c>
      <c r="D197" s="11">
        <f>IF(A197="","",SUMIFS(StockMovements!$I$2:$I$500,StockMovements!$H$2:$H$500,A197,StockMovements!$D$2:$D$500,"issue"))</f>
        <v/>
      </c>
      <c r="E197" s="11">
        <f>IF(OR(A197="",C197="",C197=0,D197=0),"",D197/C197)</f>
        <v/>
      </c>
      <c r="F197" s="11">
        <f>IF(A197="","",WorkOrders!L197)</f>
        <v/>
      </c>
      <c r="G197" s="15">
        <f>IF(OR(E197="",E197=0),"",F197/E197)</f>
        <v/>
      </c>
      <c r="H197" s="11">
        <f>IF(OR(C197="",F197="",F197=0),"",C197*WorkOrders!E197/F197)</f>
        <v/>
      </c>
    </row>
    <row r="198">
      <c r="A198" s="11">
        <f>WorkOrders!A198</f>
        <v/>
      </c>
      <c r="B198" s="11">
        <f>IF(A198="","",WorkOrders!B198)</f>
        <v/>
      </c>
      <c r="C198" s="11">
        <f>IF(A198="","",IFERROR(SUMIFS(BOM!$E$2:$E$500,BOM!$A$2:$A$500,B198),""))</f>
        <v/>
      </c>
      <c r="D198" s="11">
        <f>IF(A198="","",SUMIFS(StockMovements!$I$2:$I$500,StockMovements!$H$2:$H$500,A198,StockMovements!$D$2:$D$500,"issue"))</f>
        <v/>
      </c>
      <c r="E198" s="11">
        <f>IF(OR(A198="",C198="",C198=0,D198=0),"",D198/C198)</f>
        <v/>
      </c>
      <c r="F198" s="11">
        <f>IF(A198="","",WorkOrders!L198)</f>
        <v/>
      </c>
      <c r="G198" s="15">
        <f>IF(OR(E198="",E198=0),"",F198/E198)</f>
        <v/>
      </c>
      <c r="H198" s="11">
        <f>IF(OR(C198="",F198="",F198=0),"",C198*WorkOrders!E198/F198)</f>
        <v/>
      </c>
    </row>
    <row r="199">
      <c r="A199" s="11">
        <f>WorkOrders!A199</f>
        <v/>
      </c>
      <c r="B199" s="11">
        <f>IF(A199="","",WorkOrders!B199)</f>
        <v/>
      </c>
      <c r="C199" s="11">
        <f>IF(A199="","",IFERROR(SUMIFS(BOM!$E$2:$E$500,BOM!$A$2:$A$500,B199),""))</f>
        <v/>
      </c>
      <c r="D199" s="11">
        <f>IF(A199="","",SUMIFS(StockMovements!$I$2:$I$500,StockMovements!$H$2:$H$500,A199,StockMovements!$D$2:$D$500,"issue"))</f>
        <v/>
      </c>
      <c r="E199" s="11">
        <f>IF(OR(A199="",C199="",C199=0,D199=0),"",D199/C199)</f>
        <v/>
      </c>
      <c r="F199" s="11">
        <f>IF(A199="","",WorkOrders!L199)</f>
        <v/>
      </c>
      <c r="G199" s="15">
        <f>IF(OR(E199="",E199=0),"",F199/E199)</f>
        <v/>
      </c>
      <c r="H199" s="11">
        <f>IF(OR(C199="",F199="",F199=0),"",C199*WorkOrders!E199/F199)</f>
        <v/>
      </c>
    </row>
    <row r="200">
      <c r="A200" s="11">
        <f>WorkOrders!A200</f>
        <v/>
      </c>
      <c r="B200" s="11">
        <f>IF(A200="","",WorkOrders!B200)</f>
        <v/>
      </c>
      <c r="C200" s="11">
        <f>IF(A200="","",IFERROR(SUMIFS(BOM!$E$2:$E$500,BOM!$A$2:$A$500,B200),""))</f>
        <v/>
      </c>
      <c r="D200" s="11">
        <f>IF(A200="","",SUMIFS(StockMovements!$I$2:$I$500,StockMovements!$H$2:$H$500,A200,StockMovements!$D$2:$D$500,"issue"))</f>
        <v/>
      </c>
      <c r="E200" s="11">
        <f>IF(OR(A200="",C200="",C200=0,D200=0),"",D200/C200)</f>
        <v/>
      </c>
      <c r="F200" s="11">
        <f>IF(A200="","",WorkOrders!L200)</f>
        <v/>
      </c>
      <c r="G200" s="15">
        <f>IF(OR(E200="",E200=0),"",F200/E200)</f>
        <v/>
      </c>
      <c r="H200" s="11">
        <f>IF(OR(C200="",F200="",F200=0),"",C200*WorkOrders!E200/F200)</f>
        <v/>
      </c>
    </row>
    <row r="201">
      <c r="A201" s="11">
        <f>WorkOrders!A201</f>
        <v/>
      </c>
      <c r="B201" s="11">
        <f>IF(A201="","",WorkOrders!B201)</f>
        <v/>
      </c>
      <c r="C201" s="11">
        <f>IF(A201="","",IFERROR(SUMIFS(BOM!$E$2:$E$500,BOM!$A$2:$A$500,B201),""))</f>
        <v/>
      </c>
      <c r="D201" s="11">
        <f>IF(A201="","",SUMIFS(StockMovements!$I$2:$I$500,StockMovements!$H$2:$H$500,A201,StockMovements!$D$2:$D$500,"issue"))</f>
        <v/>
      </c>
      <c r="E201" s="11">
        <f>IF(OR(A201="",C201="",C201=0,D201=0),"",D201/C201)</f>
        <v/>
      </c>
      <c r="F201" s="11">
        <f>IF(A201="","",WorkOrders!L201)</f>
        <v/>
      </c>
      <c r="G201" s="15">
        <f>IF(OR(E201="",E201=0),"",F201/E201)</f>
        <v/>
      </c>
      <c r="H201" s="11">
        <f>IF(OR(C201="",F201="",F201=0),"",C201*WorkOrders!E201/F201)</f>
        <v/>
      </c>
    </row>
    <row r="202">
      <c r="A202" s="11">
        <f>WorkOrders!A202</f>
        <v/>
      </c>
      <c r="B202" s="11">
        <f>IF(A202="","",WorkOrders!B202)</f>
        <v/>
      </c>
      <c r="C202" s="11">
        <f>IF(A202="","",IFERROR(SUMIFS(BOM!$E$2:$E$500,BOM!$A$2:$A$500,B202),""))</f>
        <v/>
      </c>
      <c r="D202" s="11">
        <f>IF(A202="","",SUMIFS(StockMovements!$I$2:$I$500,StockMovements!$H$2:$H$500,A202,StockMovements!$D$2:$D$500,"issue"))</f>
        <v/>
      </c>
      <c r="E202" s="11">
        <f>IF(OR(A202="",C202="",C202=0,D202=0),"",D202/C202)</f>
        <v/>
      </c>
      <c r="F202" s="11">
        <f>IF(A202="","",WorkOrders!L202)</f>
        <v/>
      </c>
      <c r="G202" s="15">
        <f>IF(OR(E202="",E202=0),"",F202/E202)</f>
        <v/>
      </c>
      <c r="H202" s="11">
        <f>IF(OR(C202="",F202="",F202=0),"",C202*WorkOrders!E202/F202)</f>
        <v/>
      </c>
    </row>
    <row r="203">
      <c r="A203" s="11">
        <f>WorkOrders!A203</f>
        <v/>
      </c>
      <c r="B203" s="11">
        <f>IF(A203="","",WorkOrders!B203)</f>
        <v/>
      </c>
      <c r="C203" s="11">
        <f>IF(A203="","",IFERROR(SUMIFS(BOM!$E$2:$E$500,BOM!$A$2:$A$500,B203),""))</f>
        <v/>
      </c>
      <c r="D203" s="11">
        <f>IF(A203="","",SUMIFS(StockMovements!$I$2:$I$500,StockMovements!$H$2:$H$500,A203,StockMovements!$D$2:$D$500,"issue"))</f>
        <v/>
      </c>
      <c r="E203" s="11">
        <f>IF(OR(A203="",C203="",C203=0,D203=0),"",D203/C203)</f>
        <v/>
      </c>
      <c r="F203" s="11">
        <f>IF(A203="","",WorkOrders!L203)</f>
        <v/>
      </c>
      <c r="G203" s="15">
        <f>IF(OR(E203="",E203=0),"",F203/E203)</f>
        <v/>
      </c>
      <c r="H203" s="11">
        <f>IF(OR(C203="",F203="",F203=0),"",C203*WorkOrders!E203/F203)</f>
        <v/>
      </c>
    </row>
    <row r="204">
      <c r="A204" s="11">
        <f>WorkOrders!A204</f>
        <v/>
      </c>
      <c r="B204" s="11">
        <f>IF(A204="","",WorkOrders!B204)</f>
        <v/>
      </c>
      <c r="C204" s="11">
        <f>IF(A204="","",IFERROR(SUMIFS(BOM!$E$2:$E$500,BOM!$A$2:$A$500,B204),""))</f>
        <v/>
      </c>
      <c r="D204" s="11">
        <f>IF(A204="","",SUMIFS(StockMovements!$I$2:$I$500,StockMovements!$H$2:$H$500,A204,StockMovements!$D$2:$D$500,"issue"))</f>
        <v/>
      </c>
      <c r="E204" s="11">
        <f>IF(OR(A204="",C204="",C204=0,D204=0),"",D204/C204)</f>
        <v/>
      </c>
      <c r="F204" s="11">
        <f>IF(A204="","",WorkOrders!L204)</f>
        <v/>
      </c>
      <c r="G204" s="15">
        <f>IF(OR(E204="",E204=0),"",F204/E204)</f>
        <v/>
      </c>
      <c r="H204" s="11">
        <f>IF(OR(C204="",F204="",F204=0),"",C204*WorkOrders!E204/F204)</f>
        <v/>
      </c>
    </row>
    <row r="205">
      <c r="A205" s="11">
        <f>WorkOrders!A205</f>
        <v/>
      </c>
      <c r="B205" s="11">
        <f>IF(A205="","",WorkOrders!B205)</f>
        <v/>
      </c>
      <c r="C205" s="11">
        <f>IF(A205="","",IFERROR(SUMIFS(BOM!$E$2:$E$500,BOM!$A$2:$A$500,B205),""))</f>
        <v/>
      </c>
      <c r="D205" s="11">
        <f>IF(A205="","",SUMIFS(StockMovements!$I$2:$I$500,StockMovements!$H$2:$H$500,A205,StockMovements!$D$2:$D$500,"issue"))</f>
        <v/>
      </c>
      <c r="E205" s="11">
        <f>IF(OR(A205="",C205="",C205=0,D205=0),"",D205/C205)</f>
        <v/>
      </c>
      <c r="F205" s="11">
        <f>IF(A205="","",WorkOrders!L205)</f>
        <v/>
      </c>
      <c r="G205" s="15">
        <f>IF(OR(E205="",E205=0),"",F205/E205)</f>
        <v/>
      </c>
      <c r="H205" s="11">
        <f>IF(OR(C205="",F205="",F205=0),"",C205*WorkOrders!E205/F205)</f>
        <v/>
      </c>
    </row>
    <row r="206">
      <c r="A206" s="11">
        <f>WorkOrders!A206</f>
        <v/>
      </c>
      <c r="B206" s="11">
        <f>IF(A206="","",WorkOrders!B206)</f>
        <v/>
      </c>
      <c r="C206" s="11">
        <f>IF(A206="","",IFERROR(SUMIFS(BOM!$E$2:$E$500,BOM!$A$2:$A$500,B206),""))</f>
        <v/>
      </c>
      <c r="D206" s="11">
        <f>IF(A206="","",SUMIFS(StockMovements!$I$2:$I$500,StockMovements!$H$2:$H$500,A206,StockMovements!$D$2:$D$500,"issue"))</f>
        <v/>
      </c>
      <c r="E206" s="11">
        <f>IF(OR(A206="",C206="",C206=0,D206=0),"",D206/C206)</f>
        <v/>
      </c>
      <c r="F206" s="11">
        <f>IF(A206="","",WorkOrders!L206)</f>
        <v/>
      </c>
      <c r="G206" s="15">
        <f>IF(OR(E206="",E206=0),"",F206/E206)</f>
        <v/>
      </c>
      <c r="H206" s="11">
        <f>IF(OR(C206="",F206="",F206=0),"",C206*WorkOrders!E206/F206)</f>
        <v/>
      </c>
    </row>
    <row r="207">
      <c r="A207" s="11">
        <f>WorkOrders!A207</f>
        <v/>
      </c>
      <c r="B207" s="11">
        <f>IF(A207="","",WorkOrders!B207)</f>
        <v/>
      </c>
      <c r="C207" s="11">
        <f>IF(A207="","",IFERROR(SUMIFS(BOM!$E$2:$E$500,BOM!$A$2:$A$500,B207),""))</f>
        <v/>
      </c>
      <c r="D207" s="11">
        <f>IF(A207="","",SUMIFS(StockMovements!$I$2:$I$500,StockMovements!$H$2:$H$500,A207,StockMovements!$D$2:$D$500,"issue"))</f>
        <v/>
      </c>
      <c r="E207" s="11">
        <f>IF(OR(A207="",C207="",C207=0,D207=0),"",D207/C207)</f>
        <v/>
      </c>
      <c r="F207" s="11">
        <f>IF(A207="","",WorkOrders!L207)</f>
        <v/>
      </c>
      <c r="G207" s="15">
        <f>IF(OR(E207="",E207=0),"",F207/E207)</f>
        <v/>
      </c>
      <c r="H207" s="11">
        <f>IF(OR(C207="",F207="",F207=0),"",C207*WorkOrders!E207/F207)</f>
        <v/>
      </c>
    </row>
    <row r="208">
      <c r="A208" s="11">
        <f>WorkOrders!A208</f>
        <v/>
      </c>
      <c r="B208" s="11">
        <f>IF(A208="","",WorkOrders!B208)</f>
        <v/>
      </c>
      <c r="C208" s="11">
        <f>IF(A208="","",IFERROR(SUMIFS(BOM!$E$2:$E$500,BOM!$A$2:$A$500,B208),""))</f>
        <v/>
      </c>
      <c r="D208" s="11">
        <f>IF(A208="","",SUMIFS(StockMovements!$I$2:$I$500,StockMovements!$H$2:$H$500,A208,StockMovements!$D$2:$D$500,"issue"))</f>
        <v/>
      </c>
      <c r="E208" s="11">
        <f>IF(OR(A208="",C208="",C208=0,D208=0),"",D208/C208)</f>
        <v/>
      </c>
      <c r="F208" s="11">
        <f>IF(A208="","",WorkOrders!L208)</f>
        <v/>
      </c>
      <c r="G208" s="15">
        <f>IF(OR(E208="",E208=0),"",F208/E208)</f>
        <v/>
      </c>
      <c r="H208" s="11">
        <f>IF(OR(C208="",F208="",F208=0),"",C208*WorkOrders!E208/F208)</f>
        <v/>
      </c>
    </row>
    <row r="209">
      <c r="A209" s="11">
        <f>WorkOrders!A209</f>
        <v/>
      </c>
      <c r="B209" s="11">
        <f>IF(A209="","",WorkOrders!B209)</f>
        <v/>
      </c>
      <c r="C209" s="11">
        <f>IF(A209="","",IFERROR(SUMIFS(BOM!$E$2:$E$500,BOM!$A$2:$A$500,B209),""))</f>
        <v/>
      </c>
      <c r="D209" s="11">
        <f>IF(A209="","",SUMIFS(StockMovements!$I$2:$I$500,StockMovements!$H$2:$H$500,A209,StockMovements!$D$2:$D$500,"issue"))</f>
        <v/>
      </c>
      <c r="E209" s="11">
        <f>IF(OR(A209="",C209="",C209=0,D209=0),"",D209/C209)</f>
        <v/>
      </c>
      <c r="F209" s="11">
        <f>IF(A209="","",WorkOrders!L209)</f>
        <v/>
      </c>
      <c r="G209" s="15">
        <f>IF(OR(E209="",E209=0),"",F209/E209)</f>
        <v/>
      </c>
      <c r="H209" s="11">
        <f>IF(OR(C209="",F209="",F209=0),"",C209*WorkOrders!E209/F209)</f>
        <v/>
      </c>
    </row>
    <row r="210">
      <c r="A210" s="11">
        <f>WorkOrders!A210</f>
        <v/>
      </c>
      <c r="B210" s="11">
        <f>IF(A210="","",WorkOrders!B210)</f>
        <v/>
      </c>
      <c r="C210" s="11">
        <f>IF(A210="","",IFERROR(SUMIFS(BOM!$E$2:$E$500,BOM!$A$2:$A$500,B210),""))</f>
        <v/>
      </c>
      <c r="D210" s="11">
        <f>IF(A210="","",SUMIFS(StockMovements!$I$2:$I$500,StockMovements!$H$2:$H$500,A210,StockMovements!$D$2:$D$500,"issue"))</f>
        <v/>
      </c>
      <c r="E210" s="11">
        <f>IF(OR(A210="",C210="",C210=0,D210=0),"",D210/C210)</f>
        <v/>
      </c>
      <c r="F210" s="11">
        <f>IF(A210="","",WorkOrders!L210)</f>
        <v/>
      </c>
      <c r="G210" s="15">
        <f>IF(OR(E210="",E210=0),"",F210/E210)</f>
        <v/>
      </c>
      <c r="H210" s="11">
        <f>IF(OR(C210="",F210="",F210=0),"",C210*WorkOrders!E210/F210)</f>
        <v/>
      </c>
    </row>
    <row r="211">
      <c r="A211" s="11">
        <f>WorkOrders!A211</f>
        <v/>
      </c>
      <c r="B211" s="11">
        <f>IF(A211="","",WorkOrders!B211)</f>
        <v/>
      </c>
      <c r="C211" s="11">
        <f>IF(A211="","",IFERROR(SUMIFS(BOM!$E$2:$E$500,BOM!$A$2:$A$500,B211),""))</f>
        <v/>
      </c>
      <c r="D211" s="11">
        <f>IF(A211="","",SUMIFS(StockMovements!$I$2:$I$500,StockMovements!$H$2:$H$500,A211,StockMovements!$D$2:$D$500,"issue"))</f>
        <v/>
      </c>
      <c r="E211" s="11">
        <f>IF(OR(A211="",C211="",C211=0,D211=0),"",D211/C211)</f>
        <v/>
      </c>
      <c r="F211" s="11">
        <f>IF(A211="","",WorkOrders!L211)</f>
        <v/>
      </c>
      <c r="G211" s="15">
        <f>IF(OR(E211="",E211=0),"",F211/E211)</f>
        <v/>
      </c>
      <c r="H211" s="11">
        <f>IF(OR(C211="",F211="",F211=0),"",C211*WorkOrders!E211/F211)</f>
        <v/>
      </c>
    </row>
    <row r="212">
      <c r="A212" s="11">
        <f>WorkOrders!A212</f>
        <v/>
      </c>
      <c r="B212" s="11">
        <f>IF(A212="","",WorkOrders!B212)</f>
        <v/>
      </c>
      <c r="C212" s="11">
        <f>IF(A212="","",IFERROR(SUMIFS(BOM!$E$2:$E$500,BOM!$A$2:$A$500,B212),""))</f>
        <v/>
      </c>
      <c r="D212" s="11">
        <f>IF(A212="","",SUMIFS(StockMovements!$I$2:$I$500,StockMovements!$H$2:$H$500,A212,StockMovements!$D$2:$D$500,"issue"))</f>
        <v/>
      </c>
      <c r="E212" s="11">
        <f>IF(OR(A212="",C212="",C212=0,D212=0),"",D212/C212)</f>
        <v/>
      </c>
      <c r="F212" s="11">
        <f>IF(A212="","",WorkOrders!L212)</f>
        <v/>
      </c>
      <c r="G212" s="15">
        <f>IF(OR(E212="",E212=0),"",F212/E212)</f>
        <v/>
      </c>
      <c r="H212" s="11">
        <f>IF(OR(C212="",F212="",F212=0),"",C212*WorkOrders!E212/F212)</f>
        <v/>
      </c>
    </row>
    <row r="213">
      <c r="A213" s="11">
        <f>WorkOrders!A213</f>
        <v/>
      </c>
      <c r="B213" s="11">
        <f>IF(A213="","",WorkOrders!B213)</f>
        <v/>
      </c>
      <c r="C213" s="11">
        <f>IF(A213="","",IFERROR(SUMIFS(BOM!$E$2:$E$500,BOM!$A$2:$A$500,B213),""))</f>
        <v/>
      </c>
      <c r="D213" s="11">
        <f>IF(A213="","",SUMIFS(StockMovements!$I$2:$I$500,StockMovements!$H$2:$H$500,A213,StockMovements!$D$2:$D$500,"issue"))</f>
        <v/>
      </c>
      <c r="E213" s="11">
        <f>IF(OR(A213="",C213="",C213=0,D213=0),"",D213/C213)</f>
        <v/>
      </c>
      <c r="F213" s="11">
        <f>IF(A213="","",WorkOrders!L213)</f>
        <v/>
      </c>
      <c r="G213" s="15">
        <f>IF(OR(E213="",E213=0),"",F213/E213)</f>
        <v/>
      </c>
      <c r="H213" s="11">
        <f>IF(OR(C213="",F213="",F213=0),"",C213*WorkOrders!E213/F213)</f>
        <v/>
      </c>
    </row>
    <row r="214">
      <c r="A214" s="11">
        <f>WorkOrders!A214</f>
        <v/>
      </c>
      <c r="B214" s="11">
        <f>IF(A214="","",WorkOrders!B214)</f>
        <v/>
      </c>
      <c r="C214" s="11">
        <f>IF(A214="","",IFERROR(SUMIFS(BOM!$E$2:$E$500,BOM!$A$2:$A$500,B214),""))</f>
        <v/>
      </c>
      <c r="D214" s="11">
        <f>IF(A214="","",SUMIFS(StockMovements!$I$2:$I$500,StockMovements!$H$2:$H$500,A214,StockMovements!$D$2:$D$500,"issue"))</f>
        <v/>
      </c>
      <c r="E214" s="11">
        <f>IF(OR(A214="",C214="",C214=0,D214=0),"",D214/C214)</f>
        <v/>
      </c>
      <c r="F214" s="11">
        <f>IF(A214="","",WorkOrders!L214)</f>
        <v/>
      </c>
      <c r="G214" s="15">
        <f>IF(OR(E214="",E214=0),"",F214/E214)</f>
        <v/>
      </c>
      <c r="H214" s="11">
        <f>IF(OR(C214="",F214="",F214=0),"",C214*WorkOrders!E214/F214)</f>
        <v/>
      </c>
    </row>
    <row r="215">
      <c r="A215" s="11">
        <f>WorkOrders!A215</f>
        <v/>
      </c>
      <c r="B215" s="11">
        <f>IF(A215="","",WorkOrders!B215)</f>
        <v/>
      </c>
      <c r="C215" s="11">
        <f>IF(A215="","",IFERROR(SUMIFS(BOM!$E$2:$E$500,BOM!$A$2:$A$500,B215),""))</f>
        <v/>
      </c>
      <c r="D215" s="11">
        <f>IF(A215="","",SUMIFS(StockMovements!$I$2:$I$500,StockMovements!$H$2:$H$500,A215,StockMovements!$D$2:$D$500,"issue"))</f>
        <v/>
      </c>
      <c r="E215" s="11">
        <f>IF(OR(A215="",C215="",C215=0,D215=0),"",D215/C215)</f>
        <v/>
      </c>
      <c r="F215" s="11">
        <f>IF(A215="","",WorkOrders!L215)</f>
        <v/>
      </c>
      <c r="G215" s="15">
        <f>IF(OR(E215="",E215=0),"",F215/E215)</f>
        <v/>
      </c>
      <c r="H215" s="11">
        <f>IF(OR(C215="",F215="",F215=0),"",C215*WorkOrders!E215/F215)</f>
        <v/>
      </c>
    </row>
    <row r="216">
      <c r="A216" s="11">
        <f>WorkOrders!A216</f>
        <v/>
      </c>
      <c r="B216" s="11">
        <f>IF(A216="","",WorkOrders!B216)</f>
        <v/>
      </c>
      <c r="C216" s="11">
        <f>IF(A216="","",IFERROR(SUMIFS(BOM!$E$2:$E$500,BOM!$A$2:$A$500,B216),""))</f>
        <v/>
      </c>
      <c r="D216" s="11">
        <f>IF(A216="","",SUMIFS(StockMovements!$I$2:$I$500,StockMovements!$H$2:$H$500,A216,StockMovements!$D$2:$D$500,"issue"))</f>
        <v/>
      </c>
      <c r="E216" s="11">
        <f>IF(OR(A216="",C216="",C216=0,D216=0),"",D216/C216)</f>
        <v/>
      </c>
      <c r="F216" s="11">
        <f>IF(A216="","",WorkOrders!L216)</f>
        <v/>
      </c>
      <c r="G216" s="15">
        <f>IF(OR(E216="",E216=0),"",F216/E216)</f>
        <v/>
      </c>
      <c r="H216" s="11">
        <f>IF(OR(C216="",F216="",F216=0),"",C216*WorkOrders!E216/F216)</f>
        <v/>
      </c>
    </row>
    <row r="217">
      <c r="A217" s="11">
        <f>WorkOrders!A217</f>
        <v/>
      </c>
      <c r="B217" s="11">
        <f>IF(A217="","",WorkOrders!B217)</f>
        <v/>
      </c>
      <c r="C217" s="11">
        <f>IF(A217="","",IFERROR(SUMIFS(BOM!$E$2:$E$500,BOM!$A$2:$A$500,B217),""))</f>
        <v/>
      </c>
      <c r="D217" s="11">
        <f>IF(A217="","",SUMIFS(StockMovements!$I$2:$I$500,StockMovements!$H$2:$H$500,A217,StockMovements!$D$2:$D$500,"issue"))</f>
        <v/>
      </c>
      <c r="E217" s="11">
        <f>IF(OR(A217="",C217="",C217=0,D217=0),"",D217/C217)</f>
        <v/>
      </c>
      <c r="F217" s="11">
        <f>IF(A217="","",WorkOrders!L217)</f>
        <v/>
      </c>
      <c r="G217" s="15">
        <f>IF(OR(E217="",E217=0),"",F217/E217)</f>
        <v/>
      </c>
      <c r="H217" s="11">
        <f>IF(OR(C217="",F217="",F217=0),"",C217*WorkOrders!E217/F217)</f>
        <v/>
      </c>
    </row>
    <row r="218">
      <c r="A218" s="11">
        <f>WorkOrders!A218</f>
        <v/>
      </c>
      <c r="B218" s="11">
        <f>IF(A218="","",WorkOrders!B218)</f>
        <v/>
      </c>
      <c r="C218" s="11">
        <f>IF(A218="","",IFERROR(SUMIFS(BOM!$E$2:$E$500,BOM!$A$2:$A$500,B218),""))</f>
        <v/>
      </c>
      <c r="D218" s="11">
        <f>IF(A218="","",SUMIFS(StockMovements!$I$2:$I$500,StockMovements!$H$2:$H$500,A218,StockMovements!$D$2:$D$500,"issue"))</f>
        <v/>
      </c>
      <c r="E218" s="11">
        <f>IF(OR(A218="",C218="",C218=0,D218=0),"",D218/C218)</f>
        <v/>
      </c>
      <c r="F218" s="11">
        <f>IF(A218="","",WorkOrders!L218)</f>
        <v/>
      </c>
      <c r="G218" s="15">
        <f>IF(OR(E218="",E218=0),"",F218/E218)</f>
        <v/>
      </c>
      <c r="H218" s="11">
        <f>IF(OR(C218="",F218="",F218=0),"",C218*WorkOrders!E218/F218)</f>
        <v/>
      </c>
    </row>
    <row r="219">
      <c r="A219" s="11">
        <f>WorkOrders!A219</f>
        <v/>
      </c>
      <c r="B219" s="11">
        <f>IF(A219="","",WorkOrders!B219)</f>
        <v/>
      </c>
      <c r="C219" s="11">
        <f>IF(A219="","",IFERROR(SUMIFS(BOM!$E$2:$E$500,BOM!$A$2:$A$500,B219),""))</f>
        <v/>
      </c>
      <c r="D219" s="11">
        <f>IF(A219="","",SUMIFS(StockMovements!$I$2:$I$500,StockMovements!$H$2:$H$500,A219,StockMovements!$D$2:$D$500,"issue"))</f>
        <v/>
      </c>
      <c r="E219" s="11">
        <f>IF(OR(A219="",C219="",C219=0,D219=0),"",D219/C219)</f>
        <v/>
      </c>
      <c r="F219" s="11">
        <f>IF(A219="","",WorkOrders!L219)</f>
        <v/>
      </c>
      <c r="G219" s="15">
        <f>IF(OR(E219="",E219=0),"",F219/E219)</f>
        <v/>
      </c>
      <c r="H219" s="11">
        <f>IF(OR(C219="",F219="",F219=0),"",C219*WorkOrders!E219/F219)</f>
        <v/>
      </c>
    </row>
    <row r="220">
      <c r="A220" s="11">
        <f>WorkOrders!A220</f>
        <v/>
      </c>
      <c r="B220" s="11">
        <f>IF(A220="","",WorkOrders!B220)</f>
        <v/>
      </c>
      <c r="C220" s="11">
        <f>IF(A220="","",IFERROR(SUMIFS(BOM!$E$2:$E$500,BOM!$A$2:$A$500,B220),""))</f>
        <v/>
      </c>
      <c r="D220" s="11">
        <f>IF(A220="","",SUMIFS(StockMovements!$I$2:$I$500,StockMovements!$H$2:$H$500,A220,StockMovements!$D$2:$D$500,"issue"))</f>
        <v/>
      </c>
      <c r="E220" s="11">
        <f>IF(OR(A220="",C220="",C220=0,D220=0),"",D220/C220)</f>
        <v/>
      </c>
      <c r="F220" s="11">
        <f>IF(A220="","",WorkOrders!L220)</f>
        <v/>
      </c>
      <c r="G220" s="15">
        <f>IF(OR(E220="",E220=0),"",F220/E220)</f>
        <v/>
      </c>
      <c r="H220" s="11">
        <f>IF(OR(C220="",F220="",F220=0),"",C220*WorkOrders!E220/F220)</f>
        <v/>
      </c>
    </row>
    <row r="221">
      <c r="A221" s="11">
        <f>WorkOrders!A221</f>
        <v/>
      </c>
      <c r="B221" s="11">
        <f>IF(A221="","",WorkOrders!B221)</f>
        <v/>
      </c>
      <c r="C221" s="11">
        <f>IF(A221="","",IFERROR(SUMIFS(BOM!$E$2:$E$500,BOM!$A$2:$A$500,B221),""))</f>
        <v/>
      </c>
      <c r="D221" s="11">
        <f>IF(A221="","",SUMIFS(StockMovements!$I$2:$I$500,StockMovements!$H$2:$H$500,A221,StockMovements!$D$2:$D$500,"issue"))</f>
        <v/>
      </c>
      <c r="E221" s="11">
        <f>IF(OR(A221="",C221="",C221=0,D221=0),"",D221/C221)</f>
        <v/>
      </c>
      <c r="F221" s="11">
        <f>IF(A221="","",WorkOrders!L221)</f>
        <v/>
      </c>
      <c r="G221" s="15">
        <f>IF(OR(E221="",E221=0),"",F221/E221)</f>
        <v/>
      </c>
      <c r="H221" s="11">
        <f>IF(OR(C221="",F221="",F221=0),"",C221*WorkOrders!E221/F221)</f>
        <v/>
      </c>
    </row>
    <row r="222">
      <c r="A222" s="11">
        <f>WorkOrders!A222</f>
        <v/>
      </c>
      <c r="B222" s="11">
        <f>IF(A222="","",WorkOrders!B222)</f>
        <v/>
      </c>
      <c r="C222" s="11">
        <f>IF(A222="","",IFERROR(SUMIFS(BOM!$E$2:$E$500,BOM!$A$2:$A$500,B222),""))</f>
        <v/>
      </c>
      <c r="D222" s="11">
        <f>IF(A222="","",SUMIFS(StockMovements!$I$2:$I$500,StockMovements!$H$2:$H$500,A222,StockMovements!$D$2:$D$500,"issue"))</f>
        <v/>
      </c>
      <c r="E222" s="11">
        <f>IF(OR(A222="",C222="",C222=0,D222=0),"",D222/C222)</f>
        <v/>
      </c>
      <c r="F222" s="11">
        <f>IF(A222="","",WorkOrders!L222)</f>
        <v/>
      </c>
      <c r="G222" s="15">
        <f>IF(OR(E222="",E222=0),"",F222/E222)</f>
        <v/>
      </c>
      <c r="H222" s="11">
        <f>IF(OR(C222="",F222="",F222=0),"",C222*WorkOrders!E222/F222)</f>
        <v/>
      </c>
    </row>
    <row r="223">
      <c r="A223" s="11">
        <f>WorkOrders!A223</f>
        <v/>
      </c>
      <c r="B223" s="11">
        <f>IF(A223="","",WorkOrders!B223)</f>
        <v/>
      </c>
      <c r="C223" s="11">
        <f>IF(A223="","",IFERROR(SUMIFS(BOM!$E$2:$E$500,BOM!$A$2:$A$500,B223),""))</f>
        <v/>
      </c>
      <c r="D223" s="11">
        <f>IF(A223="","",SUMIFS(StockMovements!$I$2:$I$500,StockMovements!$H$2:$H$500,A223,StockMovements!$D$2:$D$500,"issue"))</f>
        <v/>
      </c>
      <c r="E223" s="11">
        <f>IF(OR(A223="",C223="",C223=0,D223=0),"",D223/C223)</f>
        <v/>
      </c>
      <c r="F223" s="11">
        <f>IF(A223="","",WorkOrders!L223)</f>
        <v/>
      </c>
      <c r="G223" s="15">
        <f>IF(OR(E223="",E223=0),"",F223/E223)</f>
        <v/>
      </c>
      <c r="H223" s="11">
        <f>IF(OR(C223="",F223="",F223=0),"",C223*WorkOrders!E223/F223)</f>
        <v/>
      </c>
    </row>
    <row r="224">
      <c r="A224" s="11">
        <f>WorkOrders!A224</f>
        <v/>
      </c>
      <c r="B224" s="11">
        <f>IF(A224="","",WorkOrders!B224)</f>
        <v/>
      </c>
      <c r="C224" s="11">
        <f>IF(A224="","",IFERROR(SUMIFS(BOM!$E$2:$E$500,BOM!$A$2:$A$500,B224),""))</f>
        <v/>
      </c>
      <c r="D224" s="11">
        <f>IF(A224="","",SUMIFS(StockMovements!$I$2:$I$500,StockMovements!$H$2:$H$500,A224,StockMovements!$D$2:$D$500,"issue"))</f>
        <v/>
      </c>
      <c r="E224" s="11">
        <f>IF(OR(A224="",C224="",C224=0,D224=0),"",D224/C224)</f>
        <v/>
      </c>
      <c r="F224" s="11">
        <f>IF(A224="","",WorkOrders!L224)</f>
        <v/>
      </c>
      <c r="G224" s="15">
        <f>IF(OR(E224="",E224=0),"",F224/E224)</f>
        <v/>
      </c>
      <c r="H224" s="11">
        <f>IF(OR(C224="",F224="",F224=0),"",C224*WorkOrders!E224/F224)</f>
        <v/>
      </c>
    </row>
    <row r="225">
      <c r="A225" s="11">
        <f>WorkOrders!A225</f>
        <v/>
      </c>
      <c r="B225" s="11">
        <f>IF(A225="","",WorkOrders!B225)</f>
        <v/>
      </c>
      <c r="C225" s="11">
        <f>IF(A225="","",IFERROR(SUMIFS(BOM!$E$2:$E$500,BOM!$A$2:$A$500,B225),""))</f>
        <v/>
      </c>
      <c r="D225" s="11">
        <f>IF(A225="","",SUMIFS(StockMovements!$I$2:$I$500,StockMovements!$H$2:$H$500,A225,StockMovements!$D$2:$D$500,"issue"))</f>
        <v/>
      </c>
      <c r="E225" s="11">
        <f>IF(OR(A225="",C225="",C225=0,D225=0),"",D225/C225)</f>
        <v/>
      </c>
      <c r="F225" s="11">
        <f>IF(A225="","",WorkOrders!L225)</f>
        <v/>
      </c>
      <c r="G225" s="15">
        <f>IF(OR(E225="",E225=0),"",F225/E225)</f>
        <v/>
      </c>
      <c r="H225" s="11">
        <f>IF(OR(C225="",F225="",F225=0),"",C225*WorkOrders!E225/F225)</f>
        <v/>
      </c>
    </row>
    <row r="226">
      <c r="A226" s="11">
        <f>WorkOrders!A226</f>
        <v/>
      </c>
      <c r="B226" s="11">
        <f>IF(A226="","",WorkOrders!B226)</f>
        <v/>
      </c>
      <c r="C226" s="11">
        <f>IF(A226="","",IFERROR(SUMIFS(BOM!$E$2:$E$500,BOM!$A$2:$A$500,B226),""))</f>
        <v/>
      </c>
      <c r="D226" s="11">
        <f>IF(A226="","",SUMIFS(StockMovements!$I$2:$I$500,StockMovements!$H$2:$H$500,A226,StockMovements!$D$2:$D$500,"issue"))</f>
        <v/>
      </c>
      <c r="E226" s="11">
        <f>IF(OR(A226="",C226="",C226=0,D226=0),"",D226/C226)</f>
        <v/>
      </c>
      <c r="F226" s="11">
        <f>IF(A226="","",WorkOrders!L226)</f>
        <v/>
      </c>
      <c r="G226" s="15">
        <f>IF(OR(E226="",E226=0),"",F226/E226)</f>
        <v/>
      </c>
      <c r="H226" s="11">
        <f>IF(OR(C226="",F226="",F226=0),"",C226*WorkOrders!E226/F226)</f>
        <v/>
      </c>
    </row>
    <row r="227">
      <c r="A227" s="11">
        <f>WorkOrders!A227</f>
        <v/>
      </c>
      <c r="B227" s="11">
        <f>IF(A227="","",WorkOrders!B227)</f>
        <v/>
      </c>
      <c r="C227" s="11">
        <f>IF(A227="","",IFERROR(SUMIFS(BOM!$E$2:$E$500,BOM!$A$2:$A$500,B227),""))</f>
        <v/>
      </c>
      <c r="D227" s="11">
        <f>IF(A227="","",SUMIFS(StockMovements!$I$2:$I$500,StockMovements!$H$2:$H$500,A227,StockMovements!$D$2:$D$500,"issue"))</f>
        <v/>
      </c>
      <c r="E227" s="11">
        <f>IF(OR(A227="",C227="",C227=0,D227=0),"",D227/C227)</f>
        <v/>
      </c>
      <c r="F227" s="11">
        <f>IF(A227="","",WorkOrders!L227)</f>
        <v/>
      </c>
      <c r="G227" s="15">
        <f>IF(OR(E227="",E227=0),"",F227/E227)</f>
        <v/>
      </c>
      <c r="H227" s="11">
        <f>IF(OR(C227="",F227="",F227=0),"",C227*WorkOrders!E227/F227)</f>
        <v/>
      </c>
    </row>
    <row r="228">
      <c r="A228" s="11">
        <f>WorkOrders!A228</f>
        <v/>
      </c>
      <c r="B228" s="11">
        <f>IF(A228="","",WorkOrders!B228)</f>
        <v/>
      </c>
      <c r="C228" s="11">
        <f>IF(A228="","",IFERROR(SUMIFS(BOM!$E$2:$E$500,BOM!$A$2:$A$500,B228),""))</f>
        <v/>
      </c>
      <c r="D228" s="11">
        <f>IF(A228="","",SUMIFS(StockMovements!$I$2:$I$500,StockMovements!$H$2:$H$500,A228,StockMovements!$D$2:$D$500,"issue"))</f>
        <v/>
      </c>
      <c r="E228" s="11">
        <f>IF(OR(A228="",C228="",C228=0,D228=0),"",D228/C228)</f>
        <v/>
      </c>
      <c r="F228" s="11">
        <f>IF(A228="","",WorkOrders!L228)</f>
        <v/>
      </c>
      <c r="G228" s="15">
        <f>IF(OR(E228="",E228=0),"",F228/E228)</f>
        <v/>
      </c>
      <c r="H228" s="11">
        <f>IF(OR(C228="",F228="",F228=0),"",C228*WorkOrders!E228/F228)</f>
        <v/>
      </c>
    </row>
    <row r="229">
      <c r="A229" s="11">
        <f>WorkOrders!A229</f>
        <v/>
      </c>
      <c r="B229" s="11">
        <f>IF(A229="","",WorkOrders!B229)</f>
        <v/>
      </c>
      <c r="C229" s="11">
        <f>IF(A229="","",IFERROR(SUMIFS(BOM!$E$2:$E$500,BOM!$A$2:$A$500,B229),""))</f>
        <v/>
      </c>
      <c r="D229" s="11">
        <f>IF(A229="","",SUMIFS(StockMovements!$I$2:$I$500,StockMovements!$H$2:$H$500,A229,StockMovements!$D$2:$D$500,"issue"))</f>
        <v/>
      </c>
      <c r="E229" s="11">
        <f>IF(OR(A229="",C229="",C229=0,D229=0),"",D229/C229)</f>
        <v/>
      </c>
      <c r="F229" s="11">
        <f>IF(A229="","",WorkOrders!L229)</f>
        <v/>
      </c>
      <c r="G229" s="15">
        <f>IF(OR(E229="",E229=0),"",F229/E229)</f>
        <v/>
      </c>
      <c r="H229" s="11">
        <f>IF(OR(C229="",F229="",F229=0),"",C229*WorkOrders!E229/F229)</f>
        <v/>
      </c>
    </row>
    <row r="230">
      <c r="A230" s="11">
        <f>WorkOrders!A230</f>
        <v/>
      </c>
      <c r="B230" s="11">
        <f>IF(A230="","",WorkOrders!B230)</f>
        <v/>
      </c>
      <c r="C230" s="11">
        <f>IF(A230="","",IFERROR(SUMIFS(BOM!$E$2:$E$500,BOM!$A$2:$A$500,B230),""))</f>
        <v/>
      </c>
      <c r="D230" s="11">
        <f>IF(A230="","",SUMIFS(StockMovements!$I$2:$I$500,StockMovements!$H$2:$H$500,A230,StockMovements!$D$2:$D$500,"issue"))</f>
        <v/>
      </c>
      <c r="E230" s="11">
        <f>IF(OR(A230="",C230="",C230=0,D230=0),"",D230/C230)</f>
        <v/>
      </c>
      <c r="F230" s="11">
        <f>IF(A230="","",WorkOrders!L230)</f>
        <v/>
      </c>
      <c r="G230" s="15">
        <f>IF(OR(E230="",E230=0),"",F230/E230)</f>
        <v/>
      </c>
      <c r="H230" s="11">
        <f>IF(OR(C230="",F230="",F230=0),"",C230*WorkOrders!E230/F230)</f>
        <v/>
      </c>
    </row>
    <row r="231">
      <c r="A231" s="11">
        <f>WorkOrders!A231</f>
        <v/>
      </c>
      <c r="B231" s="11">
        <f>IF(A231="","",WorkOrders!B231)</f>
        <v/>
      </c>
      <c r="C231" s="11">
        <f>IF(A231="","",IFERROR(SUMIFS(BOM!$E$2:$E$500,BOM!$A$2:$A$500,B231),""))</f>
        <v/>
      </c>
      <c r="D231" s="11">
        <f>IF(A231="","",SUMIFS(StockMovements!$I$2:$I$500,StockMovements!$H$2:$H$500,A231,StockMovements!$D$2:$D$500,"issue"))</f>
        <v/>
      </c>
      <c r="E231" s="11">
        <f>IF(OR(A231="",C231="",C231=0,D231=0),"",D231/C231)</f>
        <v/>
      </c>
      <c r="F231" s="11">
        <f>IF(A231="","",WorkOrders!L231)</f>
        <v/>
      </c>
      <c r="G231" s="15">
        <f>IF(OR(E231="",E231=0),"",F231/E231)</f>
        <v/>
      </c>
      <c r="H231" s="11">
        <f>IF(OR(C231="",F231="",F231=0),"",C231*WorkOrders!E231/F231)</f>
        <v/>
      </c>
    </row>
    <row r="232">
      <c r="A232" s="11">
        <f>WorkOrders!A232</f>
        <v/>
      </c>
      <c r="B232" s="11">
        <f>IF(A232="","",WorkOrders!B232)</f>
        <v/>
      </c>
      <c r="C232" s="11">
        <f>IF(A232="","",IFERROR(SUMIFS(BOM!$E$2:$E$500,BOM!$A$2:$A$500,B232),""))</f>
        <v/>
      </c>
      <c r="D232" s="11">
        <f>IF(A232="","",SUMIFS(StockMovements!$I$2:$I$500,StockMovements!$H$2:$H$500,A232,StockMovements!$D$2:$D$500,"issue"))</f>
        <v/>
      </c>
      <c r="E232" s="11">
        <f>IF(OR(A232="",C232="",C232=0,D232=0),"",D232/C232)</f>
        <v/>
      </c>
      <c r="F232" s="11">
        <f>IF(A232="","",WorkOrders!L232)</f>
        <v/>
      </c>
      <c r="G232" s="15">
        <f>IF(OR(E232="",E232=0),"",F232/E232)</f>
        <v/>
      </c>
      <c r="H232" s="11">
        <f>IF(OR(C232="",F232="",F232=0),"",C232*WorkOrders!E232/F232)</f>
        <v/>
      </c>
    </row>
    <row r="233">
      <c r="A233" s="11">
        <f>WorkOrders!A233</f>
        <v/>
      </c>
      <c r="B233" s="11">
        <f>IF(A233="","",WorkOrders!B233)</f>
        <v/>
      </c>
      <c r="C233" s="11">
        <f>IF(A233="","",IFERROR(SUMIFS(BOM!$E$2:$E$500,BOM!$A$2:$A$500,B233),""))</f>
        <v/>
      </c>
      <c r="D233" s="11">
        <f>IF(A233="","",SUMIFS(StockMovements!$I$2:$I$500,StockMovements!$H$2:$H$500,A233,StockMovements!$D$2:$D$500,"issue"))</f>
        <v/>
      </c>
      <c r="E233" s="11">
        <f>IF(OR(A233="",C233="",C233=0,D233=0),"",D233/C233)</f>
        <v/>
      </c>
      <c r="F233" s="11">
        <f>IF(A233="","",WorkOrders!L233)</f>
        <v/>
      </c>
      <c r="G233" s="15">
        <f>IF(OR(E233="",E233=0),"",F233/E233)</f>
        <v/>
      </c>
      <c r="H233" s="11">
        <f>IF(OR(C233="",F233="",F233=0),"",C233*WorkOrders!E233/F233)</f>
        <v/>
      </c>
    </row>
    <row r="234">
      <c r="A234" s="11">
        <f>WorkOrders!A234</f>
        <v/>
      </c>
      <c r="B234" s="11">
        <f>IF(A234="","",WorkOrders!B234)</f>
        <v/>
      </c>
      <c r="C234" s="11">
        <f>IF(A234="","",IFERROR(SUMIFS(BOM!$E$2:$E$500,BOM!$A$2:$A$500,B234),""))</f>
        <v/>
      </c>
      <c r="D234" s="11">
        <f>IF(A234="","",SUMIFS(StockMovements!$I$2:$I$500,StockMovements!$H$2:$H$500,A234,StockMovements!$D$2:$D$500,"issue"))</f>
        <v/>
      </c>
      <c r="E234" s="11">
        <f>IF(OR(A234="",C234="",C234=0,D234=0),"",D234/C234)</f>
        <v/>
      </c>
      <c r="F234" s="11">
        <f>IF(A234="","",WorkOrders!L234)</f>
        <v/>
      </c>
      <c r="G234" s="15">
        <f>IF(OR(E234="",E234=0),"",F234/E234)</f>
        <v/>
      </c>
      <c r="H234" s="11">
        <f>IF(OR(C234="",F234="",F234=0),"",C234*WorkOrders!E234/F234)</f>
        <v/>
      </c>
    </row>
    <row r="235">
      <c r="A235" s="11">
        <f>WorkOrders!A235</f>
        <v/>
      </c>
      <c r="B235" s="11">
        <f>IF(A235="","",WorkOrders!B235)</f>
        <v/>
      </c>
      <c r="C235" s="11">
        <f>IF(A235="","",IFERROR(SUMIFS(BOM!$E$2:$E$500,BOM!$A$2:$A$500,B235),""))</f>
        <v/>
      </c>
      <c r="D235" s="11">
        <f>IF(A235="","",SUMIFS(StockMovements!$I$2:$I$500,StockMovements!$H$2:$H$500,A235,StockMovements!$D$2:$D$500,"issue"))</f>
        <v/>
      </c>
      <c r="E235" s="11">
        <f>IF(OR(A235="",C235="",C235=0,D235=0),"",D235/C235)</f>
        <v/>
      </c>
      <c r="F235" s="11">
        <f>IF(A235="","",WorkOrders!L235)</f>
        <v/>
      </c>
      <c r="G235" s="15">
        <f>IF(OR(E235="",E235=0),"",F235/E235)</f>
        <v/>
      </c>
      <c r="H235" s="11">
        <f>IF(OR(C235="",F235="",F235=0),"",C235*WorkOrders!E235/F235)</f>
        <v/>
      </c>
    </row>
    <row r="236">
      <c r="A236" s="11">
        <f>WorkOrders!A236</f>
        <v/>
      </c>
      <c r="B236" s="11">
        <f>IF(A236="","",WorkOrders!B236)</f>
        <v/>
      </c>
      <c r="C236" s="11">
        <f>IF(A236="","",IFERROR(SUMIFS(BOM!$E$2:$E$500,BOM!$A$2:$A$500,B236),""))</f>
        <v/>
      </c>
      <c r="D236" s="11">
        <f>IF(A236="","",SUMIFS(StockMovements!$I$2:$I$500,StockMovements!$H$2:$H$500,A236,StockMovements!$D$2:$D$500,"issue"))</f>
        <v/>
      </c>
      <c r="E236" s="11">
        <f>IF(OR(A236="",C236="",C236=0,D236=0),"",D236/C236)</f>
        <v/>
      </c>
      <c r="F236" s="11">
        <f>IF(A236="","",WorkOrders!L236)</f>
        <v/>
      </c>
      <c r="G236" s="15">
        <f>IF(OR(E236="",E236=0),"",F236/E236)</f>
        <v/>
      </c>
      <c r="H236" s="11">
        <f>IF(OR(C236="",F236="",F236=0),"",C236*WorkOrders!E236/F236)</f>
        <v/>
      </c>
    </row>
    <row r="237">
      <c r="A237" s="11">
        <f>WorkOrders!A237</f>
        <v/>
      </c>
      <c r="B237" s="11">
        <f>IF(A237="","",WorkOrders!B237)</f>
        <v/>
      </c>
      <c r="C237" s="11">
        <f>IF(A237="","",IFERROR(SUMIFS(BOM!$E$2:$E$500,BOM!$A$2:$A$500,B237),""))</f>
        <v/>
      </c>
      <c r="D237" s="11">
        <f>IF(A237="","",SUMIFS(StockMovements!$I$2:$I$500,StockMovements!$H$2:$H$500,A237,StockMovements!$D$2:$D$500,"issue"))</f>
        <v/>
      </c>
      <c r="E237" s="11">
        <f>IF(OR(A237="",C237="",C237=0,D237=0),"",D237/C237)</f>
        <v/>
      </c>
      <c r="F237" s="11">
        <f>IF(A237="","",WorkOrders!L237)</f>
        <v/>
      </c>
      <c r="G237" s="15">
        <f>IF(OR(E237="",E237=0),"",F237/E237)</f>
        <v/>
      </c>
      <c r="H237" s="11">
        <f>IF(OR(C237="",F237="",F237=0),"",C237*WorkOrders!E237/F237)</f>
        <v/>
      </c>
    </row>
    <row r="238">
      <c r="A238" s="11">
        <f>WorkOrders!A238</f>
        <v/>
      </c>
      <c r="B238" s="11">
        <f>IF(A238="","",WorkOrders!B238)</f>
        <v/>
      </c>
      <c r="C238" s="11">
        <f>IF(A238="","",IFERROR(SUMIFS(BOM!$E$2:$E$500,BOM!$A$2:$A$500,B238),""))</f>
        <v/>
      </c>
      <c r="D238" s="11">
        <f>IF(A238="","",SUMIFS(StockMovements!$I$2:$I$500,StockMovements!$H$2:$H$500,A238,StockMovements!$D$2:$D$500,"issue"))</f>
        <v/>
      </c>
      <c r="E238" s="11">
        <f>IF(OR(A238="",C238="",C238=0,D238=0),"",D238/C238)</f>
        <v/>
      </c>
      <c r="F238" s="11">
        <f>IF(A238="","",WorkOrders!L238)</f>
        <v/>
      </c>
      <c r="G238" s="15">
        <f>IF(OR(E238="",E238=0),"",F238/E238)</f>
        <v/>
      </c>
      <c r="H238" s="11">
        <f>IF(OR(C238="",F238="",F238=0),"",C238*WorkOrders!E238/F238)</f>
        <v/>
      </c>
    </row>
    <row r="239">
      <c r="A239" s="11">
        <f>WorkOrders!A239</f>
        <v/>
      </c>
      <c r="B239" s="11">
        <f>IF(A239="","",WorkOrders!B239)</f>
        <v/>
      </c>
      <c r="C239" s="11">
        <f>IF(A239="","",IFERROR(SUMIFS(BOM!$E$2:$E$500,BOM!$A$2:$A$500,B239),""))</f>
        <v/>
      </c>
      <c r="D239" s="11">
        <f>IF(A239="","",SUMIFS(StockMovements!$I$2:$I$500,StockMovements!$H$2:$H$500,A239,StockMovements!$D$2:$D$500,"issue"))</f>
        <v/>
      </c>
      <c r="E239" s="11">
        <f>IF(OR(A239="",C239="",C239=0,D239=0),"",D239/C239)</f>
        <v/>
      </c>
      <c r="F239" s="11">
        <f>IF(A239="","",WorkOrders!L239)</f>
        <v/>
      </c>
      <c r="G239" s="15">
        <f>IF(OR(E239="",E239=0),"",F239/E239)</f>
        <v/>
      </c>
      <c r="H239" s="11">
        <f>IF(OR(C239="",F239="",F239=0),"",C239*WorkOrders!E239/F239)</f>
        <v/>
      </c>
    </row>
    <row r="240">
      <c r="A240" s="11">
        <f>WorkOrders!A240</f>
        <v/>
      </c>
      <c r="B240" s="11">
        <f>IF(A240="","",WorkOrders!B240)</f>
        <v/>
      </c>
      <c r="C240" s="11">
        <f>IF(A240="","",IFERROR(SUMIFS(BOM!$E$2:$E$500,BOM!$A$2:$A$500,B240),""))</f>
        <v/>
      </c>
      <c r="D240" s="11">
        <f>IF(A240="","",SUMIFS(StockMovements!$I$2:$I$500,StockMovements!$H$2:$H$500,A240,StockMovements!$D$2:$D$500,"issue"))</f>
        <v/>
      </c>
      <c r="E240" s="11">
        <f>IF(OR(A240="",C240="",C240=0,D240=0),"",D240/C240)</f>
        <v/>
      </c>
      <c r="F240" s="11">
        <f>IF(A240="","",WorkOrders!L240)</f>
        <v/>
      </c>
      <c r="G240" s="15">
        <f>IF(OR(E240="",E240=0),"",F240/E240)</f>
        <v/>
      </c>
      <c r="H240" s="11">
        <f>IF(OR(C240="",F240="",F240=0),"",C240*WorkOrders!E240/F240)</f>
        <v/>
      </c>
    </row>
    <row r="241">
      <c r="A241" s="11">
        <f>WorkOrders!A241</f>
        <v/>
      </c>
      <c r="B241" s="11">
        <f>IF(A241="","",WorkOrders!B241)</f>
        <v/>
      </c>
      <c r="C241" s="11">
        <f>IF(A241="","",IFERROR(SUMIFS(BOM!$E$2:$E$500,BOM!$A$2:$A$500,B241),""))</f>
        <v/>
      </c>
      <c r="D241" s="11">
        <f>IF(A241="","",SUMIFS(StockMovements!$I$2:$I$500,StockMovements!$H$2:$H$500,A241,StockMovements!$D$2:$D$500,"issue"))</f>
        <v/>
      </c>
      <c r="E241" s="11">
        <f>IF(OR(A241="",C241="",C241=0,D241=0),"",D241/C241)</f>
        <v/>
      </c>
      <c r="F241" s="11">
        <f>IF(A241="","",WorkOrders!L241)</f>
        <v/>
      </c>
      <c r="G241" s="15">
        <f>IF(OR(E241="",E241=0),"",F241/E241)</f>
        <v/>
      </c>
      <c r="H241" s="11">
        <f>IF(OR(C241="",F241="",F241=0),"",C241*WorkOrders!E241/F241)</f>
        <v/>
      </c>
    </row>
    <row r="242">
      <c r="A242" s="11">
        <f>WorkOrders!A242</f>
        <v/>
      </c>
      <c r="B242" s="11">
        <f>IF(A242="","",WorkOrders!B242)</f>
        <v/>
      </c>
      <c r="C242" s="11">
        <f>IF(A242="","",IFERROR(SUMIFS(BOM!$E$2:$E$500,BOM!$A$2:$A$500,B242),""))</f>
        <v/>
      </c>
      <c r="D242" s="11">
        <f>IF(A242="","",SUMIFS(StockMovements!$I$2:$I$500,StockMovements!$H$2:$H$500,A242,StockMovements!$D$2:$D$500,"issue"))</f>
        <v/>
      </c>
      <c r="E242" s="11">
        <f>IF(OR(A242="",C242="",C242=0,D242=0),"",D242/C242)</f>
        <v/>
      </c>
      <c r="F242" s="11">
        <f>IF(A242="","",WorkOrders!L242)</f>
        <v/>
      </c>
      <c r="G242" s="15">
        <f>IF(OR(E242="",E242=0),"",F242/E242)</f>
        <v/>
      </c>
      <c r="H242" s="11">
        <f>IF(OR(C242="",F242="",F242=0),"",C242*WorkOrders!E242/F242)</f>
        <v/>
      </c>
    </row>
    <row r="243">
      <c r="A243" s="11">
        <f>WorkOrders!A243</f>
        <v/>
      </c>
      <c r="B243" s="11">
        <f>IF(A243="","",WorkOrders!B243)</f>
        <v/>
      </c>
      <c r="C243" s="11">
        <f>IF(A243="","",IFERROR(SUMIFS(BOM!$E$2:$E$500,BOM!$A$2:$A$500,B243),""))</f>
        <v/>
      </c>
      <c r="D243" s="11">
        <f>IF(A243="","",SUMIFS(StockMovements!$I$2:$I$500,StockMovements!$H$2:$H$500,A243,StockMovements!$D$2:$D$500,"issue"))</f>
        <v/>
      </c>
      <c r="E243" s="11">
        <f>IF(OR(A243="",C243="",C243=0,D243=0),"",D243/C243)</f>
        <v/>
      </c>
      <c r="F243" s="11">
        <f>IF(A243="","",WorkOrders!L243)</f>
        <v/>
      </c>
      <c r="G243" s="15">
        <f>IF(OR(E243="",E243=0),"",F243/E243)</f>
        <v/>
      </c>
      <c r="H243" s="11">
        <f>IF(OR(C243="",F243="",F243=0),"",C243*WorkOrders!E243/F243)</f>
        <v/>
      </c>
    </row>
    <row r="244">
      <c r="A244" s="11">
        <f>WorkOrders!A244</f>
        <v/>
      </c>
      <c r="B244" s="11">
        <f>IF(A244="","",WorkOrders!B244)</f>
        <v/>
      </c>
      <c r="C244" s="11">
        <f>IF(A244="","",IFERROR(SUMIFS(BOM!$E$2:$E$500,BOM!$A$2:$A$500,B244),""))</f>
        <v/>
      </c>
      <c r="D244" s="11">
        <f>IF(A244="","",SUMIFS(StockMovements!$I$2:$I$500,StockMovements!$H$2:$H$500,A244,StockMovements!$D$2:$D$500,"issue"))</f>
        <v/>
      </c>
      <c r="E244" s="11">
        <f>IF(OR(A244="",C244="",C244=0,D244=0),"",D244/C244)</f>
        <v/>
      </c>
      <c r="F244" s="11">
        <f>IF(A244="","",WorkOrders!L244)</f>
        <v/>
      </c>
      <c r="G244" s="15">
        <f>IF(OR(E244="",E244=0),"",F244/E244)</f>
        <v/>
      </c>
      <c r="H244" s="11">
        <f>IF(OR(C244="",F244="",F244=0),"",C244*WorkOrders!E244/F244)</f>
        <v/>
      </c>
    </row>
    <row r="245">
      <c r="A245" s="11">
        <f>WorkOrders!A245</f>
        <v/>
      </c>
      <c r="B245" s="11">
        <f>IF(A245="","",WorkOrders!B245)</f>
        <v/>
      </c>
      <c r="C245" s="11">
        <f>IF(A245="","",IFERROR(SUMIFS(BOM!$E$2:$E$500,BOM!$A$2:$A$500,B245),""))</f>
        <v/>
      </c>
      <c r="D245" s="11">
        <f>IF(A245="","",SUMIFS(StockMovements!$I$2:$I$500,StockMovements!$H$2:$H$500,A245,StockMovements!$D$2:$D$500,"issue"))</f>
        <v/>
      </c>
      <c r="E245" s="11">
        <f>IF(OR(A245="",C245="",C245=0,D245=0),"",D245/C245)</f>
        <v/>
      </c>
      <c r="F245" s="11">
        <f>IF(A245="","",WorkOrders!L245)</f>
        <v/>
      </c>
      <c r="G245" s="15">
        <f>IF(OR(E245="",E245=0),"",F245/E245)</f>
        <v/>
      </c>
      <c r="H245" s="11">
        <f>IF(OR(C245="",F245="",F245=0),"",C245*WorkOrders!E245/F245)</f>
        <v/>
      </c>
    </row>
    <row r="246">
      <c r="A246" s="11">
        <f>WorkOrders!A246</f>
        <v/>
      </c>
      <c r="B246" s="11">
        <f>IF(A246="","",WorkOrders!B246)</f>
        <v/>
      </c>
      <c r="C246" s="11">
        <f>IF(A246="","",IFERROR(SUMIFS(BOM!$E$2:$E$500,BOM!$A$2:$A$500,B246),""))</f>
        <v/>
      </c>
      <c r="D246" s="11">
        <f>IF(A246="","",SUMIFS(StockMovements!$I$2:$I$500,StockMovements!$H$2:$H$500,A246,StockMovements!$D$2:$D$500,"issue"))</f>
        <v/>
      </c>
      <c r="E246" s="11">
        <f>IF(OR(A246="",C246="",C246=0,D246=0),"",D246/C246)</f>
        <v/>
      </c>
      <c r="F246" s="11">
        <f>IF(A246="","",WorkOrders!L246)</f>
        <v/>
      </c>
      <c r="G246" s="15">
        <f>IF(OR(E246="",E246=0),"",F246/E246)</f>
        <v/>
      </c>
      <c r="H246" s="11">
        <f>IF(OR(C246="",F246="",F246=0),"",C246*WorkOrders!E246/F246)</f>
        <v/>
      </c>
    </row>
    <row r="247">
      <c r="A247" s="11">
        <f>WorkOrders!A247</f>
        <v/>
      </c>
      <c r="B247" s="11">
        <f>IF(A247="","",WorkOrders!B247)</f>
        <v/>
      </c>
      <c r="C247" s="11">
        <f>IF(A247="","",IFERROR(SUMIFS(BOM!$E$2:$E$500,BOM!$A$2:$A$500,B247),""))</f>
        <v/>
      </c>
      <c r="D247" s="11">
        <f>IF(A247="","",SUMIFS(StockMovements!$I$2:$I$500,StockMovements!$H$2:$H$500,A247,StockMovements!$D$2:$D$500,"issue"))</f>
        <v/>
      </c>
      <c r="E247" s="11">
        <f>IF(OR(A247="",C247="",C247=0,D247=0),"",D247/C247)</f>
        <v/>
      </c>
      <c r="F247" s="11">
        <f>IF(A247="","",WorkOrders!L247)</f>
        <v/>
      </c>
      <c r="G247" s="15">
        <f>IF(OR(E247="",E247=0),"",F247/E247)</f>
        <v/>
      </c>
      <c r="H247" s="11">
        <f>IF(OR(C247="",F247="",F247=0),"",C247*WorkOrders!E247/F247)</f>
        <v/>
      </c>
    </row>
    <row r="248">
      <c r="A248" s="11">
        <f>WorkOrders!A248</f>
        <v/>
      </c>
      <c r="B248" s="11">
        <f>IF(A248="","",WorkOrders!B248)</f>
        <v/>
      </c>
      <c r="C248" s="11">
        <f>IF(A248="","",IFERROR(SUMIFS(BOM!$E$2:$E$500,BOM!$A$2:$A$500,B248),""))</f>
        <v/>
      </c>
      <c r="D248" s="11">
        <f>IF(A248="","",SUMIFS(StockMovements!$I$2:$I$500,StockMovements!$H$2:$H$500,A248,StockMovements!$D$2:$D$500,"issue"))</f>
        <v/>
      </c>
      <c r="E248" s="11">
        <f>IF(OR(A248="",C248="",C248=0,D248=0),"",D248/C248)</f>
        <v/>
      </c>
      <c r="F248" s="11">
        <f>IF(A248="","",WorkOrders!L248)</f>
        <v/>
      </c>
      <c r="G248" s="15">
        <f>IF(OR(E248="",E248=0),"",F248/E248)</f>
        <v/>
      </c>
      <c r="H248" s="11">
        <f>IF(OR(C248="",F248="",F248=0),"",C248*WorkOrders!E248/F248)</f>
        <v/>
      </c>
    </row>
    <row r="249">
      <c r="A249" s="11">
        <f>WorkOrders!A249</f>
        <v/>
      </c>
      <c r="B249" s="11">
        <f>IF(A249="","",WorkOrders!B249)</f>
        <v/>
      </c>
      <c r="C249" s="11">
        <f>IF(A249="","",IFERROR(SUMIFS(BOM!$E$2:$E$500,BOM!$A$2:$A$500,B249),""))</f>
        <v/>
      </c>
      <c r="D249" s="11">
        <f>IF(A249="","",SUMIFS(StockMovements!$I$2:$I$500,StockMovements!$H$2:$H$500,A249,StockMovements!$D$2:$D$500,"issue"))</f>
        <v/>
      </c>
      <c r="E249" s="11">
        <f>IF(OR(A249="",C249="",C249=0,D249=0),"",D249/C249)</f>
        <v/>
      </c>
      <c r="F249" s="11">
        <f>IF(A249="","",WorkOrders!L249)</f>
        <v/>
      </c>
      <c r="G249" s="15">
        <f>IF(OR(E249="",E249=0),"",F249/E249)</f>
        <v/>
      </c>
      <c r="H249" s="11">
        <f>IF(OR(C249="",F249="",F249=0),"",C249*WorkOrders!E249/F249)</f>
        <v/>
      </c>
    </row>
    <row r="250">
      <c r="A250" s="11">
        <f>WorkOrders!A250</f>
        <v/>
      </c>
      <c r="B250" s="11">
        <f>IF(A250="","",WorkOrders!B250)</f>
        <v/>
      </c>
      <c r="C250" s="11">
        <f>IF(A250="","",IFERROR(SUMIFS(BOM!$E$2:$E$500,BOM!$A$2:$A$500,B250),""))</f>
        <v/>
      </c>
      <c r="D250" s="11">
        <f>IF(A250="","",SUMIFS(StockMovements!$I$2:$I$500,StockMovements!$H$2:$H$500,A250,StockMovements!$D$2:$D$500,"issue"))</f>
        <v/>
      </c>
      <c r="E250" s="11">
        <f>IF(OR(A250="",C250="",C250=0,D250=0),"",D250/C250)</f>
        <v/>
      </c>
      <c r="F250" s="11">
        <f>IF(A250="","",WorkOrders!L250)</f>
        <v/>
      </c>
      <c r="G250" s="15">
        <f>IF(OR(E250="",E250=0),"",F250/E250)</f>
        <v/>
      </c>
      <c r="H250" s="11">
        <f>IF(OR(C250="",F250="",F250=0),"",C250*WorkOrders!E250/F250)</f>
        <v/>
      </c>
    </row>
    <row r="251">
      <c r="A251" s="11">
        <f>WorkOrders!A251</f>
        <v/>
      </c>
      <c r="B251" s="11">
        <f>IF(A251="","",WorkOrders!B251)</f>
        <v/>
      </c>
      <c r="C251" s="11">
        <f>IF(A251="","",IFERROR(SUMIFS(BOM!$E$2:$E$500,BOM!$A$2:$A$500,B251),""))</f>
        <v/>
      </c>
      <c r="D251" s="11">
        <f>IF(A251="","",SUMIFS(StockMovements!$I$2:$I$500,StockMovements!$H$2:$H$500,A251,StockMovements!$D$2:$D$500,"issue"))</f>
        <v/>
      </c>
      <c r="E251" s="11">
        <f>IF(OR(A251="",C251="",C251=0,D251=0),"",D251/C251)</f>
        <v/>
      </c>
      <c r="F251" s="11">
        <f>IF(A251="","",WorkOrders!L251)</f>
        <v/>
      </c>
      <c r="G251" s="15">
        <f>IF(OR(E251="",E251=0),"",F251/E251)</f>
        <v/>
      </c>
      <c r="H251" s="11">
        <f>IF(OR(C251="",F251="",F251=0),"",C251*WorkOrders!E251/F251)</f>
        <v/>
      </c>
    </row>
    <row r="252">
      <c r="A252" s="11">
        <f>WorkOrders!A252</f>
        <v/>
      </c>
      <c r="B252" s="11">
        <f>IF(A252="","",WorkOrders!B252)</f>
        <v/>
      </c>
      <c r="C252" s="11">
        <f>IF(A252="","",IFERROR(SUMIFS(BOM!$E$2:$E$500,BOM!$A$2:$A$500,B252),""))</f>
        <v/>
      </c>
      <c r="D252" s="11">
        <f>IF(A252="","",SUMIFS(StockMovements!$I$2:$I$500,StockMovements!$H$2:$H$500,A252,StockMovements!$D$2:$D$500,"issue"))</f>
        <v/>
      </c>
      <c r="E252" s="11">
        <f>IF(OR(A252="",C252="",C252=0,D252=0),"",D252/C252)</f>
        <v/>
      </c>
      <c r="F252" s="11">
        <f>IF(A252="","",WorkOrders!L252)</f>
        <v/>
      </c>
      <c r="G252" s="15">
        <f>IF(OR(E252="",E252=0),"",F252/E252)</f>
        <v/>
      </c>
      <c r="H252" s="11">
        <f>IF(OR(C252="",F252="",F252=0),"",C252*WorkOrders!E252/F252)</f>
        <v/>
      </c>
    </row>
    <row r="253">
      <c r="A253" s="11">
        <f>WorkOrders!A253</f>
        <v/>
      </c>
      <c r="B253" s="11">
        <f>IF(A253="","",WorkOrders!B253)</f>
        <v/>
      </c>
      <c r="C253" s="11">
        <f>IF(A253="","",IFERROR(SUMIFS(BOM!$E$2:$E$500,BOM!$A$2:$A$500,B253),""))</f>
        <v/>
      </c>
      <c r="D253" s="11">
        <f>IF(A253="","",SUMIFS(StockMovements!$I$2:$I$500,StockMovements!$H$2:$H$500,A253,StockMovements!$D$2:$D$500,"issue"))</f>
        <v/>
      </c>
      <c r="E253" s="11">
        <f>IF(OR(A253="",C253="",C253=0,D253=0),"",D253/C253)</f>
        <v/>
      </c>
      <c r="F253" s="11">
        <f>IF(A253="","",WorkOrders!L253)</f>
        <v/>
      </c>
      <c r="G253" s="15">
        <f>IF(OR(E253="",E253=0),"",F253/E253)</f>
        <v/>
      </c>
      <c r="H253" s="11">
        <f>IF(OR(C253="",F253="",F253=0),"",C253*WorkOrders!E253/F253)</f>
        <v/>
      </c>
    </row>
    <row r="254">
      <c r="A254" s="11">
        <f>WorkOrders!A254</f>
        <v/>
      </c>
      <c r="B254" s="11">
        <f>IF(A254="","",WorkOrders!B254)</f>
        <v/>
      </c>
      <c r="C254" s="11">
        <f>IF(A254="","",IFERROR(SUMIFS(BOM!$E$2:$E$500,BOM!$A$2:$A$500,B254),""))</f>
        <v/>
      </c>
      <c r="D254" s="11">
        <f>IF(A254="","",SUMIFS(StockMovements!$I$2:$I$500,StockMovements!$H$2:$H$500,A254,StockMovements!$D$2:$D$500,"issue"))</f>
        <v/>
      </c>
      <c r="E254" s="11">
        <f>IF(OR(A254="",C254="",C254=0,D254=0),"",D254/C254)</f>
        <v/>
      </c>
      <c r="F254" s="11">
        <f>IF(A254="","",WorkOrders!L254)</f>
        <v/>
      </c>
      <c r="G254" s="15">
        <f>IF(OR(E254="",E254=0),"",F254/E254)</f>
        <v/>
      </c>
      <c r="H254" s="11">
        <f>IF(OR(C254="",F254="",F254=0),"",C254*WorkOrders!E254/F254)</f>
        <v/>
      </c>
    </row>
    <row r="255">
      <c r="A255" s="11">
        <f>WorkOrders!A255</f>
        <v/>
      </c>
      <c r="B255" s="11">
        <f>IF(A255="","",WorkOrders!B255)</f>
        <v/>
      </c>
      <c r="C255" s="11">
        <f>IF(A255="","",IFERROR(SUMIFS(BOM!$E$2:$E$500,BOM!$A$2:$A$500,B255),""))</f>
        <v/>
      </c>
      <c r="D255" s="11">
        <f>IF(A255="","",SUMIFS(StockMovements!$I$2:$I$500,StockMovements!$H$2:$H$500,A255,StockMovements!$D$2:$D$500,"issue"))</f>
        <v/>
      </c>
      <c r="E255" s="11">
        <f>IF(OR(A255="",C255="",C255=0,D255=0),"",D255/C255)</f>
        <v/>
      </c>
      <c r="F255" s="11">
        <f>IF(A255="","",WorkOrders!L255)</f>
        <v/>
      </c>
      <c r="G255" s="15">
        <f>IF(OR(E255="",E255=0),"",F255/E255)</f>
        <v/>
      </c>
      <c r="H255" s="11">
        <f>IF(OR(C255="",F255="",F255=0),"",C255*WorkOrders!E255/F255)</f>
        <v/>
      </c>
    </row>
    <row r="256">
      <c r="A256" s="11">
        <f>WorkOrders!A256</f>
        <v/>
      </c>
      <c r="B256" s="11">
        <f>IF(A256="","",WorkOrders!B256)</f>
        <v/>
      </c>
      <c r="C256" s="11">
        <f>IF(A256="","",IFERROR(SUMIFS(BOM!$E$2:$E$500,BOM!$A$2:$A$500,B256),""))</f>
        <v/>
      </c>
      <c r="D256" s="11">
        <f>IF(A256="","",SUMIFS(StockMovements!$I$2:$I$500,StockMovements!$H$2:$H$500,A256,StockMovements!$D$2:$D$500,"issue"))</f>
        <v/>
      </c>
      <c r="E256" s="11">
        <f>IF(OR(A256="",C256="",C256=0,D256=0),"",D256/C256)</f>
        <v/>
      </c>
      <c r="F256" s="11">
        <f>IF(A256="","",WorkOrders!L256)</f>
        <v/>
      </c>
      <c r="G256" s="15">
        <f>IF(OR(E256="",E256=0),"",F256/E256)</f>
        <v/>
      </c>
      <c r="H256" s="11">
        <f>IF(OR(C256="",F256="",F256=0),"",C256*WorkOrders!E256/F256)</f>
        <v/>
      </c>
    </row>
    <row r="257">
      <c r="A257" s="11">
        <f>WorkOrders!A257</f>
        <v/>
      </c>
      <c r="B257" s="11">
        <f>IF(A257="","",WorkOrders!B257)</f>
        <v/>
      </c>
      <c r="C257" s="11">
        <f>IF(A257="","",IFERROR(SUMIFS(BOM!$E$2:$E$500,BOM!$A$2:$A$500,B257),""))</f>
        <v/>
      </c>
      <c r="D257" s="11">
        <f>IF(A257="","",SUMIFS(StockMovements!$I$2:$I$500,StockMovements!$H$2:$H$500,A257,StockMovements!$D$2:$D$500,"issue"))</f>
        <v/>
      </c>
      <c r="E257" s="11">
        <f>IF(OR(A257="",C257="",C257=0,D257=0),"",D257/C257)</f>
        <v/>
      </c>
      <c r="F257" s="11">
        <f>IF(A257="","",WorkOrders!L257)</f>
        <v/>
      </c>
      <c r="G257" s="15">
        <f>IF(OR(E257="",E257=0),"",F257/E257)</f>
        <v/>
      </c>
      <c r="H257" s="11">
        <f>IF(OR(C257="",F257="",F257=0),"",C257*WorkOrders!E257/F257)</f>
        <v/>
      </c>
    </row>
    <row r="258">
      <c r="A258" s="11">
        <f>WorkOrders!A258</f>
        <v/>
      </c>
      <c r="B258" s="11">
        <f>IF(A258="","",WorkOrders!B258)</f>
        <v/>
      </c>
      <c r="C258" s="11">
        <f>IF(A258="","",IFERROR(SUMIFS(BOM!$E$2:$E$500,BOM!$A$2:$A$500,B258),""))</f>
        <v/>
      </c>
      <c r="D258" s="11">
        <f>IF(A258="","",SUMIFS(StockMovements!$I$2:$I$500,StockMovements!$H$2:$H$500,A258,StockMovements!$D$2:$D$500,"issue"))</f>
        <v/>
      </c>
      <c r="E258" s="11">
        <f>IF(OR(A258="",C258="",C258=0,D258=0),"",D258/C258)</f>
        <v/>
      </c>
      <c r="F258" s="11">
        <f>IF(A258="","",WorkOrders!L258)</f>
        <v/>
      </c>
      <c r="G258" s="15">
        <f>IF(OR(E258="",E258=0),"",F258/E258)</f>
        <v/>
      </c>
      <c r="H258" s="11">
        <f>IF(OR(C258="",F258="",F258=0),"",C258*WorkOrders!E258/F258)</f>
        <v/>
      </c>
    </row>
    <row r="259">
      <c r="A259" s="11">
        <f>WorkOrders!A259</f>
        <v/>
      </c>
      <c r="B259" s="11">
        <f>IF(A259="","",WorkOrders!B259)</f>
        <v/>
      </c>
      <c r="C259" s="11">
        <f>IF(A259="","",IFERROR(SUMIFS(BOM!$E$2:$E$500,BOM!$A$2:$A$500,B259),""))</f>
        <v/>
      </c>
      <c r="D259" s="11">
        <f>IF(A259="","",SUMIFS(StockMovements!$I$2:$I$500,StockMovements!$H$2:$H$500,A259,StockMovements!$D$2:$D$500,"issue"))</f>
        <v/>
      </c>
      <c r="E259" s="11">
        <f>IF(OR(A259="",C259="",C259=0,D259=0),"",D259/C259)</f>
        <v/>
      </c>
      <c r="F259" s="11">
        <f>IF(A259="","",WorkOrders!L259)</f>
        <v/>
      </c>
      <c r="G259" s="15">
        <f>IF(OR(E259="",E259=0),"",F259/E259)</f>
        <v/>
      </c>
      <c r="H259" s="11">
        <f>IF(OR(C259="",F259="",F259=0),"",C259*WorkOrders!E259/F259)</f>
        <v/>
      </c>
    </row>
    <row r="260">
      <c r="A260" s="11">
        <f>WorkOrders!A260</f>
        <v/>
      </c>
      <c r="B260" s="11">
        <f>IF(A260="","",WorkOrders!B260)</f>
        <v/>
      </c>
      <c r="C260" s="11">
        <f>IF(A260="","",IFERROR(SUMIFS(BOM!$E$2:$E$500,BOM!$A$2:$A$500,B260),""))</f>
        <v/>
      </c>
      <c r="D260" s="11">
        <f>IF(A260="","",SUMIFS(StockMovements!$I$2:$I$500,StockMovements!$H$2:$H$500,A260,StockMovements!$D$2:$D$500,"issue"))</f>
        <v/>
      </c>
      <c r="E260" s="11">
        <f>IF(OR(A260="",C260="",C260=0,D260=0),"",D260/C260)</f>
        <v/>
      </c>
      <c r="F260" s="11">
        <f>IF(A260="","",WorkOrders!L260)</f>
        <v/>
      </c>
      <c r="G260" s="15">
        <f>IF(OR(E260="",E260=0),"",F260/E260)</f>
        <v/>
      </c>
      <c r="H260" s="11">
        <f>IF(OR(C260="",F260="",F260=0),"",C260*WorkOrders!E260/F260)</f>
        <v/>
      </c>
    </row>
    <row r="261">
      <c r="A261" s="11">
        <f>WorkOrders!A261</f>
        <v/>
      </c>
      <c r="B261" s="11">
        <f>IF(A261="","",WorkOrders!B261)</f>
        <v/>
      </c>
      <c r="C261" s="11">
        <f>IF(A261="","",IFERROR(SUMIFS(BOM!$E$2:$E$500,BOM!$A$2:$A$500,B261),""))</f>
        <v/>
      </c>
      <c r="D261" s="11">
        <f>IF(A261="","",SUMIFS(StockMovements!$I$2:$I$500,StockMovements!$H$2:$H$500,A261,StockMovements!$D$2:$D$500,"issue"))</f>
        <v/>
      </c>
      <c r="E261" s="11">
        <f>IF(OR(A261="",C261="",C261=0,D261=0),"",D261/C261)</f>
        <v/>
      </c>
      <c r="F261" s="11">
        <f>IF(A261="","",WorkOrders!L261)</f>
        <v/>
      </c>
      <c r="G261" s="15">
        <f>IF(OR(E261="",E261=0),"",F261/E261)</f>
        <v/>
      </c>
      <c r="H261" s="11">
        <f>IF(OR(C261="",F261="",F261=0),"",C261*WorkOrders!E261/F261)</f>
        <v/>
      </c>
    </row>
    <row r="262">
      <c r="A262" s="11">
        <f>WorkOrders!A262</f>
        <v/>
      </c>
      <c r="B262" s="11">
        <f>IF(A262="","",WorkOrders!B262)</f>
        <v/>
      </c>
      <c r="C262" s="11">
        <f>IF(A262="","",IFERROR(SUMIFS(BOM!$E$2:$E$500,BOM!$A$2:$A$500,B262),""))</f>
        <v/>
      </c>
      <c r="D262" s="11">
        <f>IF(A262="","",SUMIFS(StockMovements!$I$2:$I$500,StockMovements!$H$2:$H$500,A262,StockMovements!$D$2:$D$500,"issue"))</f>
        <v/>
      </c>
      <c r="E262" s="11">
        <f>IF(OR(A262="",C262="",C262=0,D262=0),"",D262/C262)</f>
        <v/>
      </c>
      <c r="F262" s="11">
        <f>IF(A262="","",WorkOrders!L262)</f>
        <v/>
      </c>
      <c r="G262" s="15">
        <f>IF(OR(E262="",E262=0),"",F262/E262)</f>
        <v/>
      </c>
      <c r="H262" s="11">
        <f>IF(OR(C262="",F262="",F262=0),"",C262*WorkOrders!E262/F262)</f>
        <v/>
      </c>
    </row>
    <row r="263">
      <c r="A263" s="11">
        <f>WorkOrders!A263</f>
        <v/>
      </c>
      <c r="B263" s="11">
        <f>IF(A263="","",WorkOrders!B263)</f>
        <v/>
      </c>
      <c r="C263" s="11">
        <f>IF(A263="","",IFERROR(SUMIFS(BOM!$E$2:$E$500,BOM!$A$2:$A$500,B263),""))</f>
        <v/>
      </c>
      <c r="D263" s="11">
        <f>IF(A263="","",SUMIFS(StockMovements!$I$2:$I$500,StockMovements!$H$2:$H$500,A263,StockMovements!$D$2:$D$500,"issue"))</f>
        <v/>
      </c>
      <c r="E263" s="11">
        <f>IF(OR(A263="",C263="",C263=0,D263=0),"",D263/C263)</f>
        <v/>
      </c>
      <c r="F263" s="11">
        <f>IF(A263="","",WorkOrders!L263)</f>
        <v/>
      </c>
      <c r="G263" s="15">
        <f>IF(OR(E263="",E263=0),"",F263/E263)</f>
        <v/>
      </c>
      <c r="H263" s="11">
        <f>IF(OR(C263="",F263="",F263=0),"",C263*WorkOrders!E263/F263)</f>
        <v/>
      </c>
    </row>
    <row r="264">
      <c r="A264" s="11">
        <f>WorkOrders!A264</f>
        <v/>
      </c>
      <c r="B264" s="11">
        <f>IF(A264="","",WorkOrders!B264)</f>
        <v/>
      </c>
      <c r="C264" s="11">
        <f>IF(A264="","",IFERROR(SUMIFS(BOM!$E$2:$E$500,BOM!$A$2:$A$500,B264),""))</f>
        <v/>
      </c>
      <c r="D264" s="11">
        <f>IF(A264="","",SUMIFS(StockMovements!$I$2:$I$500,StockMovements!$H$2:$H$500,A264,StockMovements!$D$2:$D$500,"issue"))</f>
        <v/>
      </c>
      <c r="E264" s="11">
        <f>IF(OR(A264="",C264="",C264=0,D264=0),"",D264/C264)</f>
        <v/>
      </c>
      <c r="F264" s="11">
        <f>IF(A264="","",WorkOrders!L264)</f>
        <v/>
      </c>
      <c r="G264" s="15">
        <f>IF(OR(E264="",E264=0),"",F264/E264)</f>
        <v/>
      </c>
      <c r="H264" s="11">
        <f>IF(OR(C264="",F264="",F264=0),"",C264*WorkOrders!E264/F264)</f>
        <v/>
      </c>
    </row>
    <row r="265">
      <c r="A265" s="11">
        <f>WorkOrders!A265</f>
        <v/>
      </c>
      <c r="B265" s="11">
        <f>IF(A265="","",WorkOrders!B265)</f>
        <v/>
      </c>
      <c r="C265" s="11">
        <f>IF(A265="","",IFERROR(SUMIFS(BOM!$E$2:$E$500,BOM!$A$2:$A$500,B265),""))</f>
        <v/>
      </c>
      <c r="D265" s="11">
        <f>IF(A265="","",SUMIFS(StockMovements!$I$2:$I$500,StockMovements!$H$2:$H$500,A265,StockMovements!$D$2:$D$500,"issue"))</f>
        <v/>
      </c>
      <c r="E265" s="11">
        <f>IF(OR(A265="",C265="",C265=0,D265=0),"",D265/C265)</f>
        <v/>
      </c>
      <c r="F265" s="11">
        <f>IF(A265="","",WorkOrders!L265)</f>
        <v/>
      </c>
      <c r="G265" s="15">
        <f>IF(OR(E265="",E265=0),"",F265/E265)</f>
        <v/>
      </c>
      <c r="H265" s="11">
        <f>IF(OR(C265="",F265="",F265=0),"",C265*WorkOrders!E265/F265)</f>
        <v/>
      </c>
    </row>
    <row r="266">
      <c r="A266" s="11">
        <f>WorkOrders!A266</f>
        <v/>
      </c>
      <c r="B266" s="11">
        <f>IF(A266="","",WorkOrders!B266)</f>
        <v/>
      </c>
      <c r="C266" s="11">
        <f>IF(A266="","",IFERROR(SUMIFS(BOM!$E$2:$E$500,BOM!$A$2:$A$500,B266),""))</f>
        <v/>
      </c>
      <c r="D266" s="11">
        <f>IF(A266="","",SUMIFS(StockMovements!$I$2:$I$500,StockMovements!$H$2:$H$500,A266,StockMovements!$D$2:$D$500,"issue"))</f>
        <v/>
      </c>
      <c r="E266" s="11">
        <f>IF(OR(A266="",C266="",C266=0,D266=0),"",D266/C266)</f>
        <v/>
      </c>
      <c r="F266" s="11">
        <f>IF(A266="","",WorkOrders!L266)</f>
        <v/>
      </c>
      <c r="G266" s="15">
        <f>IF(OR(E266="",E266=0),"",F266/E266)</f>
        <v/>
      </c>
      <c r="H266" s="11">
        <f>IF(OR(C266="",F266="",F266=0),"",C266*WorkOrders!E266/F266)</f>
        <v/>
      </c>
    </row>
    <row r="267">
      <c r="A267" s="11">
        <f>WorkOrders!A267</f>
        <v/>
      </c>
      <c r="B267" s="11">
        <f>IF(A267="","",WorkOrders!B267)</f>
        <v/>
      </c>
      <c r="C267" s="11">
        <f>IF(A267="","",IFERROR(SUMIFS(BOM!$E$2:$E$500,BOM!$A$2:$A$500,B267),""))</f>
        <v/>
      </c>
      <c r="D267" s="11">
        <f>IF(A267="","",SUMIFS(StockMovements!$I$2:$I$500,StockMovements!$H$2:$H$500,A267,StockMovements!$D$2:$D$500,"issue"))</f>
        <v/>
      </c>
      <c r="E267" s="11">
        <f>IF(OR(A267="",C267="",C267=0,D267=0),"",D267/C267)</f>
        <v/>
      </c>
      <c r="F267" s="11">
        <f>IF(A267="","",WorkOrders!L267)</f>
        <v/>
      </c>
      <c r="G267" s="15">
        <f>IF(OR(E267="",E267=0),"",F267/E267)</f>
        <v/>
      </c>
      <c r="H267" s="11">
        <f>IF(OR(C267="",F267="",F267=0),"",C267*WorkOrders!E267/F267)</f>
        <v/>
      </c>
    </row>
    <row r="268">
      <c r="A268" s="11">
        <f>WorkOrders!A268</f>
        <v/>
      </c>
      <c r="B268" s="11">
        <f>IF(A268="","",WorkOrders!B268)</f>
        <v/>
      </c>
      <c r="C268" s="11">
        <f>IF(A268="","",IFERROR(SUMIFS(BOM!$E$2:$E$500,BOM!$A$2:$A$500,B268),""))</f>
        <v/>
      </c>
      <c r="D268" s="11">
        <f>IF(A268="","",SUMIFS(StockMovements!$I$2:$I$500,StockMovements!$H$2:$H$500,A268,StockMovements!$D$2:$D$500,"issue"))</f>
        <v/>
      </c>
      <c r="E268" s="11">
        <f>IF(OR(A268="",C268="",C268=0,D268=0),"",D268/C268)</f>
        <v/>
      </c>
      <c r="F268" s="11">
        <f>IF(A268="","",WorkOrders!L268)</f>
        <v/>
      </c>
      <c r="G268" s="15">
        <f>IF(OR(E268="",E268=0),"",F268/E268)</f>
        <v/>
      </c>
      <c r="H268" s="11">
        <f>IF(OR(C268="",F268="",F268=0),"",C268*WorkOrders!E268/F268)</f>
        <v/>
      </c>
    </row>
    <row r="269">
      <c r="A269" s="11">
        <f>WorkOrders!A269</f>
        <v/>
      </c>
      <c r="B269" s="11">
        <f>IF(A269="","",WorkOrders!B269)</f>
        <v/>
      </c>
      <c r="C269" s="11">
        <f>IF(A269="","",IFERROR(SUMIFS(BOM!$E$2:$E$500,BOM!$A$2:$A$500,B269),""))</f>
        <v/>
      </c>
      <c r="D269" s="11">
        <f>IF(A269="","",SUMIFS(StockMovements!$I$2:$I$500,StockMovements!$H$2:$H$500,A269,StockMovements!$D$2:$D$500,"issue"))</f>
        <v/>
      </c>
      <c r="E269" s="11">
        <f>IF(OR(A269="",C269="",C269=0,D269=0),"",D269/C269)</f>
        <v/>
      </c>
      <c r="F269" s="11">
        <f>IF(A269="","",WorkOrders!L269)</f>
        <v/>
      </c>
      <c r="G269" s="15">
        <f>IF(OR(E269="",E269=0),"",F269/E269)</f>
        <v/>
      </c>
      <c r="H269" s="11">
        <f>IF(OR(C269="",F269="",F269=0),"",C269*WorkOrders!E269/F269)</f>
        <v/>
      </c>
    </row>
    <row r="270">
      <c r="A270" s="11">
        <f>WorkOrders!A270</f>
        <v/>
      </c>
      <c r="B270" s="11">
        <f>IF(A270="","",WorkOrders!B270)</f>
        <v/>
      </c>
      <c r="C270" s="11">
        <f>IF(A270="","",IFERROR(SUMIFS(BOM!$E$2:$E$500,BOM!$A$2:$A$500,B270),""))</f>
        <v/>
      </c>
      <c r="D270" s="11">
        <f>IF(A270="","",SUMIFS(StockMovements!$I$2:$I$500,StockMovements!$H$2:$H$500,A270,StockMovements!$D$2:$D$500,"issue"))</f>
        <v/>
      </c>
      <c r="E270" s="11">
        <f>IF(OR(A270="",C270="",C270=0,D270=0),"",D270/C270)</f>
        <v/>
      </c>
      <c r="F270" s="11">
        <f>IF(A270="","",WorkOrders!L270)</f>
        <v/>
      </c>
      <c r="G270" s="15">
        <f>IF(OR(E270="",E270=0),"",F270/E270)</f>
        <v/>
      </c>
      <c r="H270" s="11">
        <f>IF(OR(C270="",F270="",F270=0),"",C270*WorkOrders!E270/F270)</f>
        <v/>
      </c>
    </row>
    <row r="271">
      <c r="A271" s="11">
        <f>WorkOrders!A271</f>
        <v/>
      </c>
      <c r="B271" s="11">
        <f>IF(A271="","",WorkOrders!B271)</f>
        <v/>
      </c>
      <c r="C271" s="11">
        <f>IF(A271="","",IFERROR(SUMIFS(BOM!$E$2:$E$500,BOM!$A$2:$A$500,B271),""))</f>
        <v/>
      </c>
      <c r="D271" s="11">
        <f>IF(A271="","",SUMIFS(StockMovements!$I$2:$I$500,StockMovements!$H$2:$H$500,A271,StockMovements!$D$2:$D$500,"issue"))</f>
        <v/>
      </c>
      <c r="E271" s="11">
        <f>IF(OR(A271="",C271="",C271=0,D271=0),"",D271/C271)</f>
        <v/>
      </c>
      <c r="F271" s="11">
        <f>IF(A271="","",WorkOrders!L271)</f>
        <v/>
      </c>
      <c r="G271" s="15">
        <f>IF(OR(E271="",E271=0),"",F271/E271)</f>
        <v/>
      </c>
      <c r="H271" s="11">
        <f>IF(OR(C271="",F271="",F271=0),"",C271*WorkOrders!E271/F271)</f>
        <v/>
      </c>
    </row>
    <row r="272">
      <c r="A272" s="11">
        <f>WorkOrders!A272</f>
        <v/>
      </c>
      <c r="B272" s="11">
        <f>IF(A272="","",WorkOrders!B272)</f>
        <v/>
      </c>
      <c r="C272" s="11">
        <f>IF(A272="","",IFERROR(SUMIFS(BOM!$E$2:$E$500,BOM!$A$2:$A$500,B272),""))</f>
        <v/>
      </c>
      <c r="D272" s="11">
        <f>IF(A272="","",SUMIFS(StockMovements!$I$2:$I$500,StockMovements!$H$2:$H$500,A272,StockMovements!$D$2:$D$500,"issue"))</f>
        <v/>
      </c>
      <c r="E272" s="11">
        <f>IF(OR(A272="",C272="",C272=0,D272=0),"",D272/C272)</f>
        <v/>
      </c>
      <c r="F272" s="11">
        <f>IF(A272="","",WorkOrders!L272)</f>
        <v/>
      </c>
      <c r="G272" s="15">
        <f>IF(OR(E272="",E272=0),"",F272/E272)</f>
        <v/>
      </c>
      <c r="H272" s="11">
        <f>IF(OR(C272="",F272="",F272=0),"",C272*WorkOrders!E272/F272)</f>
        <v/>
      </c>
    </row>
    <row r="273">
      <c r="A273" s="11">
        <f>WorkOrders!A273</f>
        <v/>
      </c>
      <c r="B273" s="11">
        <f>IF(A273="","",WorkOrders!B273)</f>
        <v/>
      </c>
      <c r="C273" s="11">
        <f>IF(A273="","",IFERROR(SUMIFS(BOM!$E$2:$E$500,BOM!$A$2:$A$500,B273),""))</f>
        <v/>
      </c>
      <c r="D273" s="11">
        <f>IF(A273="","",SUMIFS(StockMovements!$I$2:$I$500,StockMovements!$H$2:$H$500,A273,StockMovements!$D$2:$D$500,"issue"))</f>
        <v/>
      </c>
      <c r="E273" s="11">
        <f>IF(OR(A273="",C273="",C273=0,D273=0),"",D273/C273)</f>
        <v/>
      </c>
      <c r="F273" s="11">
        <f>IF(A273="","",WorkOrders!L273)</f>
        <v/>
      </c>
      <c r="G273" s="15">
        <f>IF(OR(E273="",E273=0),"",F273/E273)</f>
        <v/>
      </c>
      <c r="H273" s="11">
        <f>IF(OR(C273="",F273="",F273=0),"",C273*WorkOrders!E273/F273)</f>
        <v/>
      </c>
    </row>
    <row r="274">
      <c r="A274" s="11">
        <f>WorkOrders!A274</f>
        <v/>
      </c>
      <c r="B274" s="11">
        <f>IF(A274="","",WorkOrders!B274)</f>
        <v/>
      </c>
      <c r="C274" s="11">
        <f>IF(A274="","",IFERROR(SUMIFS(BOM!$E$2:$E$500,BOM!$A$2:$A$500,B274),""))</f>
        <v/>
      </c>
      <c r="D274" s="11">
        <f>IF(A274="","",SUMIFS(StockMovements!$I$2:$I$500,StockMovements!$H$2:$H$500,A274,StockMovements!$D$2:$D$500,"issue"))</f>
        <v/>
      </c>
      <c r="E274" s="11">
        <f>IF(OR(A274="",C274="",C274=0,D274=0),"",D274/C274)</f>
        <v/>
      </c>
      <c r="F274" s="11">
        <f>IF(A274="","",WorkOrders!L274)</f>
        <v/>
      </c>
      <c r="G274" s="15">
        <f>IF(OR(E274="",E274=0),"",F274/E274)</f>
        <v/>
      </c>
      <c r="H274" s="11">
        <f>IF(OR(C274="",F274="",F274=0),"",C274*WorkOrders!E274/F274)</f>
        <v/>
      </c>
    </row>
    <row r="275">
      <c r="A275" s="11">
        <f>WorkOrders!A275</f>
        <v/>
      </c>
      <c r="B275" s="11">
        <f>IF(A275="","",WorkOrders!B275)</f>
        <v/>
      </c>
      <c r="C275" s="11">
        <f>IF(A275="","",IFERROR(SUMIFS(BOM!$E$2:$E$500,BOM!$A$2:$A$500,B275),""))</f>
        <v/>
      </c>
      <c r="D275" s="11">
        <f>IF(A275="","",SUMIFS(StockMovements!$I$2:$I$500,StockMovements!$H$2:$H$500,A275,StockMovements!$D$2:$D$500,"issue"))</f>
        <v/>
      </c>
      <c r="E275" s="11">
        <f>IF(OR(A275="",C275="",C275=0,D275=0),"",D275/C275)</f>
        <v/>
      </c>
      <c r="F275" s="11">
        <f>IF(A275="","",WorkOrders!L275)</f>
        <v/>
      </c>
      <c r="G275" s="15">
        <f>IF(OR(E275="",E275=0),"",F275/E275)</f>
        <v/>
      </c>
      <c r="H275" s="11">
        <f>IF(OR(C275="",F275="",F275=0),"",C275*WorkOrders!E275/F275)</f>
        <v/>
      </c>
    </row>
    <row r="276">
      <c r="A276" s="11">
        <f>WorkOrders!A276</f>
        <v/>
      </c>
      <c r="B276" s="11">
        <f>IF(A276="","",WorkOrders!B276)</f>
        <v/>
      </c>
      <c r="C276" s="11">
        <f>IF(A276="","",IFERROR(SUMIFS(BOM!$E$2:$E$500,BOM!$A$2:$A$500,B276),""))</f>
        <v/>
      </c>
      <c r="D276" s="11">
        <f>IF(A276="","",SUMIFS(StockMovements!$I$2:$I$500,StockMovements!$H$2:$H$500,A276,StockMovements!$D$2:$D$500,"issue"))</f>
        <v/>
      </c>
      <c r="E276" s="11">
        <f>IF(OR(A276="",C276="",C276=0,D276=0),"",D276/C276)</f>
        <v/>
      </c>
      <c r="F276" s="11">
        <f>IF(A276="","",WorkOrders!L276)</f>
        <v/>
      </c>
      <c r="G276" s="15">
        <f>IF(OR(E276="",E276=0),"",F276/E276)</f>
        <v/>
      </c>
      <c r="H276" s="11">
        <f>IF(OR(C276="",F276="",F276=0),"",C276*WorkOrders!E276/F276)</f>
        <v/>
      </c>
    </row>
    <row r="277">
      <c r="A277" s="11">
        <f>WorkOrders!A277</f>
        <v/>
      </c>
      <c r="B277" s="11">
        <f>IF(A277="","",WorkOrders!B277)</f>
        <v/>
      </c>
      <c r="C277" s="11">
        <f>IF(A277="","",IFERROR(SUMIFS(BOM!$E$2:$E$500,BOM!$A$2:$A$500,B277),""))</f>
        <v/>
      </c>
      <c r="D277" s="11">
        <f>IF(A277="","",SUMIFS(StockMovements!$I$2:$I$500,StockMovements!$H$2:$H$500,A277,StockMovements!$D$2:$D$500,"issue"))</f>
        <v/>
      </c>
      <c r="E277" s="11">
        <f>IF(OR(A277="",C277="",C277=0,D277=0),"",D277/C277)</f>
        <v/>
      </c>
      <c r="F277" s="11">
        <f>IF(A277="","",WorkOrders!L277)</f>
        <v/>
      </c>
      <c r="G277" s="15">
        <f>IF(OR(E277="",E277=0),"",F277/E277)</f>
        <v/>
      </c>
      <c r="H277" s="11">
        <f>IF(OR(C277="",F277="",F277=0),"",C277*WorkOrders!E277/F277)</f>
        <v/>
      </c>
    </row>
    <row r="278">
      <c r="A278" s="11">
        <f>WorkOrders!A278</f>
        <v/>
      </c>
      <c r="B278" s="11">
        <f>IF(A278="","",WorkOrders!B278)</f>
        <v/>
      </c>
      <c r="C278" s="11">
        <f>IF(A278="","",IFERROR(SUMIFS(BOM!$E$2:$E$500,BOM!$A$2:$A$500,B278),""))</f>
        <v/>
      </c>
      <c r="D278" s="11">
        <f>IF(A278="","",SUMIFS(StockMovements!$I$2:$I$500,StockMovements!$H$2:$H$500,A278,StockMovements!$D$2:$D$500,"issue"))</f>
        <v/>
      </c>
      <c r="E278" s="11">
        <f>IF(OR(A278="",C278="",C278=0,D278=0),"",D278/C278)</f>
        <v/>
      </c>
      <c r="F278" s="11">
        <f>IF(A278="","",WorkOrders!L278)</f>
        <v/>
      </c>
      <c r="G278" s="15">
        <f>IF(OR(E278="",E278=0),"",F278/E278)</f>
        <v/>
      </c>
      <c r="H278" s="11">
        <f>IF(OR(C278="",F278="",F278=0),"",C278*WorkOrders!E278/F278)</f>
        <v/>
      </c>
    </row>
    <row r="279">
      <c r="A279" s="11">
        <f>WorkOrders!A279</f>
        <v/>
      </c>
      <c r="B279" s="11">
        <f>IF(A279="","",WorkOrders!B279)</f>
        <v/>
      </c>
      <c r="C279" s="11">
        <f>IF(A279="","",IFERROR(SUMIFS(BOM!$E$2:$E$500,BOM!$A$2:$A$500,B279),""))</f>
        <v/>
      </c>
      <c r="D279" s="11">
        <f>IF(A279="","",SUMIFS(StockMovements!$I$2:$I$500,StockMovements!$H$2:$H$500,A279,StockMovements!$D$2:$D$500,"issue"))</f>
        <v/>
      </c>
      <c r="E279" s="11">
        <f>IF(OR(A279="",C279="",C279=0,D279=0),"",D279/C279)</f>
        <v/>
      </c>
      <c r="F279" s="11">
        <f>IF(A279="","",WorkOrders!L279)</f>
        <v/>
      </c>
      <c r="G279" s="15">
        <f>IF(OR(E279="",E279=0),"",F279/E279)</f>
        <v/>
      </c>
      <c r="H279" s="11">
        <f>IF(OR(C279="",F279="",F279=0),"",C279*WorkOrders!E279/F279)</f>
        <v/>
      </c>
    </row>
    <row r="280">
      <c r="A280" s="11">
        <f>WorkOrders!A280</f>
        <v/>
      </c>
      <c r="B280" s="11">
        <f>IF(A280="","",WorkOrders!B280)</f>
        <v/>
      </c>
      <c r="C280" s="11">
        <f>IF(A280="","",IFERROR(SUMIFS(BOM!$E$2:$E$500,BOM!$A$2:$A$500,B280),""))</f>
        <v/>
      </c>
      <c r="D280" s="11">
        <f>IF(A280="","",SUMIFS(StockMovements!$I$2:$I$500,StockMovements!$H$2:$H$500,A280,StockMovements!$D$2:$D$500,"issue"))</f>
        <v/>
      </c>
      <c r="E280" s="11">
        <f>IF(OR(A280="",C280="",C280=0,D280=0),"",D280/C280)</f>
        <v/>
      </c>
      <c r="F280" s="11">
        <f>IF(A280="","",WorkOrders!L280)</f>
        <v/>
      </c>
      <c r="G280" s="15">
        <f>IF(OR(E280="",E280=0),"",F280/E280)</f>
        <v/>
      </c>
      <c r="H280" s="11">
        <f>IF(OR(C280="",F280="",F280=0),"",C280*WorkOrders!E280/F280)</f>
        <v/>
      </c>
    </row>
    <row r="281">
      <c r="A281" s="11">
        <f>WorkOrders!A281</f>
        <v/>
      </c>
      <c r="B281" s="11">
        <f>IF(A281="","",WorkOrders!B281)</f>
        <v/>
      </c>
      <c r="C281" s="11">
        <f>IF(A281="","",IFERROR(SUMIFS(BOM!$E$2:$E$500,BOM!$A$2:$A$500,B281),""))</f>
        <v/>
      </c>
      <c r="D281" s="11">
        <f>IF(A281="","",SUMIFS(StockMovements!$I$2:$I$500,StockMovements!$H$2:$H$500,A281,StockMovements!$D$2:$D$500,"issue"))</f>
        <v/>
      </c>
      <c r="E281" s="11">
        <f>IF(OR(A281="",C281="",C281=0,D281=0),"",D281/C281)</f>
        <v/>
      </c>
      <c r="F281" s="11">
        <f>IF(A281="","",WorkOrders!L281)</f>
        <v/>
      </c>
      <c r="G281" s="15">
        <f>IF(OR(E281="",E281=0),"",F281/E281)</f>
        <v/>
      </c>
      <c r="H281" s="11">
        <f>IF(OR(C281="",F281="",F281=0),"",C281*WorkOrders!E281/F281)</f>
        <v/>
      </c>
    </row>
    <row r="282">
      <c r="A282" s="11">
        <f>WorkOrders!A282</f>
        <v/>
      </c>
      <c r="B282" s="11">
        <f>IF(A282="","",WorkOrders!B282)</f>
        <v/>
      </c>
      <c r="C282" s="11">
        <f>IF(A282="","",IFERROR(SUMIFS(BOM!$E$2:$E$500,BOM!$A$2:$A$500,B282),""))</f>
        <v/>
      </c>
      <c r="D282" s="11">
        <f>IF(A282="","",SUMIFS(StockMovements!$I$2:$I$500,StockMovements!$H$2:$H$500,A282,StockMovements!$D$2:$D$500,"issue"))</f>
        <v/>
      </c>
      <c r="E282" s="11">
        <f>IF(OR(A282="",C282="",C282=0,D282=0),"",D282/C282)</f>
        <v/>
      </c>
      <c r="F282" s="11">
        <f>IF(A282="","",WorkOrders!L282)</f>
        <v/>
      </c>
      <c r="G282" s="15">
        <f>IF(OR(E282="",E282=0),"",F282/E282)</f>
        <v/>
      </c>
      <c r="H282" s="11">
        <f>IF(OR(C282="",F282="",F282=0),"",C282*WorkOrders!E282/F282)</f>
        <v/>
      </c>
    </row>
    <row r="283">
      <c r="A283" s="11">
        <f>WorkOrders!A283</f>
        <v/>
      </c>
      <c r="B283" s="11">
        <f>IF(A283="","",WorkOrders!B283)</f>
        <v/>
      </c>
      <c r="C283" s="11">
        <f>IF(A283="","",IFERROR(SUMIFS(BOM!$E$2:$E$500,BOM!$A$2:$A$500,B283),""))</f>
        <v/>
      </c>
      <c r="D283" s="11">
        <f>IF(A283="","",SUMIFS(StockMovements!$I$2:$I$500,StockMovements!$H$2:$H$500,A283,StockMovements!$D$2:$D$500,"issue"))</f>
        <v/>
      </c>
      <c r="E283" s="11">
        <f>IF(OR(A283="",C283="",C283=0,D283=0),"",D283/C283)</f>
        <v/>
      </c>
      <c r="F283" s="11">
        <f>IF(A283="","",WorkOrders!L283)</f>
        <v/>
      </c>
      <c r="G283" s="15">
        <f>IF(OR(E283="",E283=0),"",F283/E283)</f>
        <v/>
      </c>
      <c r="H283" s="11">
        <f>IF(OR(C283="",F283="",F283=0),"",C283*WorkOrders!E283/F283)</f>
        <v/>
      </c>
    </row>
    <row r="284">
      <c r="A284" s="11">
        <f>WorkOrders!A284</f>
        <v/>
      </c>
      <c r="B284" s="11">
        <f>IF(A284="","",WorkOrders!B284)</f>
        <v/>
      </c>
      <c r="C284" s="11">
        <f>IF(A284="","",IFERROR(SUMIFS(BOM!$E$2:$E$500,BOM!$A$2:$A$500,B284),""))</f>
        <v/>
      </c>
      <c r="D284" s="11">
        <f>IF(A284="","",SUMIFS(StockMovements!$I$2:$I$500,StockMovements!$H$2:$H$500,A284,StockMovements!$D$2:$D$500,"issue"))</f>
        <v/>
      </c>
      <c r="E284" s="11">
        <f>IF(OR(A284="",C284="",C284=0,D284=0),"",D284/C284)</f>
        <v/>
      </c>
      <c r="F284" s="11">
        <f>IF(A284="","",WorkOrders!L284)</f>
        <v/>
      </c>
      <c r="G284" s="15">
        <f>IF(OR(E284="",E284=0),"",F284/E284)</f>
        <v/>
      </c>
      <c r="H284" s="11">
        <f>IF(OR(C284="",F284="",F284=0),"",C284*WorkOrders!E284/F284)</f>
        <v/>
      </c>
    </row>
    <row r="285">
      <c r="A285" s="11">
        <f>WorkOrders!A285</f>
        <v/>
      </c>
      <c r="B285" s="11">
        <f>IF(A285="","",WorkOrders!B285)</f>
        <v/>
      </c>
      <c r="C285" s="11">
        <f>IF(A285="","",IFERROR(SUMIFS(BOM!$E$2:$E$500,BOM!$A$2:$A$500,B285),""))</f>
        <v/>
      </c>
      <c r="D285" s="11">
        <f>IF(A285="","",SUMIFS(StockMovements!$I$2:$I$500,StockMovements!$H$2:$H$500,A285,StockMovements!$D$2:$D$500,"issue"))</f>
        <v/>
      </c>
      <c r="E285" s="11">
        <f>IF(OR(A285="",C285="",C285=0,D285=0),"",D285/C285)</f>
        <v/>
      </c>
      <c r="F285" s="11">
        <f>IF(A285="","",WorkOrders!L285)</f>
        <v/>
      </c>
      <c r="G285" s="15">
        <f>IF(OR(E285="",E285=0),"",F285/E285)</f>
        <v/>
      </c>
      <c r="H285" s="11">
        <f>IF(OR(C285="",F285="",F285=0),"",C285*WorkOrders!E285/F285)</f>
        <v/>
      </c>
    </row>
    <row r="286">
      <c r="A286" s="11">
        <f>WorkOrders!A286</f>
        <v/>
      </c>
      <c r="B286" s="11">
        <f>IF(A286="","",WorkOrders!B286)</f>
        <v/>
      </c>
      <c r="C286" s="11">
        <f>IF(A286="","",IFERROR(SUMIFS(BOM!$E$2:$E$500,BOM!$A$2:$A$500,B286),""))</f>
        <v/>
      </c>
      <c r="D286" s="11">
        <f>IF(A286="","",SUMIFS(StockMovements!$I$2:$I$500,StockMovements!$H$2:$H$500,A286,StockMovements!$D$2:$D$500,"issue"))</f>
        <v/>
      </c>
      <c r="E286" s="11">
        <f>IF(OR(A286="",C286="",C286=0,D286=0),"",D286/C286)</f>
        <v/>
      </c>
      <c r="F286" s="11">
        <f>IF(A286="","",WorkOrders!L286)</f>
        <v/>
      </c>
      <c r="G286" s="15">
        <f>IF(OR(E286="",E286=0),"",F286/E286)</f>
        <v/>
      </c>
      <c r="H286" s="11">
        <f>IF(OR(C286="",F286="",F286=0),"",C286*WorkOrders!E286/F286)</f>
        <v/>
      </c>
    </row>
    <row r="287">
      <c r="A287" s="11">
        <f>WorkOrders!A287</f>
        <v/>
      </c>
      <c r="B287" s="11">
        <f>IF(A287="","",WorkOrders!B287)</f>
        <v/>
      </c>
      <c r="C287" s="11">
        <f>IF(A287="","",IFERROR(SUMIFS(BOM!$E$2:$E$500,BOM!$A$2:$A$500,B287),""))</f>
        <v/>
      </c>
      <c r="D287" s="11">
        <f>IF(A287="","",SUMIFS(StockMovements!$I$2:$I$500,StockMovements!$H$2:$H$500,A287,StockMovements!$D$2:$D$500,"issue"))</f>
        <v/>
      </c>
      <c r="E287" s="11">
        <f>IF(OR(A287="",C287="",C287=0,D287=0),"",D287/C287)</f>
        <v/>
      </c>
      <c r="F287" s="11">
        <f>IF(A287="","",WorkOrders!L287)</f>
        <v/>
      </c>
      <c r="G287" s="15">
        <f>IF(OR(E287="",E287=0),"",F287/E287)</f>
        <v/>
      </c>
      <c r="H287" s="11">
        <f>IF(OR(C287="",F287="",F287=0),"",C287*WorkOrders!E287/F287)</f>
        <v/>
      </c>
    </row>
    <row r="288">
      <c r="A288" s="11">
        <f>WorkOrders!A288</f>
        <v/>
      </c>
      <c r="B288" s="11">
        <f>IF(A288="","",WorkOrders!B288)</f>
        <v/>
      </c>
      <c r="C288" s="11">
        <f>IF(A288="","",IFERROR(SUMIFS(BOM!$E$2:$E$500,BOM!$A$2:$A$500,B288),""))</f>
        <v/>
      </c>
      <c r="D288" s="11">
        <f>IF(A288="","",SUMIFS(StockMovements!$I$2:$I$500,StockMovements!$H$2:$H$500,A288,StockMovements!$D$2:$D$500,"issue"))</f>
        <v/>
      </c>
      <c r="E288" s="11">
        <f>IF(OR(A288="",C288="",C288=0,D288=0),"",D288/C288)</f>
        <v/>
      </c>
      <c r="F288" s="11">
        <f>IF(A288="","",WorkOrders!L288)</f>
        <v/>
      </c>
      <c r="G288" s="15">
        <f>IF(OR(E288="",E288=0),"",F288/E288)</f>
        <v/>
      </c>
      <c r="H288" s="11">
        <f>IF(OR(C288="",F288="",F288=0),"",C288*WorkOrders!E288/F288)</f>
        <v/>
      </c>
    </row>
    <row r="289">
      <c r="A289" s="11">
        <f>WorkOrders!A289</f>
        <v/>
      </c>
      <c r="B289" s="11">
        <f>IF(A289="","",WorkOrders!B289)</f>
        <v/>
      </c>
      <c r="C289" s="11">
        <f>IF(A289="","",IFERROR(SUMIFS(BOM!$E$2:$E$500,BOM!$A$2:$A$500,B289),""))</f>
        <v/>
      </c>
      <c r="D289" s="11">
        <f>IF(A289="","",SUMIFS(StockMovements!$I$2:$I$500,StockMovements!$H$2:$H$500,A289,StockMovements!$D$2:$D$500,"issue"))</f>
        <v/>
      </c>
      <c r="E289" s="11">
        <f>IF(OR(A289="",C289="",C289=0,D289=0),"",D289/C289)</f>
        <v/>
      </c>
      <c r="F289" s="11">
        <f>IF(A289="","",WorkOrders!L289)</f>
        <v/>
      </c>
      <c r="G289" s="15">
        <f>IF(OR(E289="",E289=0),"",F289/E289)</f>
        <v/>
      </c>
      <c r="H289" s="11">
        <f>IF(OR(C289="",F289="",F289=0),"",C289*WorkOrders!E289/F289)</f>
        <v/>
      </c>
    </row>
    <row r="290">
      <c r="A290" s="11">
        <f>WorkOrders!A290</f>
        <v/>
      </c>
      <c r="B290" s="11">
        <f>IF(A290="","",WorkOrders!B290)</f>
        <v/>
      </c>
      <c r="C290" s="11">
        <f>IF(A290="","",IFERROR(SUMIFS(BOM!$E$2:$E$500,BOM!$A$2:$A$500,B290),""))</f>
        <v/>
      </c>
      <c r="D290" s="11">
        <f>IF(A290="","",SUMIFS(StockMovements!$I$2:$I$500,StockMovements!$H$2:$H$500,A290,StockMovements!$D$2:$D$500,"issue"))</f>
        <v/>
      </c>
      <c r="E290" s="11">
        <f>IF(OR(A290="",C290="",C290=0,D290=0),"",D290/C290)</f>
        <v/>
      </c>
      <c r="F290" s="11">
        <f>IF(A290="","",WorkOrders!L290)</f>
        <v/>
      </c>
      <c r="G290" s="15">
        <f>IF(OR(E290="",E290=0),"",F290/E290)</f>
        <v/>
      </c>
      <c r="H290" s="11">
        <f>IF(OR(C290="",F290="",F290=0),"",C290*WorkOrders!E290/F290)</f>
        <v/>
      </c>
    </row>
    <row r="291">
      <c r="A291" s="11">
        <f>WorkOrders!A291</f>
        <v/>
      </c>
      <c r="B291" s="11">
        <f>IF(A291="","",WorkOrders!B291)</f>
        <v/>
      </c>
      <c r="C291" s="11">
        <f>IF(A291="","",IFERROR(SUMIFS(BOM!$E$2:$E$500,BOM!$A$2:$A$500,B291),""))</f>
        <v/>
      </c>
      <c r="D291" s="11">
        <f>IF(A291="","",SUMIFS(StockMovements!$I$2:$I$500,StockMovements!$H$2:$H$500,A291,StockMovements!$D$2:$D$500,"issue"))</f>
        <v/>
      </c>
      <c r="E291" s="11">
        <f>IF(OR(A291="",C291="",C291=0,D291=0),"",D291/C291)</f>
        <v/>
      </c>
      <c r="F291" s="11">
        <f>IF(A291="","",WorkOrders!L291)</f>
        <v/>
      </c>
      <c r="G291" s="15">
        <f>IF(OR(E291="",E291=0),"",F291/E291)</f>
        <v/>
      </c>
      <c r="H291" s="11">
        <f>IF(OR(C291="",F291="",F291=0),"",C291*WorkOrders!E291/F291)</f>
        <v/>
      </c>
    </row>
    <row r="292">
      <c r="A292" s="11">
        <f>WorkOrders!A292</f>
        <v/>
      </c>
      <c r="B292" s="11">
        <f>IF(A292="","",WorkOrders!B292)</f>
        <v/>
      </c>
      <c r="C292" s="11">
        <f>IF(A292="","",IFERROR(SUMIFS(BOM!$E$2:$E$500,BOM!$A$2:$A$500,B292),""))</f>
        <v/>
      </c>
      <c r="D292" s="11">
        <f>IF(A292="","",SUMIFS(StockMovements!$I$2:$I$500,StockMovements!$H$2:$H$500,A292,StockMovements!$D$2:$D$500,"issue"))</f>
        <v/>
      </c>
      <c r="E292" s="11">
        <f>IF(OR(A292="",C292="",C292=0,D292=0),"",D292/C292)</f>
        <v/>
      </c>
      <c r="F292" s="11">
        <f>IF(A292="","",WorkOrders!L292)</f>
        <v/>
      </c>
      <c r="G292" s="15">
        <f>IF(OR(E292="",E292=0),"",F292/E292)</f>
        <v/>
      </c>
      <c r="H292" s="11">
        <f>IF(OR(C292="",F292="",F292=0),"",C292*WorkOrders!E292/F292)</f>
        <v/>
      </c>
    </row>
    <row r="293">
      <c r="A293" s="11">
        <f>WorkOrders!A293</f>
        <v/>
      </c>
      <c r="B293" s="11">
        <f>IF(A293="","",WorkOrders!B293)</f>
        <v/>
      </c>
      <c r="C293" s="11">
        <f>IF(A293="","",IFERROR(SUMIFS(BOM!$E$2:$E$500,BOM!$A$2:$A$500,B293),""))</f>
        <v/>
      </c>
      <c r="D293" s="11">
        <f>IF(A293="","",SUMIFS(StockMovements!$I$2:$I$500,StockMovements!$H$2:$H$500,A293,StockMovements!$D$2:$D$500,"issue"))</f>
        <v/>
      </c>
      <c r="E293" s="11">
        <f>IF(OR(A293="",C293="",C293=0,D293=0),"",D293/C293)</f>
        <v/>
      </c>
      <c r="F293" s="11">
        <f>IF(A293="","",WorkOrders!L293)</f>
        <v/>
      </c>
      <c r="G293" s="15">
        <f>IF(OR(E293="",E293=0),"",F293/E293)</f>
        <v/>
      </c>
      <c r="H293" s="11">
        <f>IF(OR(C293="",F293="",F293=0),"",C293*WorkOrders!E293/F293)</f>
        <v/>
      </c>
    </row>
    <row r="294">
      <c r="A294" s="11">
        <f>WorkOrders!A294</f>
        <v/>
      </c>
      <c r="B294" s="11">
        <f>IF(A294="","",WorkOrders!B294)</f>
        <v/>
      </c>
      <c r="C294" s="11">
        <f>IF(A294="","",IFERROR(SUMIFS(BOM!$E$2:$E$500,BOM!$A$2:$A$500,B294),""))</f>
        <v/>
      </c>
      <c r="D294" s="11">
        <f>IF(A294="","",SUMIFS(StockMovements!$I$2:$I$500,StockMovements!$H$2:$H$500,A294,StockMovements!$D$2:$D$500,"issue"))</f>
        <v/>
      </c>
      <c r="E294" s="11">
        <f>IF(OR(A294="",C294="",C294=0,D294=0),"",D294/C294)</f>
        <v/>
      </c>
      <c r="F294" s="11">
        <f>IF(A294="","",WorkOrders!L294)</f>
        <v/>
      </c>
      <c r="G294" s="15">
        <f>IF(OR(E294="",E294=0),"",F294/E294)</f>
        <v/>
      </c>
      <c r="H294" s="11">
        <f>IF(OR(C294="",F294="",F294=0),"",C294*WorkOrders!E294/F294)</f>
        <v/>
      </c>
    </row>
    <row r="295">
      <c r="A295" s="11">
        <f>WorkOrders!A295</f>
        <v/>
      </c>
      <c r="B295" s="11">
        <f>IF(A295="","",WorkOrders!B295)</f>
        <v/>
      </c>
      <c r="C295" s="11">
        <f>IF(A295="","",IFERROR(SUMIFS(BOM!$E$2:$E$500,BOM!$A$2:$A$500,B295),""))</f>
        <v/>
      </c>
      <c r="D295" s="11">
        <f>IF(A295="","",SUMIFS(StockMovements!$I$2:$I$500,StockMovements!$H$2:$H$500,A295,StockMovements!$D$2:$D$500,"issue"))</f>
        <v/>
      </c>
      <c r="E295" s="11">
        <f>IF(OR(A295="",C295="",C295=0,D295=0),"",D295/C295)</f>
        <v/>
      </c>
      <c r="F295" s="11">
        <f>IF(A295="","",WorkOrders!L295)</f>
        <v/>
      </c>
      <c r="G295" s="15">
        <f>IF(OR(E295="",E295=0),"",F295/E295)</f>
        <v/>
      </c>
      <c r="H295" s="11">
        <f>IF(OR(C295="",F295="",F295=0),"",C295*WorkOrders!E295/F295)</f>
        <v/>
      </c>
    </row>
    <row r="296">
      <c r="A296" s="11">
        <f>WorkOrders!A296</f>
        <v/>
      </c>
      <c r="B296" s="11">
        <f>IF(A296="","",WorkOrders!B296)</f>
        <v/>
      </c>
      <c r="C296" s="11">
        <f>IF(A296="","",IFERROR(SUMIFS(BOM!$E$2:$E$500,BOM!$A$2:$A$500,B296),""))</f>
        <v/>
      </c>
      <c r="D296" s="11">
        <f>IF(A296="","",SUMIFS(StockMovements!$I$2:$I$500,StockMovements!$H$2:$H$500,A296,StockMovements!$D$2:$D$500,"issue"))</f>
        <v/>
      </c>
      <c r="E296" s="11">
        <f>IF(OR(A296="",C296="",C296=0,D296=0),"",D296/C296)</f>
        <v/>
      </c>
      <c r="F296" s="11">
        <f>IF(A296="","",WorkOrders!L296)</f>
        <v/>
      </c>
      <c r="G296" s="15">
        <f>IF(OR(E296="",E296=0),"",F296/E296)</f>
        <v/>
      </c>
      <c r="H296" s="11">
        <f>IF(OR(C296="",F296="",F296=0),"",C296*WorkOrders!E296/F296)</f>
        <v/>
      </c>
    </row>
    <row r="297">
      <c r="A297" s="11">
        <f>WorkOrders!A297</f>
        <v/>
      </c>
      <c r="B297" s="11">
        <f>IF(A297="","",WorkOrders!B297)</f>
        <v/>
      </c>
      <c r="C297" s="11">
        <f>IF(A297="","",IFERROR(SUMIFS(BOM!$E$2:$E$500,BOM!$A$2:$A$500,B297),""))</f>
        <v/>
      </c>
      <c r="D297" s="11">
        <f>IF(A297="","",SUMIFS(StockMovements!$I$2:$I$500,StockMovements!$H$2:$H$500,A297,StockMovements!$D$2:$D$500,"issue"))</f>
        <v/>
      </c>
      <c r="E297" s="11">
        <f>IF(OR(A297="",C297="",C297=0,D297=0),"",D297/C297)</f>
        <v/>
      </c>
      <c r="F297" s="11">
        <f>IF(A297="","",WorkOrders!L297)</f>
        <v/>
      </c>
      <c r="G297" s="15">
        <f>IF(OR(E297="",E297=0),"",F297/E297)</f>
        <v/>
      </c>
      <c r="H297" s="11">
        <f>IF(OR(C297="",F297="",F297=0),"",C297*WorkOrders!E297/F297)</f>
        <v/>
      </c>
    </row>
    <row r="298">
      <c r="A298" s="11">
        <f>WorkOrders!A298</f>
        <v/>
      </c>
      <c r="B298" s="11">
        <f>IF(A298="","",WorkOrders!B298)</f>
        <v/>
      </c>
      <c r="C298" s="11">
        <f>IF(A298="","",IFERROR(SUMIFS(BOM!$E$2:$E$500,BOM!$A$2:$A$500,B298),""))</f>
        <v/>
      </c>
      <c r="D298" s="11">
        <f>IF(A298="","",SUMIFS(StockMovements!$I$2:$I$500,StockMovements!$H$2:$H$500,A298,StockMovements!$D$2:$D$500,"issue"))</f>
        <v/>
      </c>
      <c r="E298" s="11">
        <f>IF(OR(A298="",C298="",C298=0,D298=0),"",D298/C298)</f>
        <v/>
      </c>
      <c r="F298" s="11">
        <f>IF(A298="","",WorkOrders!L298)</f>
        <v/>
      </c>
      <c r="G298" s="15">
        <f>IF(OR(E298="",E298=0),"",F298/E298)</f>
        <v/>
      </c>
      <c r="H298" s="11">
        <f>IF(OR(C298="",F298="",F298=0),"",C298*WorkOrders!E298/F298)</f>
        <v/>
      </c>
    </row>
    <row r="299">
      <c r="A299" s="11">
        <f>WorkOrders!A299</f>
        <v/>
      </c>
      <c r="B299" s="11">
        <f>IF(A299="","",WorkOrders!B299)</f>
        <v/>
      </c>
      <c r="C299" s="11">
        <f>IF(A299="","",IFERROR(SUMIFS(BOM!$E$2:$E$500,BOM!$A$2:$A$500,B299),""))</f>
        <v/>
      </c>
      <c r="D299" s="11">
        <f>IF(A299="","",SUMIFS(StockMovements!$I$2:$I$500,StockMovements!$H$2:$H$500,A299,StockMovements!$D$2:$D$500,"issue"))</f>
        <v/>
      </c>
      <c r="E299" s="11">
        <f>IF(OR(A299="",C299="",C299=0,D299=0),"",D299/C299)</f>
        <v/>
      </c>
      <c r="F299" s="11">
        <f>IF(A299="","",WorkOrders!L299)</f>
        <v/>
      </c>
      <c r="G299" s="15">
        <f>IF(OR(E299="",E299=0),"",F299/E299)</f>
        <v/>
      </c>
      <c r="H299" s="11">
        <f>IF(OR(C299="",F299="",F299=0),"",C299*WorkOrders!E299/F299)</f>
        <v/>
      </c>
    </row>
    <row r="300">
      <c r="A300" s="11">
        <f>WorkOrders!A300</f>
        <v/>
      </c>
      <c r="B300" s="11">
        <f>IF(A300="","",WorkOrders!B300)</f>
        <v/>
      </c>
      <c r="C300" s="11">
        <f>IF(A300="","",IFERROR(SUMIFS(BOM!$E$2:$E$500,BOM!$A$2:$A$500,B300),""))</f>
        <v/>
      </c>
      <c r="D300" s="11">
        <f>IF(A300="","",SUMIFS(StockMovements!$I$2:$I$500,StockMovements!$H$2:$H$500,A300,StockMovements!$D$2:$D$500,"issue"))</f>
        <v/>
      </c>
      <c r="E300" s="11">
        <f>IF(OR(A300="",C300="",C300=0,D300=0),"",D300/C300)</f>
        <v/>
      </c>
      <c r="F300" s="11">
        <f>IF(A300="","",WorkOrders!L300)</f>
        <v/>
      </c>
      <c r="G300" s="15">
        <f>IF(OR(E300="",E300=0),"",F300/E300)</f>
        <v/>
      </c>
      <c r="H300" s="11">
        <f>IF(OR(C300="",F300="",F300=0),"",C300*WorkOrders!E300/F300)</f>
        <v/>
      </c>
    </row>
    <row r="301">
      <c r="A301" s="11">
        <f>WorkOrders!A301</f>
        <v/>
      </c>
      <c r="B301" s="11">
        <f>IF(A301="","",WorkOrders!B301)</f>
        <v/>
      </c>
      <c r="C301" s="11">
        <f>IF(A301="","",IFERROR(SUMIFS(BOM!$E$2:$E$500,BOM!$A$2:$A$500,B301),""))</f>
        <v/>
      </c>
      <c r="D301" s="11">
        <f>IF(A301="","",SUMIFS(StockMovements!$I$2:$I$500,StockMovements!$H$2:$H$500,A301,StockMovements!$D$2:$D$500,"issue"))</f>
        <v/>
      </c>
      <c r="E301" s="11">
        <f>IF(OR(A301="",C301="",C301=0,D301=0),"",D301/C301)</f>
        <v/>
      </c>
      <c r="F301" s="11">
        <f>IF(A301="","",WorkOrders!L301)</f>
        <v/>
      </c>
      <c r="G301" s="15">
        <f>IF(OR(E301="",E301=0),"",F301/E301)</f>
        <v/>
      </c>
      <c r="H301" s="11">
        <f>IF(OR(C301="",F301="",F301=0),"",C301*WorkOrders!E301/F301)</f>
        <v/>
      </c>
    </row>
    <row r="302">
      <c r="A302" s="11">
        <f>WorkOrders!A302</f>
        <v/>
      </c>
      <c r="B302" s="11">
        <f>IF(A302="","",WorkOrders!B302)</f>
        <v/>
      </c>
      <c r="C302" s="11">
        <f>IF(A302="","",IFERROR(SUMIFS(BOM!$E$2:$E$500,BOM!$A$2:$A$500,B302),""))</f>
        <v/>
      </c>
      <c r="D302" s="11">
        <f>IF(A302="","",SUMIFS(StockMovements!$I$2:$I$500,StockMovements!$H$2:$H$500,A302,StockMovements!$D$2:$D$500,"issue"))</f>
        <v/>
      </c>
      <c r="E302" s="11">
        <f>IF(OR(A302="",C302="",C302=0,D302=0),"",D302/C302)</f>
        <v/>
      </c>
      <c r="F302" s="11">
        <f>IF(A302="","",WorkOrders!L302)</f>
        <v/>
      </c>
      <c r="G302" s="15">
        <f>IF(OR(E302="",E302=0),"",F302/E302)</f>
        <v/>
      </c>
      <c r="H302" s="11">
        <f>IF(OR(C302="",F302="",F302=0),"",C302*WorkOrders!E302/F302)</f>
        <v/>
      </c>
    </row>
    <row r="303">
      <c r="A303" s="11">
        <f>WorkOrders!A303</f>
        <v/>
      </c>
      <c r="B303" s="11">
        <f>IF(A303="","",WorkOrders!B303)</f>
        <v/>
      </c>
      <c r="C303" s="11">
        <f>IF(A303="","",IFERROR(SUMIFS(BOM!$E$2:$E$500,BOM!$A$2:$A$500,B303),""))</f>
        <v/>
      </c>
      <c r="D303" s="11">
        <f>IF(A303="","",SUMIFS(StockMovements!$I$2:$I$500,StockMovements!$H$2:$H$500,A303,StockMovements!$D$2:$D$500,"issue"))</f>
        <v/>
      </c>
      <c r="E303" s="11">
        <f>IF(OR(A303="",C303="",C303=0,D303=0),"",D303/C303)</f>
        <v/>
      </c>
      <c r="F303" s="11">
        <f>IF(A303="","",WorkOrders!L303)</f>
        <v/>
      </c>
      <c r="G303" s="15">
        <f>IF(OR(E303="",E303=0),"",F303/E303)</f>
        <v/>
      </c>
      <c r="H303" s="11">
        <f>IF(OR(C303="",F303="",F303=0),"",C303*WorkOrders!E303/F303)</f>
        <v/>
      </c>
    </row>
    <row r="304">
      <c r="A304" s="11">
        <f>WorkOrders!A304</f>
        <v/>
      </c>
      <c r="B304" s="11">
        <f>IF(A304="","",WorkOrders!B304)</f>
        <v/>
      </c>
      <c r="C304" s="11">
        <f>IF(A304="","",IFERROR(SUMIFS(BOM!$E$2:$E$500,BOM!$A$2:$A$500,B304),""))</f>
        <v/>
      </c>
      <c r="D304" s="11">
        <f>IF(A304="","",SUMIFS(StockMovements!$I$2:$I$500,StockMovements!$H$2:$H$500,A304,StockMovements!$D$2:$D$500,"issue"))</f>
        <v/>
      </c>
      <c r="E304" s="11">
        <f>IF(OR(A304="",C304="",C304=0,D304=0),"",D304/C304)</f>
        <v/>
      </c>
      <c r="F304" s="11">
        <f>IF(A304="","",WorkOrders!L304)</f>
        <v/>
      </c>
      <c r="G304" s="15">
        <f>IF(OR(E304="",E304=0),"",F304/E304)</f>
        <v/>
      </c>
      <c r="H304" s="11">
        <f>IF(OR(C304="",F304="",F304=0),"",C304*WorkOrders!E304/F304)</f>
        <v/>
      </c>
    </row>
    <row r="305">
      <c r="A305" s="11">
        <f>WorkOrders!A305</f>
        <v/>
      </c>
      <c r="B305" s="11">
        <f>IF(A305="","",WorkOrders!B305)</f>
        <v/>
      </c>
      <c r="C305" s="11">
        <f>IF(A305="","",IFERROR(SUMIFS(BOM!$E$2:$E$500,BOM!$A$2:$A$500,B305),""))</f>
        <v/>
      </c>
      <c r="D305" s="11">
        <f>IF(A305="","",SUMIFS(StockMovements!$I$2:$I$500,StockMovements!$H$2:$H$500,A305,StockMovements!$D$2:$D$500,"issue"))</f>
        <v/>
      </c>
      <c r="E305" s="11">
        <f>IF(OR(A305="",C305="",C305=0,D305=0),"",D305/C305)</f>
        <v/>
      </c>
      <c r="F305" s="11">
        <f>IF(A305="","",WorkOrders!L305)</f>
        <v/>
      </c>
      <c r="G305" s="15">
        <f>IF(OR(E305="",E305=0),"",F305/E305)</f>
        <v/>
      </c>
      <c r="H305" s="11">
        <f>IF(OR(C305="",F305="",F305=0),"",C305*WorkOrders!E305/F305)</f>
        <v/>
      </c>
    </row>
    <row r="306">
      <c r="A306" s="11">
        <f>WorkOrders!A306</f>
        <v/>
      </c>
      <c r="B306" s="11">
        <f>IF(A306="","",WorkOrders!B306)</f>
        <v/>
      </c>
      <c r="C306" s="11">
        <f>IF(A306="","",IFERROR(SUMIFS(BOM!$E$2:$E$500,BOM!$A$2:$A$500,B306),""))</f>
        <v/>
      </c>
      <c r="D306" s="11">
        <f>IF(A306="","",SUMIFS(StockMovements!$I$2:$I$500,StockMovements!$H$2:$H$500,A306,StockMovements!$D$2:$D$500,"issue"))</f>
        <v/>
      </c>
      <c r="E306" s="11">
        <f>IF(OR(A306="",C306="",C306=0,D306=0),"",D306/C306)</f>
        <v/>
      </c>
      <c r="F306" s="11">
        <f>IF(A306="","",WorkOrders!L306)</f>
        <v/>
      </c>
      <c r="G306" s="15">
        <f>IF(OR(E306="",E306=0),"",F306/E306)</f>
        <v/>
      </c>
      <c r="H306" s="11">
        <f>IF(OR(C306="",F306="",F306=0),"",C306*WorkOrders!E306/F306)</f>
        <v/>
      </c>
    </row>
    <row r="307">
      <c r="A307" s="11">
        <f>WorkOrders!A307</f>
        <v/>
      </c>
      <c r="B307" s="11">
        <f>IF(A307="","",WorkOrders!B307)</f>
        <v/>
      </c>
      <c r="C307" s="11">
        <f>IF(A307="","",IFERROR(SUMIFS(BOM!$E$2:$E$500,BOM!$A$2:$A$500,B307),""))</f>
        <v/>
      </c>
      <c r="D307" s="11">
        <f>IF(A307="","",SUMIFS(StockMovements!$I$2:$I$500,StockMovements!$H$2:$H$500,A307,StockMovements!$D$2:$D$500,"issue"))</f>
        <v/>
      </c>
      <c r="E307" s="11">
        <f>IF(OR(A307="",C307="",C307=0,D307=0),"",D307/C307)</f>
        <v/>
      </c>
      <c r="F307" s="11">
        <f>IF(A307="","",WorkOrders!L307)</f>
        <v/>
      </c>
      <c r="G307" s="15">
        <f>IF(OR(E307="",E307=0),"",F307/E307)</f>
        <v/>
      </c>
      <c r="H307" s="11">
        <f>IF(OR(C307="",F307="",F307=0),"",C307*WorkOrders!E307/F307)</f>
        <v/>
      </c>
    </row>
    <row r="308">
      <c r="A308" s="11">
        <f>WorkOrders!A308</f>
        <v/>
      </c>
      <c r="B308" s="11">
        <f>IF(A308="","",WorkOrders!B308)</f>
        <v/>
      </c>
      <c r="C308" s="11">
        <f>IF(A308="","",IFERROR(SUMIFS(BOM!$E$2:$E$500,BOM!$A$2:$A$500,B308),""))</f>
        <v/>
      </c>
      <c r="D308" s="11">
        <f>IF(A308="","",SUMIFS(StockMovements!$I$2:$I$500,StockMovements!$H$2:$H$500,A308,StockMovements!$D$2:$D$500,"issue"))</f>
        <v/>
      </c>
      <c r="E308" s="11">
        <f>IF(OR(A308="",C308="",C308=0,D308=0),"",D308/C308)</f>
        <v/>
      </c>
      <c r="F308" s="11">
        <f>IF(A308="","",WorkOrders!L308)</f>
        <v/>
      </c>
      <c r="G308" s="15">
        <f>IF(OR(E308="",E308=0),"",F308/E308)</f>
        <v/>
      </c>
      <c r="H308" s="11">
        <f>IF(OR(C308="",F308="",F308=0),"",C308*WorkOrders!E308/F308)</f>
        <v/>
      </c>
    </row>
    <row r="309">
      <c r="A309" s="11">
        <f>WorkOrders!A309</f>
        <v/>
      </c>
      <c r="B309" s="11">
        <f>IF(A309="","",WorkOrders!B309)</f>
        <v/>
      </c>
      <c r="C309" s="11">
        <f>IF(A309="","",IFERROR(SUMIFS(BOM!$E$2:$E$500,BOM!$A$2:$A$500,B309),""))</f>
        <v/>
      </c>
      <c r="D309" s="11">
        <f>IF(A309="","",SUMIFS(StockMovements!$I$2:$I$500,StockMovements!$H$2:$H$500,A309,StockMovements!$D$2:$D$500,"issue"))</f>
        <v/>
      </c>
      <c r="E309" s="11">
        <f>IF(OR(A309="",C309="",C309=0,D309=0),"",D309/C309)</f>
        <v/>
      </c>
      <c r="F309" s="11">
        <f>IF(A309="","",WorkOrders!L309)</f>
        <v/>
      </c>
      <c r="G309" s="15">
        <f>IF(OR(E309="",E309=0),"",F309/E309)</f>
        <v/>
      </c>
      <c r="H309" s="11">
        <f>IF(OR(C309="",F309="",F309=0),"",C309*WorkOrders!E309/F309)</f>
        <v/>
      </c>
    </row>
    <row r="310">
      <c r="A310" s="11">
        <f>WorkOrders!A310</f>
        <v/>
      </c>
      <c r="B310" s="11">
        <f>IF(A310="","",WorkOrders!B310)</f>
        <v/>
      </c>
      <c r="C310" s="11">
        <f>IF(A310="","",IFERROR(SUMIFS(BOM!$E$2:$E$500,BOM!$A$2:$A$500,B310),""))</f>
        <v/>
      </c>
      <c r="D310" s="11">
        <f>IF(A310="","",SUMIFS(StockMovements!$I$2:$I$500,StockMovements!$H$2:$H$500,A310,StockMovements!$D$2:$D$500,"issue"))</f>
        <v/>
      </c>
      <c r="E310" s="11">
        <f>IF(OR(A310="",C310="",C310=0,D310=0),"",D310/C310)</f>
        <v/>
      </c>
      <c r="F310" s="11">
        <f>IF(A310="","",WorkOrders!L310)</f>
        <v/>
      </c>
      <c r="G310" s="15">
        <f>IF(OR(E310="",E310=0),"",F310/E310)</f>
        <v/>
      </c>
      <c r="H310" s="11">
        <f>IF(OR(C310="",F310="",F310=0),"",C310*WorkOrders!E310/F310)</f>
        <v/>
      </c>
    </row>
    <row r="311">
      <c r="A311" s="11">
        <f>WorkOrders!A311</f>
        <v/>
      </c>
      <c r="B311" s="11">
        <f>IF(A311="","",WorkOrders!B311)</f>
        <v/>
      </c>
      <c r="C311" s="11">
        <f>IF(A311="","",IFERROR(SUMIFS(BOM!$E$2:$E$500,BOM!$A$2:$A$500,B311),""))</f>
        <v/>
      </c>
      <c r="D311" s="11">
        <f>IF(A311="","",SUMIFS(StockMovements!$I$2:$I$500,StockMovements!$H$2:$H$500,A311,StockMovements!$D$2:$D$500,"issue"))</f>
        <v/>
      </c>
      <c r="E311" s="11">
        <f>IF(OR(A311="",C311="",C311=0,D311=0),"",D311/C311)</f>
        <v/>
      </c>
      <c r="F311" s="11">
        <f>IF(A311="","",WorkOrders!L311)</f>
        <v/>
      </c>
      <c r="G311" s="15">
        <f>IF(OR(E311="",E311=0),"",F311/E311)</f>
        <v/>
      </c>
      <c r="H311" s="11">
        <f>IF(OR(C311="",F311="",F311=0),"",C311*WorkOrders!E311/F311)</f>
        <v/>
      </c>
    </row>
    <row r="312">
      <c r="A312" s="11">
        <f>WorkOrders!A312</f>
        <v/>
      </c>
      <c r="B312" s="11">
        <f>IF(A312="","",WorkOrders!B312)</f>
        <v/>
      </c>
      <c r="C312" s="11">
        <f>IF(A312="","",IFERROR(SUMIFS(BOM!$E$2:$E$500,BOM!$A$2:$A$500,B312),""))</f>
        <v/>
      </c>
      <c r="D312" s="11">
        <f>IF(A312="","",SUMIFS(StockMovements!$I$2:$I$500,StockMovements!$H$2:$H$500,A312,StockMovements!$D$2:$D$500,"issue"))</f>
        <v/>
      </c>
      <c r="E312" s="11">
        <f>IF(OR(A312="",C312="",C312=0,D312=0),"",D312/C312)</f>
        <v/>
      </c>
      <c r="F312" s="11">
        <f>IF(A312="","",WorkOrders!L312)</f>
        <v/>
      </c>
      <c r="G312" s="15">
        <f>IF(OR(E312="",E312=0),"",F312/E312)</f>
        <v/>
      </c>
      <c r="H312" s="11">
        <f>IF(OR(C312="",F312="",F312=0),"",C312*WorkOrders!E312/F312)</f>
        <v/>
      </c>
    </row>
    <row r="313">
      <c r="A313" s="11">
        <f>WorkOrders!A313</f>
        <v/>
      </c>
      <c r="B313" s="11">
        <f>IF(A313="","",WorkOrders!B313)</f>
        <v/>
      </c>
      <c r="C313" s="11">
        <f>IF(A313="","",IFERROR(SUMIFS(BOM!$E$2:$E$500,BOM!$A$2:$A$500,B313),""))</f>
        <v/>
      </c>
      <c r="D313" s="11">
        <f>IF(A313="","",SUMIFS(StockMovements!$I$2:$I$500,StockMovements!$H$2:$H$500,A313,StockMovements!$D$2:$D$500,"issue"))</f>
        <v/>
      </c>
      <c r="E313" s="11">
        <f>IF(OR(A313="",C313="",C313=0,D313=0),"",D313/C313)</f>
        <v/>
      </c>
      <c r="F313" s="11">
        <f>IF(A313="","",WorkOrders!L313)</f>
        <v/>
      </c>
      <c r="G313" s="15">
        <f>IF(OR(E313="",E313=0),"",F313/E313)</f>
        <v/>
      </c>
      <c r="H313" s="11">
        <f>IF(OR(C313="",F313="",F313=0),"",C313*WorkOrders!E313/F313)</f>
        <v/>
      </c>
    </row>
    <row r="314">
      <c r="A314" s="11">
        <f>WorkOrders!A314</f>
        <v/>
      </c>
      <c r="B314" s="11">
        <f>IF(A314="","",WorkOrders!B314)</f>
        <v/>
      </c>
      <c r="C314" s="11">
        <f>IF(A314="","",IFERROR(SUMIFS(BOM!$E$2:$E$500,BOM!$A$2:$A$500,B314),""))</f>
        <v/>
      </c>
      <c r="D314" s="11">
        <f>IF(A314="","",SUMIFS(StockMovements!$I$2:$I$500,StockMovements!$H$2:$H$500,A314,StockMovements!$D$2:$D$500,"issue"))</f>
        <v/>
      </c>
      <c r="E314" s="11">
        <f>IF(OR(A314="",C314="",C314=0,D314=0),"",D314/C314)</f>
        <v/>
      </c>
      <c r="F314" s="11">
        <f>IF(A314="","",WorkOrders!L314)</f>
        <v/>
      </c>
      <c r="G314" s="15">
        <f>IF(OR(E314="",E314=0),"",F314/E314)</f>
        <v/>
      </c>
      <c r="H314" s="11">
        <f>IF(OR(C314="",F314="",F314=0),"",C314*WorkOrders!E314/F314)</f>
        <v/>
      </c>
    </row>
    <row r="315">
      <c r="A315" s="11">
        <f>WorkOrders!A315</f>
        <v/>
      </c>
      <c r="B315" s="11">
        <f>IF(A315="","",WorkOrders!B315)</f>
        <v/>
      </c>
      <c r="C315" s="11">
        <f>IF(A315="","",IFERROR(SUMIFS(BOM!$E$2:$E$500,BOM!$A$2:$A$500,B315),""))</f>
        <v/>
      </c>
      <c r="D315" s="11">
        <f>IF(A315="","",SUMIFS(StockMovements!$I$2:$I$500,StockMovements!$H$2:$H$500,A315,StockMovements!$D$2:$D$500,"issue"))</f>
        <v/>
      </c>
      <c r="E315" s="11">
        <f>IF(OR(A315="",C315="",C315=0,D315=0),"",D315/C315)</f>
        <v/>
      </c>
      <c r="F315" s="11">
        <f>IF(A315="","",WorkOrders!L315)</f>
        <v/>
      </c>
      <c r="G315" s="15">
        <f>IF(OR(E315="",E315=0),"",F315/E315)</f>
        <v/>
      </c>
      <c r="H315" s="11">
        <f>IF(OR(C315="",F315="",F315=0),"",C315*WorkOrders!E315/F315)</f>
        <v/>
      </c>
    </row>
    <row r="316">
      <c r="A316" s="11">
        <f>WorkOrders!A316</f>
        <v/>
      </c>
      <c r="B316" s="11">
        <f>IF(A316="","",WorkOrders!B316)</f>
        <v/>
      </c>
      <c r="C316" s="11">
        <f>IF(A316="","",IFERROR(SUMIFS(BOM!$E$2:$E$500,BOM!$A$2:$A$500,B316),""))</f>
        <v/>
      </c>
      <c r="D316" s="11">
        <f>IF(A316="","",SUMIFS(StockMovements!$I$2:$I$500,StockMovements!$H$2:$H$500,A316,StockMovements!$D$2:$D$500,"issue"))</f>
        <v/>
      </c>
      <c r="E316" s="11">
        <f>IF(OR(A316="",C316="",C316=0,D316=0),"",D316/C316)</f>
        <v/>
      </c>
      <c r="F316" s="11">
        <f>IF(A316="","",WorkOrders!L316)</f>
        <v/>
      </c>
      <c r="G316" s="15">
        <f>IF(OR(E316="",E316=0),"",F316/E316)</f>
        <v/>
      </c>
      <c r="H316" s="11">
        <f>IF(OR(C316="",F316="",F316=0),"",C316*WorkOrders!E316/F316)</f>
        <v/>
      </c>
    </row>
    <row r="317">
      <c r="A317" s="11">
        <f>WorkOrders!A317</f>
        <v/>
      </c>
      <c r="B317" s="11">
        <f>IF(A317="","",WorkOrders!B317)</f>
        <v/>
      </c>
      <c r="C317" s="11">
        <f>IF(A317="","",IFERROR(SUMIFS(BOM!$E$2:$E$500,BOM!$A$2:$A$500,B317),""))</f>
        <v/>
      </c>
      <c r="D317" s="11">
        <f>IF(A317="","",SUMIFS(StockMovements!$I$2:$I$500,StockMovements!$H$2:$H$500,A317,StockMovements!$D$2:$D$500,"issue"))</f>
        <v/>
      </c>
      <c r="E317" s="11">
        <f>IF(OR(A317="",C317="",C317=0,D317=0),"",D317/C317)</f>
        <v/>
      </c>
      <c r="F317" s="11">
        <f>IF(A317="","",WorkOrders!L317)</f>
        <v/>
      </c>
      <c r="G317" s="15">
        <f>IF(OR(E317="",E317=0),"",F317/E317)</f>
        <v/>
      </c>
      <c r="H317" s="11">
        <f>IF(OR(C317="",F317="",F317=0),"",C317*WorkOrders!E317/F317)</f>
        <v/>
      </c>
    </row>
    <row r="318">
      <c r="A318" s="11">
        <f>WorkOrders!A318</f>
        <v/>
      </c>
      <c r="B318" s="11">
        <f>IF(A318="","",WorkOrders!B318)</f>
        <v/>
      </c>
      <c r="C318" s="11">
        <f>IF(A318="","",IFERROR(SUMIFS(BOM!$E$2:$E$500,BOM!$A$2:$A$500,B318),""))</f>
        <v/>
      </c>
      <c r="D318" s="11">
        <f>IF(A318="","",SUMIFS(StockMovements!$I$2:$I$500,StockMovements!$H$2:$H$500,A318,StockMovements!$D$2:$D$500,"issue"))</f>
        <v/>
      </c>
      <c r="E318" s="11">
        <f>IF(OR(A318="",C318="",C318=0,D318=0),"",D318/C318)</f>
        <v/>
      </c>
      <c r="F318" s="11">
        <f>IF(A318="","",WorkOrders!L318)</f>
        <v/>
      </c>
      <c r="G318" s="15">
        <f>IF(OR(E318="",E318=0),"",F318/E318)</f>
        <v/>
      </c>
      <c r="H318" s="11">
        <f>IF(OR(C318="",F318="",F318=0),"",C318*WorkOrders!E318/F318)</f>
        <v/>
      </c>
    </row>
    <row r="319">
      <c r="A319" s="11">
        <f>WorkOrders!A319</f>
        <v/>
      </c>
      <c r="B319" s="11">
        <f>IF(A319="","",WorkOrders!B319)</f>
        <v/>
      </c>
      <c r="C319" s="11">
        <f>IF(A319="","",IFERROR(SUMIFS(BOM!$E$2:$E$500,BOM!$A$2:$A$500,B319),""))</f>
        <v/>
      </c>
      <c r="D319" s="11">
        <f>IF(A319="","",SUMIFS(StockMovements!$I$2:$I$500,StockMovements!$H$2:$H$500,A319,StockMovements!$D$2:$D$500,"issue"))</f>
        <v/>
      </c>
      <c r="E319" s="11">
        <f>IF(OR(A319="",C319="",C319=0,D319=0),"",D319/C319)</f>
        <v/>
      </c>
      <c r="F319" s="11">
        <f>IF(A319="","",WorkOrders!L319)</f>
        <v/>
      </c>
      <c r="G319" s="15">
        <f>IF(OR(E319="",E319=0),"",F319/E319)</f>
        <v/>
      </c>
      <c r="H319" s="11">
        <f>IF(OR(C319="",F319="",F319=0),"",C319*WorkOrders!E319/F319)</f>
        <v/>
      </c>
    </row>
    <row r="320">
      <c r="A320" s="11">
        <f>WorkOrders!A320</f>
        <v/>
      </c>
      <c r="B320" s="11">
        <f>IF(A320="","",WorkOrders!B320)</f>
        <v/>
      </c>
      <c r="C320" s="11">
        <f>IF(A320="","",IFERROR(SUMIFS(BOM!$E$2:$E$500,BOM!$A$2:$A$500,B320),""))</f>
        <v/>
      </c>
      <c r="D320" s="11">
        <f>IF(A320="","",SUMIFS(StockMovements!$I$2:$I$500,StockMovements!$H$2:$H$500,A320,StockMovements!$D$2:$D$500,"issue"))</f>
        <v/>
      </c>
      <c r="E320" s="11">
        <f>IF(OR(A320="",C320="",C320=0,D320=0),"",D320/C320)</f>
        <v/>
      </c>
      <c r="F320" s="11">
        <f>IF(A320="","",WorkOrders!L320)</f>
        <v/>
      </c>
      <c r="G320" s="15">
        <f>IF(OR(E320="",E320=0),"",F320/E320)</f>
        <v/>
      </c>
      <c r="H320" s="11">
        <f>IF(OR(C320="",F320="",F320=0),"",C320*WorkOrders!E320/F320)</f>
        <v/>
      </c>
    </row>
    <row r="321">
      <c r="A321" s="11">
        <f>WorkOrders!A321</f>
        <v/>
      </c>
      <c r="B321" s="11">
        <f>IF(A321="","",WorkOrders!B321)</f>
        <v/>
      </c>
      <c r="C321" s="11">
        <f>IF(A321="","",IFERROR(SUMIFS(BOM!$E$2:$E$500,BOM!$A$2:$A$500,B321),""))</f>
        <v/>
      </c>
      <c r="D321" s="11">
        <f>IF(A321="","",SUMIFS(StockMovements!$I$2:$I$500,StockMovements!$H$2:$H$500,A321,StockMovements!$D$2:$D$500,"issue"))</f>
        <v/>
      </c>
      <c r="E321" s="11">
        <f>IF(OR(A321="",C321="",C321=0,D321=0),"",D321/C321)</f>
        <v/>
      </c>
      <c r="F321" s="11">
        <f>IF(A321="","",WorkOrders!L321)</f>
        <v/>
      </c>
      <c r="G321" s="15">
        <f>IF(OR(E321="",E321=0),"",F321/E321)</f>
        <v/>
      </c>
      <c r="H321" s="11">
        <f>IF(OR(C321="",F321="",F321=0),"",C321*WorkOrders!E321/F321)</f>
        <v/>
      </c>
    </row>
    <row r="322">
      <c r="A322" s="11">
        <f>WorkOrders!A322</f>
        <v/>
      </c>
      <c r="B322" s="11">
        <f>IF(A322="","",WorkOrders!B322)</f>
        <v/>
      </c>
      <c r="C322" s="11">
        <f>IF(A322="","",IFERROR(SUMIFS(BOM!$E$2:$E$500,BOM!$A$2:$A$500,B322),""))</f>
        <v/>
      </c>
      <c r="D322" s="11">
        <f>IF(A322="","",SUMIFS(StockMovements!$I$2:$I$500,StockMovements!$H$2:$H$500,A322,StockMovements!$D$2:$D$500,"issue"))</f>
        <v/>
      </c>
      <c r="E322" s="11">
        <f>IF(OR(A322="",C322="",C322=0,D322=0),"",D322/C322)</f>
        <v/>
      </c>
      <c r="F322" s="11">
        <f>IF(A322="","",WorkOrders!L322)</f>
        <v/>
      </c>
      <c r="G322" s="15">
        <f>IF(OR(E322="",E322=0),"",F322/E322)</f>
        <v/>
      </c>
      <c r="H322" s="11">
        <f>IF(OR(C322="",F322="",F322=0),"",C322*WorkOrders!E322/F322)</f>
        <v/>
      </c>
    </row>
    <row r="323">
      <c r="A323" s="11">
        <f>WorkOrders!A323</f>
        <v/>
      </c>
      <c r="B323" s="11">
        <f>IF(A323="","",WorkOrders!B323)</f>
        <v/>
      </c>
      <c r="C323" s="11">
        <f>IF(A323="","",IFERROR(SUMIFS(BOM!$E$2:$E$500,BOM!$A$2:$A$500,B323),""))</f>
        <v/>
      </c>
      <c r="D323" s="11">
        <f>IF(A323="","",SUMIFS(StockMovements!$I$2:$I$500,StockMovements!$H$2:$H$500,A323,StockMovements!$D$2:$D$500,"issue"))</f>
        <v/>
      </c>
      <c r="E323" s="11">
        <f>IF(OR(A323="",C323="",C323=0,D323=0),"",D323/C323)</f>
        <v/>
      </c>
      <c r="F323" s="11">
        <f>IF(A323="","",WorkOrders!L323)</f>
        <v/>
      </c>
      <c r="G323" s="15">
        <f>IF(OR(E323="",E323=0),"",F323/E323)</f>
        <v/>
      </c>
      <c r="H323" s="11">
        <f>IF(OR(C323="",F323="",F323=0),"",C323*WorkOrders!E323/F323)</f>
        <v/>
      </c>
    </row>
    <row r="324">
      <c r="A324" s="11">
        <f>WorkOrders!A324</f>
        <v/>
      </c>
      <c r="B324" s="11">
        <f>IF(A324="","",WorkOrders!B324)</f>
        <v/>
      </c>
      <c r="C324" s="11">
        <f>IF(A324="","",IFERROR(SUMIFS(BOM!$E$2:$E$500,BOM!$A$2:$A$500,B324),""))</f>
        <v/>
      </c>
      <c r="D324" s="11">
        <f>IF(A324="","",SUMIFS(StockMovements!$I$2:$I$500,StockMovements!$H$2:$H$500,A324,StockMovements!$D$2:$D$500,"issue"))</f>
        <v/>
      </c>
      <c r="E324" s="11">
        <f>IF(OR(A324="",C324="",C324=0,D324=0),"",D324/C324)</f>
        <v/>
      </c>
      <c r="F324" s="11">
        <f>IF(A324="","",WorkOrders!L324)</f>
        <v/>
      </c>
      <c r="G324" s="15">
        <f>IF(OR(E324="",E324=0),"",F324/E324)</f>
        <v/>
      </c>
      <c r="H324" s="11">
        <f>IF(OR(C324="",F324="",F324=0),"",C324*WorkOrders!E324/F324)</f>
        <v/>
      </c>
    </row>
    <row r="325">
      <c r="A325" s="11">
        <f>WorkOrders!A325</f>
        <v/>
      </c>
      <c r="B325" s="11">
        <f>IF(A325="","",WorkOrders!B325)</f>
        <v/>
      </c>
      <c r="C325" s="11">
        <f>IF(A325="","",IFERROR(SUMIFS(BOM!$E$2:$E$500,BOM!$A$2:$A$500,B325),""))</f>
        <v/>
      </c>
      <c r="D325" s="11">
        <f>IF(A325="","",SUMIFS(StockMovements!$I$2:$I$500,StockMovements!$H$2:$H$500,A325,StockMovements!$D$2:$D$500,"issue"))</f>
        <v/>
      </c>
      <c r="E325" s="11">
        <f>IF(OR(A325="",C325="",C325=0,D325=0),"",D325/C325)</f>
        <v/>
      </c>
      <c r="F325" s="11">
        <f>IF(A325="","",WorkOrders!L325)</f>
        <v/>
      </c>
      <c r="G325" s="15">
        <f>IF(OR(E325="",E325=0),"",F325/E325)</f>
        <v/>
      </c>
      <c r="H325" s="11">
        <f>IF(OR(C325="",F325="",F325=0),"",C325*WorkOrders!E325/F325)</f>
        <v/>
      </c>
    </row>
    <row r="326">
      <c r="A326" s="11">
        <f>WorkOrders!A326</f>
        <v/>
      </c>
      <c r="B326" s="11">
        <f>IF(A326="","",WorkOrders!B326)</f>
        <v/>
      </c>
      <c r="C326" s="11">
        <f>IF(A326="","",IFERROR(SUMIFS(BOM!$E$2:$E$500,BOM!$A$2:$A$500,B326),""))</f>
        <v/>
      </c>
      <c r="D326" s="11">
        <f>IF(A326="","",SUMIFS(StockMovements!$I$2:$I$500,StockMovements!$H$2:$H$500,A326,StockMovements!$D$2:$D$500,"issue"))</f>
        <v/>
      </c>
      <c r="E326" s="11">
        <f>IF(OR(A326="",C326="",C326=0,D326=0),"",D326/C326)</f>
        <v/>
      </c>
      <c r="F326" s="11">
        <f>IF(A326="","",WorkOrders!L326)</f>
        <v/>
      </c>
      <c r="G326" s="15">
        <f>IF(OR(E326="",E326=0),"",F326/E326)</f>
        <v/>
      </c>
      <c r="H326" s="11">
        <f>IF(OR(C326="",F326="",F326=0),"",C326*WorkOrders!E326/F326)</f>
        <v/>
      </c>
    </row>
    <row r="327">
      <c r="A327" s="11">
        <f>WorkOrders!A327</f>
        <v/>
      </c>
      <c r="B327" s="11">
        <f>IF(A327="","",WorkOrders!B327)</f>
        <v/>
      </c>
      <c r="C327" s="11">
        <f>IF(A327="","",IFERROR(SUMIFS(BOM!$E$2:$E$500,BOM!$A$2:$A$500,B327),""))</f>
        <v/>
      </c>
      <c r="D327" s="11">
        <f>IF(A327="","",SUMIFS(StockMovements!$I$2:$I$500,StockMovements!$H$2:$H$500,A327,StockMovements!$D$2:$D$500,"issue"))</f>
        <v/>
      </c>
      <c r="E327" s="11">
        <f>IF(OR(A327="",C327="",C327=0,D327=0),"",D327/C327)</f>
        <v/>
      </c>
      <c r="F327" s="11">
        <f>IF(A327="","",WorkOrders!L327)</f>
        <v/>
      </c>
      <c r="G327" s="15">
        <f>IF(OR(E327="",E327=0),"",F327/E327)</f>
        <v/>
      </c>
      <c r="H327" s="11">
        <f>IF(OR(C327="",F327="",F327=0),"",C327*WorkOrders!E327/F327)</f>
        <v/>
      </c>
    </row>
    <row r="328">
      <c r="A328" s="11">
        <f>WorkOrders!A328</f>
        <v/>
      </c>
      <c r="B328" s="11">
        <f>IF(A328="","",WorkOrders!B328)</f>
        <v/>
      </c>
      <c r="C328" s="11">
        <f>IF(A328="","",IFERROR(SUMIFS(BOM!$E$2:$E$500,BOM!$A$2:$A$500,B328),""))</f>
        <v/>
      </c>
      <c r="D328" s="11">
        <f>IF(A328="","",SUMIFS(StockMovements!$I$2:$I$500,StockMovements!$H$2:$H$500,A328,StockMovements!$D$2:$D$500,"issue"))</f>
        <v/>
      </c>
      <c r="E328" s="11">
        <f>IF(OR(A328="",C328="",C328=0,D328=0),"",D328/C328)</f>
        <v/>
      </c>
      <c r="F328" s="11">
        <f>IF(A328="","",WorkOrders!L328)</f>
        <v/>
      </c>
      <c r="G328" s="15">
        <f>IF(OR(E328="",E328=0),"",F328/E328)</f>
        <v/>
      </c>
      <c r="H328" s="11">
        <f>IF(OR(C328="",F328="",F328=0),"",C328*WorkOrders!E328/F328)</f>
        <v/>
      </c>
    </row>
    <row r="329">
      <c r="A329" s="11">
        <f>WorkOrders!A329</f>
        <v/>
      </c>
      <c r="B329" s="11">
        <f>IF(A329="","",WorkOrders!B329)</f>
        <v/>
      </c>
      <c r="C329" s="11">
        <f>IF(A329="","",IFERROR(SUMIFS(BOM!$E$2:$E$500,BOM!$A$2:$A$500,B329),""))</f>
        <v/>
      </c>
      <c r="D329" s="11">
        <f>IF(A329="","",SUMIFS(StockMovements!$I$2:$I$500,StockMovements!$H$2:$H$500,A329,StockMovements!$D$2:$D$500,"issue"))</f>
        <v/>
      </c>
      <c r="E329" s="11">
        <f>IF(OR(A329="",C329="",C329=0,D329=0),"",D329/C329)</f>
        <v/>
      </c>
      <c r="F329" s="11">
        <f>IF(A329="","",WorkOrders!L329)</f>
        <v/>
      </c>
      <c r="G329" s="15">
        <f>IF(OR(E329="",E329=0),"",F329/E329)</f>
        <v/>
      </c>
      <c r="H329" s="11">
        <f>IF(OR(C329="",F329="",F329=0),"",C329*WorkOrders!E329/F329)</f>
        <v/>
      </c>
    </row>
    <row r="330">
      <c r="A330" s="11">
        <f>WorkOrders!A330</f>
        <v/>
      </c>
      <c r="B330" s="11">
        <f>IF(A330="","",WorkOrders!B330)</f>
        <v/>
      </c>
      <c r="C330" s="11">
        <f>IF(A330="","",IFERROR(SUMIFS(BOM!$E$2:$E$500,BOM!$A$2:$A$500,B330),""))</f>
        <v/>
      </c>
      <c r="D330" s="11">
        <f>IF(A330="","",SUMIFS(StockMovements!$I$2:$I$500,StockMovements!$H$2:$H$500,A330,StockMovements!$D$2:$D$500,"issue"))</f>
        <v/>
      </c>
      <c r="E330" s="11">
        <f>IF(OR(A330="",C330="",C330=0,D330=0),"",D330/C330)</f>
        <v/>
      </c>
      <c r="F330" s="11">
        <f>IF(A330="","",WorkOrders!L330)</f>
        <v/>
      </c>
      <c r="G330" s="15">
        <f>IF(OR(E330="",E330=0),"",F330/E330)</f>
        <v/>
      </c>
      <c r="H330" s="11">
        <f>IF(OR(C330="",F330="",F330=0),"",C330*WorkOrders!E330/F330)</f>
        <v/>
      </c>
    </row>
    <row r="331">
      <c r="A331" s="11">
        <f>WorkOrders!A331</f>
        <v/>
      </c>
      <c r="B331" s="11">
        <f>IF(A331="","",WorkOrders!B331)</f>
        <v/>
      </c>
      <c r="C331" s="11">
        <f>IF(A331="","",IFERROR(SUMIFS(BOM!$E$2:$E$500,BOM!$A$2:$A$500,B331),""))</f>
        <v/>
      </c>
      <c r="D331" s="11">
        <f>IF(A331="","",SUMIFS(StockMovements!$I$2:$I$500,StockMovements!$H$2:$H$500,A331,StockMovements!$D$2:$D$500,"issue"))</f>
        <v/>
      </c>
      <c r="E331" s="11">
        <f>IF(OR(A331="",C331="",C331=0,D331=0),"",D331/C331)</f>
        <v/>
      </c>
      <c r="F331" s="11">
        <f>IF(A331="","",WorkOrders!L331)</f>
        <v/>
      </c>
      <c r="G331" s="15">
        <f>IF(OR(E331="",E331=0),"",F331/E331)</f>
        <v/>
      </c>
      <c r="H331" s="11">
        <f>IF(OR(C331="",F331="",F331=0),"",C331*WorkOrders!E331/F331)</f>
        <v/>
      </c>
    </row>
    <row r="332">
      <c r="A332" s="11">
        <f>WorkOrders!A332</f>
        <v/>
      </c>
      <c r="B332" s="11">
        <f>IF(A332="","",WorkOrders!B332)</f>
        <v/>
      </c>
      <c r="C332" s="11">
        <f>IF(A332="","",IFERROR(SUMIFS(BOM!$E$2:$E$500,BOM!$A$2:$A$500,B332),""))</f>
        <v/>
      </c>
      <c r="D332" s="11">
        <f>IF(A332="","",SUMIFS(StockMovements!$I$2:$I$500,StockMovements!$H$2:$H$500,A332,StockMovements!$D$2:$D$500,"issue"))</f>
        <v/>
      </c>
      <c r="E332" s="11">
        <f>IF(OR(A332="",C332="",C332=0,D332=0),"",D332/C332)</f>
        <v/>
      </c>
      <c r="F332" s="11">
        <f>IF(A332="","",WorkOrders!L332)</f>
        <v/>
      </c>
      <c r="G332" s="15">
        <f>IF(OR(E332="",E332=0),"",F332/E332)</f>
        <v/>
      </c>
      <c r="H332" s="11">
        <f>IF(OR(C332="",F332="",F332=0),"",C332*WorkOrders!E332/F332)</f>
        <v/>
      </c>
    </row>
    <row r="333">
      <c r="A333" s="11">
        <f>WorkOrders!A333</f>
        <v/>
      </c>
      <c r="B333" s="11">
        <f>IF(A333="","",WorkOrders!B333)</f>
        <v/>
      </c>
      <c r="C333" s="11">
        <f>IF(A333="","",IFERROR(SUMIFS(BOM!$E$2:$E$500,BOM!$A$2:$A$500,B333),""))</f>
        <v/>
      </c>
      <c r="D333" s="11">
        <f>IF(A333="","",SUMIFS(StockMovements!$I$2:$I$500,StockMovements!$H$2:$H$500,A333,StockMovements!$D$2:$D$500,"issue"))</f>
        <v/>
      </c>
      <c r="E333" s="11">
        <f>IF(OR(A333="",C333="",C333=0,D333=0),"",D333/C333)</f>
        <v/>
      </c>
      <c r="F333" s="11">
        <f>IF(A333="","",WorkOrders!L333)</f>
        <v/>
      </c>
      <c r="G333" s="15">
        <f>IF(OR(E333="",E333=0),"",F333/E333)</f>
        <v/>
      </c>
      <c r="H333" s="11">
        <f>IF(OR(C333="",F333="",F333=0),"",C333*WorkOrders!E333/F333)</f>
        <v/>
      </c>
    </row>
    <row r="334">
      <c r="A334" s="11">
        <f>WorkOrders!A334</f>
        <v/>
      </c>
      <c r="B334" s="11">
        <f>IF(A334="","",WorkOrders!B334)</f>
        <v/>
      </c>
      <c r="C334" s="11">
        <f>IF(A334="","",IFERROR(SUMIFS(BOM!$E$2:$E$500,BOM!$A$2:$A$500,B334),""))</f>
        <v/>
      </c>
      <c r="D334" s="11">
        <f>IF(A334="","",SUMIFS(StockMovements!$I$2:$I$500,StockMovements!$H$2:$H$500,A334,StockMovements!$D$2:$D$500,"issue"))</f>
        <v/>
      </c>
      <c r="E334" s="11">
        <f>IF(OR(A334="",C334="",C334=0,D334=0),"",D334/C334)</f>
        <v/>
      </c>
      <c r="F334" s="11">
        <f>IF(A334="","",WorkOrders!L334)</f>
        <v/>
      </c>
      <c r="G334" s="15">
        <f>IF(OR(E334="",E334=0),"",F334/E334)</f>
        <v/>
      </c>
      <c r="H334" s="11">
        <f>IF(OR(C334="",F334="",F334=0),"",C334*WorkOrders!E334/F334)</f>
        <v/>
      </c>
    </row>
    <row r="335">
      <c r="A335" s="11">
        <f>WorkOrders!A335</f>
        <v/>
      </c>
      <c r="B335" s="11">
        <f>IF(A335="","",WorkOrders!B335)</f>
        <v/>
      </c>
      <c r="C335" s="11">
        <f>IF(A335="","",IFERROR(SUMIFS(BOM!$E$2:$E$500,BOM!$A$2:$A$500,B335),""))</f>
        <v/>
      </c>
      <c r="D335" s="11">
        <f>IF(A335="","",SUMIFS(StockMovements!$I$2:$I$500,StockMovements!$H$2:$H$500,A335,StockMovements!$D$2:$D$500,"issue"))</f>
        <v/>
      </c>
      <c r="E335" s="11">
        <f>IF(OR(A335="",C335="",C335=0,D335=0),"",D335/C335)</f>
        <v/>
      </c>
      <c r="F335" s="11">
        <f>IF(A335="","",WorkOrders!L335)</f>
        <v/>
      </c>
      <c r="G335" s="15">
        <f>IF(OR(E335="",E335=0),"",F335/E335)</f>
        <v/>
      </c>
      <c r="H335" s="11">
        <f>IF(OR(C335="",F335="",F335=0),"",C335*WorkOrders!E335/F335)</f>
        <v/>
      </c>
    </row>
    <row r="336">
      <c r="A336" s="11">
        <f>WorkOrders!A336</f>
        <v/>
      </c>
      <c r="B336" s="11">
        <f>IF(A336="","",WorkOrders!B336)</f>
        <v/>
      </c>
      <c r="C336" s="11">
        <f>IF(A336="","",IFERROR(SUMIFS(BOM!$E$2:$E$500,BOM!$A$2:$A$500,B336),""))</f>
        <v/>
      </c>
      <c r="D336" s="11">
        <f>IF(A336="","",SUMIFS(StockMovements!$I$2:$I$500,StockMovements!$H$2:$H$500,A336,StockMovements!$D$2:$D$500,"issue"))</f>
        <v/>
      </c>
      <c r="E336" s="11">
        <f>IF(OR(A336="",C336="",C336=0,D336=0),"",D336/C336)</f>
        <v/>
      </c>
      <c r="F336" s="11">
        <f>IF(A336="","",WorkOrders!L336)</f>
        <v/>
      </c>
      <c r="G336" s="15">
        <f>IF(OR(E336="",E336=0),"",F336/E336)</f>
        <v/>
      </c>
      <c r="H336" s="11">
        <f>IF(OR(C336="",F336="",F336=0),"",C336*WorkOrders!E336/F336)</f>
        <v/>
      </c>
    </row>
    <row r="337">
      <c r="A337" s="11">
        <f>WorkOrders!A337</f>
        <v/>
      </c>
      <c r="B337" s="11">
        <f>IF(A337="","",WorkOrders!B337)</f>
        <v/>
      </c>
      <c r="C337" s="11">
        <f>IF(A337="","",IFERROR(SUMIFS(BOM!$E$2:$E$500,BOM!$A$2:$A$500,B337),""))</f>
        <v/>
      </c>
      <c r="D337" s="11">
        <f>IF(A337="","",SUMIFS(StockMovements!$I$2:$I$500,StockMovements!$H$2:$H$500,A337,StockMovements!$D$2:$D$500,"issue"))</f>
        <v/>
      </c>
      <c r="E337" s="11">
        <f>IF(OR(A337="",C337="",C337=0,D337=0),"",D337/C337)</f>
        <v/>
      </c>
      <c r="F337" s="11">
        <f>IF(A337="","",WorkOrders!L337)</f>
        <v/>
      </c>
      <c r="G337" s="15">
        <f>IF(OR(E337="",E337=0),"",F337/E337)</f>
        <v/>
      </c>
      <c r="H337" s="11">
        <f>IF(OR(C337="",F337="",F337=0),"",C337*WorkOrders!E337/F337)</f>
        <v/>
      </c>
    </row>
    <row r="338">
      <c r="A338" s="11">
        <f>WorkOrders!A338</f>
        <v/>
      </c>
      <c r="B338" s="11">
        <f>IF(A338="","",WorkOrders!B338)</f>
        <v/>
      </c>
      <c r="C338" s="11">
        <f>IF(A338="","",IFERROR(SUMIFS(BOM!$E$2:$E$500,BOM!$A$2:$A$500,B338),""))</f>
        <v/>
      </c>
      <c r="D338" s="11">
        <f>IF(A338="","",SUMIFS(StockMovements!$I$2:$I$500,StockMovements!$H$2:$H$500,A338,StockMovements!$D$2:$D$500,"issue"))</f>
        <v/>
      </c>
      <c r="E338" s="11">
        <f>IF(OR(A338="",C338="",C338=0,D338=0),"",D338/C338)</f>
        <v/>
      </c>
      <c r="F338" s="11">
        <f>IF(A338="","",WorkOrders!L338)</f>
        <v/>
      </c>
      <c r="G338" s="15">
        <f>IF(OR(E338="",E338=0),"",F338/E338)</f>
        <v/>
      </c>
      <c r="H338" s="11">
        <f>IF(OR(C338="",F338="",F338=0),"",C338*WorkOrders!E338/F338)</f>
        <v/>
      </c>
    </row>
    <row r="339">
      <c r="A339" s="11">
        <f>WorkOrders!A339</f>
        <v/>
      </c>
      <c r="B339" s="11">
        <f>IF(A339="","",WorkOrders!B339)</f>
        <v/>
      </c>
      <c r="C339" s="11">
        <f>IF(A339="","",IFERROR(SUMIFS(BOM!$E$2:$E$500,BOM!$A$2:$A$500,B339),""))</f>
        <v/>
      </c>
      <c r="D339" s="11">
        <f>IF(A339="","",SUMIFS(StockMovements!$I$2:$I$500,StockMovements!$H$2:$H$500,A339,StockMovements!$D$2:$D$500,"issue"))</f>
        <v/>
      </c>
      <c r="E339" s="11">
        <f>IF(OR(A339="",C339="",C339=0,D339=0),"",D339/C339)</f>
        <v/>
      </c>
      <c r="F339" s="11">
        <f>IF(A339="","",WorkOrders!L339)</f>
        <v/>
      </c>
      <c r="G339" s="15">
        <f>IF(OR(E339="",E339=0),"",F339/E339)</f>
        <v/>
      </c>
      <c r="H339" s="11">
        <f>IF(OR(C339="",F339="",F339=0),"",C339*WorkOrders!E339/F339)</f>
        <v/>
      </c>
    </row>
    <row r="340">
      <c r="A340" s="11">
        <f>WorkOrders!A340</f>
        <v/>
      </c>
      <c r="B340" s="11">
        <f>IF(A340="","",WorkOrders!B340)</f>
        <v/>
      </c>
      <c r="C340" s="11">
        <f>IF(A340="","",IFERROR(SUMIFS(BOM!$E$2:$E$500,BOM!$A$2:$A$500,B340),""))</f>
        <v/>
      </c>
      <c r="D340" s="11">
        <f>IF(A340="","",SUMIFS(StockMovements!$I$2:$I$500,StockMovements!$H$2:$H$500,A340,StockMovements!$D$2:$D$500,"issue"))</f>
        <v/>
      </c>
      <c r="E340" s="11">
        <f>IF(OR(A340="",C340="",C340=0,D340=0),"",D340/C340)</f>
        <v/>
      </c>
      <c r="F340" s="11">
        <f>IF(A340="","",WorkOrders!L340)</f>
        <v/>
      </c>
      <c r="G340" s="15">
        <f>IF(OR(E340="",E340=0),"",F340/E340)</f>
        <v/>
      </c>
      <c r="H340" s="11">
        <f>IF(OR(C340="",F340="",F340=0),"",C340*WorkOrders!E340/F340)</f>
        <v/>
      </c>
    </row>
    <row r="341">
      <c r="A341" s="11">
        <f>WorkOrders!A341</f>
        <v/>
      </c>
      <c r="B341" s="11">
        <f>IF(A341="","",WorkOrders!B341)</f>
        <v/>
      </c>
      <c r="C341" s="11">
        <f>IF(A341="","",IFERROR(SUMIFS(BOM!$E$2:$E$500,BOM!$A$2:$A$500,B341),""))</f>
        <v/>
      </c>
      <c r="D341" s="11">
        <f>IF(A341="","",SUMIFS(StockMovements!$I$2:$I$500,StockMovements!$H$2:$H$500,A341,StockMovements!$D$2:$D$500,"issue"))</f>
        <v/>
      </c>
      <c r="E341" s="11">
        <f>IF(OR(A341="",C341="",C341=0,D341=0),"",D341/C341)</f>
        <v/>
      </c>
      <c r="F341" s="11">
        <f>IF(A341="","",WorkOrders!L341)</f>
        <v/>
      </c>
      <c r="G341" s="15">
        <f>IF(OR(E341="",E341=0),"",F341/E341)</f>
        <v/>
      </c>
      <c r="H341" s="11">
        <f>IF(OR(C341="",F341="",F341=0),"",C341*WorkOrders!E341/F341)</f>
        <v/>
      </c>
    </row>
    <row r="342">
      <c r="A342" s="11">
        <f>WorkOrders!A342</f>
        <v/>
      </c>
      <c r="B342" s="11">
        <f>IF(A342="","",WorkOrders!B342)</f>
        <v/>
      </c>
      <c r="C342" s="11">
        <f>IF(A342="","",IFERROR(SUMIFS(BOM!$E$2:$E$500,BOM!$A$2:$A$500,B342),""))</f>
        <v/>
      </c>
      <c r="D342" s="11">
        <f>IF(A342="","",SUMIFS(StockMovements!$I$2:$I$500,StockMovements!$H$2:$H$500,A342,StockMovements!$D$2:$D$500,"issue"))</f>
        <v/>
      </c>
      <c r="E342" s="11">
        <f>IF(OR(A342="",C342="",C342=0,D342=0),"",D342/C342)</f>
        <v/>
      </c>
      <c r="F342" s="11">
        <f>IF(A342="","",WorkOrders!L342)</f>
        <v/>
      </c>
      <c r="G342" s="15">
        <f>IF(OR(E342="",E342=0),"",F342/E342)</f>
        <v/>
      </c>
      <c r="H342" s="11">
        <f>IF(OR(C342="",F342="",F342=0),"",C342*WorkOrders!E342/F342)</f>
        <v/>
      </c>
    </row>
    <row r="343">
      <c r="A343" s="11">
        <f>WorkOrders!A343</f>
        <v/>
      </c>
      <c r="B343" s="11">
        <f>IF(A343="","",WorkOrders!B343)</f>
        <v/>
      </c>
      <c r="C343" s="11">
        <f>IF(A343="","",IFERROR(SUMIFS(BOM!$E$2:$E$500,BOM!$A$2:$A$500,B343),""))</f>
        <v/>
      </c>
      <c r="D343" s="11">
        <f>IF(A343="","",SUMIFS(StockMovements!$I$2:$I$500,StockMovements!$H$2:$H$500,A343,StockMovements!$D$2:$D$500,"issue"))</f>
        <v/>
      </c>
      <c r="E343" s="11">
        <f>IF(OR(A343="",C343="",C343=0,D343=0),"",D343/C343)</f>
        <v/>
      </c>
      <c r="F343" s="11">
        <f>IF(A343="","",WorkOrders!L343)</f>
        <v/>
      </c>
      <c r="G343" s="15">
        <f>IF(OR(E343="",E343=0),"",F343/E343)</f>
        <v/>
      </c>
      <c r="H343" s="11">
        <f>IF(OR(C343="",F343="",F343=0),"",C343*WorkOrders!E343/F343)</f>
        <v/>
      </c>
    </row>
    <row r="344">
      <c r="A344" s="11">
        <f>WorkOrders!A344</f>
        <v/>
      </c>
      <c r="B344" s="11">
        <f>IF(A344="","",WorkOrders!B344)</f>
        <v/>
      </c>
      <c r="C344" s="11">
        <f>IF(A344="","",IFERROR(SUMIFS(BOM!$E$2:$E$500,BOM!$A$2:$A$500,B344),""))</f>
        <v/>
      </c>
      <c r="D344" s="11">
        <f>IF(A344="","",SUMIFS(StockMovements!$I$2:$I$500,StockMovements!$H$2:$H$500,A344,StockMovements!$D$2:$D$500,"issue"))</f>
        <v/>
      </c>
      <c r="E344" s="11">
        <f>IF(OR(A344="",C344="",C344=0,D344=0),"",D344/C344)</f>
        <v/>
      </c>
      <c r="F344" s="11">
        <f>IF(A344="","",WorkOrders!L344)</f>
        <v/>
      </c>
      <c r="G344" s="15">
        <f>IF(OR(E344="",E344=0),"",F344/E344)</f>
        <v/>
      </c>
      <c r="H344" s="11">
        <f>IF(OR(C344="",F344="",F344=0),"",C344*WorkOrders!E344/F344)</f>
        <v/>
      </c>
    </row>
    <row r="345">
      <c r="A345" s="11">
        <f>WorkOrders!A345</f>
        <v/>
      </c>
      <c r="B345" s="11">
        <f>IF(A345="","",WorkOrders!B345)</f>
        <v/>
      </c>
      <c r="C345" s="11">
        <f>IF(A345="","",IFERROR(SUMIFS(BOM!$E$2:$E$500,BOM!$A$2:$A$500,B345),""))</f>
        <v/>
      </c>
      <c r="D345" s="11">
        <f>IF(A345="","",SUMIFS(StockMovements!$I$2:$I$500,StockMovements!$H$2:$H$500,A345,StockMovements!$D$2:$D$500,"issue"))</f>
        <v/>
      </c>
      <c r="E345" s="11">
        <f>IF(OR(A345="",C345="",C345=0,D345=0),"",D345/C345)</f>
        <v/>
      </c>
      <c r="F345" s="11">
        <f>IF(A345="","",WorkOrders!L345)</f>
        <v/>
      </c>
      <c r="G345" s="15">
        <f>IF(OR(E345="",E345=0),"",F345/E345)</f>
        <v/>
      </c>
      <c r="H345" s="11">
        <f>IF(OR(C345="",F345="",F345=0),"",C345*WorkOrders!E345/F345)</f>
        <v/>
      </c>
    </row>
    <row r="346">
      <c r="A346" s="11">
        <f>WorkOrders!A346</f>
        <v/>
      </c>
      <c r="B346" s="11">
        <f>IF(A346="","",WorkOrders!B346)</f>
        <v/>
      </c>
      <c r="C346" s="11">
        <f>IF(A346="","",IFERROR(SUMIFS(BOM!$E$2:$E$500,BOM!$A$2:$A$500,B346),""))</f>
        <v/>
      </c>
      <c r="D346" s="11">
        <f>IF(A346="","",SUMIFS(StockMovements!$I$2:$I$500,StockMovements!$H$2:$H$500,A346,StockMovements!$D$2:$D$500,"issue"))</f>
        <v/>
      </c>
      <c r="E346" s="11">
        <f>IF(OR(A346="",C346="",C346=0,D346=0),"",D346/C346)</f>
        <v/>
      </c>
      <c r="F346" s="11">
        <f>IF(A346="","",WorkOrders!L346)</f>
        <v/>
      </c>
      <c r="G346" s="15">
        <f>IF(OR(E346="",E346=0),"",F346/E346)</f>
        <v/>
      </c>
      <c r="H346" s="11">
        <f>IF(OR(C346="",F346="",F346=0),"",C346*WorkOrders!E346/F346)</f>
        <v/>
      </c>
    </row>
    <row r="347">
      <c r="A347" s="11">
        <f>WorkOrders!A347</f>
        <v/>
      </c>
      <c r="B347" s="11">
        <f>IF(A347="","",WorkOrders!B347)</f>
        <v/>
      </c>
      <c r="C347" s="11">
        <f>IF(A347="","",IFERROR(SUMIFS(BOM!$E$2:$E$500,BOM!$A$2:$A$500,B347),""))</f>
        <v/>
      </c>
      <c r="D347" s="11">
        <f>IF(A347="","",SUMIFS(StockMovements!$I$2:$I$500,StockMovements!$H$2:$H$500,A347,StockMovements!$D$2:$D$500,"issue"))</f>
        <v/>
      </c>
      <c r="E347" s="11">
        <f>IF(OR(A347="",C347="",C347=0,D347=0),"",D347/C347)</f>
        <v/>
      </c>
      <c r="F347" s="11">
        <f>IF(A347="","",WorkOrders!L347)</f>
        <v/>
      </c>
      <c r="G347" s="15">
        <f>IF(OR(E347="",E347=0),"",F347/E347)</f>
        <v/>
      </c>
      <c r="H347" s="11">
        <f>IF(OR(C347="",F347="",F347=0),"",C347*WorkOrders!E347/F347)</f>
        <v/>
      </c>
    </row>
    <row r="348">
      <c r="A348" s="11">
        <f>WorkOrders!A348</f>
        <v/>
      </c>
      <c r="B348" s="11">
        <f>IF(A348="","",WorkOrders!B348)</f>
        <v/>
      </c>
      <c r="C348" s="11">
        <f>IF(A348="","",IFERROR(SUMIFS(BOM!$E$2:$E$500,BOM!$A$2:$A$500,B348),""))</f>
        <v/>
      </c>
      <c r="D348" s="11">
        <f>IF(A348="","",SUMIFS(StockMovements!$I$2:$I$500,StockMovements!$H$2:$H$500,A348,StockMovements!$D$2:$D$500,"issue"))</f>
        <v/>
      </c>
      <c r="E348" s="11">
        <f>IF(OR(A348="",C348="",C348=0,D348=0),"",D348/C348)</f>
        <v/>
      </c>
      <c r="F348" s="11">
        <f>IF(A348="","",WorkOrders!L348)</f>
        <v/>
      </c>
      <c r="G348" s="15">
        <f>IF(OR(E348="",E348=0),"",F348/E348)</f>
        <v/>
      </c>
      <c r="H348" s="11">
        <f>IF(OR(C348="",F348="",F348=0),"",C348*WorkOrders!E348/F348)</f>
        <v/>
      </c>
    </row>
    <row r="349">
      <c r="A349" s="11">
        <f>WorkOrders!A349</f>
        <v/>
      </c>
      <c r="B349" s="11">
        <f>IF(A349="","",WorkOrders!B349)</f>
        <v/>
      </c>
      <c r="C349" s="11">
        <f>IF(A349="","",IFERROR(SUMIFS(BOM!$E$2:$E$500,BOM!$A$2:$A$500,B349),""))</f>
        <v/>
      </c>
      <c r="D349" s="11">
        <f>IF(A349="","",SUMIFS(StockMovements!$I$2:$I$500,StockMovements!$H$2:$H$500,A349,StockMovements!$D$2:$D$500,"issue"))</f>
        <v/>
      </c>
      <c r="E349" s="11">
        <f>IF(OR(A349="",C349="",C349=0,D349=0),"",D349/C349)</f>
        <v/>
      </c>
      <c r="F349" s="11">
        <f>IF(A349="","",WorkOrders!L349)</f>
        <v/>
      </c>
      <c r="G349" s="15">
        <f>IF(OR(E349="",E349=0),"",F349/E349)</f>
        <v/>
      </c>
      <c r="H349" s="11">
        <f>IF(OR(C349="",F349="",F349=0),"",C349*WorkOrders!E349/F349)</f>
        <v/>
      </c>
    </row>
    <row r="350">
      <c r="A350" s="11">
        <f>WorkOrders!A350</f>
        <v/>
      </c>
      <c r="B350" s="11">
        <f>IF(A350="","",WorkOrders!B350)</f>
        <v/>
      </c>
      <c r="C350" s="11">
        <f>IF(A350="","",IFERROR(SUMIFS(BOM!$E$2:$E$500,BOM!$A$2:$A$500,B350),""))</f>
        <v/>
      </c>
      <c r="D350" s="11">
        <f>IF(A350="","",SUMIFS(StockMovements!$I$2:$I$500,StockMovements!$H$2:$H$500,A350,StockMovements!$D$2:$D$500,"issue"))</f>
        <v/>
      </c>
      <c r="E350" s="11">
        <f>IF(OR(A350="",C350="",C350=0,D350=0),"",D350/C350)</f>
        <v/>
      </c>
      <c r="F350" s="11">
        <f>IF(A350="","",WorkOrders!L350)</f>
        <v/>
      </c>
      <c r="G350" s="15">
        <f>IF(OR(E350="",E350=0),"",F350/E350)</f>
        <v/>
      </c>
      <c r="H350" s="11">
        <f>IF(OR(C350="",F350="",F350=0),"",C350*WorkOrders!E350/F350)</f>
        <v/>
      </c>
    </row>
    <row r="351">
      <c r="A351" s="11">
        <f>WorkOrders!A351</f>
        <v/>
      </c>
      <c r="B351" s="11">
        <f>IF(A351="","",WorkOrders!B351)</f>
        <v/>
      </c>
      <c r="C351" s="11">
        <f>IF(A351="","",IFERROR(SUMIFS(BOM!$E$2:$E$500,BOM!$A$2:$A$500,B351),""))</f>
        <v/>
      </c>
      <c r="D351" s="11">
        <f>IF(A351="","",SUMIFS(StockMovements!$I$2:$I$500,StockMovements!$H$2:$H$500,A351,StockMovements!$D$2:$D$500,"issue"))</f>
        <v/>
      </c>
      <c r="E351" s="11">
        <f>IF(OR(A351="",C351="",C351=0,D351=0),"",D351/C351)</f>
        <v/>
      </c>
      <c r="F351" s="11">
        <f>IF(A351="","",WorkOrders!L351)</f>
        <v/>
      </c>
      <c r="G351" s="15">
        <f>IF(OR(E351="",E351=0),"",F351/E351)</f>
        <v/>
      </c>
      <c r="H351" s="11">
        <f>IF(OR(C351="",F351="",F351=0),"",C351*WorkOrders!E351/F351)</f>
        <v/>
      </c>
    </row>
    <row r="352">
      <c r="A352" s="11">
        <f>WorkOrders!A352</f>
        <v/>
      </c>
      <c r="B352" s="11">
        <f>IF(A352="","",WorkOrders!B352)</f>
        <v/>
      </c>
      <c r="C352" s="11">
        <f>IF(A352="","",IFERROR(SUMIFS(BOM!$E$2:$E$500,BOM!$A$2:$A$500,B352),""))</f>
        <v/>
      </c>
      <c r="D352" s="11">
        <f>IF(A352="","",SUMIFS(StockMovements!$I$2:$I$500,StockMovements!$H$2:$H$500,A352,StockMovements!$D$2:$D$500,"issue"))</f>
        <v/>
      </c>
      <c r="E352" s="11">
        <f>IF(OR(A352="",C352="",C352=0,D352=0),"",D352/C352)</f>
        <v/>
      </c>
      <c r="F352" s="11">
        <f>IF(A352="","",WorkOrders!L352)</f>
        <v/>
      </c>
      <c r="G352" s="15">
        <f>IF(OR(E352="",E352=0),"",F352/E352)</f>
        <v/>
      </c>
      <c r="H352" s="11">
        <f>IF(OR(C352="",F352="",F352=0),"",C352*WorkOrders!E352/F352)</f>
        <v/>
      </c>
    </row>
    <row r="353">
      <c r="A353" s="11">
        <f>WorkOrders!A353</f>
        <v/>
      </c>
      <c r="B353" s="11">
        <f>IF(A353="","",WorkOrders!B353)</f>
        <v/>
      </c>
      <c r="C353" s="11">
        <f>IF(A353="","",IFERROR(SUMIFS(BOM!$E$2:$E$500,BOM!$A$2:$A$500,B353),""))</f>
        <v/>
      </c>
      <c r="D353" s="11">
        <f>IF(A353="","",SUMIFS(StockMovements!$I$2:$I$500,StockMovements!$H$2:$H$500,A353,StockMovements!$D$2:$D$500,"issue"))</f>
        <v/>
      </c>
      <c r="E353" s="11">
        <f>IF(OR(A353="",C353="",C353=0,D353=0),"",D353/C353)</f>
        <v/>
      </c>
      <c r="F353" s="11">
        <f>IF(A353="","",WorkOrders!L353)</f>
        <v/>
      </c>
      <c r="G353" s="15">
        <f>IF(OR(E353="",E353=0),"",F353/E353)</f>
        <v/>
      </c>
      <c r="H353" s="11">
        <f>IF(OR(C353="",F353="",F353=0),"",C353*WorkOrders!E353/F353)</f>
        <v/>
      </c>
    </row>
    <row r="354">
      <c r="A354" s="11">
        <f>WorkOrders!A354</f>
        <v/>
      </c>
      <c r="B354" s="11">
        <f>IF(A354="","",WorkOrders!B354)</f>
        <v/>
      </c>
      <c r="C354" s="11">
        <f>IF(A354="","",IFERROR(SUMIFS(BOM!$E$2:$E$500,BOM!$A$2:$A$500,B354),""))</f>
        <v/>
      </c>
      <c r="D354" s="11">
        <f>IF(A354="","",SUMIFS(StockMovements!$I$2:$I$500,StockMovements!$H$2:$H$500,A354,StockMovements!$D$2:$D$500,"issue"))</f>
        <v/>
      </c>
      <c r="E354" s="11">
        <f>IF(OR(A354="",C354="",C354=0,D354=0),"",D354/C354)</f>
        <v/>
      </c>
      <c r="F354" s="11">
        <f>IF(A354="","",WorkOrders!L354)</f>
        <v/>
      </c>
      <c r="G354" s="15">
        <f>IF(OR(E354="",E354=0),"",F354/E354)</f>
        <v/>
      </c>
      <c r="H354" s="11">
        <f>IF(OR(C354="",F354="",F354=0),"",C354*WorkOrders!E354/F354)</f>
        <v/>
      </c>
    </row>
    <row r="355">
      <c r="A355" s="11">
        <f>WorkOrders!A355</f>
        <v/>
      </c>
      <c r="B355" s="11">
        <f>IF(A355="","",WorkOrders!B355)</f>
        <v/>
      </c>
      <c r="C355" s="11">
        <f>IF(A355="","",IFERROR(SUMIFS(BOM!$E$2:$E$500,BOM!$A$2:$A$500,B355),""))</f>
        <v/>
      </c>
      <c r="D355" s="11">
        <f>IF(A355="","",SUMIFS(StockMovements!$I$2:$I$500,StockMovements!$H$2:$H$500,A355,StockMovements!$D$2:$D$500,"issue"))</f>
        <v/>
      </c>
      <c r="E355" s="11">
        <f>IF(OR(A355="",C355="",C355=0,D355=0),"",D355/C355)</f>
        <v/>
      </c>
      <c r="F355" s="11">
        <f>IF(A355="","",WorkOrders!L355)</f>
        <v/>
      </c>
      <c r="G355" s="15">
        <f>IF(OR(E355="",E355=0),"",F355/E355)</f>
        <v/>
      </c>
      <c r="H355" s="11">
        <f>IF(OR(C355="",F355="",F355=0),"",C355*WorkOrders!E355/F355)</f>
        <v/>
      </c>
    </row>
    <row r="356">
      <c r="A356" s="11">
        <f>WorkOrders!A356</f>
        <v/>
      </c>
      <c r="B356" s="11">
        <f>IF(A356="","",WorkOrders!B356)</f>
        <v/>
      </c>
      <c r="C356" s="11">
        <f>IF(A356="","",IFERROR(SUMIFS(BOM!$E$2:$E$500,BOM!$A$2:$A$500,B356),""))</f>
        <v/>
      </c>
      <c r="D356" s="11">
        <f>IF(A356="","",SUMIFS(StockMovements!$I$2:$I$500,StockMovements!$H$2:$H$500,A356,StockMovements!$D$2:$D$500,"issue"))</f>
        <v/>
      </c>
      <c r="E356" s="11">
        <f>IF(OR(A356="",C356="",C356=0,D356=0),"",D356/C356)</f>
        <v/>
      </c>
      <c r="F356" s="11">
        <f>IF(A356="","",WorkOrders!L356)</f>
        <v/>
      </c>
      <c r="G356" s="15">
        <f>IF(OR(E356="",E356=0),"",F356/E356)</f>
        <v/>
      </c>
      <c r="H356" s="11">
        <f>IF(OR(C356="",F356="",F356=0),"",C356*WorkOrders!E356/F356)</f>
        <v/>
      </c>
    </row>
    <row r="357">
      <c r="A357" s="11">
        <f>WorkOrders!A357</f>
        <v/>
      </c>
      <c r="B357" s="11">
        <f>IF(A357="","",WorkOrders!B357)</f>
        <v/>
      </c>
      <c r="C357" s="11">
        <f>IF(A357="","",IFERROR(SUMIFS(BOM!$E$2:$E$500,BOM!$A$2:$A$500,B357),""))</f>
        <v/>
      </c>
      <c r="D357" s="11">
        <f>IF(A357="","",SUMIFS(StockMovements!$I$2:$I$500,StockMovements!$H$2:$H$500,A357,StockMovements!$D$2:$D$500,"issue"))</f>
        <v/>
      </c>
      <c r="E357" s="11">
        <f>IF(OR(A357="",C357="",C357=0,D357=0),"",D357/C357)</f>
        <v/>
      </c>
      <c r="F357" s="11">
        <f>IF(A357="","",WorkOrders!L357)</f>
        <v/>
      </c>
      <c r="G357" s="15">
        <f>IF(OR(E357="",E357=0),"",F357/E357)</f>
        <v/>
      </c>
      <c r="H357" s="11">
        <f>IF(OR(C357="",F357="",F357=0),"",C357*WorkOrders!E357/F357)</f>
        <v/>
      </c>
    </row>
    <row r="358">
      <c r="A358" s="11">
        <f>WorkOrders!A358</f>
        <v/>
      </c>
      <c r="B358" s="11">
        <f>IF(A358="","",WorkOrders!B358)</f>
        <v/>
      </c>
      <c r="C358" s="11">
        <f>IF(A358="","",IFERROR(SUMIFS(BOM!$E$2:$E$500,BOM!$A$2:$A$500,B358),""))</f>
        <v/>
      </c>
      <c r="D358" s="11">
        <f>IF(A358="","",SUMIFS(StockMovements!$I$2:$I$500,StockMovements!$H$2:$H$500,A358,StockMovements!$D$2:$D$500,"issue"))</f>
        <v/>
      </c>
      <c r="E358" s="11">
        <f>IF(OR(A358="",C358="",C358=0,D358=0),"",D358/C358)</f>
        <v/>
      </c>
      <c r="F358" s="11">
        <f>IF(A358="","",WorkOrders!L358)</f>
        <v/>
      </c>
      <c r="G358" s="15">
        <f>IF(OR(E358="",E358=0),"",F358/E358)</f>
        <v/>
      </c>
      <c r="H358" s="11">
        <f>IF(OR(C358="",F358="",F358=0),"",C358*WorkOrders!E358/F358)</f>
        <v/>
      </c>
    </row>
    <row r="359">
      <c r="A359" s="11">
        <f>WorkOrders!A359</f>
        <v/>
      </c>
      <c r="B359" s="11">
        <f>IF(A359="","",WorkOrders!B359)</f>
        <v/>
      </c>
      <c r="C359" s="11">
        <f>IF(A359="","",IFERROR(SUMIFS(BOM!$E$2:$E$500,BOM!$A$2:$A$500,B359),""))</f>
        <v/>
      </c>
      <c r="D359" s="11">
        <f>IF(A359="","",SUMIFS(StockMovements!$I$2:$I$500,StockMovements!$H$2:$H$500,A359,StockMovements!$D$2:$D$500,"issue"))</f>
        <v/>
      </c>
      <c r="E359" s="11">
        <f>IF(OR(A359="",C359="",C359=0,D359=0),"",D359/C359)</f>
        <v/>
      </c>
      <c r="F359" s="11">
        <f>IF(A359="","",WorkOrders!L359)</f>
        <v/>
      </c>
      <c r="G359" s="15">
        <f>IF(OR(E359="",E359=0),"",F359/E359)</f>
        <v/>
      </c>
      <c r="H359" s="11">
        <f>IF(OR(C359="",F359="",F359=0),"",C359*WorkOrders!E359/F359)</f>
        <v/>
      </c>
    </row>
    <row r="360">
      <c r="A360" s="11">
        <f>WorkOrders!A360</f>
        <v/>
      </c>
      <c r="B360" s="11">
        <f>IF(A360="","",WorkOrders!B360)</f>
        <v/>
      </c>
      <c r="C360" s="11">
        <f>IF(A360="","",IFERROR(SUMIFS(BOM!$E$2:$E$500,BOM!$A$2:$A$500,B360),""))</f>
        <v/>
      </c>
      <c r="D360" s="11">
        <f>IF(A360="","",SUMIFS(StockMovements!$I$2:$I$500,StockMovements!$H$2:$H$500,A360,StockMovements!$D$2:$D$500,"issue"))</f>
        <v/>
      </c>
      <c r="E360" s="11">
        <f>IF(OR(A360="",C360="",C360=0,D360=0),"",D360/C360)</f>
        <v/>
      </c>
      <c r="F360" s="11">
        <f>IF(A360="","",WorkOrders!L360)</f>
        <v/>
      </c>
      <c r="G360" s="15">
        <f>IF(OR(E360="",E360=0),"",F360/E360)</f>
        <v/>
      </c>
      <c r="H360" s="11">
        <f>IF(OR(C360="",F360="",F360=0),"",C360*WorkOrders!E360/F360)</f>
        <v/>
      </c>
    </row>
    <row r="361">
      <c r="A361" s="11">
        <f>WorkOrders!A361</f>
        <v/>
      </c>
      <c r="B361" s="11">
        <f>IF(A361="","",WorkOrders!B361)</f>
        <v/>
      </c>
      <c r="C361" s="11">
        <f>IF(A361="","",IFERROR(SUMIFS(BOM!$E$2:$E$500,BOM!$A$2:$A$500,B361),""))</f>
        <v/>
      </c>
      <c r="D361" s="11">
        <f>IF(A361="","",SUMIFS(StockMovements!$I$2:$I$500,StockMovements!$H$2:$H$500,A361,StockMovements!$D$2:$D$500,"issue"))</f>
        <v/>
      </c>
      <c r="E361" s="11">
        <f>IF(OR(A361="",C361="",C361=0,D361=0),"",D361/C361)</f>
        <v/>
      </c>
      <c r="F361" s="11">
        <f>IF(A361="","",WorkOrders!L361)</f>
        <v/>
      </c>
      <c r="G361" s="15">
        <f>IF(OR(E361="",E361=0),"",F361/E361)</f>
        <v/>
      </c>
      <c r="H361" s="11">
        <f>IF(OR(C361="",F361="",F361=0),"",C361*WorkOrders!E361/F361)</f>
        <v/>
      </c>
    </row>
    <row r="362">
      <c r="A362" s="11">
        <f>WorkOrders!A362</f>
        <v/>
      </c>
      <c r="B362" s="11">
        <f>IF(A362="","",WorkOrders!B362)</f>
        <v/>
      </c>
      <c r="C362" s="11">
        <f>IF(A362="","",IFERROR(SUMIFS(BOM!$E$2:$E$500,BOM!$A$2:$A$500,B362),""))</f>
        <v/>
      </c>
      <c r="D362" s="11">
        <f>IF(A362="","",SUMIFS(StockMovements!$I$2:$I$500,StockMovements!$H$2:$H$500,A362,StockMovements!$D$2:$D$500,"issue"))</f>
        <v/>
      </c>
      <c r="E362" s="11">
        <f>IF(OR(A362="",C362="",C362=0,D362=0),"",D362/C362)</f>
        <v/>
      </c>
      <c r="F362" s="11">
        <f>IF(A362="","",WorkOrders!L362)</f>
        <v/>
      </c>
      <c r="G362" s="15">
        <f>IF(OR(E362="",E362=0),"",F362/E362)</f>
        <v/>
      </c>
      <c r="H362" s="11">
        <f>IF(OR(C362="",F362="",F362=0),"",C362*WorkOrders!E362/F362)</f>
        <v/>
      </c>
    </row>
    <row r="363">
      <c r="A363" s="11">
        <f>WorkOrders!A363</f>
        <v/>
      </c>
      <c r="B363" s="11">
        <f>IF(A363="","",WorkOrders!B363)</f>
        <v/>
      </c>
      <c r="C363" s="11">
        <f>IF(A363="","",IFERROR(SUMIFS(BOM!$E$2:$E$500,BOM!$A$2:$A$500,B363),""))</f>
        <v/>
      </c>
      <c r="D363" s="11">
        <f>IF(A363="","",SUMIFS(StockMovements!$I$2:$I$500,StockMovements!$H$2:$H$500,A363,StockMovements!$D$2:$D$500,"issue"))</f>
        <v/>
      </c>
      <c r="E363" s="11">
        <f>IF(OR(A363="",C363="",C363=0,D363=0),"",D363/C363)</f>
        <v/>
      </c>
      <c r="F363" s="11">
        <f>IF(A363="","",WorkOrders!L363)</f>
        <v/>
      </c>
      <c r="G363" s="15">
        <f>IF(OR(E363="",E363=0),"",F363/E363)</f>
        <v/>
      </c>
      <c r="H363" s="11">
        <f>IF(OR(C363="",F363="",F363=0),"",C363*WorkOrders!E363/F363)</f>
        <v/>
      </c>
    </row>
    <row r="364">
      <c r="A364" s="11">
        <f>WorkOrders!A364</f>
        <v/>
      </c>
      <c r="B364" s="11">
        <f>IF(A364="","",WorkOrders!B364)</f>
        <v/>
      </c>
      <c r="C364" s="11">
        <f>IF(A364="","",IFERROR(SUMIFS(BOM!$E$2:$E$500,BOM!$A$2:$A$500,B364),""))</f>
        <v/>
      </c>
      <c r="D364" s="11">
        <f>IF(A364="","",SUMIFS(StockMovements!$I$2:$I$500,StockMovements!$H$2:$H$500,A364,StockMovements!$D$2:$D$500,"issue"))</f>
        <v/>
      </c>
      <c r="E364" s="11">
        <f>IF(OR(A364="",C364="",C364=0,D364=0),"",D364/C364)</f>
        <v/>
      </c>
      <c r="F364" s="11">
        <f>IF(A364="","",WorkOrders!L364)</f>
        <v/>
      </c>
      <c r="G364" s="15">
        <f>IF(OR(E364="",E364=0),"",F364/E364)</f>
        <v/>
      </c>
      <c r="H364" s="11">
        <f>IF(OR(C364="",F364="",F364=0),"",C364*WorkOrders!E364/F364)</f>
        <v/>
      </c>
    </row>
    <row r="365">
      <c r="A365" s="11">
        <f>WorkOrders!A365</f>
        <v/>
      </c>
      <c r="B365" s="11">
        <f>IF(A365="","",WorkOrders!B365)</f>
        <v/>
      </c>
      <c r="C365" s="11">
        <f>IF(A365="","",IFERROR(SUMIFS(BOM!$E$2:$E$500,BOM!$A$2:$A$500,B365),""))</f>
        <v/>
      </c>
      <c r="D365" s="11">
        <f>IF(A365="","",SUMIFS(StockMovements!$I$2:$I$500,StockMovements!$H$2:$H$500,A365,StockMovements!$D$2:$D$500,"issue"))</f>
        <v/>
      </c>
      <c r="E365" s="11">
        <f>IF(OR(A365="",C365="",C365=0,D365=0),"",D365/C365)</f>
        <v/>
      </c>
      <c r="F365" s="11">
        <f>IF(A365="","",WorkOrders!L365)</f>
        <v/>
      </c>
      <c r="G365" s="15">
        <f>IF(OR(E365="",E365=0),"",F365/E365)</f>
        <v/>
      </c>
      <c r="H365" s="11">
        <f>IF(OR(C365="",F365="",F365=0),"",C365*WorkOrders!E365/F365)</f>
        <v/>
      </c>
    </row>
    <row r="366">
      <c r="A366" s="11">
        <f>WorkOrders!A366</f>
        <v/>
      </c>
      <c r="B366" s="11">
        <f>IF(A366="","",WorkOrders!B366)</f>
        <v/>
      </c>
      <c r="C366" s="11">
        <f>IF(A366="","",IFERROR(SUMIFS(BOM!$E$2:$E$500,BOM!$A$2:$A$500,B366),""))</f>
        <v/>
      </c>
      <c r="D366" s="11">
        <f>IF(A366="","",SUMIFS(StockMovements!$I$2:$I$500,StockMovements!$H$2:$H$500,A366,StockMovements!$D$2:$D$500,"issue"))</f>
        <v/>
      </c>
      <c r="E366" s="11">
        <f>IF(OR(A366="",C366="",C366=0,D366=0),"",D366/C366)</f>
        <v/>
      </c>
      <c r="F366" s="11">
        <f>IF(A366="","",WorkOrders!L366)</f>
        <v/>
      </c>
      <c r="G366" s="15">
        <f>IF(OR(E366="",E366=0),"",F366/E366)</f>
        <v/>
      </c>
      <c r="H366" s="11">
        <f>IF(OR(C366="",F366="",F366=0),"",C366*WorkOrders!E366/F366)</f>
        <v/>
      </c>
    </row>
    <row r="367">
      <c r="A367" s="11">
        <f>WorkOrders!A367</f>
        <v/>
      </c>
      <c r="B367" s="11">
        <f>IF(A367="","",WorkOrders!B367)</f>
        <v/>
      </c>
      <c r="C367" s="11">
        <f>IF(A367="","",IFERROR(SUMIFS(BOM!$E$2:$E$500,BOM!$A$2:$A$500,B367),""))</f>
        <v/>
      </c>
      <c r="D367" s="11">
        <f>IF(A367="","",SUMIFS(StockMovements!$I$2:$I$500,StockMovements!$H$2:$H$500,A367,StockMovements!$D$2:$D$500,"issue"))</f>
        <v/>
      </c>
      <c r="E367" s="11">
        <f>IF(OR(A367="",C367="",C367=0,D367=0),"",D367/C367)</f>
        <v/>
      </c>
      <c r="F367" s="11">
        <f>IF(A367="","",WorkOrders!L367)</f>
        <v/>
      </c>
      <c r="G367" s="15">
        <f>IF(OR(E367="",E367=0),"",F367/E367)</f>
        <v/>
      </c>
      <c r="H367" s="11">
        <f>IF(OR(C367="",F367="",F367=0),"",C367*WorkOrders!E367/F367)</f>
        <v/>
      </c>
    </row>
    <row r="368">
      <c r="A368" s="11">
        <f>WorkOrders!A368</f>
        <v/>
      </c>
      <c r="B368" s="11">
        <f>IF(A368="","",WorkOrders!B368)</f>
        <v/>
      </c>
      <c r="C368" s="11">
        <f>IF(A368="","",IFERROR(SUMIFS(BOM!$E$2:$E$500,BOM!$A$2:$A$500,B368),""))</f>
        <v/>
      </c>
      <c r="D368" s="11">
        <f>IF(A368="","",SUMIFS(StockMovements!$I$2:$I$500,StockMovements!$H$2:$H$500,A368,StockMovements!$D$2:$D$500,"issue"))</f>
        <v/>
      </c>
      <c r="E368" s="11">
        <f>IF(OR(A368="",C368="",C368=0,D368=0),"",D368/C368)</f>
        <v/>
      </c>
      <c r="F368" s="11">
        <f>IF(A368="","",WorkOrders!L368)</f>
        <v/>
      </c>
      <c r="G368" s="15">
        <f>IF(OR(E368="",E368=0),"",F368/E368)</f>
        <v/>
      </c>
      <c r="H368" s="11">
        <f>IF(OR(C368="",F368="",F368=0),"",C368*WorkOrders!E368/F368)</f>
        <v/>
      </c>
    </row>
    <row r="369">
      <c r="A369" s="11">
        <f>WorkOrders!A369</f>
        <v/>
      </c>
      <c r="B369" s="11">
        <f>IF(A369="","",WorkOrders!B369)</f>
        <v/>
      </c>
      <c r="C369" s="11">
        <f>IF(A369="","",IFERROR(SUMIFS(BOM!$E$2:$E$500,BOM!$A$2:$A$500,B369),""))</f>
        <v/>
      </c>
      <c r="D369" s="11">
        <f>IF(A369="","",SUMIFS(StockMovements!$I$2:$I$500,StockMovements!$H$2:$H$500,A369,StockMovements!$D$2:$D$500,"issue"))</f>
        <v/>
      </c>
      <c r="E369" s="11">
        <f>IF(OR(A369="",C369="",C369=0,D369=0),"",D369/C369)</f>
        <v/>
      </c>
      <c r="F369" s="11">
        <f>IF(A369="","",WorkOrders!L369)</f>
        <v/>
      </c>
      <c r="G369" s="15">
        <f>IF(OR(E369="",E369=0),"",F369/E369)</f>
        <v/>
      </c>
      <c r="H369" s="11">
        <f>IF(OR(C369="",F369="",F369=0),"",C369*WorkOrders!E369/F369)</f>
        <v/>
      </c>
    </row>
    <row r="370">
      <c r="A370" s="11">
        <f>WorkOrders!A370</f>
        <v/>
      </c>
      <c r="B370" s="11">
        <f>IF(A370="","",WorkOrders!B370)</f>
        <v/>
      </c>
      <c r="C370" s="11">
        <f>IF(A370="","",IFERROR(SUMIFS(BOM!$E$2:$E$500,BOM!$A$2:$A$500,B370),""))</f>
        <v/>
      </c>
      <c r="D370" s="11">
        <f>IF(A370="","",SUMIFS(StockMovements!$I$2:$I$500,StockMovements!$H$2:$H$500,A370,StockMovements!$D$2:$D$500,"issue"))</f>
        <v/>
      </c>
      <c r="E370" s="11">
        <f>IF(OR(A370="",C370="",C370=0,D370=0),"",D370/C370)</f>
        <v/>
      </c>
      <c r="F370" s="11">
        <f>IF(A370="","",WorkOrders!L370)</f>
        <v/>
      </c>
      <c r="G370" s="15">
        <f>IF(OR(E370="",E370=0),"",F370/E370)</f>
        <v/>
      </c>
      <c r="H370" s="11">
        <f>IF(OR(C370="",F370="",F370=0),"",C370*WorkOrders!E370/F370)</f>
        <v/>
      </c>
    </row>
    <row r="371">
      <c r="A371" s="11">
        <f>WorkOrders!A371</f>
        <v/>
      </c>
      <c r="B371" s="11">
        <f>IF(A371="","",WorkOrders!B371)</f>
        <v/>
      </c>
      <c r="C371" s="11">
        <f>IF(A371="","",IFERROR(SUMIFS(BOM!$E$2:$E$500,BOM!$A$2:$A$500,B371),""))</f>
        <v/>
      </c>
      <c r="D371" s="11">
        <f>IF(A371="","",SUMIFS(StockMovements!$I$2:$I$500,StockMovements!$H$2:$H$500,A371,StockMovements!$D$2:$D$500,"issue"))</f>
        <v/>
      </c>
      <c r="E371" s="11">
        <f>IF(OR(A371="",C371="",C371=0,D371=0),"",D371/C371)</f>
        <v/>
      </c>
      <c r="F371" s="11">
        <f>IF(A371="","",WorkOrders!L371)</f>
        <v/>
      </c>
      <c r="G371" s="15">
        <f>IF(OR(E371="",E371=0),"",F371/E371)</f>
        <v/>
      </c>
      <c r="H371" s="11">
        <f>IF(OR(C371="",F371="",F371=0),"",C371*WorkOrders!E371/F371)</f>
        <v/>
      </c>
    </row>
    <row r="372">
      <c r="A372" s="11">
        <f>WorkOrders!A372</f>
        <v/>
      </c>
      <c r="B372" s="11">
        <f>IF(A372="","",WorkOrders!B372)</f>
        <v/>
      </c>
      <c r="C372" s="11">
        <f>IF(A372="","",IFERROR(SUMIFS(BOM!$E$2:$E$500,BOM!$A$2:$A$500,B372),""))</f>
        <v/>
      </c>
      <c r="D372" s="11">
        <f>IF(A372="","",SUMIFS(StockMovements!$I$2:$I$500,StockMovements!$H$2:$H$500,A372,StockMovements!$D$2:$D$500,"issue"))</f>
        <v/>
      </c>
      <c r="E372" s="11">
        <f>IF(OR(A372="",C372="",C372=0,D372=0),"",D372/C372)</f>
        <v/>
      </c>
      <c r="F372" s="11">
        <f>IF(A372="","",WorkOrders!L372)</f>
        <v/>
      </c>
      <c r="G372" s="15">
        <f>IF(OR(E372="",E372=0),"",F372/E372)</f>
        <v/>
      </c>
      <c r="H372" s="11">
        <f>IF(OR(C372="",F372="",F372=0),"",C372*WorkOrders!E372/F372)</f>
        <v/>
      </c>
    </row>
    <row r="373">
      <c r="A373" s="11">
        <f>WorkOrders!A373</f>
        <v/>
      </c>
      <c r="B373" s="11">
        <f>IF(A373="","",WorkOrders!B373)</f>
        <v/>
      </c>
      <c r="C373" s="11">
        <f>IF(A373="","",IFERROR(SUMIFS(BOM!$E$2:$E$500,BOM!$A$2:$A$500,B373),""))</f>
        <v/>
      </c>
      <c r="D373" s="11">
        <f>IF(A373="","",SUMIFS(StockMovements!$I$2:$I$500,StockMovements!$H$2:$H$500,A373,StockMovements!$D$2:$D$500,"issue"))</f>
        <v/>
      </c>
      <c r="E373" s="11">
        <f>IF(OR(A373="",C373="",C373=0,D373=0),"",D373/C373)</f>
        <v/>
      </c>
      <c r="F373" s="11">
        <f>IF(A373="","",WorkOrders!L373)</f>
        <v/>
      </c>
      <c r="G373" s="15">
        <f>IF(OR(E373="",E373=0),"",F373/E373)</f>
        <v/>
      </c>
      <c r="H373" s="11">
        <f>IF(OR(C373="",F373="",F373=0),"",C373*WorkOrders!E373/F373)</f>
        <v/>
      </c>
    </row>
    <row r="374">
      <c r="A374" s="11">
        <f>WorkOrders!A374</f>
        <v/>
      </c>
      <c r="B374" s="11">
        <f>IF(A374="","",WorkOrders!B374)</f>
        <v/>
      </c>
      <c r="C374" s="11">
        <f>IF(A374="","",IFERROR(SUMIFS(BOM!$E$2:$E$500,BOM!$A$2:$A$500,B374),""))</f>
        <v/>
      </c>
      <c r="D374" s="11">
        <f>IF(A374="","",SUMIFS(StockMovements!$I$2:$I$500,StockMovements!$H$2:$H$500,A374,StockMovements!$D$2:$D$500,"issue"))</f>
        <v/>
      </c>
      <c r="E374" s="11">
        <f>IF(OR(A374="",C374="",C374=0,D374=0),"",D374/C374)</f>
        <v/>
      </c>
      <c r="F374" s="11">
        <f>IF(A374="","",WorkOrders!L374)</f>
        <v/>
      </c>
      <c r="G374" s="15">
        <f>IF(OR(E374="",E374=0),"",F374/E374)</f>
        <v/>
      </c>
      <c r="H374" s="11">
        <f>IF(OR(C374="",F374="",F374=0),"",C374*WorkOrders!E374/F374)</f>
        <v/>
      </c>
    </row>
    <row r="375">
      <c r="A375" s="11">
        <f>WorkOrders!A375</f>
        <v/>
      </c>
      <c r="B375" s="11">
        <f>IF(A375="","",WorkOrders!B375)</f>
        <v/>
      </c>
      <c r="C375" s="11">
        <f>IF(A375="","",IFERROR(SUMIFS(BOM!$E$2:$E$500,BOM!$A$2:$A$500,B375),""))</f>
        <v/>
      </c>
      <c r="D375" s="11">
        <f>IF(A375="","",SUMIFS(StockMovements!$I$2:$I$500,StockMovements!$H$2:$H$500,A375,StockMovements!$D$2:$D$500,"issue"))</f>
        <v/>
      </c>
      <c r="E375" s="11">
        <f>IF(OR(A375="",C375="",C375=0,D375=0),"",D375/C375)</f>
        <v/>
      </c>
      <c r="F375" s="11">
        <f>IF(A375="","",WorkOrders!L375)</f>
        <v/>
      </c>
      <c r="G375" s="15">
        <f>IF(OR(E375="",E375=0),"",F375/E375)</f>
        <v/>
      </c>
      <c r="H375" s="11">
        <f>IF(OR(C375="",F375="",F375=0),"",C375*WorkOrders!E375/F375)</f>
        <v/>
      </c>
    </row>
    <row r="376">
      <c r="A376" s="11">
        <f>WorkOrders!A376</f>
        <v/>
      </c>
      <c r="B376" s="11">
        <f>IF(A376="","",WorkOrders!B376)</f>
        <v/>
      </c>
      <c r="C376" s="11">
        <f>IF(A376="","",IFERROR(SUMIFS(BOM!$E$2:$E$500,BOM!$A$2:$A$500,B376),""))</f>
        <v/>
      </c>
      <c r="D376" s="11">
        <f>IF(A376="","",SUMIFS(StockMovements!$I$2:$I$500,StockMovements!$H$2:$H$500,A376,StockMovements!$D$2:$D$500,"issue"))</f>
        <v/>
      </c>
      <c r="E376" s="11">
        <f>IF(OR(A376="",C376="",C376=0,D376=0),"",D376/C376)</f>
        <v/>
      </c>
      <c r="F376" s="11">
        <f>IF(A376="","",WorkOrders!L376)</f>
        <v/>
      </c>
      <c r="G376" s="15">
        <f>IF(OR(E376="",E376=0),"",F376/E376)</f>
        <v/>
      </c>
      <c r="H376" s="11">
        <f>IF(OR(C376="",F376="",F376=0),"",C376*WorkOrders!E376/F376)</f>
        <v/>
      </c>
    </row>
    <row r="377">
      <c r="A377" s="11">
        <f>WorkOrders!A377</f>
        <v/>
      </c>
      <c r="B377" s="11">
        <f>IF(A377="","",WorkOrders!B377)</f>
        <v/>
      </c>
      <c r="C377" s="11">
        <f>IF(A377="","",IFERROR(SUMIFS(BOM!$E$2:$E$500,BOM!$A$2:$A$500,B377),""))</f>
        <v/>
      </c>
      <c r="D377" s="11">
        <f>IF(A377="","",SUMIFS(StockMovements!$I$2:$I$500,StockMovements!$H$2:$H$500,A377,StockMovements!$D$2:$D$500,"issue"))</f>
        <v/>
      </c>
      <c r="E377" s="11">
        <f>IF(OR(A377="",C377="",C377=0,D377=0),"",D377/C377)</f>
        <v/>
      </c>
      <c r="F377" s="11">
        <f>IF(A377="","",WorkOrders!L377)</f>
        <v/>
      </c>
      <c r="G377" s="15">
        <f>IF(OR(E377="",E377=0),"",F377/E377)</f>
        <v/>
      </c>
      <c r="H377" s="11">
        <f>IF(OR(C377="",F377="",F377=0),"",C377*WorkOrders!E377/F377)</f>
        <v/>
      </c>
    </row>
    <row r="378">
      <c r="A378" s="11">
        <f>WorkOrders!A378</f>
        <v/>
      </c>
      <c r="B378" s="11">
        <f>IF(A378="","",WorkOrders!B378)</f>
        <v/>
      </c>
      <c r="C378" s="11">
        <f>IF(A378="","",IFERROR(SUMIFS(BOM!$E$2:$E$500,BOM!$A$2:$A$500,B378),""))</f>
        <v/>
      </c>
      <c r="D378" s="11">
        <f>IF(A378="","",SUMIFS(StockMovements!$I$2:$I$500,StockMovements!$H$2:$H$500,A378,StockMovements!$D$2:$D$500,"issue"))</f>
        <v/>
      </c>
      <c r="E378" s="11">
        <f>IF(OR(A378="",C378="",C378=0,D378=0),"",D378/C378)</f>
        <v/>
      </c>
      <c r="F378" s="11">
        <f>IF(A378="","",WorkOrders!L378)</f>
        <v/>
      </c>
      <c r="G378" s="15">
        <f>IF(OR(E378="",E378=0),"",F378/E378)</f>
        <v/>
      </c>
      <c r="H378" s="11">
        <f>IF(OR(C378="",F378="",F378=0),"",C378*WorkOrders!E378/F378)</f>
        <v/>
      </c>
    </row>
    <row r="379">
      <c r="A379" s="11">
        <f>WorkOrders!A379</f>
        <v/>
      </c>
      <c r="B379" s="11">
        <f>IF(A379="","",WorkOrders!B379)</f>
        <v/>
      </c>
      <c r="C379" s="11">
        <f>IF(A379="","",IFERROR(SUMIFS(BOM!$E$2:$E$500,BOM!$A$2:$A$500,B379),""))</f>
        <v/>
      </c>
      <c r="D379" s="11">
        <f>IF(A379="","",SUMIFS(StockMovements!$I$2:$I$500,StockMovements!$H$2:$H$500,A379,StockMovements!$D$2:$D$500,"issue"))</f>
        <v/>
      </c>
      <c r="E379" s="11">
        <f>IF(OR(A379="",C379="",C379=0,D379=0),"",D379/C379)</f>
        <v/>
      </c>
      <c r="F379" s="11">
        <f>IF(A379="","",WorkOrders!L379)</f>
        <v/>
      </c>
      <c r="G379" s="15">
        <f>IF(OR(E379="",E379=0),"",F379/E379)</f>
        <v/>
      </c>
      <c r="H379" s="11">
        <f>IF(OR(C379="",F379="",F379=0),"",C379*WorkOrders!E379/F379)</f>
        <v/>
      </c>
    </row>
    <row r="380">
      <c r="A380" s="11">
        <f>WorkOrders!A380</f>
        <v/>
      </c>
      <c r="B380" s="11">
        <f>IF(A380="","",WorkOrders!B380)</f>
        <v/>
      </c>
      <c r="C380" s="11">
        <f>IF(A380="","",IFERROR(SUMIFS(BOM!$E$2:$E$500,BOM!$A$2:$A$500,B380),""))</f>
        <v/>
      </c>
      <c r="D380" s="11">
        <f>IF(A380="","",SUMIFS(StockMovements!$I$2:$I$500,StockMovements!$H$2:$H$500,A380,StockMovements!$D$2:$D$500,"issue"))</f>
        <v/>
      </c>
      <c r="E380" s="11">
        <f>IF(OR(A380="",C380="",C380=0,D380=0),"",D380/C380)</f>
        <v/>
      </c>
      <c r="F380" s="11">
        <f>IF(A380="","",WorkOrders!L380)</f>
        <v/>
      </c>
      <c r="G380" s="15">
        <f>IF(OR(E380="",E380=0),"",F380/E380)</f>
        <v/>
      </c>
      <c r="H380" s="11">
        <f>IF(OR(C380="",F380="",F380=0),"",C380*WorkOrders!E380/F380)</f>
        <v/>
      </c>
    </row>
    <row r="381">
      <c r="A381" s="11">
        <f>WorkOrders!A381</f>
        <v/>
      </c>
      <c r="B381" s="11">
        <f>IF(A381="","",WorkOrders!B381)</f>
        <v/>
      </c>
      <c r="C381" s="11">
        <f>IF(A381="","",IFERROR(SUMIFS(BOM!$E$2:$E$500,BOM!$A$2:$A$500,B381),""))</f>
        <v/>
      </c>
      <c r="D381" s="11">
        <f>IF(A381="","",SUMIFS(StockMovements!$I$2:$I$500,StockMovements!$H$2:$H$500,A381,StockMovements!$D$2:$D$500,"issue"))</f>
        <v/>
      </c>
      <c r="E381" s="11">
        <f>IF(OR(A381="",C381="",C381=0,D381=0),"",D381/C381)</f>
        <v/>
      </c>
      <c r="F381" s="11">
        <f>IF(A381="","",WorkOrders!L381)</f>
        <v/>
      </c>
      <c r="G381" s="15">
        <f>IF(OR(E381="",E381=0),"",F381/E381)</f>
        <v/>
      </c>
      <c r="H381" s="11">
        <f>IF(OR(C381="",F381="",F381=0),"",C381*WorkOrders!E381/F381)</f>
        <v/>
      </c>
    </row>
    <row r="382">
      <c r="A382" s="11">
        <f>WorkOrders!A382</f>
        <v/>
      </c>
      <c r="B382" s="11">
        <f>IF(A382="","",WorkOrders!B382)</f>
        <v/>
      </c>
      <c r="C382" s="11">
        <f>IF(A382="","",IFERROR(SUMIFS(BOM!$E$2:$E$500,BOM!$A$2:$A$500,B382),""))</f>
        <v/>
      </c>
      <c r="D382" s="11">
        <f>IF(A382="","",SUMIFS(StockMovements!$I$2:$I$500,StockMovements!$H$2:$H$500,A382,StockMovements!$D$2:$D$500,"issue"))</f>
        <v/>
      </c>
      <c r="E382" s="11">
        <f>IF(OR(A382="",C382="",C382=0,D382=0),"",D382/C382)</f>
        <v/>
      </c>
      <c r="F382" s="11">
        <f>IF(A382="","",WorkOrders!L382)</f>
        <v/>
      </c>
      <c r="G382" s="15">
        <f>IF(OR(E382="",E382=0),"",F382/E382)</f>
        <v/>
      </c>
      <c r="H382" s="11">
        <f>IF(OR(C382="",F382="",F382=0),"",C382*WorkOrders!E382/F382)</f>
        <v/>
      </c>
    </row>
    <row r="383">
      <c r="A383" s="11">
        <f>WorkOrders!A383</f>
        <v/>
      </c>
      <c r="B383" s="11">
        <f>IF(A383="","",WorkOrders!B383)</f>
        <v/>
      </c>
      <c r="C383" s="11">
        <f>IF(A383="","",IFERROR(SUMIFS(BOM!$E$2:$E$500,BOM!$A$2:$A$500,B383),""))</f>
        <v/>
      </c>
      <c r="D383" s="11">
        <f>IF(A383="","",SUMIFS(StockMovements!$I$2:$I$500,StockMovements!$H$2:$H$500,A383,StockMovements!$D$2:$D$500,"issue"))</f>
        <v/>
      </c>
      <c r="E383" s="11">
        <f>IF(OR(A383="",C383="",C383=0,D383=0),"",D383/C383)</f>
        <v/>
      </c>
      <c r="F383" s="11">
        <f>IF(A383="","",WorkOrders!L383)</f>
        <v/>
      </c>
      <c r="G383" s="15">
        <f>IF(OR(E383="",E383=0),"",F383/E383)</f>
        <v/>
      </c>
      <c r="H383" s="11">
        <f>IF(OR(C383="",F383="",F383=0),"",C383*WorkOrders!E383/F383)</f>
        <v/>
      </c>
    </row>
    <row r="384">
      <c r="A384" s="11">
        <f>WorkOrders!A384</f>
        <v/>
      </c>
      <c r="B384" s="11">
        <f>IF(A384="","",WorkOrders!B384)</f>
        <v/>
      </c>
      <c r="C384" s="11">
        <f>IF(A384="","",IFERROR(SUMIFS(BOM!$E$2:$E$500,BOM!$A$2:$A$500,B384),""))</f>
        <v/>
      </c>
      <c r="D384" s="11">
        <f>IF(A384="","",SUMIFS(StockMovements!$I$2:$I$500,StockMovements!$H$2:$H$500,A384,StockMovements!$D$2:$D$500,"issue"))</f>
        <v/>
      </c>
      <c r="E384" s="11">
        <f>IF(OR(A384="",C384="",C384=0,D384=0),"",D384/C384)</f>
        <v/>
      </c>
      <c r="F384" s="11">
        <f>IF(A384="","",WorkOrders!L384)</f>
        <v/>
      </c>
      <c r="G384" s="15">
        <f>IF(OR(E384="",E384=0),"",F384/E384)</f>
        <v/>
      </c>
      <c r="H384" s="11">
        <f>IF(OR(C384="",F384="",F384=0),"",C384*WorkOrders!E384/F384)</f>
        <v/>
      </c>
    </row>
    <row r="385">
      <c r="A385" s="11">
        <f>WorkOrders!A385</f>
        <v/>
      </c>
      <c r="B385" s="11">
        <f>IF(A385="","",WorkOrders!B385)</f>
        <v/>
      </c>
      <c r="C385" s="11">
        <f>IF(A385="","",IFERROR(SUMIFS(BOM!$E$2:$E$500,BOM!$A$2:$A$500,B385),""))</f>
        <v/>
      </c>
      <c r="D385" s="11">
        <f>IF(A385="","",SUMIFS(StockMovements!$I$2:$I$500,StockMovements!$H$2:$H$500,A385,StockMovements!$D$2:$D$500,"issue"))</f>
        <v/>
      </c>
      <c r="E385" s="11">
        <f>IF(OR(A385="",C385="",C385=0,D385=0),"",D385/C385)</f>
        <v/>
      </c>
      <c r="F385" s="11">
        <f>IF(A385="","",WorkOrders!L385)</f>
        <v/>
      </c>
      <c r="G385" s="15">
        <f>IF(OR(E385="",E385=0),"",F385/E385)</f>
        <v/>
      </c>
      <c r="H385" s="11">
        <f>IF(OR(C385="",F385="",F385=0),"",C385*WorkOrders!E385/F385)</f>
        <v/>
      </c>
    </row>
    <row r="386">
      <c r="A386" s="11">
        <f>WorkOrders!A386</f>
        <v/>
      </c>
      <c r="B386" s="11">
        <f>IF(A386="","",WorkOrders!B386)</f>
        <v/>
      </c>
      <c r="C386" s="11">
        <f>IF(A386="","",IFERROR(SUMIFS(BOM!$E$2:$E$500,BOM!$A$2:$A$500,B386),""))</f>
        <v/>
      </c>
      <c r="D386" s="11">
        <f>IF(A386="","",SUMIFS(StockMovements!$I$2:$I$500,StockMovements!$H$2:$H$500,A386,StockMovements!$D$2:$D$500,"issue"))</f>
        <v/>
      </c>
      <c r="E386" s="11">
        <f>IF(OR(A386="",C386="",C386=0,D386=0),"",D386/C386)</f>
        <v/>
      </c>
      <c r="F386" s="11">
        <f>IF(A386="","",WorkOrders!L386)</f>
        <v/>
      </c>
      <c r="G386" s="15">
        <f>IF(OR(E386="",E386=0),"",F386/E386)</f>
        <v/>
      </c>
      <c r="H386" s="11">
        <f>IF(OR(C386="",F386="",F386=0),"",C386*WorkOrders!E386/F386)</f>
        <v/>
      </c>
    </row>
    <row r="387">
      <c r="A387" s="11">
        <f>WorkOrders!A387</f>
        <v/>
      </c>
      <c r="B387" s="11">
        <f>IF(A387="","",WorkOrders!B387)</f>
        <v/>
      </c>
      <c r="C387" s="11">
        <f>IF(A387="","",IFERROR(SUMIFS(BOM!$E$2:$E$500,BOM!$A$2:$A$500,B387),""))</f>
        <v/>
      </c>
      <c r="D387" s="11">
        <f>IF(A387="","",SUMIFS(StockMovements!$I$2:$I$500,StockMovements!$H$2:$H$500,A387,StockMovements!$D$2:$D$500,"issue"))</f>
        <v/>
      </c>
      <c r="E387" s="11">
        <f>IF(OR(A387="",C387="",C387=0,D387=0),"",D387/C387)</f>
        <v/>
      </c>
      <c r="F387" s="11">
        <f>IF(A387="","",WorkOrders!L387)</f>
        <v/>
      </c>
      <c r="G387" s="15">
        <f>IF(OR(E387="",E387=0),"",F387/E387)</f>
        <v/>
      </c>
      <c r="H387" s="11">
        <f>IF(OR(C387="",F387="",F387=0),"",C387*WorkOrders!E387/F387)</f>
        <v/>
      </c>
    </row>
    <row r="388">
      <c r="A388" s="11">
        <f>WorkOrders!A388</f>
        <v/>
      </c>
      <c r="B388" s="11">
        <f>IF(A388="","",WorkOrders!B388)</f>
        <v/>
      </c>
      <c r="C388" s="11">
        <f>IF(A388="","",IFERROR(SUMIFS(BOM!$E$2:$E$500,BOM!$A$2:$A$500,B388),""))</f>
        <v/>
      </c>
      <c r="D388" s="11">
        <f>IF(A388="","",SUMIFS(StockMovements!$I$2:$I$500,StockMovements!$H$2:$H$500,A388,StockMovements!$D$2:$D$500,"issue"))</f>
        <v/>
      </c>
      <c r="E388" s="11">
        <f>IF(OR(A388="",C388="",C388=0,D388=0),"",D388/C388)</f>
        <v/>
      </c>
      <c r="F388" s="11">
        <f>IF(A388="","",WorkOrders!L388)</f>
        <v/>
      </c>
      <c r="G388" s="15">
        <f>IF(OR(E388="",E388=0),"",F388/E388)</f>
        <v/>
      </c>
      <c r="H388" s="11">
        <f>IF(OR(C388="",F388="",F388=0),"",C388*WorkOrders!E388/F388)</f>
        <v/>
      </c>
    </row>
    <row r="389">
      <c r="A389" s="11">
        <f>WorkOrders!A389</f>
        <v/>
      </c>
      <c r="B389" s="11">
        <f>IF(A389="","",WorkOrders!B389)</f>
        <v/>
      </c>
      <c r="C389" s="11">
        <f>IF(A389="","",IFERROR(SUMIFS(BOM!$E$2:$E$500,BOM!$A$2:$A$500,B389),""))</f>
        <v/>
      </c>
      <c r="D389" s="11">
        <f>IF(A389="","",SUMIFS(StockMovements!$I$2:$I$500,StockMovements!$H$2:$H$500,A389,StockMovements!$D$2:$D$500,"issue"))</f>
        <v/>
      </c>
      <c r="E389" s="11">
        <f>IF(OR(A389="",C389="",C389=0,D389=0),"",D389/C389)</f>
        <v/>
      </c>
      <c r="F389" s="11">
        <f>IF(A389="","",WorkOrders!L389)</f>
        <v/>
      </c>
      <c r="G389" s="15">
        <f>IF(OR(E389="",E389=0),"",F389/E389)</f>
        <v/>
      </c>
      <c r="H389" s="11">
        <f>IF(OR(C389="",F389="",F389=0),"",C389*WorkOrders!E389/F389)</f>
        <v/>
      </c>
    </row>
    <row r="390">
      <c r="A390" s="11">
        <f>WorkOrders!A390</f>
        <v/>
      </c>
      <c r="B390" s="11">
        <f>IF(A390="","",WorkOrders!B390)</f>
        <v/>
      </c>
      <c r="C390" s="11">
        <f>IF(A390="","",IFERROR(SUMIFS(BOM!$E$2:$E$500,BOM!$A$2:$A$500,B390),""))</f>
        <v/>
      </c>
      <c r="D390" s="11">
        <f>IF(A390="","",SUMIFS(StockMovements!$I$2:$I$500,StockMovements!$H$2:$H$500,A390,StockMovements!$D$2:$D$500,"issue"))</f>
        <v/>
      </c>
      <c r="E390" s="11">
        <f>IF(OR(A390="",C390="",C390=0,D390=0),"",D390/C390)</f>
        <v/>
      </c>
      <c r="F390" s="11">
        <f>IF(A390="","",WorkOrders!L390)</f>
        <v/>
      </c>
      <c r="G390" s="15">
        <f>IF(OR(E390="",E390=0),"",F390/E390)</f>
        <v/>
      </c>
      <c r="H390" s="11">
        <f>IF(OR(C390="",F390="",F390=0),"",C390*WorkOrders!E390/F390)</f>
        <v/>
      </c>
    </row>
    <row r="391">
      <c r="A391" s="11">
        <f>WorkOrders!A391</f>
        <v/>
      </c>
      <c r="B391" s="11">
        <f>IF(A391="","",WorkOrders!B391)</f>
        <v/>
      </c>
      <c r="C391" s="11">
        <f>IF(A391="","",IFERROR(SUMIFS(BOM!$E$2:$E$500,BOM!$A$2:$A$500,B391),""))</f>
        <v/>
      </c>
      <c r="D391" s="11">
        <f>IF(A391="","",SUMIFS(StockMovements!$I$2:$I$500,StockMovements!$H$2:$H$500,A391,StockMovements!$D$2:$D$500,"issue"))</f>
        <v/>
      </c>
      <c r="E391" s="11">
        <f>IF(OR(A391="",C391="",C391=0,D391=0),"",D391/C391)</f>
        <v/>
      </c>
      <c r="F391" s="11">
        <f>IF(A391="","",WorkOrders!L391)</f>
        <v/>
      </c>
      <c r="G391" s="15">
        <f>IF(OR(E391="",E391=0),"",F391/E391)</f>
        <v/>
      </c>
      <c r="H391" s="11">
        <f>IF(OR(C391="",F391="",F391=0),"",C391*WorkOrders!E391/F391)</f>
        <v/>
      </c>
    </row>
    <row r="392">
      <c r="A392" s="11">
        <f>WorkOrders!A392</f>
        <v/>
      </c>
      <c r="B392" s="11">
        <f>IF(A392="","",WorkOrders!B392)</f>
        <v/>
      </c>
      <c r="C392" s="11">
        <f>IF(A392="","",IFERROR(SUMIFS(BOM!$E$2:$E$500,BOM!$A$2:$A$500,B392),""))</f>
        <v/>
      </c>
      <c r="D392" s="11">
        <f>IF(A392="","",SUMIFS(StockMovements!$I$2:$I$500,StockMovements!$H$2:$H$500,A392,StockMovements!$D$2:$D$500,"issue"))</f>
        <v/>
      </c>
      <c r="E392" s="11">
        <f>IF(OR(A392="",C392="",C392=0,D392=0),"",D392/C392)</f>
        <v/>
      </c>
      <c r="F392" s="11">
        <f>IF(A392="","",WorkOrders!L392)</f>
        <v/>
      </c>
      <c r="G392" s="15">
        <f>IF(OR(E392="",E392=0),"",F392/E392)</f>
        <v/>
      </c>
      <c r="H392" s="11">
        <f>IF(OR(C392="",F392="",F392=0),"",C392*WorkOrders!E392/F392)</f>
        <v/>
      </c>
    </row>
    <row r="393">
      <c r="A393" s="11">
        <f>WorkOrders!A393</f>
        <v/>
      </c>
      <c r="B393" s="11">
        <f>IF(A393="","",WorkOrders!B393)</f>
        <v/>
      </c>
      <c r="C393" s="11">
        <f>IF(A393="","",IFERROR(SUMIFS(BOM!$E$2:$E$500,BOM!$A$2:$A$500,B393),""))</f>
        <v/>
      </c>
      <c r="D393" s="11">
        <f>IF(A393="","",SUMIFS(StockMovements!$I$2:$I$500,StockMovements!$H$2:$H$500,A393,StockMovements!$D$2:$D$500,"issue"))</f>
        <v/>
      </c>
      <c r="E393" s="11">
        <f>IF(OR(A393="",C393="",C393=0,D393=0),"",D393/C393)</f>
        <v/>
      </c>
      <c r="F393" s="11">
        <f>IF(A393="","",WorkOrders!L393)</f>
        <v/>
      </c>
      <c r="G393" s="15">
        <f>IF(OR(E393="",E393=0),"",F393/E393)</f>
        <v/>
      </c>
      <c r="H393" s="11">
        <f>IF(OR(C393="",F393="",F393=0),"",C393*WorkOrders!E393/F393)</f>
        <v/>
      </c>
    </row>
    <row r="394">
      <c r="A394" s="11">
        <f>WorkOrders!A394</f>
        <v/>
      </c>
      <c r="B394" s="11">
        <f>IF(A394="","",WorkOrders!B394)</f>
        <v/>
      </c>
      <c r="C394" s="11">
        <f>IF(A394="","",IFERROR(SUMIFS(BOM!$E$2:$E$500,BOM!$A$2:$A$500,B394),""))</f>
        <v/>
      </c>
      <c r="D394" s="11">
        <f>IF(A394="","",SUMIFS(StockMovements!$I$2:$I$500,StockMovements!$H$2:$H$500,A394,StockMovements!$D$2:$D$500,"issue"))</f>
        <v/>
      </c>
      <c r="E394" s="11">
        <f>IF(OR(A394="",C394="",C394=0,D394=0),"",D394/C394)</f>
        <v/>
      </c>
      <c r="F394" s="11">
        <f>IF(A394="","",WorkOrders!L394)</f>
        <v/>
      </c>
      <c r="G394" s="15">
        <f>IF(OR(E394="",E394=0),"",F394/E394)</f>
        <v/>
      </c>
      <c r="H394" s="11">
        <f>IF(OR(C394="",F394="",F394=0),"",C394*WorkOrders!E394/F394)</f>
        <v/>
      </c>
    </row>
    <row r="395">
      <c r="A395" s="11">
        <f>WorkOrders!A395</f>
        <v/>
      </c>
      <c r="B395" s="11">
        <f>IF(A395="","",WorkOrders!B395)</f>
        <v/>
      </c>
      <c r="C395" s="11">
        <f>IF(A395="","",IFERROR(SUMIFS(BOM!$E$2:$E$500,BOM!$A$2:$A$500,B395),""))</f>
        <v/>
      </c>
      <c r="D395" s="11">
        <f>IF(A395="","",SUMIFS(StockMovements!$I$2:$I$500,StockMovements!$H$2:$H$500,A395,StockMovements!$D$2:$D$500,"issue"))</f>
        <v/>
      </c>
      <c r="E395" s="11">
        <f>IF(OR(A395="",C395="",C395=0,D395=0),"",D395/C395)</f>
        <v/>
      </c>
      <c r="F395" s="11">
        <f>IF(A395="","",WorkOrders!L395)</f>
        <v/>
      </c>
      <c r="G395" s="15">
        <f>IF(OR(E395="",E395=0),"",F395/E395)</f>
        <v/>
      </c>
      <c r="H395" s="11">
        <f>IF(OR(C395="",F395="",F395=0),"",C395*WorkOrders!E395/F395)</f>
        <v/>
      </c>
    </row>
    <row r="396">
      <c r="A396" s="11">
        <f>WorkOrders!A396</f>
        <v/>
      </c>
      <c r="B396" s="11">
        <f>IF(A396="","",WorkOrders!B396)</f>
        <v/>
      </c>
      <c r="C396" s="11">
        <f>IF(A396="","",IFERROR(SUMIFS(BOM!$E$2:$E$500,BOM!$A$2:$A$500,B396),""))</f>
        <v/>
      </c>
      <c r="D396" s="11">
        <f>IF(A396="","",SUMIFS(StockMovements!$I$2:$I$500,StockMovements!$H$2:$H$500,A396,StockMovements!$D$2:$D$500,"issue"))</f>
        <v/>
      </c>
      <c r="E396" s="11">
        <f>IF(OR(A396="",C396="",C396=0,D396=0),"",D396/C396)</f>
        <v/>
      </c>
      <c r="F396" s="11">
        <f>IF(A396="","",WorkOrders!L396)</f>
        <v/>
      </c>
      <c r="G396" s="15">
        <f>IF(OR(E396="",E396=0),"",F396/E396)</f>
        <v/>
      </c>
      <c r="H396" s="11">
        <f>IF(OR(C396="",F396="",F396=0),"",C396*WorkOrders!E396/F396)</f>
        <v/>
      </c>
    </row>
    <row r="397">
      <c r="A397" s="11">
        <f>WorkOrders!A397</f>
        <v/>
      </c>
      <c r="B397" s="11">
        <f>IF(A397="","",WorkOrders!B397)</f>
        <v/>
      </c>
      <c r="C397" s="11">
        <f>IF(A397="","",IFERROR(SUMIFS(BOM!$E$2:$E$500,BOM!$A$2:$A$500,B397),""))</f>
        <v/>
      </c>
      <c r="D397" s="11">
        <f>IF(A397="","",SUMIFS(StockMovements!$I$2:$I$500,StockMovements!$H$2:$H$500,A397,StockMovements!$D$2:$D$500,"issue"))</f>
        <v/>
      </c>
      <c r="E397" s="11">
        <f>IF(OR(A397="",C397="",C397=0,D397=0),"",D397/C397)</f>
        <v/>
      </c>
      <c r="F397" s="11">
        <f>IF(A397="","",WorkOrders!L397)</f>
        <v/>
      </c>
      <c r="G397" s="15">
        <f>IF(OR(E397="",E397=0),"",F397/E397)</f>
        <v/>
      </c>
      <c r="H397" s="11">
        <f>IF(OR(C397="",F397="",F397=0),"",C397*WorkOrders!E397/F397)</f>
        <v/>
      </c>
    </row>
    <row r="398">
      <c r="A398" s="11">
        <f>WorkOrders!A398</f>
        <v/>
      </c>
      <c r="B398" s="11">
        <f>IF(A398="","",WorkOrders!B398)</f>
        <v/>
      </c>
      <c r="C398" s="11">
        <f>IF(A398="","",IFERROR(SUMIFS(BOM!$E$2:$E$500,BOM!$A$2:$A$500,B398),""))</f>
        <v/>
      </c>
      <c r="D398" s="11">
        <f>IF(A398="","",SUMIFS(StockMovements!$I$2:$I$500,StockMovements!$H$2:$H$500,A398,StockMovements!$D$2:$D$500,"issue"))</f>
        <v/>
      </c>
      <c r="E398" s="11">
        <f>IF(OR(A398="",C398="",C398=0,D398=0),"",D398/C398)</f>
        <v/>
      </c>
      <c r="F398" s="11">
        <f>IF(A398="","",WorkOrders!L398)</f>
        <v/>
      </c>
      <c r="G398" s="15">
        <f>IF(OR(E398="",E398=0),"",F398/E398)</f>
        <v/>
      </c>
      <c r="H398" s="11">
        <f>IF(OR(C398="",F398="",F398=0),"",C398*WorkOrders!E398/F398)</f>
        <v/>
      </c>
    </row>
    <row r="399">
      <c r="A399" s="11">
        <f>WorkOrders!A399</f>
        <v/>
      </c>
      <c r="B399" s="11">
        <f>IF(A399="","",WorkOrders!B399)</f>
        <v/>
      </c>
      <c r="C399" s="11">
        <f>IF(A399="","",IFERROR(SUMIFS(BOM!$E$2:$E$500,BOM!$A$2:$A$500,B399),""))</f>
        <v/>
      </c>
      <c r="D399" s="11">
        <f>IF(A399="","",SUMIFS(StockMovements!$I$2:$I$500,StockMovements!$H$2:$H$500,A399,StockMovements!$D$2:$D$500,"issue"))</f>
        <v/>
      </c>
      <c r="E399" s="11">
        <f>IF(OR(A399="",C399="",C399=0,D399=0),"",D399/C399)</f>
        <v/>
      </c>
      <c r="F399" s="11">
        <f>IF(A399="","",WorkOrders!L399)</f>
        <v/>
      </c>
      <c r="G399" s="15">
        <f>IF(OR(E399="",E399=0),"",F399/E399)</f>
        <v/>
      </c>
      <c r="H399" s="11">
        <f>IF(OR(C399="",F399="",F399=0),"",C399*WorkOrders!E399/F399)</f>
        <v/>
      </c>
    </row>
    <row r="400">
      <c r="A400" s="11">
        <f>WorkOrders!A400</f>
        <v/>
      </c>
      <c r="B400" s="11">
        <f>IF(A400="","",WorkOrders!B400)</f>
        <v/>
      </c>
      <c r="C400" s="11">
        <f>IF(A400="","",IFERROR(SUMIFS(BOM!$E$2:$E$500,BOM!$A$2:$A$500,B400),""))</f>
        <v/>
      </c>
      <c r="D400" s="11">
        <f>IF(A400="","",SUMIFS(StockMovements!$I$2:$I$500,StockMovements!$H$2:$H$500,A400,StockMovements!$D$2:$D$500,"issue"))</f>
        <v/>
      </c>
      <c r="E400" s="11">
        <f>IF(OR(A400="",C400="",C400=0,D400=0),"",D400/C400)</f>
        <v/>
      </c>
      <c r="F400" s="11">
        <f>IF(A400="","",WorkOrders!L400)</f>
        <v/>
      </c>
      <c r="G400" s="15">
        <f>IF(OR(E400="",E400=0),"",F400/E400)</f>
        <v/>
      </c>
      <c r="H400" s="11">
        <f>IF(OR(C400="",F400="",F400=0),"",C400*WorkOrders!E400/F400)</f>
        <v/>
      </c>
    </row>
    <row r="401">
      <c r="A401" s="11">
        <f>WorkOrders!A401</f>
        <v/>
      </c>
      <c r="B401" s="11">
        <f>IF(A401="","",WorkOrders!B401)</f>
        <v/>
      </c>
      <c r="C401" s="11">
        <f>IF(A401="","",IFERROR(SUMIFS(BOM!$E$2:$E$500,BOM!$A$2:$A$500,B401),""))</f>
        <v/>
      </c>
      <c r="D401" s="11">
        <f>IF(A401="","",SUMIFS(StockMovements!$I$2:$I$500,StockMovements!$H$2:$H$500,A401,StockMovements!$D$2:$D$500,"issue"))</f>
        <v/>
      </c>
      <c r="E401" s="11">
        <f>IF(OR(A401="",C401="",C401=0,D401=0),"",D401/C401)</f>
        <v/>
      </c>
      <c r="F401" s="11">
        <f>IF(A401="","",WorkOrders!L401)</f>
        <v/>
      </c>
      <c r="G401" s="15">
        <f>IF(OR(E401="",E401=0),"",F401/E401)</f>
        <v/>
      </c>
      <c r="H401" s="11">
        <f>IF(OR(C401="",F401="",F401=0),"",C401*WorkOrders!E401/F401)</f>
        <v/>
      </c>
    </row>
    <row r="402">
      <c r="A402" s="11">
        <f>WorkOrders!A402</f>
        <v/>
      </c>
      <c r="B402" s="11">
        <f>IF(A402="","",WorkOrders!B402)</f>
        <v/>
      </c>
      <c r="C402" s="11">
        <f>IF(A402="","",IFERROR(SUMIFS(BOM!$E$2:$E$500,BOM!$A$2:$A$500,B402),""))</f>
        <v/>
      </c>
      <c r="D402" s="11">
        <f>IF(A402="","",SUMIFS(StockMovements!$I$2:$I$500,StockMovements!$H$2:$H$500,A402,StockMovements!$D$2:$D$500,"issue"))</f>
        <v/>
      </c>
      <c r="E402" s="11">
        <f>IF(OR(A402="",C402="",C402=0,D402=0),"",D402/C402)</f>
        <v/>
      </c>
      <c r="F402" s="11">
        <f>IF(A402="","",WorkOrders!L402)</f>
        <v/>
      </c>
      <c r="G402" s="15">
        <f>IF(OR(E402="",E402=0),"",F402/E402)</f>
        <v/>
      </c>
      <c r="H402" s="11">
        <f>IF(OR(C402="",F402="",F402=0),"",C402*WorkOrders!E402/F402)</f>
        <v/>
      </c>
    </row>
    <row r="403">
      <c r="A403" s="11">
        <f>WorkOrders!A403</f>
        <v/>
      </c>
      <c r="B403" s="11">
        <f>IF(A403="","",WorkOrders!B403)</f>
        <v/>
      </c>
      <c r="C403" s="11">
        <f>IF(A403="","",IFERROR(SUMIFS(BOM!$E$2:$E$500,BOM!$A$2:$A$500,B403),""))</f>
        <v/>
      </c>
      <c r="D403" s="11">
        <f>IF(A403="","",SUMIFS(StockMovements!$I$2:$I$500,StockMovements!$H$2:$H$500,A403,StockMovements!$D$2:$D$500,"issue"))</f>
        <v/>
      </c>
      <c r="E403" s="11">
        <f>IF(OR(A403="",C403="",C403=0,D403=0),"",D403/C403)</f>
        <v/>
      </c>
      <c r="F403" s="11">
        <f>IF(A403="","",WorkOrders!L403)</f>
        <v/>
      </c>
      <c r="G403" s="15">
        <f>IF(OR(E403="",E403=0),"",F403/E403)</f>
        <v/>
      </c>
      <c r="H403" s="11">
        <f>IF(OR(C403="",F403="",F403=0),"",C403*WorkOrders!E403/F403)</f>
        <v/>
      </c>
    </row>
    <row r="404">
      <c r="A404" s="11">
        <f>WorkOrders!A404</f>
        <v/>
      </c>
      <c r="B404" s="11">
        <f>IF(A404="","",WorkOrders!B404)</f>
        <v/>
      </c>
      <c r="C404" s="11">
        <f>IF(A404="","",IFERROR(SUMIFS(BOM!$E$2:$E$500,BOM!$A$2:$A$500,B404),""))</f>
        <v/>
      </c>
      <c r="D404" s="11">
        <f>IF(A404="","",SUMIFS(StockMovements!$I$2:$I$500,StockMovements!$H$2:$H$500,A404,StockMovements!$D$2:$D$500,"issue"))</f>
        <v/>
      </c>
      <c r="E404" s="11">
        <f>IF(OR(A404="",C404="",C404=0,D404=0),"",D404/C404)</f>
        <v/>
      </c>
      <c r="F404" s="11">
        <f>IF(A404="","",WorkOrders!L404)</f>
        <v/>
      </c>
      <c r="G404" s="15">
        <f>IF(OR(E404="",E404=0),"",F404/E404)</f>
        <v/>
      </c>
      <c r="H404" s="11">
        <f>IF(OR(C404="",F404="",F404=0),"",C404*WorkOrders!E404/F404)</f>
        <v/>
      </c>
    </row>
    <row r="405">
      <c r="A405" s="11">
        <f>WorkOrders!A405</f>
        <v/>
      </c>
      <c r="B405" s="11">
        <f>IF(A405="","",WorkOrders!B405)</f>
        <v/>
      </c>
      <c r="C405" s="11">
        <f>IF(A405="","",IFERROR(SUMIFS(BOM!$E$2:$E$500,BOM!$A$2:$A$500,B405),""))</f>
        <v/>
      </c>
      <c r="D405" s="11">
        <f>IF(A405="","",SUMIFS(StockMovements!$I$2:$I$500,StockMovements!$H$2:$H$500,A405,StockMovements!$D$2:$D$500,"issue"))</f>
        <v/>
      </c>
      <c r="E405" s="11">
        <f>IF(OR(A405="",C405="",C405=0,D405=0),"",D405/C405)</f>
        <v/>
      </c>
      <c r="F405" s="11">
        <f>IF(A405="","",WorkOrders!L405)</f>
        <v/>
      </c>
      <c r="G405" s="15">
        <f>IF(OR(E405="",E405=0),"",F405/E405)</f>
        <v/>
      </c>
      <c r="H405" s="11">
        <f>IF(OR(C405="",F405="",F405=0),"",C405*WorkOrders!E405/F405)</f>
        <v/>
      </c>
    </row>
    <row r="406">
      <c r="A406" s="11">
        <f>WorkOrders!A406</f>
        <v/>
      </c>
      <c r="B406" s="11">
        <f>IF(A406="","",WorkOrders!B406)</f>
        <v/>
      </c>
      <c r="C406" s="11">
        <f>IF(A406="","",IFERROR(SUMIFS(BOM!$E$2:$E$500,BOM!$A$2:$A$500,B406),""))</f>
        <v/>
      </c>
      <c r="D406" s="11">
        <f>IF(A406="","",SUMIFS(StockMovements!$I$2:$I$500,StockMovements!$H$2:$H$500,A406,StockMovements!$D$2:$D$500,"issue"))</f>
        <v/>
      </c>
      <c r="E406" s="11">
        <f>IF(OR(A406="",C406="",C406=0,D406=0),"",D406/C406)</f>
        <v/>
      </c>
      <c r="F406" s="11">
        <f>IF(A406="","",WorkOrders!L406)</f>
        <v/>
      </c>
      <c r="G406" s="15">
        <f>IF(OR(E406="",E406=0),"",F406/E406)</f>
        <v/>
      </c>
      <c r="H406" s="11">
        <f>IF(OR(C406="",F406="",F406=0),"",C406*WorkOrders!E406/F406)</f>
        <v/>
      </c>
    </row>
    <row r="407">
      <c r="A407" s="11">
        <f>WorkOrders!A407</f>
        <v/>
      </c>
      <c r="B407" s="11">
        <f>IF(A407="","",WorkOrders!B407)</f>
        <v/>
      </c>
      <c r="C407" s="11">
        <f>IF(A407="","",IFERROR(SUMIFS(BOM!$E$2:$E$500,BOM!$A$2:$A$500,B407),""))</f>
        <v/>
      </c>
      <c r="D407" s="11">
        <f>IF(A407="","",SUMIFS(StockMovements!$I$2:$I$500,StockMovements!$H$2:$H$500,A407,StockMovements!$D$2:$D$500,"issue"))</f>
        <v/>
      </c>
      <c r="E407" s="11">
        <f>IF(OR(A407="",C407="",C407=0,D407=0),"",D407/C407)</f>
        <v/>
      </c>
      <c r="F407" s="11">
        <f>IF(A407="","",WorkOrders!L407)</f>
        <v/>
      </c>
      <c r="G407" s="15">
        <f>IF(OR(E407="",E407=0),"",F407/E407)</f>
        <v/>
      </c>
      <c r="H407" s="11">
        <f>IF(OR(C407="",F407="",F407=0),"",C407*WorkOrders!E407/F407)</f>
        <v/>
      </c>
    </row>
    <row r="408">
      <c r="A408" s="11">
        <f>WorkOrders!A408</f>
        <v/>
      </c>
      <c r="B408" s="11">
        <f>IF(A408="","",WorkOrders!B408)</f>
        <v/>
      </c>
      <c r="C408" s="11">
        <f>IF(A408="","",IFERROR(SUMIFS(BOM!$E$2:$E$500,BOM!$A$2:$A$500,B408),""))</f>
        <v/>
      </c>
      <c r="D408" s="11">
        <f>IF(A408="","",SUMIFS(StockMovements!$I$2:$I$500,StockMovements!$H$2:$H$500,A408,StockMovements!$D$2:$D$500,"issue"))</f>
        <v/>
      </c>
      <c r="E408" s="11">
        <f>IF(OR(A408="",C408="",C408=0,D408=0),"",D408/C408)</f>
        <v/>
      </c>
      <c r="F408" s="11">
        <f>IF(A408="","",WorkOrders!L408)</f>
        <v/>
      </c>
      <c r="G408" s="15">
        <f>IF(OR(E408="",E408=0),"",F408/E408)</f>
        <v/>
      </c>
      <c r="H408" s="11">
        <f>IF(OR(C408="",F408="",F408=0),"",C408*WorkOrders!E408/F408)</f>
        <v/>
      </c>
    </row>
    <row r="409">
      <c r="A409" s="11">
        <f>WorkOrders!A409</f>
        <v/>
      </c>
      <c r="B409" s="11">
        <f>IF(A409="","",WorkOrders!B409)</f>
        <v/>
      </c>
      <c r="C409" s="11">
        <f>IF(A409="","",IFERROR(SUMIFS(BOM!$E$2:$E$500,BOM!$A$2:$A$500,B409),""))</f>
        <v/>
      </c>
      <c r="D409" s="11">
        <f>IF(A409="","",SUMIFS(StockMovements!$I$2:$I$500,StockMovements!$H$2:$H$500,A409,StockMovements!$D$2:$D$500,"issue"))</f>
        <v/>
      </c>
      <c r="E409" s="11">
        <f>IF(OR(A409="",C409="",C409=0,D409=0),"",D409/C409)</f>
        <v/>
      </c>
      <c r="F409" s="11">
        <f>IF(A409="","",WorkOrders!L409)</f>
        <v/>
      </c>
      <c r="G409" s="15">
        <f>IF(OR(E409="",E409=0),"",F409/E409)</f>
        <v/>
      </c>
      <c r="H409" s="11">
        <f>IF(OR(C409="",F409="",F409=0),"",C409*WorkOrders!E409/F409)</f>
        <v/>
      </c>
    </row>
    <row r="410">
      <c r="A410" s="11">
        <f>WorkOrders!A410</f>
        <v/>
      </c>
      <c r="B410" s="11">
        <f>IF(A410="","",WorkOrders!B410)</f>
        <v/>
      </c>
      <c r="C410" s="11">
        <f>IF(A410="","",IFERROR(SUMIFS(BOM!$E$2:$E$500,BOM!$A$2:$A$500,B410),""))</f>
        <v/>
      </c>
      <c r="D410" s="11">
        <f>IF(A410="","",SUMIFS(StockMovements!$I$2:$I$500,StockMovements!$H$2:$H$500,A410,StockMovements!$D$2:$D$500,"issue"))</f>
        <v/>
      </c>
      <c r="E410" s="11">
        <f>IF(OR(A410="",C410="",C410=0,D410=0),"",D410/C410)</f>
        <v/>
      </c>
      <c r="F410" s="11">
        <f>IF(A410="","",WorkOrders!L410)</f>
        <v/>
      </c>
      <c r="G410" s="15">
        <f>IF(OR(E410="",E410=0),"",F410/E410)</f>
        <v/>
      </c>
      <c r="H410" s="11">
        <f>IF(OR(C410="",F410="",F410=0),"",C410*WorkOrders!E410/F410)</f>
        <v/>
      </c>
    </row>
    <row r="411">
      <c r="A411" s="11">
        <f>WorkOrders!A411</f>
        <v/>
      </c>
      <c r="B411" s="11">
        <f>IF(A411="","",WorkOrders!B411)</f>
        <v/>
      </c>
      <c r="C411" s="11">
        <f>IF(A411="","",IFERROR(SUMIFS(BOM!$E$2:$E$500,BOM!$A$2:$A$500,B411),""))</f>
        <v/>
      </c>
      <c r="D411" s="11">
        <f>IF(A411="","",SUMIFS(StockMovements!$I$2:$I$500,StockMovements!$H$2:$H$500,A411,StockMovements!$D$2:$D$500,"issue"))</f>
        <v/>
      </c>
      <c r="E411" s="11">
        <f>IF(OR(A411="",C411="",C411=0,D411=0),"",D411/C411)</f>
        <v/>
      </c>
      <c r="F411" s="11">
        <f>IF(A411="","",WorkOrders!L411)</f>
        <v/>
      </c>
      <c r="G411" s="15">
        <f>IF(OR(E411="",E411=0),"",F411/E411)</f>
        <v/>
      </c>
      <c r="H411" s="11">
        <f>IF(OR(C411="",F411="",F411=0),"",C411*WorkOrders!E411/F411)</f>
        <v/>
      </c>
    </row>
    <row r="412">
      <c r="A412" s="11">
        <f>WorkOrders!A412</f>
        <v/>
      </c>
      <c r="B412" s="11">
        <f>IF(A412="","",WorkOrders!B412)</f>
        <v/>
      </c>
      <c r="C412" s="11">
        <f>IF(A412="","",IFERROR(SUMIFS(BOM!$E$2:$E$500,BOM!$A$2:$A$500,B412),""))</f>
        <v/>
      </c>
      <c r="D412" s="11">
        <f>IF(A412="","",SUMIFS(StockMovements!$I$2:$I$500,StockMovements!$H$2:$H$500,A412,StockMovements!$D$2:$D$500,"issue"))</f>
        <v/>
      </c>
      <c r="E412" s="11">
        <f>IF(OR(A412="",C412="",C412=0,D412=0),"",D412/C412)</f>
        <v/>
      </c>
      <c r="F412" s="11">
        <f>IF(A412="","",WorkOrders!L412)</f>
        <v/>
      </c>
      <c r="G412" s="15">
        <f>IF(OR(E412="",E412=0),"",F412/E412)</f>
        <v/>
      </c>
      <c r="H412" s="11">
        <f>IF(OR(C412="",F412="",F412=0),"",C412*WorkOrders!E412/F412)</f>
        <v/>
      </c>
    </row>
    <row r="413">
      <c r="A413" s="11">
        <f>WorkOrders!A413</f>
        <v/>
      </c>
      <c r="B413" s="11">
        <f>IF(A413="","",WorkOrders!B413)</f>
        <v/>
      </c>
      <c r="C413" s="11">
        <f>IF(A413="","",IFERROR(SUMIFS(BOM!$E$2:$E$500,BOM!$A$2:$A$500,B413),""))</f>
        <v/>
      </c>
      <c r="D413" s="11">
        <f>IF(A413="","",SUMIFS(StockMovements!$I$2:$I$500,StockMovements!$H$2:$H$500,A413,StockMovements!$D$2:$D$500,"issue"))</f>
        <v/>
      </c>
      <c r="E413" s="11">
        <f>IF(OR(A413="",C413="",C413=0,D413=0),"",D413/C413)</f>
        <v/>
      </c>
      <c r="F413" s="11">
        <f>IF(A413="","",WorkOrders!L413)</f>
        <v/>
      </c>
      <c r="G413" s="15">
        <f>IF(OR(E413="",E413=0),"",F413/E413)</f>
        <v/>
      </c>
      <c r="H413" s="11">
        <f>IF(OR(C413="",F413="",F413=0),"",C413*WorkOrders!E413/F413)</f>
        <v/>
      </c>
    </row>
    <row r="414">
      <c r="A414" s="11">
        <f>WorkOrders!A414</f>
        <v/>
      </c>
      <c r="B414" s="11">
        <f>IF(A414="","",WorkOrders!B414)</f>
        <v/>
      </c>
      <c r="C414" s="11">
        <f>IF(A414="","",IFERROR(SUMIFS(BOM!$E$2:$E$500,BOM!$A$2:$A$500,B414),""))</f>
        <v/>
      </c>
      <c r="D414" s="11">
        <f>IF(A414="","",SUMIFS(StockMovements!$I$2:$I$500,StockMovements!$H$2:$H$500,A414,StockMovements!$D$2:$D$500,"issue"))</f>
        <v/>
      </c>
      <c r="E414" s="11">
        <f>IF(OR(A414="",C414="",C414=0,D414=0),"",D414/C414)</f>
        <v/>
      </c>
      <c r="F414" s="11">
        <f>IF(A414="","",WorkOrders!L414)</f>
        <v/>
      </c>
      <c r="G414" s="15">
        <f>IF(OR(E414="",E414=0),"",F414/E414)</f>
        <v/>
      </c>
      <c r="H414" s="11">
        <f>IF(OR(C414="",F414="",F414=0),"",C414*WorkOrders!E414/F414)</f>
        <v/>
      </c>
    </row>
    <row r="415">
      <c r="A415" s="11">
        <f>WorkOrders!A415</f>
        <v/>
      </c>
      <c r="B415" s="11">
        <f>IF(A415="","",WorkOrders!B415)</f>
        <v/>
      </c>
      <c r="C415" s="11">
        <f>IF(A415="","",IFERROR(SUMIFS(BOM!$E$2:$E$500,BOM!$A$2:$A$500,B415),""))</f>
        <v/>
      </c>
      <c r="D415" s="11">
        <f>IF(A415="","",SUMIFS(StockMovements!$I$2:$I$500,StockMovements!$H$2:$H$500,A415,StockMovements!$D$2:$D$500,"issue"))</f>
        <v/>
      </c>
      <c r="E415" s="11">
        <f>IF(OR(A415="",C415="",C415=0,D415=0),"",D415/C415)</f>
        <v/>
      </c>
      <c r="F415" s="11">
        <f>IF(A415="","",WorkOrders!L415)</f>
        <v/>
      </c>
      <c r="G415" s="15">
        <f>IF(OR(E415="",E415=0),"",F415/E415)</f>
        <v/>
      </c>
      <c r="H415" s="11">
        <f>IF(OR(C415="",F415="",F415=0),"",C415*WorkOrders!E415/F415)</f>
        <v/>
      </c>
    </row>
    <row r="416">
      <c r="A416" s="11">
        <f>WorkOrders!A416</f>
        <v/>
      </c>
      <c r="B416" s="11">
        <f>IF(A416="","",WorkOrders!B416)</f>
        <v/>
      </c>
      <c r="C416" s="11">
        <f>IF(A416="","",IFERROR(SUMIFS(BOM!$E$2:$E$500,BOM!$A$2:$A$500,B416),""))</f>
        <v/>
      </c>
      <c r="D416" s="11">
        <f>IF(A416="","",SUMIFS(StockMovements!$I$2:$I$500,StockMovements!$H$2:$H$500,A416,StockMovements!$D$2:$D$500,"issue"))</f>
        <v/>
      </c>
      <c r="E416" s="11">
        <f>IF(OR(A416="",C416="",C416=0,D416=0),"",D416/C416)</f>
        <v/>
      </c>
      <c r="F416" s="11">
        <f>IF(A416="","",WorkOrders!L416)</f>
        <v/>
      </c>
      <c r="G416" s="15">
        <f>IF(OR(E416="",E416=0),"",F416/E416)</f>
        <v/>
      </c>
      <c r="H416" s="11">
        <f>IF(OR(C416="",F416="",F416=0),"",C416*WorkOrders!E416/F416)</f>
        <v/>
      </c>
    </row>
    <row r="417">
      <c r="A417" s="11">
        <f>WorkOrders!A417</f>
        <v/>
      </c>
      <c r="B417" s="11">
        <f>IF(A417="","",WorkOrders!B417)</f>
        <v/>
      </c>
      <c r="C417" s="11">
        <f>IF(A417="","",IFERROR(SUMIFS(BOM!$E$2:$E$500,BOM!$A$2:$A$500,B417),""))</f>
        <v/>
      </c>
      <c r="D417" s="11">
        <f>IF(A417="","",SUMIFS(StockMovements!$I$2:$I$500,StockMovements!$H$2:$H$500,A417,StockMovements!$D$2:$D$500,"issue"))</f>
        <v/>
      </c>
      <c r="E417" s="11">
        <f>IF(OR(A417="",C417="",C417=0,D417=0),"",D417/C417)</f>
        <v/>
      </c>
      <c r="F417" s="11">
        <f>IF(A417="","",WorkOrders!L417)</f>
        <v/>
      </c>
      <c r="G417" s="15">
        <f>IF(OR(E417="",E417=0),"",F417/E417)</f>
        <v/>
      </c>
      <c r="H417" s="11">
        <f>IF(OR(C417="",F417="",F417=0),"",C417*WorkOrders!E417/F417)</f>
        <v/>
      </c>
    </row>
    <row r="418">
      <c r="A418" s="11">
        <f>WorkOrders!A418</f>
        <v/>
      </c>
      <c r="B418" s="11">
        <f>IF(A418="","",WorkOrders!B418)</f>
        <v/>
      </c>
      <c r="C418" s="11">
        <f>IF(A418="","",IFERROR(SUMIFS(BOM!$E$2:$E$500,BOM!$A$2:$A$500,B418),""))</f>
        <v/>
      </c>
      <c r="D418" s="11">
        <f>IF(A418="","",SUMIFS(StockMovements!$I$2:$I$500,StockMovements!$H$2:$H$500,A418,StockMovements!$D$2:$D$500,"issue"))</f>
        <v/>
      </c>
      <c r="E418" s="11">
        <f>IF(OR(A418="",C418="",C418=0,D418=0),"",D418/C418)</f>
        <v/>
      </c>
      <c r="F418" s="11">
        <f>IF(A418="","",WorkOrders!L418)</f>
        <v/>
      </c>
      <c r="G418" s="15">
        <f>IF(OR(E418="",E418=0),"",F418/E418)</f>
        <v/>
      </c>
      <c r="H418" s="11">
        <f>IF(OR(C418="",F418="",F418=0),"",C418*WorkOrders!E418/F418)</f>
        <v/>
      </c>
    </row>
    <row r="419">
      <c r="A419" s="11">
        <f>WorkOrders!A419</f>
        <v/>
      </c>
      <c r="B419" s="11">
        <f>IF(A419="","",WorkOrders!B419)</f>
        <v/>
      </c>
      <c r="C419" s="11">
        <f>IF(A419="","",IFERROR(SUMIFS(BOM!$E$2:$E$500,BOM!$A$2:$A$500,B419),""))</f>
        <v/>
      </c>
      <c r="D419" s="11">
        <f>IF(A419="","",SUMIFS(StockMovements!$I$2:$I$500,StockMovements!$H$2:$H$500,A419,StockMovements!$D$2:$D$500,"issue"))</f>
        <v/>
      </c>
      <c r="E419" s="11">
        <f>IF(OR(A419="",C419="",C419=0,D419=0),"",D419/C419)</f>
        <v/>
      </c>
      <c r="F419" s="11">
        <f>IF(A419="","",WorkOrders!L419)</f>
        <v/>
      </c>
      <c r="G419" s="15">
        <f>IF(OR(E419="",E419=0),"",F419/E419)</f>
        <v/>
      </c>
      <c r="H419" s="11">
        <f>IF(OR(C419="",F419="",F419=0),"",C419*WorkOrders!E419/F419)</f>
        <v/>
      </c>
    </row>
    <row r="420">
      <c r="A420" s="11">
        <f>WorkOrders!A420</f>
        <v/>
      </c>
      <c r="B420" s="11">
        <f>IF(A420="","",WorkOrders!B420)</f>
        <v/>
      </c>
      <c r="C420" s="11">
        <f>IF(A420="","",IFERROR(SUMIFS(BOM!$E$2:$E$500,BOM!$A$2:$A$500,B420),""))</f>
        <v/>
      </c>
      <c r="D420" s="11">
        <f>IF(A420="","",SUMIFS(StockMovements!$I$2:$I$500,StockMovements!$H$2:$H$500,A420,StockMovements!$D$2:$D$500,"issue"))</f>
        <v/>
      </c>
      <c r="E420" s="11">
        <f>IF(OR(A420="",C420="",C420=0,D420=0),"",D420/C420)</f>
        <v/>
      </c>
      <c r="F420" s="11">
        <f>IF(A420="","",WorkOrders!L420)</f>
        <v/>
      </c>
      <c r="G420" s="15">
        <f>IF(OR(E420="",E420=0),"",F420/E420)</f>
        <v/>
      </c>
      <c r="H420" s="11">
        <f>IF(OR(C420="",F420="",F420=0),"",C420*WorkOrders!E420/F420)</f>
        <v/>
      </c>
    </row>
    <row r="421">
      <c r="A421" s="11">
        <f>WorkOrders!A421</f>
        <v/>
      </c>
      <c r="B421" s="11">
        <f>IF(A421="","",WorkOrders!B421)</f>
        <v/>
      </c>
      <c r="C421" s="11">
        <f>IF(A421="","",IFERROR(SUMIFS(BOM!$E$2:$E$500,BOM!$A$2:$A$500,B421),""))</f>
        <v/>
      </c>
      <c r="D421" s="11">
        <f>IF(A421="","",SUMIFS(StockMovements!$I$2:$I$500,StockMovements!$H$2:$H$500,A421,StockMovements!$D$2:$D$500,"issue"))</f>
        <v/>
      </c>
      <c r="E421" s="11">
        <f>IF(OR(A421="",C421="",C421=0,D421=0),"",D421/C421)</f>
        <v/>
      </c>
      <c r="F421" s="11">
        <f>IF(A421="","",WorkOrders!L421)</f>
        <v/>
      </c>
      <c r="G421" s="15">
        <f>IF(OR(E421="",E421=0),"",F421/E421)</f>
        <v/>
      </c>
      <c r="H421" s="11">
        <f>IF(OR(C421="",F421="",F421=0),"",C421*WorkOrders!E421/F421)</f>
        <v/>
      </c>
    </row>
    <row r="422">
      <c r="A422" s="11">
        <f>WorkOrders!A422</f>
        <v/>
      </c>
      <c r="B422" s="11">
        <f>IF(A422="","",WorkOrders!B422)</f>
        <v/>
      </c>
      <c r="C422" s="11">
        <f>IF(A422="","",IFERROR(SUMIFS(BOM!$E$2:$E$500,BOM!$A$2:$A$500,B422),""))</f>
        <v/>
      </c>
      <c r="D422" s="11">
        <f>IF(A422="","",SUMIFS(StockMovements!$I$2:$I$500,StockMovements!$H$2:$H$500,A422,StockMovements!$D$2:$D$500,"issue"))</f>
        <v/>
      </c>
      <c r="E422" s="11">
        <f>IF(OR(A422="",C422="",C422=0,D422=0),"",D422/C422)</f>
        <v/>
      </c>
      <c r="F422" s="11">
        <f>IF(A422="","",WorkOrders!L422)</f>
        <v/>
      </c>
      <c r="G422" s="15">
        <f>IF(OR(E422="",E422=0),"",F422/E422)</f>
        <v/>
      </c>
      <c r="H422" s="11">
        <f>IF(OR(C422="",F422="",F422=0),"",C422*WorkOrders!E422/F422)</f>
        <v/>
      </c>
    </row>
    <row r="423">
      <c r="A423" s="11">
        <f>WorkOrders!A423</f>
        <v/>
      </c>
      <c r="B423" s="11">
        <f>IF(A423="","",WorkOrders!B423)</f>
        <v/>
      </c>
      <c r="C423" s="11">
        <f>IF(A423="","",IFERROR(SUMIFS(BOM!$E$2:$E$500,BOM!$A$2:$A$500,B423),""))</f>
        <v/>
      </c>
      <c r="D423" s="11">
        <f>IF(A423="","",SUMIFS(StockMovements!$I$2:$I$500,StockMovements!$H$2:$H$500,A423,StockMovements!$D$2:$D$500,"issue"))</f>
        <v/>
      </c>
      <c r="E423" s="11">
        <f>IF(OR(A423="",C423="",C423=0,D423=0),"",D423/C423)</f>
        <v/>
      </c>
      <c r="F423" s="11">
        <f>IF(A423="","",WorkOrders!L423)</f>
        <v/>
      </c>
      <c r="G423" s="15">
        <f>IF(OR(E423="",E423=0),"",F423/E423)</f>
        <v/>
      </c>
      <c r="H423" s="11">
        <f>IF(OR(C423="",F423="",F423=0),"",C423*WorkOrders!E423/F423)</f>
        <v/>
      </c>
    </row>
    <row r="424">
      <c r="A424" s="11">
        <f>WorkOrders!A424</f>
        <v/>
      </c>
      <c r="B424" s="11">
        <f>IF(A424="","",WorkOrders!B424)</f>
        <v/>
      </c>
      <c r="C424" s="11">
        <f>IF(A424="","",IFERROR(SUMIFS(BOM!$E$2:$E$500,BOM!$A$2:$A$500,B424),""))</f>
        <v/>
      </c>
      <c r="D424" s="11">
        <f>IF(A424="","",SUMIFS(StockMovements!$I$2:$I$500,StockMovements!$H$2:$H$500,A424,StockMovements!$D$2:$D$500,"issue"))</f>
        <v/>
      </c>
      <c r="E424" s="11">
        <f>IF(OR(A424="",C424="",C424=0,D424=0),"",D424/C424)</f>
        <v/>
      </c>
      <c r="F424" s="11">
        <f>IF(A424="","",WorkOrders!L424)</f>
        <v/>
      </c>
      <c r="G424" s="15">
        <f>IF(OR(E424="",E424=0),"",F424/E424)</f>
        <v/>
      </c>
      <c r="H424" s="11">
        <f>IF(OR(C424="",F424="",F424=0),"",C424*WorkOrders!E424/F424)</f>
        <v/>
      </c>
    </row>
    <row r="425">
      <c r="A425" s="11">
        <f>WorkOrders!A425</f>
        <v/>
      </c>
      <c r="B425" s="11">
        <f>IF(A425="","",WorkOrders!B425)</f>
        <v/>
      </c>
      <c r="C425" s="11">
        <f>IF(A425="","",IFERROR(SUMIFS(BOM!$E$2:$E$500,BOM!$A$2:$A$500,B425),""))</f>
        <v/>
      </c>
      <c r="D425" s="11">
        <f>IF(A425="","",SUMIFS(StockMovements!$I$2:$I$500,StockMovements!$H$2:$H$500,A425,StockMovements!$D$2:$D$500,"issue"))</f>
        <v/>
      </c>
      <c r="E425" s="11">
        <f>IF(OR(A425="",C425="",C425=0,D425=0),"",D425/C425)</f>
        <v/>
      </c>
      <c r="F425" s="11">
        <f>IF(A425="","",WorkOrders!L425)</f>
        <v/>
      </c>
      <c r="G425" s="15">
        <f>IF(OR(E425="",E425=0),"",F425/E425)</f>
        <v/>
      </c>
      <c r="H425" s="11">
        <f>IF(OR(C425="",F425="",F425=0),"",C425*WorkOrders!E425/F425)</f>
        <v/>
      </c>
    </row>
    <row r="426">
      <c r="A426" s="11">
        <f>WorkOrders!A426</f>
        <v/>
      </c>
      <c r="B426" s="11">
        <f>IF(A426="","",WorkOrders!B426)</f>
        <v/>
      </c>
      <c r="C426" s="11">
        <f>IF(A426="","",IFERROR(SUMIFS(BOM!$E$2:$E$500,BOM!$A$2:$A$500,B426),""))</f>
        <v/>
      </c>
      <c r="D426" s="11">
        <f>IF(A426="","",SUMIFS(StockMovements!$I$2:$I$500,StockMovements!$H$2:$H$500,A426,StockMovements!$D$2:$D$500,"issue"))</f>
        <v/>
      </c>
      <c r="E426" s="11">
        <f>IF(OR(A426="",C426="",C426=0,D426=0),"",D426/C426)</f>
        <v/>
      </c>
      <c r="F426" s="11">
        <f>IF(A426="","",WorkOrders!L426)</f>
        <v/>
      </c>
      <c r="G426" s="15">
        <f>IF(OR(E426="",E426=0),"",F426/E426)</f>
        <v/>
      </c>
      <c r="H426" s="11">
        <f>IF(OR(C426="",F426="",F426=0),"",C426*WorkOrders!E426/F426)</f>
        <v/>
      </c>
    </row>
    <row r="427">
      <c r="A427" s="11">
        <f>WorkOrders!A427</f>
        <v/>
      </c>
      <c r="B427" s="11">
        <f>IF(A427="","",WorkOrders!B427)</f>
        <v/>
      </c>
      <c r="C427" s="11">
        <f>IF(A427="","",IFERROR(SUMIFS(BOM!$E$2:$E$500,BOM!$A$2:$A$500,B427),""))</f>
        <v/>
      </c>
      <c r="D427" s="11">
        <f>IF(A427="","",SUMIFS(StockMovements!$I$2:$I$500,StockMovements!$H$2:$H$500,A427,StockMovements!$D$2:$D$500,"issue"))</f>
        <v/>
      </c>
      <c r="E427" s="11">
        <f>IF(OR(A427="",C427="",C427=0,D427=0),"",D427/C427)</f>
        <v/>
      </c>
      <c r="F427" s="11">
        <f>IF(A427="","",WorkOrders!L427)</f>
        <v/>
      </c>
      <c r="G427" s="15">
        <f>IF(OR(E427="",E427=0),"",F427/E427)</f>
        <v/>
      </c>
      <c r="H427" s="11">
        <f>IF(OR(C427="",F427="",F427=0),"",C427*WorkOrders!E427/F427)</f>
        <v/>
      </c>
    </row>
    <row r="428">
      <c r="A428" s="11">
        <f>WorkOrders!A428</f>
        <v/>
      </c>
      <c r="B428" s="11">
        <f>IF(A428="","",WorkOrders!B428)</f>
        <v/>
      </c>
      <c r="C428" s="11">
        <f>IF(A428="","",IFERROR(SUMIFS(BOM!$E$2:$E$500,BOM!$A$2:$A$500,B428),""))</f>
        <v/>
      </c>
      <c r="D428" s="11">
        <f>IF(A428="","",SUMIFS(StockMovements!$I$2:$I$500,StockMovements!$H$2:$H$500,A428,StockMovements!$D$2:$D$500,"issue"))</f>
        <v/>
      </c>
      <c r="E428" s="11">
        <f>IF(OR(A428="",C428="",C428=0,D428=0),"",D428/C428)</f>
        <v/>
      </c>
      <c r="F428" s="11">
        <f>IF(A428="","",WorkOrders!L428)</f>
        <v/>
      </c>
      <c r="G428" s="15">
        <f>IF(OR(E428="",E428=0),"",F428/E428)</f>
        <v/>
      </c>
      <c r="H428" s="11">
        <f>IF(OR(C428="",F428="",F428=0),"",C428*WorkOrders!E428/F428)</f>
        <v/>
      </c>
    </row>
    <row r="429">
      <c r="A429" s="11">
        <f>WorkOrders!A429</f>
        <v/>
      </c>
      <c r="B429" s="11">
        <f>IF(A429="","",WorkOrders!B429)</f>
        <v/>
      </c>
      <c r="C429" s="11">
        <f>IF(A429="","",IFERROR(SUMIFS(BOM!$E$2:$E$500,BOM!$A$2:$A$500,B429),""))</f>
        <v/>
      </c>
      <c r="D429" s="11">
        <f>IF(A429="","",SUMIFS(StockMovements!$I$2:$I$500,StockMovements!$H$2:$H$500,A429,StockMovements!$D$2:$D$500,"issue"))</f>
        <v/>
      </c>
      <c r="E429" s="11">
        <f>IF(OR(A429="",C429="",C429=0,D429=0),"",D429/C429)</f>
        <v/>
      </c>
      <c r="F429" s="11">
        <f>IF(A429="","",WorkOrders!L429)</f>
        <v/>
      </c>
      <c r="G429" s="15">
        <f>IF(OR(E429="",E429=0),"",F429/E429)</f>
        <v/>
      </c>
      <c r="H429" s="11">
        <f>IF(OR(C429="",F429="",F429=0),"",C429*WorkOrders!E429/F429)</f>
        <v/>
      </c>
    </row>
    <row r="430">
      <c r="A430" s="11">
        <f>WorkOrders!A430</f>
        <v/>
      </c>
      <c r="B430" s="11">
        <f>IF(A430="","",WorkOrders!B430)</f>
        <v/>
      </c>
      <c r="C430" s="11">
        <f>IF(A430="","",IFERROR(SUMIFS(BOM!$E$2:$E$500,BOM!$A$2:$A$500,B430),""))</f>
        <v/>
      </c>
      <c r="D430" s="11">
        <f>IF(A430="","",SUMIFS(StockMovements!$I$2:$I$500,StockMovements!$H$2:$H$500,A430,StockMovements!$D$2:$D$500,"issue"))</f>
        <v/>
      </c>
      <c r="E430" s="11">
        <f>IF(OR(A430="",C430="",C430=0,D430=0),"",D430/C430)</f>
        <v/>
      </c>
      <c r="F430" s="11">
        <f>IF(A430="","",WorkOrders!L430)</f>
        <v/>
      </c>
      <c r="G430" s="15">
        <f>IF(OR(E430="",E430=0),"",F430/E430)</f>
        <v/>
      </c>
      <c r="H430" s="11">
        <f>IF(OR(C430="",F430="",F430=0),"",C430*WorkOrders!E430/F430)</f>
        <v/>
      </c>
    </row>
    <row r="431">
      <c r="A431" s="11">
        <f>WorkOrders!A431</f>
        <v/>
      </c>
      <c r="B431" s="11">
        <f>IF(A431="","",WorkOrders!B431)</f>
        <v/>
      </c>
      <c r="C431" s="11">
        <f>IF(A431="","",IFERROR(SUMIFS(BOM!$E$2:$E$500,BOM!$A$2:$A$500,B431),""))</f>
        <v/>
      </c>
      <c r="D431" s="11">
        <f>IF(A431="","",SUMIFS(StockMovements!$I$2:$I$500,StockMovements!$H$2:$H$500,A431,StockMovements!$D$2:$D$500,"issue"))</f>
        <v/>
      </c>
      <c r="E431" s="11">
        <f>IF(OR(A431="",C431="",C431=0,D431=0),"",D431/C431)</f>
        <v/>
      </c>
      <c r="F431" s="11">
        <f>IF(A431="","",WorkOrders!L431)</f>
        <v/>
      </c>
      <c r="G431" s="15">
        <f>IF(OR(E431="",E431=0),"",F431/E431)</f>
        <v/>
      </c>
      <c r="H431" s="11">
        <f>IF(OR(C431="",F431="",F431=0),"",C431*WorkOrders!E431/F431)</f>
        <v/>
      </c>
    </row>
    <row r="432">
      <c r="A432" s="11">
        <f>WorkOrders!A432</f>
        <v/>
      </c>
      <c r="B432" s="11">
        <f>IF(A432="","",WorkOrders!B432)</f>
        <v/>
      </c>
      <c r="C432" s="11">
        <f>IF(A432="","",IFERROR(SUMIFS(BOM!$E$2:$E$500,BOM!$A$2:$A$500,B432),""))</f>
        <v/>
      </c>
      <c r="D432" s="11">
        <f>IF(A432="","",SUMIFS(StockMovements!$I$2:$I$500,StockMovements!$H$2:$H$500,A432,StockMovements!$D$2:$D$500,"issue"))</f>
        <v/>
      </c>
      <c r="E432" s="11">
        <f>IF(OR(A432="",C432="",C432=0,D432=0),"",D432/C432)</f>
        <v/>
      </c>
      <c r="F432" s="11">
        <f>IF(A432="","",WorkOrders!L432)</f>
        <v/>
      </c>
      <c r="G432" s="15">
        <f>IF(OR(E432="",E432=0),"",F432/E432)</f>
        <v/>
      </c>
      <c r="H432" s="11">
        <f>IF(OR(C432="",F432="",F432=0),"",C432*WorkOrders!E432/F432)</f>
        <v/>
      </c>
    </row>
    <row r="433">
      <c r="A433" s="11">
        <f>WorkOrders!A433</f>
        <v/>
      </c>
      <c r="B433" s="11">
        <f>IF(A433="","",WorkOrders!B433)</f>
        <v/>
      </c>
      <c r="C433" s="11">
        <f>IF(A433="","",IFERROR(SUMIFS(BOM!$E$2:$E$500,BOM!$A$2:$A$500,B433),""))</f>
        <v/>
      </c>
      <c r="D433" s="11">
        <f>IF(A433="","",SUMIFS(StockMovements!$I$2:$I$500,StockMovements!$H$2:$H$500,A433,StockMovements!$D$2:$D$500,"issue"))</f>
        <v/>
      </c>
      <c r="E433" s="11">
        <f>IF(OR(A433="",C433="",C433=0,D433=0),"",D433/C433)</f>
        <v/>
      </c>
      <c r="F433" s="11">
        <f>IF(A433="","",WorkOrders!L433)</f>
        <v/>
      </c>
      <c r="G433" s="15">
        <f>IF(OR(E433="",E433=0),"",F433/E433)</f>
        <v/>
      </c>
      <c r="H433" s="11">
        <f>IF(OR(C433="",F433="",F433=0),"",C433*WorkOrders!E433/F433)</f>
        <v/>
      </c>
    </row>
    <row r="434">
      <c r="A434" s="11">
        <f>WorkOrders!A434</f>
        <v/>
      </c>
      <c r="B434" s="11">
        <f>IF(A434="","",WorkOrders!B434)</f>
        <v/>
      </c>
      <c r="C434" s="11">
        <f>IF(A434="","",IFERROR(SUMIFS(BOM!$E$2:$E$500,BOM!$A$2:$A$500,B434),""))</f>
        <v/>
      </c>
      <c r="D434" s="11">
        <f>IF(A434="","",SUMIFS(StockMovements!$I$2:$I$500,StockMovements!$H$2:$H$500,A434,StockMovements!$D$2:$D$500,"issue"))</f>
        <v/>
      </c>
      <c r="E434" s="11">
        <f>IF(OR(A434="",C434="",C434=0,D434=0),"",D434/C434)</f>
        <v/>
      </c>
      <c r="F434" s="11">
        <f>IF(A434="","",WorkOrders!L434)</f>
        <v/>
      </c>
      <c r="G434" s="15">
        <f>IF(OR(E434="",E434=0),"",F434/E434)</f>
        <v/>
      </c>
      <c r="H434" s="11">
        <f>IF(OR(C434="",F434="",F434=0),"",C434*WorkOrders!E434/F434)</f>
        <v/>
      </c>
    </row>
    <row r="435">
      <c r="A435" s="11">
        <f>WorkOrders!A435</f>
        <v/>
      </c>
      <c r="B435" s="11">
        <f>IF(A435="","",WorkOrders!B435)</f>
        <v/>
      </c>
      <c r="C435" s="11">
        <f>IF(A435="","",IFERROR(SUMIFS(BOM!$E$2:$E$500,BOM!$A$2:$A$500,B435),""))</f>
        <v/>
      </c>
      <c r="D435" s="11">
        <f>IF(A435="","",SUMIFS(StockMovements!$I$2:$I$500,StockMovements!$H$2:$H$500,A435,StockMovements!$D$2:$D$500,"issue"))</f>
        <v/>
      </c>
      <c r="E435" s="11">
        <f>IF(OR(A435="",C435="",C435=0,D435=0),"",D435/C435)</f>
        <v/>
      </c>
      <c r="F435" s="11">
        <f>IF(A435="","",WorkOrders!L435)</f>
        <v/>
      </c>
      <c r="G435" s="15">
        <f>IF(OR(E435="",E435=0),"",F435/E435)</f>
        <v/>
      </c>
      <c r="H435" s="11">
        <f>IF(OR(C435="",F435="",F435=0),"",C435*WorkOrders!E435/F435)</f>
        <v/>
      </c>
    </row>
    <row r="436">
      <c r="A436" s="11">
        <f>WorkOrders!A436</f>
        <v/>
      </c>
      <c r="B436" s="11">
        <f>IF(A436="","",WorkOrders!B436)</f>
        <v/>
      </c>
      <c r="C436" s="11">
        <f>IF(A436="","",IFERROR(SUMIFS(BOM!$E$2:$E$500,BOM!$A$2:$A$500,B436),""))</f>
        <v/>
      </c>
      <c r="D436" s="11">
        <f>IF(A436="","",SUMIFS(StockMovements!$I$2:$I$500,StockMovements!$H$2:$H$500,A436,StockMovements!$D$2:$D$500,"issue"))</f>
        <v/>
      </c>
      <c r="E436" s="11">
        <f>IF(OR(A436="",C436="",C436=0,D436=0),"",D436/C436)</f>
        <v/>
      </c>
      <c r="F436" s="11">
        <f>IF(A436="","",WorkOrders!L436)</f>
        <v/>
      </c>
      <c r="G436" s="15">
        <f>IF(OR(E436="",E436=0),"",F436/E436)</f>
        <v/>
      </c>
      <c r="H436" s="11">
        <f>IF(OR(C436="",F436="",F436=0),"",C436*WorkOrders!E436/F436)</f>
        <v/>
      </c>
    </row>
    <row r="437">
      <c r="A437" s="11">
        <f>WorkOrders!A437</f>
        <v/>
      </c>
      <c r="B437" s="11">
        <f>IF(A437="","",WorkOrders!B437)</f>
        <v/>
      </c>
      <c r="C437" s="11">
        <f>IF(A437="","",IFERROR(SUMIFS(BOM!$E$2:$E$500,BOM!$A$2:$A$500,B437),""))</f>
        <v/>
      </c>
      <c r="D437" s="11">
        <f>IF(A437="","",SUMIFS(StockMovements!$I$2:$I$500,StockMovements!$H$2:$H$500,A437,StockMovements!$D$2:$D$500,"issue"))</f>
        <v/>
      </c>
      <c r="E437" s="11">
        <f>IF(OR(A437="",C437="",C437=0,D437=0),"",D437/C437)</f>
        <v/>
      </c>
      <c r="F437" s="11">
        <f>IF(A437="","",WorkOrders!L437)</f>
        <v/>
      </c>
      <c r="G437" s="15">
        <f>IF(OR(E437="",E437=0),"",F437/E437)</f>
        <v/>
      </c>
      <c r="H437" s="11">
        <f>IF(OR(C437="",F437="",F437=0),"",C437*WorkOrders!E437/F437)</f>
        <v/>
      </c>
    </row>
    <row r="438">
      <c r="A438" s="11">
        <f>WorkOrders!A438</f>
        <v/>
      </c>
      <c r="B438" s="11">
        <f>IF(A438="","",WorkOrders!B438)</f>
        <v/>
      </c>
      <c r="C438" s="11">
        <f>IF(A438="","",IFERROR(SUMIFS(BOM!$E$2:$E$500,BOM!$A$2:$A$500,B438),""))</f>
        <v/>
      </c>
      <c r="D438" s="11">
        <f>IF(A438="","",SUMIFS(StockMovements!$I$2:$I$500,StockMovements!$H$2:$H$500,A438,StockMovements!$D$2:$D$500,"issue"))</f>
        <v/>
      </c>
      <c r="E438" s="11">
        <f>IF(OR(A438="",C438="",C438=0,D438=0),"",D438/C438)</f>
        <v/>
      </c>
      <c r="F438" s="11">
        <f>IF(A438="","",WorkOrders!L438)</f>
        <v/>
      </c>
      <c r="G438" s="15">
        <f>IF(OR(E438="",E438=0),"",F438/E438)</f>
        <v/>
      </c>
      <c r="H438" s="11">
        <f>IF(OR(C438="",F438="",F438=0),"",C438*WorkOrders!E438/F438)</f>
        <v/>
      </c>
    </row>
    <row r="439">
      <c r="A439" s="11">
        <f>WorkOrders!A439</f>
        <v/>
      </c>
      <c r="B439" s="11">
        <f>IF(A439="","",WorkOrders!B439)</f>
        <v/>
      </c>
      <c r="C439" s="11">
        <f>IF(A439="","",IFERROR(SUMIFS(BOM!$E$2:$E$500,BOM!$A$2:$A$500,B439),""))</f>
        <v/>
      </c>
      <c r="D439" s="11">
        <f>IF(A439="","",SUMIFS(StockMovements!$I$2:$I$500,StockMovements!$H$2:$H$500,A439,StockMovements!$D$2:$D$500,"issue"))</f>
        <v/>
      </c>
      <c r="E439" s="11">
        <f>IF(OR(A439="",C439="",C439=0,D439=0),"",D439/C439)</f>
        <v/>
      </c>
      <c r="F439" s="11">
        <f>IF(A439="","",WorkOrders!L439)</f>
        <v/>
      </c>
      <c r="G439" s="15">
        <f>IF(OR(E439="",E439=0),"",F439/E439)</f>
        <v/>
      </c>
      <c r="H439" s="11">
        <f>IF(OR(C439="",F439="",F439=0),"",C439*WorkOrders!E439/F439)</f>
        <v/>
      </c>
    </row>
    <row r="440">
      <c r="A440" s="11">
        <f>WorkOrders!A440</f>
        <v/>
      </c>
      <c r="B440" s="11">
        <f>IF(A440="","",WorkOrders!B440)</f>
        <v/>
      </c>
      <c r="C440" s="11">
        <f>IF(A440="","",IFERROR(SUMIFS(BOM!$E$2:$E$500,BOM!$A$2:$A$500,B440),""))</f>
        <v/>
      </c>
      <c r="D440" s="11">
        <f>IF(A440="","",SUMIFS(StockMovements!$I$2:$I$500,StockMovements!$H$2:$H$500,A440,StockMovements!$D$2:$D$500,"issue"))</f>
        <v/>
      </c>
      <c r="E440" s="11">
        <f>IF(OR(A440="",C440="",C440=0,D440=0),"",D440/C440)</f>
        <v/>
      </c>
      <c r="F440" s="11">
        <f>IF(A440="","",WorkOrders!L440)</f>
        <v/>
      </c>
      <c r="G440" s="15">
        <f>IF(OR(E440="",E440=0),"",F440/E440)</f>
        <v/>
      </c>
      <c r="H440" s="11">
        <f>IF(OR(C440="",F440="",F440=0),"",C440*WorkOrders!E440/F440)</f>
        <v/>
      </c>
    </row>
    <row r="441">
      <c r="A441" s="11">
        <f>WorkOrders!A441</f>
        <v/>
      </c>
      <c r="B441" s="11">
        <f>IF(A441="","",WorkOrders!B441)</f>
        <v/>
      </c>
      <c r="C441" s="11">
        <f>IF(A441="","",IFERROR(SUMIFS(BOM!$E$2:$E$500,BOM!$A$2:$A$500,B441),""))</f>
        <v/>
      </c>
      <c r="D441" s="11">
        <f>IF(A441="","",SUMIFS(StockMovements!$I$2:$I$500,StockMovements!$H$2:$H$500,A441,StockMovements!$D$2:$D$500,"issue"))</f>
        <v/>
      </c>
      <c r="E441" s="11">
        <f>IF(OR(A441="",C441="",C441=0,D441=0),"",D441/C441)</f>
        <v/>
      </c>
      <c r="F441" s="11">
        <f>IF(A441="","",WorkOrders!L441)</f>
        <v/>
      </c>
      <c r="G441" s="15">
        <f>IF(OR(E441="",E441=0),"",F441/E441)</f>
        <v/>
      </c>
      <c r="H441" s="11">
        <f>IF(OR(C441="",F441="",F441=0),"",C441*WorkOrders!E441/F441)</f>
        <v/>
      </c>
    </row>
    <row r="442">
      <c r="A442" s="11">
        <f>WorkOrders!A442</f>
        <v/>
      </c>
      <c r="B442" s="11">
        <f>IF(A442="","",WorkOrders!B442)</f>
        <v/>
      </c>
      <c r="C442" s="11">
        <f>IF(A442="","",IFERROR(SUMIFS(BOM!$E$2:$E$500,BOM!$A$2:$A$500,B442),""))</f>
        <v/>
      </c>
      <c r="D442" s="11">
        <f>IF(A442="","",SUMIFS(StockMovements!$I$2:$I$500,StockMovements!$H$2:$H$500,A442,StockMovements!$D$2:$D$500,"issue"))</f>
        <v/>
      </c>
      <c r="E442" s="11">
        <f>IF(OR(A442="",C442="",C442=0,D442=0),"",D442/C442)</f>
        <v/>
      </c>
      <c r="F442" s="11">
        <f>IF(A442="","",WorkOrders!L442)</f>
        <v/>
      </c>
      <c r="G442" s="15">
        <f>IF(OR(E442="",E442=0),"",F442/E442)</f>
        <v/>
      </c>
      <c r="H442" s="11">
        <f>IF(OR(C442="",F442="",F442=0),"",C442*WorkOrders!E442/F442)</f>
        <v/>
      </c>
    </row>
    <row r="443">
      <c r="A443" s="11">
        <f>WorkOrders!A443</f>
        <v/>
      </c>
      <c r="B443" s="11">
        <f>IF(A443="","",WorkOrders!B443)</f>
        <v/>
      </c>
      <c r="C443" s="11">
        <f>IF(A443="","",IFERROR(SUMIFS(BOM!$E$2:$E$500,BOM!$A$2:$A$500,B443),""))</f>
        <v/>
      </c>
      <c r="D443" s="11">
        <f>IF(A443="","",SUMIFS(StockMovements!$I$2:$I$500,StockMovements!$H$2:$H$500,A443,StockMovements!$D$2:$D$500,"issue"))</f>
        <v/>
      </c>
      <c r="E443" s="11">
        <f>IF(OR(A443="",C443="",C443=0,D443=0),"",D443/C443)</f>
        <v/>
      </c>
      <c r="F443" s="11">
        <f>IF(A443="","",WorkOrders!L443)</f>
        <v/>
      </c>
      <c r="G443" s="15">
        <f>IF(OR(E443="",E443=0),"",F443/E443)</f>
        <v/>
      </c>
      <c r="H443" s="11">
        <f>IF(OR(C443="",F443="",F443=0),"",C443*WorkOrders!E443/F443)</f>
        <v/>
      </c>
    </row>
    <row r="444">
      <c r="A444" s="11">
        <f>WorkOrders!A444</f>
        <v/>
      </c>
      <c r="B444" s="11">
        <f>IF(A444="","",WorkOrders!B444)</f>
        <v/>
      </c>
      <c r="C444" s="11">
        <f>IF(A444="","",IFERROR(SUMIFS(BOM!$E$2:$E$500,BOM!$A$2:$A$500,B444),""))</f>
        <v/>
      </c>
      <c r="D444" s="11">
        <f>IF(A444="","",SUMIFS(StockMovements!$I$2:$I$500,StockMovements!$H$2:$H$500,A444,StockMovements!$D$2:$D$500,"issue"))</f>
        <v/>
      </c>
      <c r="E444" s="11">
        <f>IF(OR(A444="",C444="",C444=0,D444=0),"",D444/C444)</f>
        <v/>
      </c>
      <c r="F444" s="11">
        <f>IF(A444="","",WorkOrders!L444)</f>
        <v/>
      </c>
      <c r="G444" s="15">
        <f>IF(OR(E444="",E444=0),"",F444/E444)</f>
        <v/>
      </c>
      <c r="H444" s="11">
        <f>IF(OR(C444="",F444="",F444=0),"",C444*WorkOrders!E444/F444)</f>
        <v/>
      </c>
    </row>
    <row r="445">
      <c r="A445" s="11">
        <f>WorkOrders!A445</f>
        <v/>
      </c>
      <c r="B445" s="11">
        <f>IF(A445="","",WorkOrders!B445)</f>
        <v/>
      </c>
      <c r="C445" s="11">
        <f>IF(A445="","",IFERROR(SUMIFS(BOM!$E$2:$E$500,BOM!$A$2:$A$500,B445),""))</f>
        <v/>
      </c>
      <c r="D445" s="11">
        <f>IF(A445="","",SUMIFS(StockMovements!$I$2:$I$500,StockMovements!$H$2:$H$500,A445,StockMovements!$D$2:$D$500,"issue"))</f>
        <v/>
      </c>
      <c r="E445" s="11">
        <f>IF(OR(A445="",C445="",C445=0,D445=0),"",D445/C445)</f>
        <v/>
      </c>
      <c r="F445" s="11">
        <f>IF(A445="","",WorkOrders!L445)</f>
        <v/>
      </c>
      <c r="G445" s="15">
        <f>IF(OR(E445="",E445=0),"",F445/E445)</f>
        <v/>
      </c>
      <c r="H445" s="11">
        <f>IF(OR(C445="",F445="",F445=0),"",C445*WorkOrders!E445/F445)</f>
        <v/>
      </c>
    </row>
    <row r="446">
      <c r="A446" s="11">
        <f>WorkOrders!A446</f>
        <v/>
      </c>
      <c r="B446" s="11">
        <f>IF(A446="","",WorkOrders!B446)</f>
        <v/>
      </c>
      <c r="C446" s="11">
        <f>IF(A446="","",IFERROR(SUMIFS(BOM!$E$2:$E$500,BOM!$A$2:$A$500,B446),""))</f>
        <v/>
      </c>
      <c r="D446" s="11">
        <f>IF(A446="","",SUMIFS(StockMovements!$I$2:$I$500,StockMovements!$H$2:$H$500,A446,StockMovements!$D$2:$D$500,"issue"))</f>
        <v/>
      </c>
      <c r="E446" s="11">
        <f>IF(OR(A446="",C446="",C446=0,D446=0),"",D446/C446)</f>
        <v/>
      </c>
      <c r="F446" s="11">
        <f>IF(A446="","",WorkOrders!L446)</f>
        <v/>
      </c>
      <c r="G446" s="15">
        <f>IF(OR(E446="",E446=0),"",F446/E446)</f>
        <v/>
      </c>
      <c r="H446" s="11">
        <f>IF(OR(C446="",F446="",F446=0),"",C446*WorkOrders!E446/F446)</f>
        <v/>
      </c>
    </row>
    <row r="447">
      <c r="A447" s="11">
        <f>WorkOrders!A447</f>
        <v/>
      </c>
      <c r="B447" s="11">
        <f>IF(A447="","",WorkOrders!B447)</f>
        <v/>
      </c>
      <c r="C447" s="11">
        <f>IF(A447="","",IFERROR(SUMIFS(BOM!$E$2:$E$500,BOM!$A$2:$A$500,B447),""))</f>
        <v/>
      </c>
      <c r="D447" s="11">
        <f>IF(A447="","",SUMIFS(StockMovements!$I$2:$I$500,StockMovements!$H$2:$H$500,A447,StockMovements!$D$2:$D$500,"issue"))</f>
        <v/>
      </c>
      <c r="E447" s="11">
        <f>IF(OR(A447="",C447="",C447=0,D447=0),"",D447/C447)</f>
        <v/>
      </c>
      <c r="F447" s="11">
        <f>IF(A447="","",WorkOrders!L447)</f>
        <v/>
      </c>
      <c r="G447" s="15">
        <f>IF(OR(E447="",E447=0),"",F447/E447)</f>
        <v/>
      </c>
      <c r="H447" s="11">
        <f>IF(OR(C447="",F447="",F447=0),"",C447*WorkOrders!E447/F447)</f>
        <v/>
      </c>
    </row>
    <row r="448">
      <c r="A448" s="11">
        <f>WorkOrders!A448</f>
        <v/>
      </c>
      <c r="B448" s="11">
        <f>IF(A448="","",WorkOrders!B448)</f>
        <v/>
      </c>
      <c r="C448" s="11">
        <f>IF(A448="","",IFERROR(SUMIFS(BOM!$E$2:$E$500,BOM!$A$2:$A$500,B448),""))</f>
        <v/>
      </c>
      <c r="D448" s="11">
        <f>IF(A448="","",SUMIFS(StockMovements!$I$2:$I$500,StockMovements!$H$2:$H$500,A448,StockMovements!$D$2:$D$500,"issue"))</f>
        <v/>
      </c>
      <c r="E448" s="11">
        <f>IF(OR(A448="",C448="",C448=0,D448=0),"",D448/C448)</f>
        <v/>
      </c>
      <c r="F448" s="11">
        <f>IF(A448="","",WorkOrders!L448)</f>
        <v/>
      </c>
      <c r="G448" s="15">
        <f>IF(OR(E448="",E448=0),"",F448/E448)</f>
        <v/>
      </c>
      <c r="H448" s="11">
        <f>IF(OR(C448="",F448="",F448=0),"",C448*WorkOrders!E448/F448)</f>
        <v/>
      </c>
    </row>
    <row r="449">
      <c r="A449" s="11">
        <f>WorkOrders!A449</f>
        <v/>
      </c>
      <c r="B449" s="11">
        <f>IF(A449="","",WorkOrders!B449)</f>
        <v/>
      </c>
      <c r="C449" s="11">
        <f>IF(A449="","",IFERROR(SUMIFS(BOM!$E$2:$E$500,BOM!$A$2:$A$500,B449),""))</f>
        <v/>
      </c>
      <c r="D449" s="11">
        <f>IF(A449="","",SUMIFS(StockMovements!$I$2:$I$500,StockMovements!$H$2:$H$500,A449,StockMovements!$D$2:$D$500,"issue"))</f>
        <v/>
      </c>
      <c r="E449" s="11">
        <f>IF(OR(A449="",C449="",C449=0,D449=0),"",D449/C449)</f>
        <v/>
      </c>
      <c r="F449" s="11">
        <f>IF(A449="","",WorkOrders!L449)</f>
        <v/>
      </c>
      <c r="G449" s="15">
        <f>IF(OR(E449="",E449=0),"",F449/E449)</f>
        <v/>
      </c>
      <c r="H449" s="11">
        <f>IF(OR(C449="",F449="",F449=0),"",C449*WorkOrders!E449/F449)</f>
        <v/>
      </c>
    </row>
    <row r="450">
      <c r="A450" s="11">
        <f>WorkOrders!A450</f>
        <v/>
      </c>
      <c r="B450" s="11">
        <f>IF(A450="","",WorkOrders!B450)</f>
        <v/>
      </c>
      <c r="C450" s="11">
        <f>IF(A450="","",IFERROR(SUMIFS(BOM!$E$2:$E$500,BOM!$A$2:$A$500,B450),""))</f>
        <v/>
      </c>
      <c r="D450" s="11">
        <f>IF(A450="","",SUMIFS(StockMovements!$I$2:$I$500,StockMovements!$H$2:$H$500,A450,StockMovements!$D$2:$D$500,"issue"))</f>
        <v/>
      </c>
      <c r="E450" s="11">
        <f>IF(OR(A450="",C450="",C450=0,D450=0),"",D450/C450)</f>
        <v/>
      </c>
      <c r="F450" s="11">
        <f>IF(A450="","",WorkOrders!L450)</f>
        <v/>
      </c>
      <c r="G450" s="15">
        <f>IF(OR(E450="",E450=0),"",F450/E450)</f>
        <v/>
      </c>
      <c r="H450" s="11">
        <f>IF(OR(C450="",F450="",F450=0),"",C450*WorkOrders!E450/F450)</f>
        <v/>
      </c>
    </row>
    <row r="451">
      <c r="A451" s="11">
        <f>WorkOrders!A451</f>
        <v/>
      </c>
      <c r="B451" s="11">
        <f>IF(A451="","",WorkOrders!B451)</f>
        <v/>
      </c>
      <c r="C451" s="11">
        <f>IF(A451="","",IFERROR(SUMIFS(BOM!$E$2:$E$500,BOM!$A$2:$A$500,B451),""))</f>
        <v/>
      </c>
      <c r="D451" s="11">
        <f>IF(A451="","",SUMIFS(StockMovements!$I$2:$I$500,StockMovements!$H$2:$H$500,A451,StockMovements!$D$2:$D$500,"issue"))</f>
        <v/>
      </c>
      <c r="E451" s="11">
        <f>IF(OR(A451="",C451="",C451=0,D451=0),"",D451/C451)</f>
        <v/>
      </c>
      <c r="F451" s="11">
        <f>IF(A451="","",WorkOrders!L451)</f>
        <v/>
      </c>
      <c r="G451" s="15">
        <f>IF(OR(E451="",E451=0),"",F451/E451)</f>
        <v/>
      </c>
      <c r="H451" s="11">
        <f>IF(OR(C451="",F451="",F451=0),"",C451*WorkOrders!E451/F451)</f>
        <v/>
      </c>
    </row>
    <row r="452">
      <c r="A452" s="11">
        <f>WorkOrders!A452</f>
        <v/>
      </c>
      <c r="B452" s="11">
        <f>IF(A452="","",WorkOrders!B452)</f>
        <v/>
      </c>
      <c r="C452" s="11">
        <f>IF(A452="","",IFERROR(SUMIFS(BOM!$E$2:$E$500,BOM!$A$2:$A$500,B452),""))</f>
        <v/>
      </c>
      <c r="D452" s="11">
        <f>IF(A452="","",SUMIFS(StockMovements!$I$2:$I$500,StockMovements!$H$2:$H$500,A452,StockMovements!$D$2:$D$500,"issue"))</f>
        <v/>
      </c>
      <c r="E452" s="11">
        <f>IF(OR(A452="",C452="",C452=0,D452=0),"",D452/C452)</f>
        <v/>
      </c>
      <c r="F452" s="11">
        <f>IF(A452="","",WorkOrders!L452)</f>
        <v/>
      </c>
      <c r="G452" s="15">
        <f>IF(OR(E452="",E452=0),"",F452/E452)</f>
        <v/>
      </c>
      <c r="H452" s="11">
        <f>IF(OR(C452="",F452="",F452=0),"",C452*WorkOrders!E452/F452)</f>
        <v/>
      </c>
    </row>
    <row r="453">
      <c r="A453" s="11">
        <f>WorkOrders!A453</f>
        <v/>
      </c>
      <c r="B453" s="11">
        <f>IF(A453="","",WorkOrders!B453)</f>
        <v/>
      </c>
      <c r="C453" s="11">
        <f>IF(A453="","",IFERROR(SUMIFS(BOM!$E$2:$E$500,BOM!$A$2:$A$500,B453),""))</f>
        <v/>
      </c>
      <c r="D453" s="11">
        <f>IF(A453="","",SUMIFS(StockMovements!$I$2:$I$500,StockMovements!$H$2:$H$500,A453,StockMovements!$D$2:$D$500,"issue"))</f>
        <v/>
      </c>
      <c r="E453" s="11">
        <f>IF(OR(A453="",C453="",C453=0,D453=0),"",D453/C453)</f>
        <v/>
      </c>
      <c r="F453" s="11">
        <f>IF(A453="","",WorkOrders!L453)</f>
        <v/>
      </c>
      <c r="G453" s="15">
        <f>IF(OR(E453="",E453=0),"",F453/E453)</f>
        <v/>
      </c>
      <c r="H453" s="11">
        <f>IF(OR(C453="",F453="",F453=0),"",C453*WorkOrders!E453/F453)</f>
        <v/>
      </c>
    </row>
    <row r="454">
      <c r="A454" s="11">
        <f>WorkOrders!A454</f>
        <v/>
      </c>
      <c r="B454" s="11">
        <f>IF(A454="","",WorkOrders!B454)</f>
        <v/>
      </c>
      <c r="C454" s="11">
        <f>IF(A454="","",IFERROR(SUMIFS(BOM!$E$2:$E$500,BOM!$A$2:$A$500,B454),""))</f>
        <v/>
      </c>
      <c r="D454" s="11">
        <f>IF(A454="","",SUMIFS(StockMovements!$I$2:$I$500,StockMovements!$H$2:$H$500,A454,StockMovements!$D$2:$D$500,"issue"))</f>
        <v/>
      </c>
      <c r="E454" s="11">
        <f>IF(OR(A454="",C454="",C454=0,D454=0),"",D454/C454)</f>
        <v/>
      </c>
      <c r="F454" s="11">
        <f>IF(A454="","",WorkOrders!L454)</f>
        <v/>
      </c>
      <c r="G454" s="15">
        <f>IF(OR(E454="",E454=0),"",F454/E454)</f>
        <v/>
      </c>
      <c r="H454" s="11">
        <f>IF(OR(C454="",F454="",F454=0),"",C454*WorkOrders!E454/F454)</f>
        <v/>
      </c>
    </row>
    <row r="455">
      <c r="A455" s="11">
        <f>WorkOrders!A455</f>
        <v/>
      </c>
      <c r="B455" s="11">
        <f>IF(A455="","",WorkOrders!B455)</f>
        <v/>
      </c>
      <c r="C455" s="11">
        <f>IF(A455="","",IFERROR(SUMIFS(BOM!$E$2:$E$500,BOM!$A$2:$A$500,B455),""))</f>
        <v/>
      </c>
      <c r="D455" s="11">
        <f>IF(A455="","",SUMIFS(StockMovements!$I$2:$I$500,StockMovements!$H$2:$H$500,A455,StockMovements!$D$2:$D$500,"issue"))</f>
        <v/>
      </c>
      <c r="E455" s="11">
        <f>IF(OR(A455="",C455="",C455=0,D455=0),"",D455/C455)</f>
        <v/>
      </c>
      <c r="F455" s="11">
        <f>IF(A455="","",WorkOrders!L455)</f>
        <v/>
      </c>
      <c r="G455" s="15">
        <f>IF(OR(E455="",E455=0),"",F455/E455)</f>
        <v/>
      </c>
      <c r="H455" s="11">
        <f>IF(OR(C455="",F455="",F455=0),"",C455*WorkOrders!E455/F455)</f>
        <v/>
      </c>
    </row>
    <row r="456">
      <c r="A456" s="11">
        <f>WorkOrders!A456</f>
        <v/>
      </c>
      <c r="B456" s="11">
        <f>IF(A456="","",WorkOrders!B456)</f>
        <v/>
      </c>
      <c r="C456" s="11">
        <f>IF(A456="","",IFERROR(SUMIFS(BOM!$E$2:$E$500,BOM!$A$2:$A$500,B456),""))</f>
        <v/>
      </c>
      <c r="D456" s="11">
        <f>IF(A456="","",SUMIFS(StockMovements!$I$2:$I$500,StockMovements!$H$2:$H$500,A456,StockMovements!$D$2:$D$500,"issue"))</f>
        <v/>
      </c>
      <c r="E456" s="11">
        <f>IF(OR(A456="",C456="",C456=0,D456=0),"",D456/C456)</f>
        <v/>
      </c>
      <c r="F456" s="11">
        <f>IF(A456="","",WorkOrders!L456)</f>
        <v/>
      </c>
      <c r="G456" s="15">
        <f>IF(OR(E456="",E456=0),"",F456/E456)</f>
        <v/>
      </c>
      <c r="H456" s="11">
        <f>IF(OR(C456="",F456="",F456=0),"",C456*WorkOrders!E456/F456)</f>
        <v/>
      </c>
    </row>
    <row r="457">
      <c r="A457" s="11">
        <f>WorkOrders!A457</f>
        <v/>
      </c>
      <c r="B457" s="11">
        <f>IF(A457="","",WorkOrders!B457)</f>
        <v/>
      </c>
      <c r="C457" s="11">
        <f>IF(A457="","",IFERROR(SUMIFS(BOM!$E$2:$E$500,BOM!$A$2:$A$500,B457),""))</f>
        <v/>
      </c>
      <c r="D457" s="11">
        <f>IF(A457="","",SUMIFS(StockMovements!$I$2:$I$500,StockMovements!$H$2:$H$500,A457,StockMovements!$D$2:$D$500,"issue"))</f>
        <v/>
      </c>
      <c r="E457" s="11">
        <f>IF(OR(A457="",C457="",C457=0,D457=0),"",D457/C457)</f>
        <v/>
      </c>
      <c r="F457" s="11">
        <f>IF(A457="","",WorkOrders!L457)</f>
        <v/>
      </c>
      <c r="G457" s="15">
        <f>IF(OR(E457="",E457=0),"",F457/E457)</f>
        <v/>
      </c>
      <c r="H457" s="11">
        <f>IF(OR(C457="",F457="",F457=0),"",C457*WorkOrders!E457/F457)</f>
        <v/>
      </c>
    </row>
    <row r="458">
      <c r="A458" s="11">
        <f>WorkOrders!A458</f>
        <v/>
      </c>
      <c r="B458" s="11">
        <f>IF(A458="","",WorkOrders!B458)</f>
        <v/>
      </c>
      <c r="C458" s="11">
        <f>IF(A458="","",IFERROR(SUMIFS(BOM!$E$2:$E$500,BOM!$A$2:$A$500,B458),""))</f>
        <v/>
      </c>
      <c r="D458" s="11">
        <f>IF(A458="","",SUMIFS(StockMovements!$I$2:$I$500,StockMovements!$H$2:$H$500,A458,StockMovements!$D$2:$D$500,"issue"))</f>
        <v/>
      </c>
      <c r="E458" s="11">
        <f>IF(OR(A458="",C458="",C458=0,D458=0),"",D458/C458)</f>
        <v/>
      </c>
      <c r="F458" s="11">
        <f>IF(A458="","",WorkOrders!L458)</f>
        <v/>
      </c>
      <c r="G458" s="15">
        <f>IF(OR(E458="",E458=0),"",F458/E458)</f>
        <v/>
      </c>
      <c r="H458" s="11">
        <f>IF(OR(C458="",F458="",F458=0),"",C458*WorkOrders!E458/F458)</f>
        <v/>
      </c>
    </row>
    <row r="459">
      <c r="A459" s="11">
        <f>WorkOrders!A459</f>
        <v/>
      </c>
      <c r="B459" s="11">
        <f>IF(A459="","",WorkOrders!B459)</f>
        <v/>
      </c>
      <c r="C459" s="11">
        <f>IF(A459="","",IFERROR(SUMIFS(BOM!$E$2:$E$500,BOM!$A$2:$A$500,B459),""))</f>
        <v/>
      </c>
      <c r="D459" s="11">
        <f>IF(A459="","",SUMIFS(StockMovements!$I$2:$I$500,StockMovements!$H$2:$H$500,A459,StockMovements!$D$2:$D$500,"issue"))</f>
        <v/>
      </c>
      <c r="E459" s="11">
        <f>IF(OR(A459="",C459="",C459=0,D459=0),"",D459/C459)</f>
        <v/>
      </c>
      <c r="F459" s="11">
        <f>IF(A459="","",WorkOrders!L459)</f>
        <v/>
      </c>
      <c r="G459" s="15">
        <f>IF(OR(E459="",E459=0),"",F459/E459)</f>
        <v/>
      </c>
      <c r="H459" s="11">
        <f>IF(OR(C459="",F459="",F459=0),"",C459*WorkOrders!E459/F459)</f>
        <v/>
      </c>
    </row>
    <row r="460">
      <c r="A460" s="11">
        <f>WorkOrders!A460</f>
        <v/>
      </c>
      <c r="B460" s="11">
        <f>IF(A460="","",WorkOrders!B460)</f>
        <v/>
      </c>
      <c r="C460" s="11">
        <f>IF(A460="","",IFERROR(SUMIFS(BOM!$E$2:$E$500,BOM!$A$2:$A$500,B460),""))</f>
        <v/>
      </c>
      <c r="D460" s="11">
        <f>IF(A460="","",SUMIFS(StockMovements!$I$2:$I$500,StockMovements!$H$2:$H$500,A460,StockMovements!$D$2:$D$500,"issue"))</f>
        <v/>
      </c>
      <c r="E460" s="11">
        <f>IF(OR(A460="",C460="",C460=0,D460=0),"",D460/C460)</f>
        <v/>
      </c>
      <c r="F460" s="11">
        <f>IF(A460="","",WorkOrders!L460)</f>
        <v/>
      </c>
      <c r="G460" s="15">
        <f>IF(OR(E460="",E460=0),"",F460/E460)</f>
        <v/>
      </c>
      <c r="H460" s="11">
        <f>IF(OR(C460="",F460="",F460=0),"",C460*WorkOrders!E460/F460)</f>
        <v/>
      </c>
    </row>
    <row r="461">
      <c r="A461" s="11">
        <f>WorkOrders!A461</f>
        <v/>
      </c>
      <c r="B461" s="11">
        <f>IF(A461="","",WorkOrders!B461)</f>
        <v/>
      </c>
      <c r="C461" s="11">
        <f>IF(A461="","",IFERROR(SUMIFS(BOM!$E$2:$E$500,BOM!$A$2:$A$500,B461),""))</f>
        <v/>
      </c>
      <c r="D461" s="11">
        <f>IF(A461="","",SUMIFS(StockMovements!$I$2:$I$500,StockMovements!$H$2:$H$500,A461,StockMovements!$D$2:$D$500,"issue"))</f>
        <v/>
      </c>
      <c r="E461" s="11">
        <f>IF(OR(A461="",C461="",C461=0,D461=0),"",D461/C461)</f>
        <v/>
      </c>
      <c r="F461" s="11">
        <f>IF(A461="","",WorkOrders!L461)</f>
        <v/>
      </c>
      <c r="G461" s="15">
        <f>IF(OR(E461="",E461=0),"",F461/E461)</f>
        <v/>
      </c>
      <c r="H461" s="11">
        <f>IF(OR(C461="",F461="",F461=0),"",C461*WorkOrders!E461/F461)</f>
        <v/>
      </c>
    </row>
    <row r="462">
      <c r="A462" s="11">
        <f>WorkOrders!A462</f>
        <v/>
      </c>
      <c r="B462" s="11">
        <f>IF(A462="","",WorkOrders!B462)</f>
        <v/>
      </c>
      <c r="C462" s="11">
        <f>IF(A462="","",IFERROR(SUMIFS(BOM!$E$2:$E$500,BOM!$A$2:$A$500,B462),""))</f>
        <v/>
      </c>
      <c r="D462" s="11">
        <f>IF(A462="","",SUMIFS(StockMovements!$I$2:$I$500,StockMovements!$H$2:$H$500,A462,StockMovements!$D$2:$D$500,"issue"))</f>
        <v/>
      </c>
      <c r="E462" s="11">
        <f>IF(OR(A462="",C462="",C462=0,D462=0),"",D462/C462)</f>
        <v/>
      </c>
      <c r="F462" s="11">
        <f>IF(A462="","",WorkOrders!L462)</f>
        <v/>
      </c>
      <c r="G462" s="15">
        <f>IF(OR(E462="",E462=0),"",F462/E462)</f>
        <v/>
      </c>
      <c r="H462" s="11">
        <f>IF(OR(C462="",F462="",F462=0),"",C462*WorkOrders!E462/F462)</f>
        <v/>
      </c>
    </row>
    <row r="463">
      <c r="A463" s="11">
        <f>WorkOrders!A463</f>
        <v/>
      </c>
      <c r="B463" s="11">
        <f>IF(A463="","",WorkOrders!B463)</f>
        <v/>
      </c>
      <c r="C463" s="11">
        <f>IF(A463="","",IFERROR(SUMIFS(BOM!$E$2:$E$500,BOM!$A$2:$A$500,B463),""))</f>
        <v/>
      </c>
      <c r="D463" s="11">
        <f>IF(A463="","",SUMIFS(StockMovements!$I$2:$I$500,StockMovements!$H$2:$H$500,A463,StockMovements!$D$2:$D$500,"issue"))</f>
        <v/>
      </c>
      <c r="E463" s="11">
        <f>IF(OR(A463="",C463="",C463=0,D463=0),"",D463/C463)</f>
        <v/>
      </c>
      <c r="F463" s="11">
        <f>IF(A463="","",WorkOrders!L463)</f>
        <v/>
      </c>
      <c r="G463" s="15">
        <f>IF(OR(E463="",E463=0),"",F463/E463)</f>
        <v/>
      </c>
      <c r="H463" s="11">
        <f>IF(OR(C463="",F463="",F463=0),"",C463*WorkOrders!E463/F463)</f>
        <v/>
      </c>
    </row>
    <row r="464">
      <c r="A464" s="11">
        <f>WorkOrders!A464</f>
        <v/>
      </c>
      <c r="B464" s="11">
        <f>IF(A464="","",WorkOrders!B464)</f>
        <v/>
      </c>
      <c r="C464" s="11">
        <f>IF(A464="","",IFERROR(SUMIFS(BOM!$E$2:$E$500,BOM!$A$2:$A$500,B464),""))</f>
        <v/>
      </c>
      <c r="D464" s="11">
        <f>IF(A464="","",SUMIFS(StockMovements!$I$2:$I$500,StockMovements!$H$2:$H$500,A464,StockMovements!$D$2:$D$500,"issue"))</f>
        <v/>
      </c>
      <c r="E464" s="11">
        <f>IF(OR(A464="",C464="",C464=0,D464=0),"",D464/C464)</f>
        <v/>
      </c>
      <c r="F464" s="11">
        <f>IF(A464="","",WorkOrders!L464)</f>
        <v/>
      </c>
      <c r="G464" s="15">
        <f>IF(OR(E464="",E464=0),"",F464/E464)</f>
        <v/>
      </c>
      <c r="H464" s="11">
        <f>IF(OR(C464="",F464="",F464=0),"",C464*WorkOrders!E464/F464)</f>
        <v/>
      </c>
    </row>
    <row r="465">
      <c r="A465" s="11">
        <f>WorkOrders!A465</f>
        <v/>
      </c>
      <c r="B465" s="11">
        <f>IF(A465="","",WorkOrders!B465)</f>
        <v/>
      </c>
      <c r="C465" s="11">
        <f>IF(A465="","",IFERROR(SUMIFS(BOM!$E$2:$E$500,BOM!$A$2:$A$500,B465),""))</f>
        <v/>
      </c>
      <c r="D465" s="11">
        <f>IF(A465="","",SUMIFS(StockMovements!$I$2:$I$500,StockMovements!$H$2:$H$500,A465,StockMovements!$D$2:$D$500,"issue"))</f>
        <v/>
      </c>
      <c r="E465" s="11">
        <f>IF(OR(A465="",C465="",C465=0,D465=0),"",D465/C465)</f>
        <v/>
      </c>
      <c r="F465" s="11">
        <f>IF(A465="","",WorkOrders!L465)</f>
        <v/>
      </c>
      <c r="G465" s="15">
        <f>IF(OR(E465="",E465=0),"",F465/E465)</f>
        <v/>
      </c>
      <c r="H465" s="11">
        <f>IF(OR(C465="",F465="",F465=0),"",C465*WorkOrders!E465/F465)</f>
        <v/>
      </c>
    </row>
    <row r="466">
      <c r="A466" s="11">
        <f>WorkOrders!A466</f>
        <v/>
      </c>
      <c r="B466" s="11">
        <f>IF(A466="","",WorkOrders!B466)</f>
        <v/>
      </c>
      <c r="C466" s="11">
        <f>IF(A466="","",IFERROR(SUMIFS(BOM!$E$2:$E$500,BOM!$A$2:$A$500,B466),""))</f>
        <v/>
      </c>
      <c r="D466" s="11">
        <f>IF(A466="","",SUMIFS(StockMovements!$I$2:$I$500,StockMovements!$H$2:$H$500,A466,StockMovements!$D$2:$D$500,"issue"))</f>
        <v/>
      </c>
      <c r="E466" s="11">
        <f>IF(OR(A466="",C466="",C466=0,D466=0),"",D466/C466)</f>
        <v/>
      </c>
      <c r="F466" s="11">
        <f>IF(A466="","",WorkOrders!L466)</f>
        <v/>
      </c>
      <c r="G466" s="15">
        <f>IF(OR(E466="",E466=0),"",F466/E466)</f>
        <v/>
      </c>
      <c r="H466" s="11">
        <f>IF(OR(C466="",F466="",F466=0),"",C466*WorkOrders!E466/F466)</f>
        <v/>
      </c>
    </row>
    <row r="467">
      <c r="A467" s="11">
        <f>WorkOrders!A467</f>
        <v/>
      </c>
      <c r="B467" s="11">
        <f>IF(A467="","",WorkOrders!B467)</f>
        <v/>
      </c>
      <c r="C467" s="11">
        <f>IF(A467="","",IFERROR(SUMIFS(BOM!$E$2:$E$500,BOM!$A$2:$A$500,B467),""))</f>
        <v/>
      </c>
      <c r="D467" s="11">
        <f>IF(A467="","",SUMIFS(StockMovements!$I$2:$I$500,StockMovements!$H$2:$H$500,A467,StockMovements!$D$2:$D$500,"issue"))</f>
        <v/>
      </c>
      <c r="E467" s="11">
        <f>IF(OR(A467="",C467="",C467=0,D467=0),"",D467/C467)</f>
        <v/>
      </c>
      <c r="F467" s="11">
        <f>IF(A467="","",WorkOrders!L467)</f>
        <v/>
      </c>
      <c r="G467" s="15">
        <f>IF(OR(E467="",E467=0),"",F467/E467)</f>
        <v/>
      </c>
      <c r="H467" s="11">
        <f>IF(OR(C467="",F467="",F467=0),"",C467*WorkOrders!E467/F467)</f>
        <v/>
      </c>
    </row>
    <row r="468">
      <c r="A468" s="11">
        <f>WorkOrders!A468</f>
        <v/>
      </c>
      <c r="B468" s="11">
        <f>IF(A468="","",WorkOrders!B468)</f>
        <v/>
      </c>
      <c r="C468" s="11">
        <f>IF(A468="","",IFERROR(SUMIFS(BOM!$E$2:$E$500,BOM!$A$2:$A$500,B468),""))</f>
        <v/>
      </c>
      <c r="D468" s="11">
        <f>IF(A468="","",SUMIFS(StockMovements!$I$2:$I$500,StockMovements!$H$2:$H$500,A468,StockMovements!$D$2:$D$500,"issue"))</f>
        <v/>
      </c>
      <c r="E468" s="11">
        <f>IF(OR(A468="",C468="",C468=0,D468=0),"",D468/C468)</f>
        <v/>
      </c>
      <c r="F468" s="11">
        <f>IF(A468="","",WorkOrders!L468)</f>
        <v/>
      </c>
      <c r="G468" s="15">
        <f>IF(OR(E468="",E468=0),"",F468/E468)</f>
        <v/>
      </c>
      <c r="H468" s="11">
        <f>IF(OR(C468="",F468="",F468=0),"",C468*WorkOrders!E468/F468)</f>
        <v/>
      </c>
    </row>
    <row r="469">
      <c r="A469" s="11">
        <f>WorkOrders!A469</f>
        <v/>
      </c>
      <c r="B469" s="11">
        <f>IF(A469="","",WorkOrders!B469)</f>
        <v/>
      </c>
      <c r="C469" s="11">
        <f>IF(A469="","",IFERROR(SUMIFS(BOM!$E$2:$E$500,BOM!$A$2:$A$500,B469),""))</f>
        <v/>
      </c>
      <c r="D469" s="11">
        <f>IF(A469="","",SUMIFS(StockMovements!$I$2:$I$500,StockMovements!$H$2:$H$500,A469,StockMovements!$D$2:$D$500,"issue"))</f>
        <v/>
      </c>
      <c r="E469" s="11">
        <f>IF(OR(A469="",C469="",C469=0,D469=0),"",D469/C469)</f>
        <v/>
      </c>
      <c r="F469" s="11">
        <f>IF(A469="","",WorkOrders!L469)</f>
        <v/>
      </c>
      <c r="G469" s="15">
        <f>IF(OR(E469="",E469=0),"",F469/E469)</f>
        <v/>
      </c>
      <c r="H469" s="11">
        <f>IF(OR(C469="",F469="",F469=0),"",C469*WorkOrders!E469/F469)</f>
        <v/>
      </c>
    </row>
    <row r="470">
      <c r="A470" s="11">
        <f>WorkOrders!A470</f>
        <v/>
      </c>
      <c r="B470" s="11">
        <f>IF(A470="","",WorkOrders!B470)</f>
        <v/>
      </c>
      <c r="C470" s="11">
        <f>IF(A470="","",IFERROR(SUMIFS(BOM!$E$2:$E$500,BOM!$A$2:$A$500,B470),""))</f>
        <v/>
      </c>
      <c r="D470" s="11">
        <f>IF(A470="","",SUMIFS(StockMovements!$I$2:$I$500,StockMovements!$H$2:$H$500,A470,StockMovements!$D$2:$D$500,"issue"))</f>
        <v/>
      </c>
      <c r="E470" s="11">
        <f>IF(OR(A470="",C470="",C470=0,D470=0),"",D470/C470)</f>
        <v/>
      </c>
      <c r="F470" s="11">
        <f>IF(A470="","",WorkOrders!L470)</f>
        <v/>
      </c>
      <c r="G470" s="15">
        <f>IF(OR(E470="",E470=0),"",F470/E470)</f>
        <v/>
      </c>
      <c r="H470" s="11">
        <f>IF(OR(C470="",F470="",F470=0),"",C470*WorkOrders!E470/F470)</f>
        <v/>
      </c>
    </row>
    <row r="471">
      <c r="A471" s="11">
        <f>WorkOrders!A471</f>
        <v/>
      </c>
      <c r="B471" s="11">
        <f>IF(A471="","",WorkOrders!B471)</f>
        <v/>
      </c>
      <c r="C471" s="11">
        <f>IF(A471="","",IFERROR(SUMIFS(BOM!$E$2:$E$500,BOM!$A$2:$A$500,B471),""))</f>
        <v/>
      </c>
      <c r="D471" s="11">
        <f>IF(A471="","",SUMIFS(StockMovements!$I$2:$I$500,StockMovements!$H$2:$H$500,A471,StockMovements!$D$2:$D$500,"issue"))</f>
        <v/>
      </c>
      <c r="E471" s="11">
        <f>IF(OR(A471="",C471="",C471=0,D471=0),"",D471/C471)</f>
        <v/>
      </c>
      <c r="F471" s="11">
        <f>IF(A471="","",WorkOrders!L471)</f>
        <v/>
      </c>
      <c r="G471" s="15">
        <f>IF(OR(E471="",E471=0),"",F471/E471)</f>
        <v/>
      </c>
      <c r="H471" s="11">
        <f>IF(OR(C471="",F471="",F471=0),"",C471*WorkOrders!E471/F471)</f>
        <v/>
      </c>
    </row>
    <row r="472">
      <c r="A472" s="11">
        <f>WorkOrders!A472</f>
        <v/>
      </c>
      <c r="B472" s="11">
        <f>IF(A472="","",WorkOrders!B472)</f>
        <v/>
      </c>
      <c r="C472" s="11">
        <f>IF(A472="","",IFERROR(SUMIFS(BOM!$E$2:$E$500,BOM!$A$2:$A$500,B472),""))</f>
        <v/>
      </c>
      <c r="D472" s="11">
        <f>IF(A472="","",SUMIFS(StockMovements!$I$2:$I$500,StockMovements!$H$2:$H$500,A472,StockMovements!$D$2:$D$500,"issue"))</f>
        <v/>
      </c>
      <c r="E472" s="11">
        <f>IF(OR(A472="",C472="",C472=0,D472=0),"",D472/C472)</f>
        <v/>
      </c>
      <c r="F472" s="11">
        <f>IF(A472="","",WorkOrders!L472)</f>
        <v/>
      </c>
      <c r="G472" s="15">
        <f>IF(OR(E472="",E472=0),"",F472/E472)</f>
        <v/>
      </c>
      <c r="H472" s="11">
        <f>IF(OR(C472="",F472="",F472=0),"",C472*WorkOrders!E472/F472)</f>
        <v/>
      </c>
    </row>
    <row r="473">
      <c r="A473" s="11">
        <f>WorkOrders!A473</f>
        <v/>
      </c>
      <c r="B473" s="11">
        <f>IF(A473="","",WorkOrders!B473)</f>
        <v/>
      </c>
      <c r="C473" s="11">
        <f>IF(A473="","",IFERROR(SUMIFS(BOM!$E$2:$E$500,BOM!$A$2:$A$500,B473),""))</f>
        <v/>
      </c>
      <c r="D473" s="11">
        <f>IF(A473="","",SUMIFS(StockMovements!$I$2:$I$500,StockMovements!$H$2:$H$500,A473,StockMovements!$D$2:$D$500,"issue"))</f>
        <v/>
      </c>
      <c r="E473" s="11">
        <f>IF(OR(A473="",C473="",C473=0,D473=0),"",D473/C473)</f>
        <v/>
      </c>
      <c r="F473" s="11">
        <f>IF(A473="","",WorkOrders!L473)</f>
        <v/>
      </c>
      <c r="G473" s="15">
        <f>IF(OR(E473="",E473=0),"",F473/E473)</f>
        <v/>
      </c>
      <c r="H473" s="11">
        <f>IF(OR(C473="",F473="",F473=0),"",C473*WorkOrders!E473/F473)</f>
        <v/>
      </c>
    </row>
    <row r="474">
      <c r="A474" s="11">
        <f>WorkOrders!A474</f>
        <v/>
      </c>
      <c r="B474" s="11">
        <f>IF(A474="","",WorkOrders!B474)</f>
        <v/>
      </c>
      <c r="C474" s="11">
        <f>IF(A474="","",IFERROR(SUMIFS(BOM!$E$2:$E$500,BOM!$A$2:$A$500,B474),""))</f>
        <v/>
      </c>
      <c r="D474" s="11">
        <f>IF(A474="","",SUMIFS(StockMovements!$I$2:$I$500,StockMovements!$H$2:$H$500,A474,StockMovements!$D$2:$D$500,"issue"))</f>
        <v/>
      </c>
      <c r="E474" s="11">
        <f>IF(OR(A474="",C474="",C474=0,D474=0),"",D474/C474)</f>
        <v/>
      </c>
      <c r="F474" s="11">
        <f>IF(A474="","",WorkOrders!L474)</f>
        <v/>
      </c>
      <c r="G474" s="15">
        <f>IF(OR(E474="",E474=0),"",F474/E474)</f>
        <v/>
      </c>
      <c r="H474" s="11">
        <f>IF(OR(C474="",F474="",F474=0),"",C474*WorkOrders!E474/F474)</f>
        <v/>
      </c>
    </row>
    <row r="475">
      <c r="A475" s="11">
        <f>WorkOrders!A475</f>
        <v/>
      </c>
      <c r="B475" s="11">
        <f>IF(A475="","",WorkOrders!B475)</f>
        <v/>
      </c>
      <c r="C475" s="11">
        <f>IF(A475="","",IFERROR(SUMIFS(BOM!$E$2:$E$500,BOM!$A$2:$A$500,B475),""))</f>
        <v/>
      </c>
      <c r="D475" s="11">
        <f>IF(A475="","",SUMIFS(StockMovements!$I$2:$I$500,StockMovements!$H$2:$H$500,A475,StockMovements!$D$2:$D$500,"issue"))</f>
        <v/>
      </c>
      <c r="E475" s="11">
        <f>IF(OR(A475="",C475="",C475=0,D475=0),"",D475/C475)</f>
        <v/>
      </c>
      <c r="F475" s="11">
        <f>IF(A475="","",WorkOrders!L475)</f>
        <v/>
      </c>
      <c r="G475" s="15">
        <f>IF(OR(E475="",E475=0),"",F475/E475)</f>
        <v/>
      </c>
      <c r="H475" s="11">
        <f>IF(OR(C475="",F475="",F475=0),"",C475*WorkOrders!E475/F475)</f>
        <v/>
      </c>
    </row>
    <row r="476">
      <c r="A476" s="11">
        <f>WorkOrders!A476</f>
        <v/>
      </c>
      <c r="B476" s="11">
        <f>IF(A476="","",WorkOrders!B476)</f>
        <v/>
      </c>
      <c r="C476" s="11">
        <f>IF(A476="","",IFERROR(SUMIFS(BOM!$E$2:$E$500,BOM!$A$2:$A$500,B476),""))</f>
        <v/>
      </c>
      <c r="D476" s="11">
        <f>IF(A476="","",SUMIFS(StockMovements!$I$2:$I$500,StockMovements!$H$2:$H$500,A476,StockMovements!$D$2:$D$500,"issue"))</f>
        <v/>
      </c>
      <c r="E476" s="11">
        <f>IF(OR(A476="",C476="",C476=0,D476=0),"",D476/C476)</f>
        <v/>
      </c>
      <c r="F476" s="11">
        <f>IF(A476="","",WorkOrders!L476)</f>
        <v/>
      </c>
      <c r="G476" s="15">
        <f>IF(OR(E476="",E476=0),"",F476/E476)</f>
        <v/>
      </c>
      <c r="H476" s="11">
        <f>IF(OR(C476="",F476="",F476=0),"",C476*WorkOrders!E476/F476)</f>
        <v/>
      </c>
    </row>
    <row r="477">
      <c r="A477" s="11">
        <f>WorkOrders!A477</f>
        <v/>
      </c>
      <c r="B477" s="11">
        <f>IF(A477="","",WorkOrders!B477)</f>
        <v/>
      </c>
      <c r="C477" s="11">
        <f>IF(A477="","",IFERROR(SUMIFS(BOM!$E$2:$E$500,BOM!$A$2:$A$500,B477),""))</f>
        <v/>
      </c>
      <c r="D477" s="11">
        <f>IF(A477="","",SUMIFS(StockMovements!$I$2:$I$500,StockMovements!$H$2:$H$500,A477,StockMovements!$D$2:$D$500,"issue"))</f>
        <v/>
      </c>
      <c r="E477" s="11">
        <f>IF(OR(A477="",C477="",C477=0,D477=0),"",D477/C477)</f>
        <v/>
      </c>
      <c r="F477" s="11">
        <f>IF(A477="","",WorkOrders!L477)</f>
        <v/>
      </c>
      <c r="G477" s="15">
        <f>IF(OR(E477="",E477=0),"",F477/E477)</f>
        <v/>
      </c>
      <c r="H477" s="11">
        <f>IF(OR(C477="",F477="",F477=0),"",C477*WorkOrders!E477/F477)</f>
        <v/>
      </c>
    </row>
    <row r="478">
      <c r="A478" s="11">
        <f>WorkOrders!A478</f>
        <v/>
      </c>
      <c r="B478" s="11">
        <f>IF(A478="","",WorkOrders!B478)</f>
        <v/>
      </c>
      <c r="C478" s="11">
        <f>IF(A478="","",IFERROR(SUMIFS(BOM!$E$2:$E$500,BOM!$A$2:$A$500,B478),""))</f>
        <v/>
      </c>
      <c r="D478" s="11">
        <f>IF(A478="","",SUMIFS(StockMovements!$I$2:$I$500,StockMovements!$H$2:$H$500,A478,StockMovements!$D$2:$D$500,"issue"))</f>
        <v/>
      </c>
      <c r="E478" s="11">
        <f>IF(OR(A478="",C478="",C478=0,D478=0),"",D478/C478)</f>
        <v/>
      </c>
      <c r="F478" s="11">
        <f>IF(A478="","",WorkOrders!L478)</f>
        <v/>
      </c>
      <c r="G478" s="15">
        <f>IF(OR(E478="",E478=0),"",F478/E478)</f>
        <v/>
      </c>
      <c r="H478" s="11">
        <f>IF(OR(C478="",F478="",F478=0),"",C478*WorkOrders!E478/F478)</f>
        <v/>
      </c>
    </row>
    <row r="479">
      <c r="A479" s="11">
        <f>WorkOrders!A479</f>
        <v/>
      </c>
      <c r="B479" s="11">
        <f>IF(A479="","",WorkOrders!B479)</f>
        <v/>
      </c>
      <c r="C479" s="11">
        <f>IF(A479="","",IFERROR(SUMIFS(BOM!$E$2:$E$500,BOM!$A$2:$A$500,B479),""))</f>
        <v/>
      </c>
      <c r="D479" s="11">
        <f>IF(A479="","",SUMIFS(StockMovements!$I$2:$I$500,StockMovements!$H$2:$H$500,A479,StockMovements!$D$2:$D$500,"issue"))</f>
        <v/>
      </c>
      <c r="E479" s="11">
        <f>IF(OR(A479="",C479="",C479=0,D479=0),"",D479/C479)</f>
        <v/>
      </c>
      <c r="F479" s="11">
        <f>IF(A479="","",WorkOrders!L479)</f>
        <v/>
      </c>
      <c r="G479" s="15">
        <f>IF(OR(E479="",E479=0),"",F479/E479)</f>
        <v/>
      </c>
      <c r="H479" s="11">
        <f>IF(OR(C479="",F479="",F479=0),"",C479*WorkOrders!E479/F479)</f>
        <v/>
      </c>
    </row>
    <row r="480">
      <c r="A480" s="11">
        <f>WorkOrders!A480</f>
        <v/>
      </c>
      <c r="B480" s="11">
        <f>IF(A480="","",WorkOrders!B480)</f>
        <v/>
      </c>
      <c r="C480" s="11">
        <f>IF(A480="","",IFERROR(SUMIFS(BOM!$E$2:$E$500,BOM!$A$2:$A$500,B480),""))</f>
        <v/>
      </c>
      <c r="D480" s="11">
        <f>IF(A480="","",SUMIFS(StockMovements!$I$2:$I$500,StockMovements!$H$2:$H$500,A480,StockMovements!$D$2:$D$500,"issue"))</f>
        <v/>
      </c>
      <c r="E480" s="11">
        <f>IF(OR(A480="",C480="",C480=0,D480=0),"",D480/C480)</f>
        <v/>
      </c>
      <c r="F480" s="11">
        <f>IF(A480="","",WorkOrders!L480)</f>
        <v/>
      </c>
      <c r="G480" s="15">
        <f>IF(OR(E480="",E480=0),"",F480/E480)</f>
        <v/>
      </c>
      <c r="H480" s="11">
        <f>IF(OR(C480="",F480="",F480=0),"",C480*WorkOrders!E480/F480)</f>
        <v/>
      </c>
    </row>
    <row r="481">
      <c r="A481" s="11">
        <f>WorkOrders!A481</f>
        <v/>
      </c>
      <c r="B481" s="11">
        <f>IF(A481="","",WorkOrders!B481)</f>
        <v/>
      </c>
      <c r="C481" s="11">
        <f>IF(A481="","",IFERROR(SUMIFS(BOM!$E$2:$E$500,BOM!$A$2:$A$500,B481),""))</f>
        <v/>
      </c>
      <c r="D481" s="11">
        <f>IF(A481="","",SUMIFS(StockMovements!$I$2:$I$500,StockMovements!$H$2:$H$500,A481,StockMovements!$D$2:$D$500,"issue"))</f>
        <v/>
      </c>
      <c r="E481" s="11">
        <f>IF(OR(A481="",C481="",C481=0,D481=0),"",D481/C481)</f>
        <v/>
      </c>
      <c r="F481" s="11">
        <f>IF(A481="","",WorkOrders!L481)</f>
        <v/>
      </c>
      <c r="G481" s="15">
        <f>IF(OR(E481="",E481=0),"",F481/E481)</f>
        <v/>
      </c>
      <c r="H481" s="11">
        <f>IF(OR(C481="",F481="",F481=0),"",C481*WorkOrders!E481/F481)</f>
        <v/>
      </c>
    </row>
    <row r="482">
      <c r="A482" s="11">
        <f>WorkOrders!A482</f>
        <v/>
      </c>
      <c r="B482" s="11">
        <f>IF(A482="","",WorkOrders!B482)</f>
        <v/>
      </c>
      <c r="C482" s="11">
        <f>IF(A482="","",IFERROR(SUMIFS(BOM!$E$2:$E$500,BOM!$A$2:$A$500,B482),""))</f>
        <v/>
      </c>
      <c r="D482" s="11">
        <f>IF(A482="","",SUMIFS(StockMovements!$I$2:$I$500,StockMovements!$H$2:$H$500,A482,StockMovements!$D$2:$D$500,"issue"))</f>
        <v/>
      </c>
      <c r="E482" s="11">
        <f>IF(OR(A482="",C482="",C482=0,D482=0),"",D482/C482)</f>
        <v/>
      </c>
      <c r="F482" s="11">
        <f>IF(A482="","",WorkOrders!L482)</f>
        <v/>
      </c>
      <c r="G482" s="15">
        <f>IF(OR(E482="",E482=0),"",F482/E482)</f>
        <v/>
      </c>
      <c r="H482" s="11">
        <f>IF(OR(C482="",F482="",F482=0),"",C482*WorkOrders!E482/F482)</f>
        <v/>
      </c>
    </row>
    <row r="483">
      <c r="A483" s="11">
        <f>WorkOrders!A483</f>
        <v/>
      </c>
      <c r="B483" s="11">
        <f>IF(A483="","",WorkOrders!B483)</f>
        <v/>
      </c>
      <c r="C483" s="11">
        <f>IF(A483="","",IFERROR(SUMIFS(BOM!$E$2:$E$500,BOM!$A$2:$A$500,B483),""))</f>
        <v/>
      </c>
      <c r="D483" s="11">
        <f>IF(A483="","",SUMIFS(StockMovements!$I$2:$I$500,StockMovements!$H$2:$H$500,A483,StockMovements!$D$2:$D$500,"issue"))</f>
        <v/>
      </c>
      <c r="E483" s="11">
        <f>IF(OR(A483="",C483="",C483=0,D483=0),"",D483/C483)</f>
        <v/>
      </c>
      <c r="F483" s="11">
        <f>IF(A483="","",WorkOrders!L483)</f>
        <v/>
      </c>
      <c r="G483" s="15">
        <f>IF(OR(E483="",E483=0),"",F483/E483)</f>
        <v/>
      </c>
      <c r="H483" s="11">
        <f>IF(OR(C483="",F483="",F483=0),"",C483*WorkOrders!E483/F483)</f>
        <v/>
      </c>
    </row>
    <row r="484">
      <c r="A484" s="11">
        <f>WorkOrders!A484</f>
        <v/>
      </c>
      <c r="B484" s="11">
        <f>IF(A484="","",WorkOrders!B484)</f>
        <v/>
      </c>
      <c r="C484" s="11">
        <f>IF(A484="","",IFERROR(SUMIFS(BOM!$E$2:$E$500,BOM!$A$2:$A$500,B484),""))</f>
        <v/>
      </c>
      <c r="D484" s="11">
        <f>IF(A484="","",SUMIFS(StockMovements!$I$2:$I$500,StockMovements!$H$2:$H$500,A484,StockMovements!$D$2:$D$500,"issue"))</f>
        <v/>
      </c>
      <c r="E484" s="11">
        <f>IF(OR(A484="",C484="",C484=0,D484=0),"",D484/C484)</f>
        <v/>
      </c>
      <c r="F484" s="11">
        <f>IF(A484="","",WorkOrders!L484)</f>
        <v/>
      </c>
      <c r="G484" s="15">
        <f>IF(OR(E484="",E484=0),"",F484/E484)</f>
        <v/>
      </c>
      <c r="H484" s="11">
        <f>IF(OR(C484="",F484="",F484=0),"",C484*WorkOrders!E484/F484)</f>
        <v/>
      </c>
    </row>
    <row r="485">
      <c r="A485" s="11">
        <f>WorkOrders!A485</f>
        <v/>
      </c>
      <c r="B485" s="11">
        <f>IF(A485="","",WorkOrders!B485)</f>
        <v/>
      </c>
      <c r="C485" s="11">
        <f>IF(A485="","",IFERROR(SUMIFS(BOM!$E$2:$E$500,BOM!$A$2:$A$500,B485),""))</f>
        <v/>
      </c>
      <c r="D485" s="11">
        <f>IF(A485="","",SUMIFS(StockMovements!$I$2:$I$500,StockMovements!$H$2:$H$500,A485,StockMovements!$D$2:$D$500,"issue"))</f>
        <v/>
      </c>
      <c r="E485" s="11">
        <f>IF(OR(A485="",C485="",C485=0,D485=0),"",D485/C485)</f>
        <v/>
      </c>
      <c r="F485" s="11">
        <f>IF(A485="","",WorkOrders!L485)</f>
        <v/>
      </c>
      <c r="G485" s="15">
        <f>IF(OR(E485="",E485=0),"",F485/E485)</f>
        <v/>
      </c>
      <c r="H485" s="11">
        <f>IF(OR(C485="",F485="",F485=0),"",C485*WorkOrders!E485/F485)</f>
        <v/>
      </c>
    </row>
    <row r="486">
      <c r="A486" s="11">
        <f>WorkOrders!A486</f>
        <v/>
      </c>
      <c r="B486" s="11">
        <f>IF(A486="","",WorkOrders!B486)</f>
        <v/>
      </c>
      <c r="C486" s="11">
        <f>IF(A486="","",IFERROR(SUMIFS(BOM!$E$2:$E$500,BOM!$A$2:$A$500,B486),""))</f>
        <v/>
      </c>
      <c r="D486" s="11">
        <f>IF(A486="","",SUMIFS(StockMovements!$I$2:$I$500,StockMovements!$H$2:$H$500,A486,StockMovements!$D$2:$D$500,"issue"))</f>
        <v/>
      </c>
      <c r="E486" s="11">
        <f>IF(OR(A486="",C486="",C486=0,D486=0),"",D486/C486)</f>
        <v/>
      </c>
      <c r="F486" s="11">
        <f>IF(A486="","",WorkOrders!L486)</f>
        <v/>
      </c>
      <c r="G486" s="15">
        <f>IF(OR(E486="",E486=0),"",F486/E486)</f>
        <v/>
      </c>
      <c r="H486" s="11">
        <f>IF(OR(C486="",F486="",F486=0),"",C486*WorkOrders!E486/F486)</f>
        <v/>
      </c>
    </row>
    <row r="487">
      <c r="A487" s="11">
        <f>WorkOrders!A487</f>
        <v/>
      </c>
      <c r="B487" s="11">
        <f>IF(A487="","",WorkOrders!B487)</f>
        <v/>
      </c>
      <c r="C487" s="11">
        <f>IF(A487="","",IFERROR(SUMIFS(BOM!$E$2:$E$500,BOM!$A$2:$A$500,B487),""))</f>
        <v/>
      </c>
      <c r="D487" s="11">
        <f>IF(A487="","",SUMIFS(StockMovements!$I$2:$I$500,StockMovements!$H$2:$H$500,A487,StockMovements!$D$2:$D$500,"issue"))</f>
        <v/>
      </c>
      <c r="E487" s="11">
        <f>IF(OR(A487="",C487="",C487=0,D487=0),"",D487/C487)</f>
        <v/>
      </c>
      <c r="F487" s="11">
        <f>IF(A487="","",WorkOrders!L487)</f>
        <v/>
      </c>
      <c r="G487" s="15">
        <f>IF(OR(E487="",E487=0),"",F487/E487)</f>
        <v/>
      </c>
      <c r="H487" s="11">
        <f>IF(OR(C487="",F487="",F487=0),"",C487*WorkOrders!E487/F487)</f>
        <v/>
      </c>
    </row>
    <row r="488">
      <c r="A488" s="11">
        <f>WorkOrders!A488</f>
        <v/>
      </c>
      <c r="B488" s="11">
        <f>IF(A488="","",WorkOrders!B488)</f>
        <v/>
      </c>
      <c r="C488" s="11">
        <f>IF(A488="","",IFERROR(SUMIFS(BOM!$E$2:$E$500,BOM!$A$2:$A$500,B488),""))</f>
        <v/>
      </c>
      <c r="D488" s="11">
        <f>IF(A488="","",SUMIFS(StockMovements!$I$2:$I$500,StockMovements!$H$2:$H$500,A488,StockMovements!$D$2:$D$500,"issue"))</f>
        <v/>
      </c>
      <c r="E488" s="11">
        <f>IF(OR(A488="",C488="",C488=0,D488=0),"",D488/C488)</f>
        <v/>
      </c>
      <c r="F488" s="11">
        <f>IF(A488="","",WorkOrders!L488)</f>
        <v/>
      </c>
      <c r="G488" s="15">
        <f>IF(OR(E488="",E488=0),"",F488/E488)</f>
        <v/>
      </c>
      <c r="H488" s="11">
        <f>IF(OR(C488="",F488="",F488=0),"",C488*WorkOrders!E488/F488)</f>
        <v/>
      </c>
    </row>
    <row r="489">
      <c r="A489" s="11">
        <f>WorkOrders!A489</f>
        <v/>
      </c>
      <c r="B489" s="11">
        <f>IF(A489="","",WorkOrders!B489)</f>
        <v/>
      </c>
      <c r="C489" s="11">
        <f>IF(A489="","",IFERROR(SUMIFS(BOM!$E$2:$E$500,BOM!$A$2:$A$500,B489),""))</f>
        <v/>
      </c>
      <c r="D489" s="11">
        <f>IF(A489="","",SUMIFS(StockMovements!$I$2:$I$500,StockMovements!$H$2:$H$500,A489,StockMovements!$D$2:$D$500,"issue"))</f>
        <v/>
      </c>
      <c r="E489" s="11">
        <f>IF(OR(A489="",C489="",C489=0,D489=0),"",D489/C489)</f>
        <v/>
      </c>
      <c r="F489" s="11">
        <f>IF(A489="","",WorkOrders!L489)</f>
        <v/>
      </c>
      <c r="G489" s="15">
        <f>IF(OR(E489="",E489=0),"",F489/E489)</f>
        <v/>
      </c>
      <c r="H489" s="11">
        <f>IF(OR(C489="",F489="",F489=0),"",C489*WorkOrders!E489/F489)</f>
        <v/>
      </c>
    </row>
    <row r="490">
      <c r="A490" s="11">
        <f>WorkOrders!A490</f>
        <v/>
      </c>
      <c r="B490" s="11">
        <f>IF(A490="","",WorkOrders!B490)</f>
        <v/>
      </c>
      <c r="C490" s="11">
        <f>IF(A490="","",IFERROR(SUMIFS(BOM!$E$2:$E$500,BOM!$A$2:$A$500,B490),""))</f>
        <v/>
      </c>
      <c r="D490" s="11">
        <f>IF(A490="","",SUMIFS(StockMovements!$I$2:$I$500,StockMovements!$H$2:$H$500,A490,StockMovements!$D$2:$D$500,"issue"))</f>
        <v/>
      </c>
      <c r="E490" s="11">
        <f>IF(OR(A490="",C490="",C490=0,D490=0),"",D490/C490)</f>
        <v/>
      </c>
      <c r="F490" s="11">
        <f>IF(A490="","",WorkOrders!L490)</f>
        <v/>
      </c>
      <c r="G490" s="15">
        <f>IF(OR(E490="",E490=0),"",F490/E490)</f>
        <v/>
      </c>
      <c r="H490" s="11">
        <f>IF(OR(C490="",F490="",F490=0),"",C490*WorkOrders!E490/F490)</f>
        <v/>
      </c>
    </row>
    <row r="491">
      <c r="A491" s="11">
        <f>WorkOrders!A491</f>
        <v/>
      </c>
      <c r="B491" s="11">
        <f>IF(A491="","",WorkOrders!B491)</f>
        <v/>
      </c>
      <c r="C491" s="11">
        <f>IF(A491="","",IFERROR(SUMIFS(BOM!$E$2:$E$500,BOM!$A$2:$A$500,B491),""))</f>
        <v/>
      </c>
      <c r="D491" s="11">
        <f>IF(A491="","",SUMIFS(StockMovements!$I$2:$I$500,StockMovements!$H$2:$H$500,A491,StockMovements!$D$2:$D$500,"issue"))</f>
        <v/>
      </c>
      <c r="E491" s="11">
        <f>IF(OR(A491="",C491="",C491=0,D491=0),"",D491/C491)</f>
        <v/>
      </c>
      <c r="F491" s="11">
        <f>IF(A491="","",WorkOrders!L491)</f>
        <v/>
      </c>
      <c r="G491" s="15">
        <f>IF(OR(E491="",E491=0),"",F491/E491)</f>
        <v/>
      </c>
      <c r="H491" s="11">
        <f>IF(OR(C491="",F491="",F491=0),"",C491*WorkOrders!E491/F491)</f>
        <v/>
      </c>
    </row>
    <row r="492">
      <c r="A492" s="11">
        <f>WorkOrders!A492</f>
        <v/>
      </c>
      <c r="B492" s="11">
        <f>IF(A492="","",WorkOrders!B492)</f>
        <v/>
      </c>
      <c r="C492" s="11">
        <f>IF(A492="","",IFERROR(SUMIFS(BOM!$E$2:$E$500,BOM!$A$2:$A$500,B492),""))</f>
        <v/>
      </c>
      <c r="D492" s="11">
        <f>IF(A492="","",SUMIFS(StockMovements!$I$2:$I$500,StockMovements!$H$2:$H$500,A492,StockMovements!$D$2:$D$500,"issue"))</f>
        <v/>
      </c>
      <c r="E492" s="11">
        <f>IF(OR(A492="",C492="",C492=0,D492=0),"",D492/C492)</f>
        <v/>
      </c>
      <c r="F492" s="11">
        <f>IF(A492="","",WorkOrders!L492)</f>
        <v/>
      </c>
      <c r="G492" s="15">
        <f>IF(OR(E492="",E492=0),"",F492/E492)</f>
        <v/>
      </c>
      <c r="H492" s="11">
        <f>IF(OR(C492="",F492="",F492=0),"",C492*WorkOrders!E492/F492)</f>
        <v/>
      </c>
    </row>
    <row r="493">
      <c r="A493" s="11">
        <f>WorkOrders!A493</f>
        <v/>
      </c>
      <c r="B493" s="11">
        <f>IF(A493="","",WorkOrders!B493)</f>
        <v/>
      </c>
      <c r="C493" s="11">
        <f>IF(A493="","",IFERROR(SUMIFS(BOM!$E$2:$E$500,BOM!$A$2:$A$500,B493),""))</f>
        <v/>
      </c>
      <c r="D493" s="11">
        <f>IF(A493="","",SUMIFS(StockMovements!$I$2:$I$500,StockMovements!$H$2:$H$500,A493,StockMovements!$D$2:$D$500,"issue"))</f>
        <v/>
      </c>
      <c r="E493" s="11">
        <f>IF(OR(A493="",C493="",C493=0,D493=0),"",D493/C493)</f>
        <v/>
      </c>
      <c r="F493" s="11">
        <f>IF(A493="","",WorkOrders!L493)</f>
        <v/>
      </c>
      <c r="G493" s="15">
        <f>IF(OR(E493="",E493=0),"",F493/E493)</f>
        <v/>
      </c>
      <c r="H493" s="11">
        <f>IF(OR(C493="",F493="",F493=0),"",C493*WorkOrders!E493/F493)</f>
        <v/>
      </c>
    </row>
    <row r="494">
      <c r="A494" s="11">
        <f>WorkOrders!A494</f>
        <v/>
      </c>
      <c r="B494" s="11">
        <f>IF(A494="","",WorkOrders!B494)</f>
        <v/>
      </c>
      <c r="C494" s="11">
        <f>IF(A494="","",IFERROR(SUMIFS(BOM!$E$2:$E$500,BOM!$A$2:$A$500,B494),""))</f>
        <v/>
      </c>
      <c r="D494" s="11">
        <f>IF(A494="","",SUMIFS(StockMovements!$I$2:$I$500,StockMovements!$H$2:$H$500,A494,StockMovements!$D$2:$D$500,"issue"))</f>
        <v/>
      </c>
      <c r="E494" s="11">
        <f>IF(OR(A494="",C494="",C494=0,D494=0),"",D494/C494)</f>
        <v/>
      </c>
      <c r="F494" s="11">
        <f>IF(A494="","",WorkOrders!L494)</f>
        <v/>
      </c>
      <c r="G494" s="15">
        <f>IF(OR(E494="",E494=0),"",F494/E494)</f>
        <v/>
      </c>
      <c r="H494" s="11">
        <f>IF(OR(C494="",F494="",F494=0),"",C494*WorkOrders!E494/F494)</f>
        <v/>
      </c>
    </row>
    <row r="495">
      <c r="A495" s="11">
        <f>WorkOrders!A495</f>
        <v/>
      </c>
      <c r="B495" s="11">
        <f>IF(A495="","",WorkOrders!B495)</f>
        <v/>
      </c>
      <c r="C495" s="11">
        <f>IF(A495="","",IFERROR(SUMIFS(BOM!$E$2:$E$500,BOM!$A$2:$A$500,B495),""))</f>
        <v/>
      </c>
      <c r="D495" s="11">
        <f>IF(A495="","",SUMIFS(StockMovements!$I$2:$I$500,StockMovements!$H$2:$H$500,A495,StockMovements!$D$2:$D$500,"issue"))</f>
        <v/>
      </c>
      <c r="E495" s="11">
        <f>IF(OR(A495="",C495="",C495=0,D495=0),"",D495/C495)</f>
        <v/>
      </c>
      <c r="F495" s="11">
        <f>IF(A495="","",WorkOrders!L495)</f>
        <v/>
      </c>
      <c r="G495" s="15">
        <f>IF(OR(E495="",E495=0),"",F495/E495)</f>
        <v/>
      </c>
      <c r="H495" s="11">
        <f>IF(OR(C495="",F495="",F495=0),"",C495*WorkOrders!E495/F495)</f>
        <v/>
      </c>
    </row>
    <row r="496">
      <c r="A496" s="11">
        <f>WorkOrders!A496</f>
        <v/>
      </c>
      <c r="B496" s="11">
        <f>IF(A496="","",WorkOrders!B496)</f>
        <v/>
      </c>
      <c r="C496" s="11">
        <f>IF(A496="","",IFERROR(SUMIFS(BOM!$E$2:$E$500,BOM!$A$2:$A$500,B496),""))</f>
        <v/>
      </c>
      <c r="D496" s="11">
        <f>IF(A496="","",SUMIFS(StockMovements!$I$2:$I$500,StockMovements!$H$2:$H$500,A496,StockMovements!$D$2:$D$500,"issue"))</f>
        <v/>
      </c>
      <c r="E496" s="11">
        <f>IF(OR(A496="",C496="",C496=0,D496=0),"",D496/C496)</f>
        <v/>
      </c>
      <c r="F496" s="11">
        <f>IF(A496="","",WorkOrders!L496)</f>
        <v/>
      </c>
      <c r="G496" s="15">
        <f>IF(OR(E496="",E496=0),"",F496/E496)</f>
        <v/>
      </c>
      <c r="H496" s="11">
        <f>IF(OR(C496="",F496="",F496=0),"",C496*WorkOrders!E496/F496)</f>
        <v/>
      </c>
    </row>
    <row r="497">
      <c r="A497" s="11">
        <f>WorkOrders!A497</f>
        <v/>
      </c>
      <c r="B497" s="11">
        <f>IF(A497="","",WorkOrders!B497)</f>
        <v/>
      </c>
      <c r="C497" s="11">
        <f>IF(A497="","",IFERROR(SUMIFS(BOM!$E$2:$E$500,BOM!$A$2:$A$500,B497),""))</f>
        <v/>
      </c>
      <c r="D497" s="11">
        <f>IF(A497="","",SUMIFS(StockMovements!$I$2:$I$500,StockMovements!$H$2:$H$500,A497,StockMovements!$D$2:$D$500,"issue"))</f>
        <v/>
      </c>
      <c r="E497" s="11">
        <f>IF(OR(A497="",C497="",C497=0,D497=0),"",D497/C497)</f>
        <v/>
      </c>
      <c r="F497" s="11">
        <f>IF(A497="","",WorkOrders!L497)</f>
        <v/>
      </c>
      <c r="G497" s="15">
        <f>IF(OR(E497="",E497=0),"",F497/E497)</f>
        <v/>
      </c>
      <c r="H497" s="11">
        <f>IF(OR(C497="",F497="",F497=0),"",C497*WorkOrders!E497/F497)</f>
        <v/>
      </c>
    </row>
    <row r="498">
      <c r="A498" s="11">
        <f>WorkOrders!A498</f>
        <v/>
      </c>
      <c r="B498" s="11">
        <f>IF(A498="","",WorkOrders!B498)</f>
        <v/>
      </c>
      <c r="C498" s="11">
        <f>IF(A498="","",IFERROR(SUMIFS(BOM!$E$2:$E$500,BOM!$A$2:$A$500,B498),""))</f>
        <v/>
      </c>
      <c r="D498" s="11">
        <f>IF(A498="","",SUMIFS(StockMovements!$I$2:$I$500,StockMovements!$H$2:$H$500,A498,StockMovements!$D$2:$D$500,"issue"))</f>
        <v/>
      </c>
      <c r="E498" s="11">
        <f>IF(OR(A498="",C498="",C498=0,D498=0),"",D498/C498)</f>
        <v/>
      </c>
      <c r="F498" s="11">
        <f>IF(A498="","",WorkOrders!L498)</f>
        <v/>
      </c>
      <c r="G498" s="15">
        <f>IF(OR(E498="",E498=0),"",F498/E498)</f>
        <v/>
      </c>
      <c r="H498" s="11">
        <f>IF(OR(C498="",F498="",F498=0),"",C498*WorkOrders!E498/F498)</f>
        <v/>
      </c>
    </row>
    <row r="499">
      <c r="A499" s="11">
        <f>WorkOrders!A499</f>
        <v/>
      </c>
      <c r="B499" s="11">
        <f>IF(A499="","",WorkOrders!B499)</f>
        <v/>
      </c>
      <c r="C499" s="11">
        <f>IF(A499="","",IFERROR(SUMIFS(BOM!$E$2:$E$500,BOM!$A$2:$A$500,B499),""))</f>
        <v/>
      </c>
      <c r="D499" s="11">
        <f>IF(A499="","",SUMIFS(StockMovements!$I$2:$I$500,StockMovements!$H$2:$H$500,A499,StockMovements!$D$2:$D$500,"issue"))</f>
        <v/>
      </c>
      <c r="E499" s="11">
        <f>IF(OR(A499="",C499="",C499=0,D499=0),"",D499/C499)</f>
        <v/>
      </c>
      <c r="F499" s="11">
        <f>IF(A499="","",WorkOrders!L499)</f>
        <v/>
      </c>
      <c r="G499" s="15">
        <f>IF(OR(E499="",E499=0),"",F499/E499)</f>
        <v/>
      </c>
      <c r="H499" s="11">
        <f>IF(OR(C499="",F499="",F499=0),"",C499*WorkOrders!E499/F499)</f>
        <v/>
      </c>
    </row>
    <row r="500">
      <c r="A500" s="11">
        <f>WorkOrders!A500</f>
        <v/>
      </c>
      <c r="B500" s="11">
        <f>IF(A500="","",WorkOrders!B500)</f>
        <v/>
      </c>
      <c r="C500" s="11">
        <f>IF(A500="","",IFERROR(SUMIFS(BOM!$E$2:$E$500,BOM!$A$2:$A$500,B500),""))</f>
        <v/>
      </c>
      <c r="D500" s="11">
        <f>IF(A500="","",SUMIFS(StockMovements!$I$2:$I$500,StockMovements!$H$2:$H$500,A500,StockMovements!$D$2:$D$500,"issue"))</f>
        <v/>
      </c>
      <c r="E500" s="11">
        <f>IF(OR(A500="",C500="",C500=0,D500=0),"",D500/C500)</f>
        <v/>
      </c>
      <c r="F500" s="11">
        <f>IF(A500="","",WorkOrders!L500)</f>
        <v/>
      </c>
      <c r="G500" s="15">
        <f>IF(OR(E500="",E500=0),"",F500/E500)</f>
        <v/>
      </c>
      <c r="H500" s="11">
        <f>IF(OR(C500="",F500="",F500=0),"",C500*WorkOrders!E500/F500)</f>
        <v/>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B2:J45"/>
  <sheetViews>
    <sheetView showGridLines="0" workbookViewId="0">
      <selection activeCell="A1" sqref="A1"/>
    </sheetView>
  </sheetViews>
  <sheetFormatPr baseColWidth="8" defaultRowHeight="15"/>
  <cols>
    <col width="16" customWidth="1" min="2" max="2"/>
    <col width="22" customWidth="1" min="3" max="3"/>
    <col width="12" customWidth="1" min="4" max="4"/>
    <col width="14" customWidth="1" min="5" max="5"/>
    <col width="12" customWidth="1" min="6" max="6"/>
    <col width="16" customWidth="1" min="8" max="8"/>
  </cols>
  <sheetData>
    <row r="2">
      <c r="B2" s="1" t="inlineStr">
        <is>
          <t>Plant Dashboard</t>
        </is>
      </c>
    </row>
    <row r="4">
      <c r="B4" s="19" t="inlineStr">
        <is>
          <t>Average OEE</t>
        </is>
      </c>
      <c r="D4" s="19" t="inlineStr">
        <is>
          <t>Total produced qty</t>
        </is>
      </c>
      <c r="F4" s="19" t="inlineStr">
        <is>
          <t>Rejection rate</t>
        </is>
      </c>
      <c r="H4" s="19" t="inlineStr">
        <is>
          <t>Reorder alerts</t>
        </is>
      </c>
    </row>
    <row r="5">
      <c r="B5" s="20">
        <f>IFERROR(AVERAGEIF(Analytics_OEE!$M$2:$M$11,"&lt;&gt;"),"")</f>
        <v/>
      </c>
      <c r="D5" s="21">
        <f>Analytics_Production!B3</f>
        <v/>
      </c>
      <c r="F5" s="22">
        <f>Analytics_Production!B5</f>
        <v/>
      </c>
      <c r="H5" s="23">
        <f>COUNTIFS(Analytics_Stock!$H$2:$H$500,"REORDER")</f>
        <v/>
      </c>
    </row>
    <row r="7">
      <c r="B7" s="3" t="inlineStr">
        <is>
          <t>OEE by machine</t>
        </is>
      </c>
      <c r="J7" s="3" t="inlineStr">
        <is>
          <t>Downtime by reason (Pareto)</t>
        </is>
      </c>
    </row>
    <row r="24">
      <c r="B24" s="3" t="inlineStr">
        <is>
          <t>Stock — first 20 products (full list: Analytics_Stock)</t>
        </is>
      </c>
    </row>
    <row r="25">
      <c r="B25" s="24" t="inlineStr">
        <is>
          <t>SKU</t>
        </is>
      </c>
      <c r="C25" s="24" t="inlineStr">
        <is>
          <t>Name</t>
        </is>
      </c>
      <c r="D25" s="24" t="inlineStr">
        <is>
          <t>OnHand</t>
        </is>
      </c>
      <c r="E25" s="24" t="inlineStr">
        <is>
          <t>ReorderLevel</t>
        </is>
      </c>
      <c r="F25" s="24" t="inlineStr">
        <is>
          <t>Status</t>
        </is>
      </c>
    </row>
    <row r="26">
      <c r="B26" s="11">
        <f>Analytics_Stock!A2</f>
        <v/>
      </c>
      <c r="C26" s="11">
        <f>Analytics_Stock!B2</f>
        <v/>
      </c>
      <c r="D26" s="11">
        <f>Analytics_Stock!D2</f>
        <v/>
      </c>
      <c r="E26" s="11">
        <f>Analytics_Stock!G2</f>
        <v/>
      </c>
      <c r="F26" s="11">
        <f>Analytics_Stock!H2</f>
        <v/>
      </c>
    </row>
    <row r="27">
      <c r="B27" s="11">
        <f>Analytics_Stock!A3</f>
        <v/>
      </c>
      <c r="C27" s="11">
        <f>Analytics_Stock!B3</f>
        <v/>
      </c>
      <c r="D27" s="11">
        <f>Analytics_Stock!D3</f>
        <v/>
      </c>
      <c r="E27" s="11">
        <f>Analytics_Stock!G3</f>
        <v/>
      </c>
      <c r="F27" s="11">
        <f>Analytics_Stock!H3</f>
        <v/>
      </c>
    </row>
    <row r="28">
      <c r="B28" s="11">
        <f>Analytics_Stock!A4</f>
        <v/>
      </c>
      <c r="C28" s="11">
        <f>Analytics_Stock!B4</f>
        <v/>
      </c>
      <c r="D28" s="11">
        <f>Analytics_Stock!D4</f>
        <v/>
      </c>
      <c r="E28" s="11">
        <f>Analytics_Stock!G4</f>
        <v/>
      </c>
      <c r="F28" s="11">
        <f>Analytics_Stock!H4</f>
        <v/>
      </c>
    </row>
    <row r="29">
      <c r="B29" s="11">
        <f>Analytics_Stock!A5</f>
        <v/>
      </c>
      <c r="C29" s="11">
        <f>Analytics_Stock!B5</f>
        <v/>
      </c>
      <c r="D29" s="11">
        <f>Analytics_Stock!D5</f>
        <v/>
      </c>
      <c r="E29" s="11">
        <f>Analytics_Stock!G5</f>
        <v/>
      </c>
      <c r="F29" s="11">
        <f>Analytics_Stock!H5</f>
        <v/>
      </c>
    </row>
    <row r="30">
      <c r="B30" s="11">
        <f>Analytics_Stock!A6</f>
        <v/>
      </c>
      <c r="C30" s="11">
        <f>Analytics_Stock!B6</f>
        <v/>
      </c>
      <c r="D30" s="11">
        <f>Analytics_Stock!D6</f>
        <v/>
      </c>
      <c r="E30" s="11">
        <f>Analytics_Stock!G6</f>
        <v/>
      </c>
      <c r="F30" s="11">
        <f>Analytics_Stock!H6</f>
        <v/>
      </c>
    </row>
    <row r="31">
      <c r="B31" s="11">
        <f>Analytics_Stock!A7</f>
        <v/>
      </c>
      <c r="C31" s="11">
        <f>Analytics_Stock!B7</f>
        <v/>
      </c>
      <c r="D31" s="11">
        <f>Analytics_Stock!D7</f>
        <v/>
      </c>
      <c r="E31" s="11">
        <f>Analytics_Stock!G7</f>
        <v/>
      </c>
      <c r="F31" s="11">
        <f>Analytics_Stock!H7</f>
        <v/>
      </c>
    </row>
    <row r="32">
      <c r="B32" s="11">
        <f>Analytics_Stock!A8</f>
        <v/>
      </c>
      <c r="C32" s="11">
        <f>Analytics_Stock!B8</f>
        <v/>
      </c>
      <c r="D32" s="11">
        <f>Analytics_Stock!D8</f>
        <v/>
      </c>
      <c r="E32" s="11">
        <f>Analytics_Stock!G8</f>
        <v/>
      </c>
      <c r="F32" s="11">
        <f>Analytics_Stock!H8</f>
        <v/>
      </c>
    </row>
    <row r="33">
      <c r="B33" s="11">
        <f>Analytics_Stock!A9</f>
        <v/>
      </c>
      <c r="C33" s="11">
        <f>Analytics_Stock!B9</f>
        <v/>
      </c>
      <c r="D33" s="11">
        <f>Analytics_Stock!D9</f>
        <v/>
      </c>
      <c r="E33" s="11">
        <f>Analytics_Stock!G9</f>
        <v/>
      </c>
      <c r="F33" s="11">
        <f>Analytics_Stock!H9</f>
        <v/>
      </c>
    </row>
    <row r="34">
      <c r="B34" s="11">
        <f>Analytics_Stock!A10</f>
        <v/>
      </c>
      <c r="C34" s="11">
        <f>Analytics_Stock!B10</f>
        <v/>
      </c>
      <c r="D34" s="11">
        <f>Analytics_Stock!D10</f>
        <v/>
      </c>
      <c r="E34" s="11">
        <f>Analytics_Stock!G10</f>
        <v/>
      </c>
      <c r="F34" s="11">
        <f>Analytics_Stock!H10</f>
        <v/>
      </c>
    </row>
    <row r="35">
      <c r="B35" s="11">
        <f>Analytics_Stock!A11</f>
        <v/>
      </c>
      <c r="C35" s="11">
        <f>Analytics_Stock!B11</f>
        <v/>
      </c>
      <c r="D35" s="11">
        <f>Analytics_Stock!D11</f>
        <v/>
      </c>
      <c r="E35" s="11">
        <f>Analytics_Stock!G11</f>
        <v/>
      </c>
      <c r="F35" s="11">
        <f>Analytics_Stock!H11</f>
        <v/>
      </c>
    </row>
    <row r="36">
      <c r="B36" s="11">
        <f>Analytics_Stock!A12</f>
        <v/>
      </c>
      <c r="C36" s="11">
        <f>Analytics_Stock!B12</f>
        <v/>
      </c>
      <c r="D36" s="11">
        <f>Analytics_Stock!D12</f>
        <v/>
      </c>
      <c r="E36" s="11">
        <f>Analytics_Stock!G12</f>
        <v/>
      </c>
      <c r="F36" s="11">
        <f>Analytics_Stock!H12</f>
        <v/>
      </c>
    </row>
    <row r="37">
      <c r="B37" s="11">
        <f>Analytics_Stock!A13</f>
        <v/>
      </c>
      <c r="C37" s="11">
        <f>Analytics_Stock!B13</f>
        <v/>
      </c>
      <c r="D37" s="11">
        <f>Analytics_Stock!D13</f>
        <v/>
      </c>
      <c r="E37" s="11">
        <f>Analytics_Stock!G13</f>
        <v/>
      </c>
      <c r="F37" s="11">
        <f>Analytics_Stock!H13</f>
        <v/>
      </c>
    </row>
    <row r="38">
      <c r="B38" s="11">
        <f>Analytics_Stock!A14</f>
        <v/>
      </c>
      <c r="C38" s="11">
        <f>Analytics_Stock!B14</f>
        <v/>
      </c>
      <c r="D38" s="11">
        <f>Analytics_Stock!D14</f>
        <v/>
      </c>
      <c r="E38" s="11">
        <f>Analytics_Stock!G14</f>
        <v/>
      </c>
      <c r="F38" s="11">
        <f>Analytics_Stock!H14</f>
        <v/>
      </c>
    </row>
    <row r="39">
      <c r="B39" s="11">
        <f>Analytics_Stock!A15</f>
        <v/>
      </c>
      <c r="C39" s="11">
        <f>Analytics_Stock!B15</f>
        <v/>
      </c>
      <c r="D39" s="11">
        <f>Analytics_Stock!D15</f>
        <v/>
      </c>
      <c r="E39" s="11">
        <f>Analytics_Stock!G15</f>
        <v/>
      </c>
      <c r="F39" s="11">
        <f>Analytics_Stock!H15</f>
        <v/>
      </c>
    </row>
    <row r="40">
      <c r="B40" s="11">
        <f>Analytics_Stock!A16</f>
        <v/>
      </c>
      <c r="C40" s="11">
        <f>Analytics_Stock!B16</f>
        <v/>
      </c>
      <c r="D40" s="11">
        <f>Analytics_Stock!D16</f>
        <v/>
      </c>
      <c r="E40" s="11">
        <f>Analytics_Stock!G16</f>
        <v/>
      </c>
      <c r="F40" s="11">
        <f>Analytics_Stock!H16</f>
        <v/>
      </c>
    </row>
    <row r="41">
      <c r="B41" s="11">
        <f>Analytics_Stock!A17</f>
        <v/>
      </c>
      <c r="C41" s="11">
        <f>Analytics_Stock!B17</f>
        <v/>
      </c>
      <c r="D41" s="11">
        <f>Analytics_Stock!D17</f>
        <v/>
      </c>
      <c r="E41" s="11">
        <f>Analytics_Stock!G17</f>
        <v/>
      </c>
      <c r="F41" s="11">
        <f>Analytics_Stock!H17</f>
        <v/>
      </c>
    </row>
    <row r="42">
      <c r="B42" s="11">
        <f>Analytics_Stock!A18</f>
        <v/>
      </c>
      <c r="C42" s="11">
        <f>Analytics_Stock!B18</f>
        <v/>
      </c>
      <c r="D42" s="11">
        <f>Analytics_Stock!D18</f>
        <v/>
      </c>
      <c r="E42" s="11">
        <f>Analytics_Stock!G18</f>
        <v/>
      </c>
      <c r="F42" s="11">
        <f>Analytics_Stock!H18</f>
        <v/>
      </c>
    </row>
    <row r="43">
      <c r="B43" s="11">
        <f>Analytics_Stock!A19</f>
        <v/>
      </c>
      <c r="C43" s="11">
        <f>Analytics_Stock!B19</f>
        <v/>
      </c>
      <c r="D43" s="11">
        <f>Analytics_Stock!D19</f>
        <v/>
      </c>
      <c r="E43" s="11">
        <f>Analytics_Stock!G19</f>
        <v/>
      </c>
      <c r="F43" s="11">
        <f>Analytics_Stock!H19</f>
        <v/>
      </c>
    </row>
    <row r="44">
      <c r="B44" s="11">
        <f>Analytics_Stock!A20</f>
        <v/>
      </c>
      <c r="C44" s="11">
        <f>Analytics_Stock!B20</f>
        <v/>
      </c>
      <c r="D44" s="11">
        <f>Analytics_Stock!D20</f>
        <v/>
      </c>
      <c r="E44" s="11">
        <f>Analytics_Stock!G20</f>
        <v/>
      </c>
      <c r="F44" s="11">
        <f>Analytics_Stock!H20</f>
        <v/>
      </c>
    </row>
    <row r="45">
      <c r="B45" s="11">
        <f>Analytics_Stock!A21</f>
        <v/>
      </c>
      <c r="C45" s="11">
        <f>Analytics_Stock!B21</f>
        <v/>
      </c>
      <c r="D45" s="11">
        <f>Analytics_Stock!D21</f>
        <v/>
      </c>
      <c r="E45" s="11">
        <f>Analytics_Stock!G21</f>
        <v/>
      </c>
      <c r="F45" s="11">
        <f>Analytics_Stock!H21</f>
        <v/>
      </c>
    </row>
  </sheetData>
  <mergeCells count="8">
    <mergeCell ref="F4:G4"/>
    <mergeCell ref="B5:C5"/>
    <mergeCell ref="F5:G5"/>
    <mergeCell ref="D5:E5"/>
    <mergeCell ref="H5:I5"/>
    <mergeCell ref="D4:E4"/>
    <mergeCell ref="H4:I4"/>
    <mergeCell ref="B4:C4"/>
  </mergeCells>
  <conditionalFormatting sqref="F26:F45">
    <cfRule type="cellIs" priority="1" operator="equal" dxfId="0">
      <formula>"REORDER"</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2026-09-04T09:37:18Z</dcterms:created>
  <dcterms:modified xsi:type="dcterms:W3CDTF">2026-09-04T09:37:19Z</dcterms:modified>
</cp:coreProperties>
</file>