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commendation" sheetId="2" state="visible" r:id="rId4"/>
    <sheet name="Spec Comparison" sheetId="3" state="visible" r:id="rId5"/>
    <sheet name="Price and Value" sheetId="4" state="visible" r:id="rId6"/>
    <sheet name="Scorecard" sheetId="5" state="visible" r:id="rId7"/>
    <sheet name="Best and Uniqu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<sst xmlns="http://schemas.openxmlformats.org/spreadsheetml/2006/main" count="927" uniqueCount="612">
  <si>
    <t xml:space="preserve">Smartphone Comparison - Fold vs Ultra vs iPhone</t>
  </si>
  <si>
    <t xml:space="preserve">Ten phones, compared for an India purchase decision. All data as of 26 August 2026.</t>
  </si>
  <si>
    <t xml:space="preserve">What is in this workbook</t>
  </si>
  <si>
    <t xml:space="preserve">Spec Comparison</t>
  </si>
  <si>
    <t xml:space="preserve">Every phone as a column, ~55 attributes as rows, grouped by section. This is the main table.</t>
  </si>
  <si>
    <t xml:space="preserve">Price and Value</t>
  </si>
  <si>
    <t xml:space="preserve">Launch MRP against the best street price found today, the usual bank offer, and how far each phone has fallen.</t>
  </si>
  <si>
    <t xml:space="preserve">Scorecard</t>
  </si>
  <si>
    <t xml:space="preserve">A weighted decision model. Change the weights in row 4 to match what YOU care about and the ranking re-sorts itself.</t>
  </si>
  <si>
    <t xml:space="preserve">Best and Unique</t>
  </si>
  <si>
    <t xml:space="preserve">The three things each phone does best, the one thing only it does, and what is wrong with it.</t>
  </si>
  <si>
    <t xml:space="preserve">Recommendation</t>
  </si>
  <si>
    <t xml:space="preserve">The actual answer: what to buy, at what budget, and why waiting two weeks may save you money.</t>
  </si>
  <si>
    <t xml:space="preserve">How to use it</t>
  </si>
  <si>
    <t xml:space="preserve">1.</t>
  </si>
  <si>
    <t xml:space="preserve">Read the Recommendation sheet first if you just want an answer.</t>
  </si>
  <si>
    <t xml:space="preserve">2.</t>
  </si>
  <si>
    <t xml:space="preserve">Open the Scorecard and change the seven weights in row 4 (yellow cells) so they total 100%. The ranking updates.</t>
  </si>
  <si>
    <t xml:space="preserve">3.</t>
  </si>
  <si>
    <t xml:space="preserve">If you have a live quote, overwrite the price in column D of the Price and Value sheet. Everything downstream follows.</t>
  </si>
  <si>
    <t xml:space="preserve">Colour legend</t>
  </si>
  <si>
    <t xml:space="preserve">Blue text</t>
  </si>
  <si>
    <t xml:space="preserve">A hardcoded number or judgement typed in by hand -- an input you may change.</t>
  </si>
  <si>
    <t xml:space="preserve">Black text</t>
  </si>
  <si>
    <t xml:space="preserve">A formula. Do not overwrite these; they recalculate from the inputs.</t>
  </si>
  <si>
    <t xml:space="preserve">Green text</t>
  </si>
  <si>
    <t xml:space="preserve">A link pulling a value in from another sheet.</t>
  </si>
  <si>
    <t xml:space="preserve">Yellow fill</t>
  </si>
  <si>
    <t xml:space="preserve">A cell you are expected to edit -- the scorecard weights.</t>
  </si>
  <si>
    <t xml:space="preserve">Where the numbers came from</t>
  </si>
  <si>
    <t xml:space="preserve">Prices</t>
  </si>
  <si>
    <t xml:space="preserve">Public retail and price-tracker listings on 26 Aug 2026: Flipkart, Amazon India, Croma, Samsung India, Smartprix, 91mobiles, MySmartPrice, PriceHistory, SamMobile, Cashify.</t>
  </si>
  <si>
    <t xml:space="preserve">Specifications</t>
  </si>
  <si>
    <t xml:space="preserve">Manufacturer spec sheets (Samsung India, Apple India) cross-checked against GSMArena, PhoneArena, TechRadar and 91mobiles.</t>
  </si>
  <si>
    <t xml:space="preserve">Ratings</t>
  </si>
  <si>
    <t xml:space="preserve">The 1-10 category ratings on the Scorecard are MY judgement, not a measurement. They are typed in blue so you can disagree and overwrite them.</t>
  </si>
  <si>
    <t xml:space="preserve">Read this before you spend money</t>
  </si>
  <si>
    <t xml:space="preserve">Prices move daily</t>
  </si>
  <si>
    <t xml:space="preserve">Indian smartphone street prices swing by Rs 5,000-15,000 on bank offers, exchange bonuses and sale events. Every price here is a snapshot, not a quote. Re-check on the day you buy.</t>
  </si>
  <si>
    <t xml:space="preserve">Festive season is coming</t>
  </si>
  <si>
    <t xml:space="preserve">Flipkart Big Billion Days and Amazon Great Indian Festival typically land late September / early October. Several phones here will be cheaper then.</t>
  </si>
  <si>
    <t xml:space="preserve">Two launches are pending</t>
  </si>
  <si>
    <t xml:space="preserve">The Galaxy Z Fold 8 already launched (22 Jul 2026), which is why the Fold 7 is discounted. Apple's next event is expected around 9 Sep 2026 -- roughly two weeks from this workbook's date.</t>
  </si>
  <si>
    <t xml:space="preserve">Variant matters</t>
  </si>
  <si>
    <t xml:space="preserve">Every price here is the base variant listed in the Price and Value sheet. A 512 GB model typically costs Rs 10,000-20,000 more.</t>
  </si>
  <si>
    <t xml:space="preserve">One buyer's view as of 26 August 2026, for a phone bought in India. The Scorecard exists so you can disagree with it.</t>
  </si>
  <si>
    <t xml:space="preserve">The short answer</t>
  </si>
  <si>
    <t xml:space="preserve">Buy the Galaxy S25 Ultra at roughly Rs 88,000 effective. It carries the full Ultra camera stack -- 200 MP main, 50 MP autofocus ultra-wide, 3x and 5x optical -- a titanium body, a built-in S Pen and updates running to February 2032, for about Rs 32,000 less than the S26 Ultra that improves on it mainly in main-sensor aperture and charging speed. It ranks second on raw quality on the Scorecard and is the highest-scoring phone available below Rs 90,000.</t>
  </si>
  <si>
    <t xml:space="preserve">If you are set on iOS: wait until mid-September. Apple's next event is expected around 9 September 2026, and the iPhone 17 has already traded as low as Rs 75,900. Buying it on 26 August is the single most avoidable mistake in this workbook.</t>
  </si>
  <si>
    <t xml:space="preserve">If you want the foldable: the Galaxy Z Fold 7 at roughly Rs 155,000 effective is the one worth owning, but it is a want, not a value buy. It ranks near the bottom of the value column and its 4,400 mAh / 25 W battery is the weakest here.</t>
  </si>
  <si>
    <t xml:space="preserve">Pick by budget</t>
  </si>
  <si>
    <t xml:space="preserve">Budget (effective)</t>
  </si>
  <si>
    <t xml:space="preserve">Buy this</t>
  </si>
  <si>
    <t xml:space="preserve">Why</t>
  </si>
  <si>
    <t xml:space="preserve">Runner-up</t>
  </si>
  <si>
    <t xml:space="preserve">Skip</t>
  </si>
  <si>
    <t xml:space="preserve">Under Rs 50,000</t>
  </si>
  <si>
    <t xml:space="preserve">iPhone 15 (Rs 51,999, ~Rs 49,000 after card offer)</t>
  </si>
  <si>
    <t xml:space="preserve">Cheapest route to a current iOS build with a 48 MP main camera. Accept that Apple Intelligence will never run on it.</t>
  </si>
  <si>
    <t xml:space="preserve">A used or refurbished S23 Ultra at around Rs 53,000</t>
  </si>
  <si>
    <t xml:space="preserve">Nothing new from Samsung's flagship line lands here</t>
  </si>
  <si>
    <t xml:space="preserve">Rs 60,000 - 75,000</t>
  </si>
  <si>
    <t xml:space="preserve">Galaxy S24 Ultra (Rs 78,999, ~Rs 75,000 after card offer)</t>
  </si>
  <si>
    <t xml:space="preserve">Titanium, 200 MP main, a real 5x periscope, Bluetooth S Pen and updates to January 2031. Nothing else at this price has that camera reach.</t>
  </si>
  <si>
    <t xml:space="preserve">iPhone 16 at ~Rs 62,000 if you need iOS</t>
  </si>
  <si>
    <t xml:space="preserve">Galaxy S23 Ultra -- same money, a year older, updates end Feb 2028</t>
  </si>
  <si>
    <t xml:space="preserve">Rs 75,000 - 95,000</t>
  </si>
  <si>
    <t xml:space="preserve">Galaxy S25 Ultra (Rs 92,990, ~Rs 88,000 after card offer)</t>
  </si>
  <si>
    <t xml:space="preserve">The value winner of this entire comparison. Near-flagship in every column at a two-generations-old price.</t>
  </si>
  <si>
    <t xml:space="preserve">iPhone 17 -- but only after the September event</t>
  </si>
  <si>
    <t xml:space="preserve">Do not stretch to the Fold 5 at Rs 108,990 -- cheaper phones here beat it on every axis</t>
  </si>
  <si>
    <t xml:space="preserve">Rs 95,000 - 130,000</t>
  </si>
  <si>
    <t xml:space="preserve">Galaxy S26 Ultra (Rs 124,999, ~Rs 120,000 after card offer)</t>
  </si>
  <si>
    <t xml:space="preserve">Best Android phone you can buy today: f/1.4 main, 60 W charging, Privacy Display, updates to Feb 2033.</t>
  </si>
  <si>
    <t xml:space="preserve">Galaxy Z Fold 6 at ~Rs 105,000 if you specifically want a foldable</t>
  </si>
  <si>
    <t xml:space="preserve">Paying full MRP -- it launched at Rs 139,999 and has fallen Rs 15,000 in six months</t>
  </si>
  <si>
    <t xml:space="preserve">Above Rs 150,000</t>
  </si>
  <si>
    <t xml:space="preserve">Galaxy Z Fold 7 (Rs 161,855, ~Rs 155,000 after card offer)</t>
  </si>
  <si>
    <t xml:space="preserve">The only foldable here with a flagship 200 MP camera and a cover screen you can actually type on.</t>
  </si>
  <si>
    <t xml:space="preserve">Galaxy Z Fold 8 at Rs 179,999 if you want current-generation</t>
  </si>
  <si>
    <t xml:space="preserve">Buying a Fold for the camera or the battery -- an S26 Ultra beats it on both for about Rs 35,000 less</t>
  </si>
  <si>
    <t xml:space="preserve">Pick by what you actually care about</t>
  </si>
  <si>
    <t xml:space="preserve">If this matters most</t>
  </si>
  <si>
    <t xml:space="preserve">Buy</t>
  </si>
  <si>
    <t xml:space="preserve">Because</t>
  </si>
  <si>
    <t xml:space="preserve">Camera, no compromise</t>
  </si>
  <si>
    <t xml:space="preserve">Galaxy S26 Ultra</t>
  </si>
  <si>
    <t xml:space="preserve">f/1.4 main takes in roughly 47% more light than the S24 Ultra, plus a 50 MP autofocus ultra-wide and 5x periscope. Nothing else here is close in low light.</t>
  </si>
  <si>
    <t xml:space="preserve">Zoom reach specifically</t>
  </si>
  <si>
    <t xml:space="preserve">Galaxy S23 Ultra (used or discounted)</t>
  </si>
  <si>
    <t xml:space="preserve">The only phone in this list with a true 10x optical periscope. Samsung has not shipped one since. Buy it knowing security updates end Feb 2028.</t>
  </si>
  <si>
    <t xml:space="preserve">Battery that survives a long day</t>
  </si>
  <si>
    <t xml:space="preserve">5,000 mAh with 60 W wired and 25 W wireless. Real screen-on time of 8-9 hours -- the folds manage 5-6.</t>
  </si>
  <si>
    <t xml:space="preserve">Screen real estate / multitasking</t>
  </si>
  <si>
    <t xml:space="preserve">Galaxy Z Fold 7</t>
  </si>
  <si>
    <t xml:space="preserve">An 8-inch 120 Hz tablet in your pocket, plus Samsung DeX. If you read contracts, review spreadsheets or run two apps side by side, nothing else competes.</t>
  </si>
  <si>
    <t xml:space="preserve">Lightest phone that still feels premium</t>
  </si>
  <si>
    <t xml:space="preserve">iPhone 16 (170 g) or iPhone 17 (177 g)</t>
  </si>
  <si>
    <t xml:space="preserve">Every Samsung in this list is 214 g or heavier; the Fold 5 is 253 g.</t>
  </si>
  <si>
    <t xml:space="preserve">Longest useful life</t>
  </si>
  <si>
    <t xml:space="preserve">Security updates to Feb 2033 -- about 6.5 years from today. The iPhone 17 is close behind at roughly 5.5.</t>
  </si>
  <si>
    <t xml:space="preserve">Resale value</t>
  </si>
  <si>
    <t xml:space="preserve">iPhone 17</t>
  </si>
  <si>
    <t xml:space="preserve">iPhones hold roughly 60-65% of MRP at two years against 40-50% for Samsung flagships. Factor that in before comparing sticker prices.</t>
  </si>
  <si>
    <t xml:space="preserve">Stylus / handwritten notes</t>
  </si>
  <si>
    <t xml:space="preserve">Galaxy S25 Ultra or S24 Ultra</t>
  </si>
  <si>
    <t xml:space="preserve">Both have an S Pen in the body. The Fold 7 dropped stylus support entirely, and the S24 Ultra is the last one with Bluetooth Air Actions.</t>
  </si>
  <si>
    <t xml:space="preserve">Lowest total spend on iOS</t>
  </si>
  <si>
    <t xml:space="preserve">iPhone 15</t>
  </si>
  <si>
    <t xml:space="preserve">Under Rs 52,000 for a Dynamic Island iPhone with USB-C. The catch is permanent: no Apple Intelligence, 60 Hz, and Apple India has discontinued it.</t>
  </si>
  <si>
    <t xml:space="preserve">Do not buy these right now</t>
  </si>
  <si>
    <t xml:space="preserve">Phone</t>
  </si>
  <si>
    <t xml:space="preserve">Why not</t>
  </si>
  <si>
    <t xml:space="preserve">What to do instead</t>
  </si>
  <si>
    <t xml:space="preserve">Galaxy Z Fold 5 (Rs 108,990)</t>
  </si>
  <si>
    <t xml:space="preserve">Costs almost the same as a Fold 6 that is a generation newer, with worse ingress protection (IPX8, no dust rating), 253 g, and updates ending Aug 2028.</t>
  </si>
  <si>
    <t xml:space="preserve">Pay Rs 1,000 more for the Fold 6, or wait for it to fall below Rs 85,000.</t>
  </si>
  <si>
    <t xml:space="preserve">Galaxy S23 Ultra (Rs 74,999)</t>
  </si>
  <si>
    <t xml:space="preserve">Priced level with the S24 Ultra but a year older, with under 18 months of security updates left.</t>
  </si>
  <si>
    <t xml:space="preserve">Buy the S24 Ultra, unless you specifically want the 10x periscope -- then buy refurbished at around Rs 53,000.</t>
  </si>
  <si>
    <t xml:space="preserve">iPhone 17 at Rs 81,900 today</t>
  </si>
  <si>
    <t xml:space="preserve">Apple's next event is expected around 9 September 2026, roughly two weeks away. This phone has already traded at Rs 75,900.</t>
  </si>
  <si>
    <t xml:space="preserve">Wait two weeks. If you cannot, at least wait for the festive sale in late September.</t>
  </si>
  <si>
    <t xml:space="preserve">Galaxy Z Fold 7 if you want value</t>
  </si>
  <si>
    <t xml:space="preserve">Ranks last or near-last on score-per-rupee. You are paying roughly Rs 35,000 more than an S26 Ultra for the hinge.</t>
  </si>
  <si>
    <t xml:space="preserve">Buy it because you want a foldable, not because it is the better phone. Otherwise buy the S26 Ultra.</t>
  </si>
  <si>
    <t xml:space="preserve">Timing - what is about to happen</t>
  </si>
  <si>
    <t xml:space="preserve">• 22 July 2026: the Galaxy Z Fold 8 and Fold 8 Ultra launched in India at Rs 179,999 and Rs 199,999, on sale from 8 August. That is exactly why the Fold 7 fell about Rs 13,000 at Croma with another Rs 7,000 off on HDFC cards.</t>
  </si>
  <si>
    <t xml:space="preserve">• ~9 September 2026: Apple's autumn event is expected. Reports point to the iPhone 18 Pro, iPhone 18 Pro Max and a foldable iPhone; the standard iPhone 18 is expected to slip to spring 2027. Note the consequence -- if you want a non-Pro iPhone, the iPhone 17 stays Apple's current base model for another six months, so its price will drop but it will not be superseded.</t>
  </si>
  <si>
    <t xml:space="preserve">• Late September / early October 2026: Flipkart Big Billion Days and Amazon Great Indian Festival. Historically the deepest cuts of the year on last-generation flagships -- which is most of this list.</t>
  </si>
  <si>
    <t xml:space="preserve">• Roughly February 2027: the Galaxy S27 Ultra cycle. If you are buying an S26 Ultra and can wait, its price will fall meaningfully then. If you are buying an S25 Ultra it is already at that stage of the curve, which is the whole argument for it.</t>
  </si>
  <si>
    <t xml:space="preserve">How to actually pay less in India</t>
  </si>
  <si>
    <t xml:space="preserve">• Stack the offers: card discount (Rs 3,000-7,000 depending on bank and store), exchange bonus, and no-cost EMI are usually combinable. The listed price is rarely the price you pay.</t>
  </si>
  <si>
    <t xml:space="preserve">• Exchange bonuses are the biggest lever on Samsung phones -- Flipkart has advertised up to Rs 63,300 total savings on the Fold 7 with a trade-in. They are excluded from this workbook because the number depends entirely on your old phone.</t>
  </si>
  <si>
    <t xml:space="preserve">• Check Croma and Samsung's own store, not just Flipkart and Amazon. The best Fold 7 price today is at Croma, not either marketplace.</t>
  </si>
  <si>
    <t xml:space="preserve">• Apple discounts differently: Apple India rarely cuts its own price, but Flipkart and Amazon do, and Apple cuts MRP on older models when a new one launches (as it did for the iPhone 16 after the 17).</t>
  </si>
  <si>
    <t xml:space="preserve">• Refurbished is a real option at the bottom of this list -- a certified S23 Ultra runs around Rs 53,000 against Rs 74,999 new. Check the warranty terms before you commit.</t>
  </si>
  <si>
    <t xml:space="preserve">• Buy the base storage variant unless you know you need more. A 512 GB step-up costs Rs 10,000-20,000; a cloud subscription costs far less.</t>
  </si>
  <si>
    <t xml:space="preserve">What this recommendation is not</t>
  </si>
  <si>
    <t xml:space="preserve">These are my judgements on a snapshot of prices taken on 26 August 2026. Indian street prices move daily on bank offers and sale events, and the ratings feeding the Scorecard are opinions, not benchmarks. Re-check the price on the day you buy, and if you weigh things differently from me, change the weights in row 4 of the Scorecard -- the ranking is a formula, not a verdict.</t>
  </si>
  <si>
    <t xml:space="preserve">Full Specification Comparison</t>
  </si>
  <si>
    <t xml:space="preserve">Read across a row to compare one attribute; read down a column for one phone. Pricing rows are pulled live from the Price and Value sheet.</t>
  </si>
  <si>
    <t xml:space="preserve">Section</t>
  </si>
  <si>
    <t xml:space="preserve">Attribute</t>
  </si>
  <si>
    <t xml:space="preserve">Galaxy Z Fold 6</t>
  </si>
  <si>
    <t xml:space="preserve">Galaxy Z Fold 5</t>
  </si>
  <si>
    <t xml:space="preserve">Galaxy S25 Ultra</t>
  </si>
  <si>
    <t xml:space="preserve">Galaxy S24 Ultra</t>
  </si>
  <si>
    <t xml:space="preserve">Galaxy S23 Ultra</t>
  </si>
  <si>
    <t xml:space="preserve">iPhone 16</t>
  </si>
  <si>
    <t xml:space="preserve">Identity</t>
  </si>
  <si>
    <t xml:space="preserve">Brand / family</t>
  </si>
  <si>
    <t xml:space="preserve">Samsung – Galaxy Z (foldable)</t>
  </si>
  <si>
    <t xml:space="preserve">Samsung – Galaxy S Ultra</t>
  </si>
  <si>
    <t xml:space="preserve">Apple – iPhone (base)</t>
  </si>
  <si>
    <t xml:space="preserve">Generation age (from launch)</t>
  </si>
  <si>
    <t xml:space="preserve">1 year</t>
  </si>
  <si>
    <t xml:space="preserve">2 years</t>
  </si>
  <si>
    <t xml:space="preserve">3 years</t>
  </si>
  <si>
    <t xml:space="preserve">6 months</t>
  </si>
  <si>
    <t xml:space="preserve">1.5 years</t>
  </si>
  <si>
    <t xml:space="preserve">2.5 years</t>
  </si>
  <si>
    <t xml:space="preserve">3.5 years</t>
  </si>
  <si>
    <t xml:space="preserve">11 months</t>
  </si>
  <si>
    <t xml:space="preserve">India launch date</t>
  </si>
  <si>
    <t xml:space="preserve">25 Jul 2025</t>
  </si>
  <si>
    <t xml:space="preserve">24 Jul 2024</t>
  </si>
  <si>
    <t xml:space="preserve">11 Aug 2023</t>
  </si>
  <si>
    <t xml:space="preserve">25 Feb 2026</t>
  </si>
  <si>
    <t xml:space="preserve">6 Feb 2025</t>
  </si>
  <si>
    <t xml:space="preserve">31 Jan 2024</t>
  </si>
  <si>
    <t xml:space="preserve">17 Feb 2023</t>
  </si>
  <si>
    <t xml:space="preserve">19 Sep 2025</t>
  </si>
  <si>
    <t xml:space="preserve">20 Sep 2024</t>
  </si>
  <si>
    <t xml:space="preserve">22 Sep 2023</t>
  </si>
  <si>
    <t xml:space="preserve">Sales status (Aug 2026)</t>
  </si>
  <si>
    <t xml:space="preserve">Outgoing – Fold 8 launched 22 Jul 2026</t>
  </si>
  <si>
    <t xml:space="preserve">Clearance / limited stock</t>
  </si>
  <si>
    <t xml:space="preserve">End of life – thin stock, mostly grey/refurb</t>
  </si>
  <si>
    <t xml:space="preserve">Current flagship</t>
  </si>
  <si>
    <t xml:space="preserve">Widely stocked, heavily discounted</t>
  </si>
  <si>
    <t xml:space="preserve">End of life – thin stock</t>
  </si>
  <si>
    <t xml:space="preserve">Current – iPhone 18 Pro expected ~9 Sep 2026</t>
  </si>
  <si>
    <t xml:space="preserve">Still officially sold, price cut</t>
  </si>
  <si>
    <t xml:space="preserve">Discontinued by Apple India – channel stock only</t>
  </si>
  <si>
    <t xml:space="preserve">Form factor</t>
  </si>
  <si>
    <t xml:space="preserve">Book-style foldable</t>
  </si>
  <si>
    <t xml:space="preserve">Slab, flat screen</t>
  </si>
  <si>
    <t xml:space="preserve">Slab, curved screen</t>
  </si>
  <si>
    <t xml:space="preserve">Slab</t>
  </si>
  <si>
    <t xml:space="preserve">Pricing (India)</t>
  </si>
  <si>
    <t xml:space="preserve">Base variant priced here</t>
  </si>
  <si>
    <t xml:space="preserve">12 GB / 256 GB</t>
  </si>
  <si>
    <t xml:space="preserve">8 GB / 256 GB</t>
  </si>
  <si>
    <t xml:space="preserve">256 GB</t>
  </si>
  <si>
    <t xml:space="preserve">128 GB</t>
  </si>
  <si>
    <t xml:space="preserve">Launch MRP (base)</t>
  </si>
  <si>
    <t xml:space="preserve">Best street price today</t>
  </si>
  <si>
    <t xml:space="preserve">Effective price after bank offer</t>
  </si>
  <si>
    <t xml:space="preserve">Fall from launch MRP</t>
  </si>
  <si>
    <t xml:space="preserve">Display</t>
  </si>
  <si>
    <t xml:space="preserve">Main screen size</t>
  </si>
  <si>
    <t xml:space="preserve">8.0"</t>
  </si>
  <si>
    <t xml:space="preserve">7.6"</t>
  </si>
  <si>
    <t xml:space="preserve">6.9"</t>
  </si>
  <si>
    <t xml:space="preserve">6.8"</t>
  </si>
  <si>
    <t xml:space="preserve">6.3"</t>
  </si>
  <si>
    <t xml:space="preserve">6.1"</t>
  </si>
  <si>
    <t xml:space="preserve">Main screen resolution</t>
  </si>
  <si>
    <t xml:space="preserve">2184 x 1968 QXGA+</t>
  </si>
  <si>
    <t xml:space="preserve">2160 x 1856 QXGA+</t>
  </si>
  <si>
    <t xml:space="preserve">2176 x 1812 QXGA+</t>
  </si>
  <si>
    <t xml:space="preserve">3120 x 1440 QHD+</t>
  </si>
  <si>
    <t xml:space="preserve">3088 x 1440 QHD+</t>
  </si>
  <si>
    <t xml:space="preserve">2622 x 1206</t>
  </si>
  <si>
    <t xml:space="preserve">2556 x 1179</t>
  </si>
  <si>
    <t xml:space="preserve">Panel type</t>
  </si>
  <si>
    <t xml:space="preserve">Dynamic AMOLED 2X (foldable)</t>
  </si>
  <si>
    <t xml:space="preserve">Dynamic AMOLED 2X</t>
  </si>
  <si>
    <t xml:space="preserve">Super Retina XDR OLED</t>
  </si>
  <si>
    <t xml:space="preserve">Refresh rate</t>
  </si>
  <si>
    <t xml:space="preserve">1–120 Hz adaptive</t>
  </si>
  <si>
    <t xml:space="preserve">1–120 Hz ProMotion</t>
  </si>
  <si>
    <t xml:space="preserve">60 Hz only</t>
  </si>
  <si>
    <t xml:space="preserve">Peak brightness (claimed)</t>
  </si>
  <si>
    <t xml:space="preserve">2,600 nits</t>
  </si>
  <si>
    <t xml:space="preserve">1,750 nits</t>
  </si>
  <si>
    <t xml:space="preserve">3,000 nits</t>
  </si>
  <si>
    <t xml:space="preserve">2,000 nits</t>
  </si>
  <si>
    <t xml:space="preserve">Always-on display</t>
  </si>
  <si>
    <t xml:space="preserve">Yes</t>
  </si>
  <si>
    <t xml:space="preserve">No</t>
  </si>
  <si>
    <t xml:space="preserve">Cover / secondary screen</t>
  </si>
  <si>
    <t xml:space="preserve">6.5" FHD+ 120 Hz (usable width)</t>
  </si>
  <si>
    <t xml:space="preserve">6.3" 120 Hz (narrow)</t>
  </si>
  <si>
    <t xml:space="preserve">6.2" 120 Hz (very narrow)</t>
  </si>
  <si>
    <t xml:space="preserve">n/a</t>
  </si>
  <si>
    <t xml:space="preserve">Front glass / protection</t>
  </si>
  <si>
    <t xml:space="preserve">Gorilla Glass Ceramic 2 (cover)</t>
  </si>
  <si>
    <t xml:space="preserve">Gorilla Glass Victus 2 (cover)</t>
  </si>
  <si>
    <t xml:space="preserve">Gorilla Armor 3 (anti-reflective)</t>
  </si>
  <si>
    <t xml:space="preserve">Gorilla Armor 2 (anti-reflective)</t>
  </si>
  <si>
    <t xml:space="preserve">Gorilla Armor (anti-reflective)</t>
  </si>
  <si>
    <t xml:space="preserve">Gorilla Glass Victus 2</t>
  </si>
  <si>
    <t xml:space="preserve">Ceramic Shield 2</t>
  </si>
  <si>
    <t xml:space="preserve">Ceramic Shield</t>
  </si>
  <si>
    <t xml:space="preserve">Performance</t>
  </si>
  <si>
    <t xml:space="preserve">Chipset</t>
  </si>
  <si>
    <t xml:space="preserve">Snapdragon 8 Elite for Galaxy</t>
  </si>
  <si>
    <t xml:space="preserve">Snapdragon 8 Gen 3 for Galaxy</t>
  </si>
  <si>
    <t xml:space="preserve">Snapdragon 8 Gen 2 for Galaxy</t>
  </si>
  <si>
    <t xml:space="preserve">Snapdragon 8 Elite Gen 5 for Galaxy</t>
  </si>
  <si>
    <t xml:space="preserve">Apple A19</t>
  </si>
  <si>
    <t xml:space="preserve">Apple A18</t>
  </si>
  <si>
    <t xml:space="preserve">Apple A16 Bionic</t>
  </si>
  <si>
    <t xml:space="preserve">Fabrication node</t>
  </si>
  <si>
    <t xml:space="preserve">3 nm</t>
  </si>
  <si>
    <t xml:space="preserve">4 nm</t>
  </si>
  <si>
    <t xml:space="preserve">Peak clock</t>
  </si>
  <si>
    <t xml:space="preserve">4.47 GHz</t>
  </si>
  <si>
    <t xml:space="preserve">3.39 GHz</t>
  </si>
  <si>
    <t xml:space="preserve">3.36 GHz</t>
  </si>
  <si>
    <t xml:space="preserve">4.74 GHz</t>
  </si>
  <si>
    <t xml:space="preserve">~4.3 GHz</t>
  </si>
  <si>
    <t xml:space="preserve">~4.0 GHz</t>
  </si>
  <si>
    <t xml:space="preserve">~3.5 GHz</t>
  </si>
  <si>
    <t xml:space="preserve">Geekbench 6 multi-core (indicative)</t>
  </si>
  <si>
    <t xml:space="preserve">~9,700</t>
  </si>
  <si>
    <t xml:space="preserve">~7,200</t>
  </si>
  <si>
    <t xml:space="preserve">~5,100</t>
  </si>
  <si>
    <t xml:space="preserve">~11,400</t>
  </si>
  <si>
    <t xml:space="preserve">~10,100</t>
  </si>
  <si>
    <t xml:space="preserve">~5,000</t>
  </si>
  <si>
    <t xml:space="preserve">~8,500</t>
  </si>
  <si>
    <t xml:space="preserve">~8,200</t>
  </si>
  <si>
    <t xml:space="preserve">~6,600</t>
  </si>
  <si>
    <t xml:space="preserve">RAM options</t>
  </si>
  <si>
    <t xml:space="preserve">12 GB / 16 GB</t>
  </si>
  <si>
    <t xml:space="preserve">12 GB</t>
  </si>
  <si>
    <t xml:space="preserve">8 GB / 12 GB</t>
  </si>
  <si>
    <t xml:space="preserve">8 GB</t>
  </si>
  <si>
    <t xml:space="preserve">6 GB</t>
  </si>
  <si>
    <t xml:space="preserve">Storage options</t>
  </si>
  <si>
    <t xml:space="preserve">256 GB / 512 GB / 1 TB</t>
  </si>
  <si>
    <t xml:space="preserve">256 GB / 512 GB</t>
  </si>
  <si>
    <t xml:space="preserve">128 / 256 / 512 GB</t>
  </si>
  <si>
    <t xml:space="preserve">Sustained-load cooling</t>
  </si>
  <si>
    <t xml:space="preserve">Vapour chamber (enlarged)</t>
  </si>
  <si>
    <t xml:space="preserve">Vapour chamber</t>
  </si>
  <si>
    <t xml:space="preserve">Vapour chamber (largest in series)</t>
  </si>
  <si>
    <t xml:space="preserve">Vapour chamber (new for iPhone 17)</t>
  </si>
  <si>
    <t xml:space="preserve">Graphite only</t>
  </si>
  <si>
    <t xml:space="preserve">Camera</t>
  </si>
  <si>
    <t xml:space="preserve">Main camera</t>
  </si>
  <si>
    <t xml:space="preserve">200 MP f/1.7 OIS</t>
  </si>
  <si>
    <t xml:space="preserve">50 MP f/1.8 OIS</t>
  </si>
  <si>
    <t xml:space="preserve">200 MP f/1.4 OIS</t>
  </si>
  <si>
    <t xml:space="preserve">48 MP f/1.6 Fusion</t>
  </si>
  <si>
    <t xml:space="preserve">48 MP f/1.6</t>
  </si>
  <si>
    <t xml:space="preserve">Ultra-wide</t>
  </si>
  <si>
    <t xml:space="preserve">12 MP f/2.2</t>
  </si>
  <si>
    <t xml:space="preserve">50 MP f/1.9 with autofocus</t>
  </si>
  <si>
    <t xml:space="preserve">48 MP f/2.2 with macro</t>
  </si>
  <si>
    <t xml:space="preserve">12 MP f/2.2 with macro</t>
  </si>
  <si>
    <t xml:space="preserve">12 MP f/2.4</t>
  </si>
  <si>
    <t xml:space="preserve">Telephoto 1</t>
  </si>
  <si>
    <t xml:space="preserve">10 MP 3x f/2.4</t>
  </si>
  <si>
    <t xml:space="preserve">None (2x sensor crop)</t>
  </si>
  <si>
    <t xml:space="preserve">Telephoto 2 (periscope)</t>
  </si>
  <si>
    <t xml:space="preserve">None</t>
  </si>
  <si>
    <t xml:space="preserve">50 MP 5x f/2.8 periscope</t>
  </si>
  <si>
    <t xml:space="preserve">50 MP 5x f/3.4 periscope</t>
  </si>
  <si>
    <t xml:space="preserve">10 MP 10x f/4.9 periscope</t>
  </si>
  <si>
    <t xml:space="preserve">Best optical zoom</t>
  </si>
  <si>
    <t xml:space="preserve">3x</t>
  </si>
  <si>
    <t xml:space="preserve">5x (100x Space Zoom digital)</t>
  </si>
  <si>
    <t xml:space="preserve">5x (100x digital)</t>
  </si>
  <si>
    <t xml:space="preserve">10x (100x digital)</t>
  </si>
  <si>
    <t xml:space="preserve">2x (crop)</t>
  </si>
  <si>
    <t xml:space="preserve">Selfie camera</t>
  </si>
  <si>
    <t xml:space="preserve">10 MP cover + 10 MP inner</t>
  </si>
  <si>
    <t xml:space="preserve">10 MP cover + 4 MP under-display</t>
  </si>
  <si>
    <t xml:space="preserve">12 MP autofocus</t>
  </si>
  <si>
    <t xml:space="preserve">18 MP Center Stage (square sensor)</t>
  </si>
  <si>
    <t xml:space="preserve">12 MP TrueDepth</t>
  </si>
  <si>
    <t xml:space="preserve">Max video</t>
  </si>
  <si>
    <t xml:space="preserve">8K30 / 4K120</t>
  </si>
  <si>
    <t xml:space="preserve">8K30 / 4K60</t>
  </si>
  <si>
    <t xml:space="preserve">8K30 / 4K120 (10-bit HDR, LOG)</t>
  </si>
  <si>
    <t xml:space="preserve">8K30 / 4K120 (LOG)</t>
  </si>
  <si>
    <t xml:space="preserve">4K60 Dolby Vision, dual capture</t>
  </si>
  <si>
    <t xml:space="preserve">4K60 Dolby Vision</t>
  </si>
  <si>
    <t xml:space="preserve">Camera stand-out</t>
  </si>
  <si>
    <t xml:space="preserve">Best-in-class foldable camera – Ultra-grade 200 MP in a fold</t>
  </si>
  <si>
    <t xml:space="preserve">Competent, not flagship-grade</t>
  </si>
  <si>
    <t xml:space="preserve">Ageing 50 MP set-up</t>
  </si>
  <si>
    <t xml:space="preserve">f/1.4 main lets in ~47% more light than S24 Ultra – best low-light in this list</t>
  </si>
  <si>
    <t xml:space="preserve">Most complete zoom stack for the money</t>
  </si>
  <si>
    <t xml:space="preserve">Excellent 5x periscope, proven ProVisual engine</t>
  </si>
  <si>
    <t xml:space="preserve">Only phone here with 10x true optical</t>
  </si>
  <si>
    <t xml:space="preserve">Cleanest point-and-shoot video; new 18 MP selfie is a genuine upgrade</t>
  </si>
  <si>
    <t xml:space="preserve">Reliable 48 MP main, weak ultra-wide</t>
  </si>
  <si>
    <t xml:space="preserve">Good main sensor, dated processing</t>
  </si>
  <si>
    <t xml:space="preserve">Battery &amp; charging</t>
  </si>
  <si>
    <t xml:space="preserve">Battery capacity</t>
  </si>
  <si>
    <t xml:space="preserve">4,400 mAh</t>
  </si>
  <si>
    <t xml:space="preserve">5,000 mAh</t>
  </si>
  <si>
    <t xml:space="preserve">~3,692 mAh</t>
  </si>
  <si>
    <t xml:space="preserve">~3,561 mAh</t>
  </si>
  <si>
    <t xml:space="preserve">~3,349 mAh</t>
  </si>
  <si>
    <t xml:space="preserve">Wired charging</t>
  </si>
  <si>
    <t xml:space="preserve">25 W</t>
  </si>
  <si>
    <t xml:space="preserve">60 W</t>
  </si>
  <si>
    <t xml:space="preserve">45 W</t>
  </si>
  <si>
    <t xml:space="preserve">Up to 40 W (50% in ~20 min)</t>
  </si>
  <si>
    <t xml:space="preserve">Up to 30 W</t>
  </si>
  <si>
    <t xml:space="preserve">Up to 27 W</t>
  </si>
  <si>
    <t xml:space="preserve">Wireless charging</t>
  </si>
  <si>
    <t xml:space="preserve">15 W</t>
  </si>
  <si>
    <t xml:space="preserve">10 W</t>
  </si>
  <si>
    <t xml:space="preserve">25 W MagSafe / Qi2</t>
  </si>
  <si>
    <t xml:space="preserve">25 W MagSafe</t>
  </si>
  <si>
    <t xml:space="preserve">15 W MagSafe</t>
  </si>
  <si>
    <t xml:space="preserve">Reverse wireless</t>
  </si>
  <si>
    <t xml:space="preserve">Yes 4.5 W</t>
  </si>
  <si>
    <t xml:space="preserve">Yes (wired, via USB-C)</t>
  </si>
  <si>
    <t xml:space="preserve">Realistic screen-on time</t>
  </si>
  <si>
    <t xml:space="preserve">5–6 hrs</t>
  </si>
  <si>
    <t xml:space="preserve">4.5–5.5 hrs</t>
  </si>
  <si>
    <t xml:space="preserve">8–9 hrs</t>
  </si>
  <si>
    <t xml:space="preserve">7.5–8.5 hrs</t>
  </si>
  <si>
    <t xml:space="preserve">7.5–8 hrs</t>
  </si>
  <si>
    <t xml:space="preserve">7–8 hrs</t>
  </si>
  <si>
    <t xml:space="preserve">6.5–7 hrs</t>
  </si>
  <si>
    <t xml:space="preserve">5.5–6.5 hrs</t>
  </si>
  <si>
    <t xml:space="preserve">Charger in box</t>
  </si>
  <si>
    <t xml:space="preserve">Software &amp; support</t>
  </si>
  <si>
    <t xml:space="preserve">OS shipping today</t>
  </si>
  <si>
    <t xml:space="preserve">One UI 8 / Android 16</t>
  </si>
  <si>
    <t xml:space="preserve">One UI 8.5 / Android 16</t>
  </si>
  <si>
    <t xml:space="preserve">iOS 26</t>
  </si>
  <si>
    <t xml:space="preserve">OS upgrades promised</t>
  </si>
  <si>
    <t xml:space="preserve">7 major (through Android 22)</t>
  </si>
  <si>
    <t xml:space="preserve">7 major (through Android 21)</t>
  </si>
  <si>
    <t xml:space="preserve">4 major (through Android 17)</t>
  </si>
  <si>
    <t xml:space="preserve">7 major (through Android 23)</t>
  </si>
  <si>
    <t xml:space="preserve">~6–7 years (Apple norm)</t>
  </si>
  <si>
    <t xml:space="preserve">Security updates until</t>
  </si>
  <si>
    <t xml:space="preserve">Jul 2032</t>
  </si>
  <si>
    <t xml:space="preserve">Jul 2031</t>
  </si>
  <si>
    <t xml:space="preserve">Aug 2028</t>
  </si>
  <si>
    <t xml:space="preserve">Feb 2033</t>
  </si>
  <si>
    <t xml:space="preserve">Feb 2032</t>
  </si>
  <si>
    <t xml:space="preserve">Jan 2031</t>
  </si>
  <si>
    <t xml:space="preserve">Feb 2028</t>
  </si>
  <si>
    <t xml:space="preserve">~2031–32</t>
  </si>
  <si>
    <t xml:space="preserve">~2030–31</t>
  </si>
  <si>
    <t xml:space="preserve">~2029–30</t>
  </si>
  <si>
    <t xml:space="preserve">Support runway left from today</t>
  </si>
  <si>
    <t xml:space="preserve">~6 years</t>
  </si>
  <si>
    <t xml:space="preserve">~5 years</t>
  </si>
  <si>
    <t xml:space="preserve">~2 years</t>
  </si>
  <si>
    <t xml:space="preserve">~6.5 years</t>
  </si>
  <si>
    <t xml:space="preserve">~5.5 years</t>
  </si>
  <si>
    <t xml:space="preserve">~4.5 years</t>
  </si>
  <si>
    <t xml:space="preserve">~1.5 years</t>
  </si>
  <si>
    <t xml:space="preserve">~3.5 years</t>
  </si>
  <si>
    <t xml:space="preserve">On-device AI</t>
  </si>
  <si>
    <t xml:space="preserve">Galaxy AI + Gemini, 7-yr free tier</t>
  </si>
  <si>
    <t xml:space="preserve">Galaxy AI + Gemini</t>
  </si>
  <si>
    <t xml:space="preserve">Galaxy AI (retro-fitted, reduced set)</t>
  </si>
  <si>
    <t xml:space="preserve">Galaxy AI (full), multimodal Bixby/Gemini</t>
  </si>
  <si>
    <t xml:space="preserve">Galaxy AI (full)</t>
  </si>
  <si>
    <t xml:space="preserve">Galaxy AI (reduced set)</t>
  </si>
  <si>
    <t xml:space="preserve">Apple Intelligence</t>
  </si>
  <si>
    <t xml:space="preserve">NOT supported (A16 / 6 GB RAM)</t>
  </si>
  <si>
    <t xml:space="preserve">Desktop mode</t>
  </si>
  <si>
    <t xml:space="preserve">Samsung DeX (wired + wireless)</t>
  </si>
  <si>
    <t xml:space="preserve">Samsung DeX</t>
  </si>
  <si>
    <t xml:space="preserve">No (Stage Manager on iPad only)</t>
  </si>
  <si>
    <t xml:space="preserve">Design &amp; build</t>
  </si>
  <si>
    <t xml:space="preserve">Dimensions</t>
  </si>
  <si>
    <t xml:space="preserve">158.4 x 143.2 x 4.2 mm open / 8.9 mm folded</t>
  </si>
  <si>
    <t xml:space="preserve">153.5 x 132.6 x 5.6 mm open / 12.1 mm folded</t>
  </si>
  <si>
    <t xml:space="preserve">154.9 x 129.9 x 6.1 mm open / 13.4 mm folded</t>
  </si>
  <si>
    <t xml:space="preserve">149.6 x 71.7 x 7.2 mm</t>
  </si>
  <si>
    <t xml:space="preserve">162.8 x 77.6 x 8.2 mm</t>
  </si>
  <si>
    <t xml:space="preserve">162.3 x 79.0 x 8.6 mm</t>
  </si>
  <si>
    <t xml:space="preserve">163.4 x 78.1 x 8.9 mm</t>
  </si>
  <si>
    <t xml:space="preserve">149.6 x 71.5 x 7.95 mm</t>
  </si>
  <si>
    <t xml:space="preserve">147.6 x 71.6 x 7.80 mm</t>
  </si>
  <si>
    <t xml:space="preserve">Weight</t>
  </si>
  <si>
    <t xml:space="preserve">215 g</t>
  </si>
  <si>
    <t xml:space="preserve">239 g</t>
  </si>
  <si>
    <t xml:space="preserve">253 g</t>
  </si>
  <si>
    <t xml:space="preserve">214 g</t>
  </si>
  <si>
    <t xml:space="preserve">218 g</t>
  </si>
  <si>
    <t xml:space="preserve">232 g</t>
  </si>
  <si>
    <t xml:space="preserve">234 g</t>
  </si>
  <si>
    <t xml:space="preserve">177 g</t>
  </si>
  <si>
    <t xml:space="preserve">170 g</t>
  </si>
  <si>
    <t xml:space="preserve">171 g</t>
  </si>
  <si>
    <t xml:space="preserve">Frame / back</t>
  </si>
  <si>
    <t xml:space="preserve">Armor Aluminium / Gorilla Ceramic 2</t>
  </si>
  <si>
    <t xml:space="preserve">Armor Aluminium / Victus 2</t>
  </si>
  <si>
    <t xml:space="preserve">Titanium / Gorilla Armor 3</t>
  </si>
  <si>
    <t xml:space="preserve">Titanium / Gorilla Armor 2</t>
  </si>
  <si>
    <t xml:space="preserve">Titanium / Gorilla Armor</t>
  </si>
  <si>
    <t xml:space="preserve">Aluminium / Ceramic Shield back</t>
  </si>
  <si>
    <t xml:space="preserve">Aluminium / glass</t>
  </si>
  <si>
    <t xml:space="preserve">Aluminium / frosted glass</t>
  </si>
  <si>
    <t xml:space="preserve">Water &amp; dust rating</t>
  </si>
  <si>
    <t xml:space="preserve">IP48 (no dust-tight rating)</t>
  </si>
  <si>
    <t xml:space="preserve">IP48</t>
  </si>
  <si>
    <t xml:space="preserve">IPX8 (no dust rating at all)</t>
  </si>
  <si>
    <t xml:space="preserve">IP68</t>
  </si>
  <si>
    <t xml:space="preserve">Stylus</t>
  </si>
  <si>
    <t xml:space="preserve">NOT supported – S Pen dropped on Fold 7</t>
  </si>
  <si>
    <t xml:space="preserve">S Pen Fold Edition (sold separately, no silo)</t>
  </si>
  <si>
    <t xml:space="preserve">Built-in S Pen in silo (no Bluetooth/Air Actions)</t>
  </si>
  <si>
    <t xml:space="preserve">Built-in S Pen in silo (no Bluetooth)</t>
  </si>
  <si>
    <t xml:space="preserve">Built-in S Pen with Bluetooth + Air Actions</t>
  </si>
  <si>
    <t xml:space="preserve">One-handed usability</t>
  </si>
  <si>
    <t xml:space="preserve">Good closed, two-handed open</t>
  </si>
  <si>
    <t xml:space="preserve">Poor – narrow cover screen</t>
  </si>
  <si>
    <t xml:space="preserve">Fair – large but thin</t>
  </si>
  <si>
    <t xml:space="preserve">Fair</t>
  </si>
  <si>
    <t xml:space="preserve">Excellent</t>
  </si>
  <si>
    <t xml:space="preserve">Connectivity</t>
  </si>
  <si>
    <t xml:space="preserve">SIM (India units)</t>
  </si>
  <si>
    <t xml:space="preserve">Nano-SIM + eSIM</t>
  </si>
  <si>
    <t xml:space="preserve">Dual nano-SIM</t>
  </si>
  <si>
    <t xml:space="preserve">Wi-Fi / Bluetooth</t>
  </si>
  <si>
    <t xml:space="preserve">Wi-Fi 7 / BT 5.4</t>
  </si>
  <si>
    <t xml:space="preserve">Wi-Fi 7 / BT 5.3</t>
  </si>
  <si>
    <t xml:space="preserve">Wi-Fi 6E / BT 5.3</t>
  </si>
  <si>
    <t xml:space="preserve">Wi-Fi 7 / BT 6</t>
  </si>
  <si>
    <t xml:space="preserve">Wi-Fi 6 / BT 5.3</t>
  </si>
  <si>
    <t xml:space="preserve">USB port</t>
  </si>
  <si>
    <t xml:space="preserve">USB-C 3.2 (fast data)</t>
  </si>
  <si>
    <t xml:space="preserve">USB-C 3.2</t>
  </si>
  <si>
    <t xml:space="preserve">USB-C 2.0 (slow data)</t>
  </si>
  <si>
    <t xml:space="preserve">UWB / satellite SOS</t>
  </si>
  <si>
    <t xml:space="preserve">UWB yes / no satellite in India</t>
  </si>
  <si>
    <t xml:space="preserve">UWB yes / no</t>
  </si>
  <si>
    <t xml:space="preserve">UWB yes / satellite features not enabled in India</t>
  </si>
  <si>
    <t xml:space="preserve">UWB yes / not in India</t>
  </si>
  <si>
    <t xml:space="preserve">India ownership</t>
  </si>
  <si>
    <t xml:space="preserve">Warranty</t>
  </si>
  <si>
    <t xml:space="preserve">1 yr (Samsung India)</t>
  </si>
  <si>
    <t xml:space="preserve">1 yr</t>
  </si>
  <si>
    <t xml:space="preserve">1 yr (Apple India)</t>
  </si>
  <si>
    <t xml:space="preserve">Typical out-of-warranty screen repair</t>
  </si>
  <si>
    <t xml:space="preserve">Very high – inner folding panel</t>
  </si>
  <si>
    <t xml:space="preserve">Very high</t>
  </si>
  <si>
    <t xml:space="preserve">High</t>
  </si>
  <si>
    <t xml:space="preserve">Moderate</t>
  </si>
  <si>
    <t xml:space="preserve">Resale value after 2 years (rule of thumb)</t>
  </si>
  <si>
    <t xml:space="preserve">~40–45% of MRP</t>
  </si>
  <si>
    <t xml:space="preserve">~35–40%</t>
  </si>
  <si>
    <t xml:space="preserve">~30%</t>
  </si>
  <si>
    <t xml:space="preserve">~50%</t>
  </si>
  <si>
    <t xml:space="preserve">~45%</t>
  </si>
  <si>
    <t xml:space="preserve">~40%</t>
  </si>
  <si>
    <t xml:space="preserve">~35%</t>
  </si>
  <si>
    <t xml:space="preserve">~60–65%</t>
  </si>
  <si>
    <t xml:space="preserve">~55%</t>
  </si>
  <si>
    <t xml:space="preserve">Service network reach</t>
  </si>
  <si>
    <t xml:space="preserve">Very wide (Samsung; fold repairs at select centres only)</t>
  </si>
  <si>
    <t xml:space="preserve">Very wide (fold repairs at select centres)</t>
  </si>
  <si>
    <t xml:space="preserve">Very wide</t>
  </si>
  <si>
    <t xml:space="preserve">Narrower – Apple centres in metros, authorised partners elsewhere</t>
  </si>
  <si>
    <t xml:space="preserve">Same as above</t>
  </si>
  <si>
    <t xml:space="preserve">Price and Value - India, 26 August 2026</t>
  </si>
  <si>
    <t xml:space="preserve">Best mainstream online price found for the base variant. Bank offer is the typical card discount running at that store; exchange bonuses are excluded because they depend on your old phone.</t>
  </si>
  <si>
    <t xml:space="preserve">Base variant</t>
  </si>
  <si>
    <t xml:space="preserve">Launch MRP</t>
  </si>
  <si>
    <t xml:space="preserve">Typical bank offer</t>
  </si>
  <si>
    <t xml:space="preserve">Effective price</t>
  </si>
  <si>
    <t xml:space="preserve">Where</t>
  </si>
  <si>
    <t xml:space="preserve">What is going on with this price</t>
  </si>
  <si>
    <t xml:space="preserve">12/256 GB</t>
  </si>
  <si>
    <t xml:space="preserve">Croma / Samsung.com</t>
  </si>
  <si>
    <t xml:space="preserve">Cut ~Rs 13,000 after the Fold 8 launched on 22 Jul 2026; HDFC card knocks off another Rs 7,000.</t>
  </si>
  <si>
    <t xml:space="preserve">Amazon</t>
  </si>
  <si>
    <t xml:space="preserve">Clearance pricing; stock is thinning. Verify it is a fresh, sealed India unit before paying.</t>
  </si>
  <si>
    <t xml:space="preserve">Flipkart / Croma</t>
  </si>
  <si>
    <t xml:space="preserve">Barely cheaper than a Fold 6 that is a full generation newer -- weak buy at this price.</t>
  </si>
  <si>
    <t xml:space="preserve">Flipkart</t>
  </si>
  <si>
    <t xml:space="preserve">Rs 15,000 below February launch MRP after six months. Expect deeper cuts in the festive sale.</t>
  </si>
  <si>
    <t xml:space="preserve">Record-low territory; has traded as low as ~Rs 88,500. The value pick of the Ultra line.</t>
  </si>
  <si>
    <t xml:space="preserve">Effective ~Rs 75,000 with bank offer. Still a titanium Ultra with a 5x periscope.</t>
  </si>
  <si>
    <t xml:space="preserve">8/256 GB</t>
  </si>
  <si>
    <t xml:space="preserve">Amazon / Flipkart</t>
  </si>
  <si>
    <t xml:space="preserve">Priced against the S24 Ultra but a year older with ~1.5 yrs of updates left. Refurb ~Rs 53,000.</t>
  </si>
  <si>
    <t xml:space="preserve">Has touched Rs 75,900. Apple's next event is ~9 Sep 2026 -- prices historically move then.</t>
  </si>
  <si>
    <t xml:space="preserve">Official MRP cut after the iPhone 17 launch; has traded near Rs 62,900.</t>
  </si>
  <si>
    <t xml:space="preserve">Flipkart / Amazon</t>
  </si>
  <si>
    <t xml:space="preserve">Discontinued by Apple India -- channel stock only. No Apple Intelligence, ever.</t>
  </si>
  <si>
    <t xml:space="preserve">Cheapest today</t>
  </si>
  <si>
    <t xml:space="preserve">Dearest today</t>
  </si>
  <si>
    <t xml:space="preserve">Spread</t>
  </si>
  <si>
    <t xml:space="preserve">Prices are a snapshot taken on 26 August 2026 from public retail and price-tracker listings (Flipkart, Amazon India, Croma, Samsung India, Smartprix, 91mobiles, MySmartPrice, PriceHistory, SamMobile). Overwrite column D with a live quote and every dependent figure in this workbook updates.</t>
  </si>
  <si>
    <t xml:space="preserve">Weighted Scorecard - make it your decision, not mine</t>
  </si>
  <si>
    <t xml:space="preserve">The 1-10 ratings are my judgement (blue). The weights in row 4 are yours to change (yellow). Everything in black is a formula and re-ranks the moment you edit a weight.</t>
  </si>
  <si>
    <t xml:space="preserve">Weights (edit - must total 100%)</t>
  </si>
  <si>
    <t xml:space="preserve">Software support life</t>
  </si>
  <si>
    <t xml:space="preserve">Design &amp; portability</t>
  </si>
  <si>
    <t xml:space="preserve">Features &amp; ecosystem</t>
  </si>
  <si>
    <t xml:space="preserve">Weighted score (0-10)</t>
  </si>
  <si>
    <t xml:space="preserve">Rank on score</t>
  </si>
  <si>
    <t xml:space="preserve">Score per Rs 10,000</t>
  </si>
  <si>
    <t xml:space="preserve">Rank on value</t>
  </si>
  <si>
    <t xml:space="preserve">How to read this</t>
  </si>
  <si>
    <t xml:space="preserve">Weighted score is the quality of the phone alone, ignoring price -- SUMPRODUCT of the seven ratings against your weights.</t>
  </si>
  <si>
    <t xml:space="preserve">Score per Rs 10,000 divides that score by the effective price. Higher is better -- but read it knowing what it rewards: dividing by price structurally favours the cheapest phone, which is why the iPhone 15 tops it. Use it to spot phones that are over-priced for what they are, not as a shopping list.</t>
  </si>
  <si>
    <t xml:space="preserve">Effective price is pulled from the Price and Value sheet (best street price minus the typical bank offer).</t>
  </si>
  <si>
    <t xml:space="preserve">What the ratings mean</t>
  </si>
  <si>
    <t xml:space="preserve">Performance: chipset generation, sustained load behaviour, RAM headroom.</t>
  </si>
  <si>
    <t xml:space="preserve">Display: size, resolution, refresh rate, brightness, and for the folds the value of the second screen.</t>
  </si>
  <si>
    <t xml:space="preserve">Camera: the whole system -- main sensor, ultra-wide, optical zoom reach, video, processing.</t>
  </si>
  <si>
    <t xml:space="preserve">Battery and charging: capacity, real screen-on time, wired and wireless charging speed.</t>
  </si>
  <si>
    <t xml:space="preserve">Software support life: how many years of OS and security updates remain from today, not from launch.</t>
  </si>
  <si>
    <t xml:space="preserve">Design and portability: weight, thickness, ingress protection, one-handed use, materials.</t>
  </si>
  <si>
    <t xml:space="preserve">Features and ecosystem: stylus, DeX or Continuity, multitasking, AI features, accessory ecosystem.</t>
  </si>
  <si>
    <t xml:space="preserve">These ratings are judgement, not measurement. Every one of them is a blue input you can overwrite -- if you never use a stylus, drop 'Features and ecosystem' to 5% and watch the order change.</t>
  </si>
  <si>
    <t xml:space="preserve">Best Features, Unique Features and the Catch</t>
  </si>
  <si>
    <t xml:space="preserve">What each phone genuinely does well, the one thing only it does, and what you give up by choosing it.</t>
  </si>
  <si>
    <t xml:space="preserve">Three things it does best</t>
  </si>
  <si>
    <t xml:space="preserve">Only on this phone</t>
  </si>
  <si>
    <t xml:space="preserve">What you give up</t>
  </si>
  <si>
    <t xml:space="preserve">Who it actually suits</t>
  </si>
  <si>
    <t xml:space="preserve">• 8.0-inch tablet screen that folds into a normal-width 6.5-inch phone
• 200 MP Ultra-grade main camera -- the first fold that does not compromise the camera
• 4.2 mm unfolded / 215 g -- lighter than most slab flagships</t>
  </si>
  <si>
    <t xml:space="preserve">The only foldable here with a genuinely usable cover screen AND a flagship 200 MP sensor.</t>
  </si>
  <si>
    <t xml:space="preserve">• 4,400 mAh with only 25 W charging -- weakest battery story in this workbook
• S Pen support was removed; IP48 means no dust-tight rating</t>
  </si>
  <si>
    <t xml:space="preserve">Someone who reads, edits documents and runs two apps side by side on the move.</t>
  </si>
  <si>
    <t xml:space="preserve">• Same 7-year update promise as the newest phones, at clearance price
• S Pen Fold Edition support for handwritten mark-up
• IP48 and a Snapdragon 8 Gen 3 that is still comfortably fast</t>
  </si>
  <si>
    <t xml:space="preserve">Cheapest way into a modern, still-supported book foldable with stylus support.</t>
  </si>
  <si>
    <t xml:space="preserve">• Narrow 6.3-inch cover screen is awkward for typing
• Only a 50 MP main camera and a 4 MP under-display selfie</t>
  </si>
  <si>
    <t xml:space="preserve">A foldable-curious buyer who will not pay Fold 7 money.</t>
  </si>
  <si>
    <t xml:space="preserve">• Lowest entry price into a Galaxy Fold
• S Pen supported
• Snapdragon 8 Gen 2 still handles everything mainstream</t>
  </si>
  <si>
    <t xml:space="preserve">Nothing unique remains -- it is superseded on every axis by the Fold 6.</t>
  </si>
  <si>
    <t xml:space="preserve">• Security updates end Aug 2028; only Android 17 to come
• IPX8 with no dust rating, 253 g, 13.4 mm folded -- the thickest and heaviest here</t>
  </si>
  <si>
    <t xml:space="preserve">Nobody at the current asking price. Only worth it below roughly Rs 85,000.</t>
  </si>
  <si>
    <t xml:space="preserve">• f/1.4 main camera -- about 47% more light than the S24 Ultra, best low-light in this list
• 60 W wired and 25 W wireless charging on a 5,000 mAh cell
• Privacy Display that narrows the viewing angle at pixel level</t>
  </si>
  <si>
    <t xml:space="preserve">The pixel-level Privacy Display -- genuinely useful for reading confidential material in public.</t>
  </si>
  <si>
    <t xml:space="preserve">• Costs roughly Rs 32,000 more than an S25 Ultra that does 90% of the same job
• Still only a 10 MP 3x tele; the mid-zoom range is unchanged since 2022</t>
  </si>
  <si>
    <t xml:space="preserve">Someone who wants the best Android phone available and keeps a phone 4+ years.</t>
  </si>
  <si>
    <t xml:space="preserve">• Full zoom stack -- 200 MP main, 50 MP ultra-wide with autofocus, 3x and 5x optical
• Titanium frame, anti-reflective Gorilla Armor 2 glass, built-in S Pen
• Updates to Feb 2032 -- 5.5 years of runway left</t>
  </si>
  <si>
    <t xml:space="preserve">Best price-to-capability ratio in the entire workbook at roughly Rs 93,000.</t>
  </si>
  <si>
    <t xml:space="preserve">• 45 W charging feels slow next to the S26 Ultra's 60 W
• S Pen lost Bluetooth Air Actions from the S24 Ultra</t>
  </si>
  <si>
    <t xml:space="preserve">Almost everyone shopping for a premium Android phone right now.</t>
  </si>
  <si>
    <t xml:space="preserve">• 50 MP 5x periscope and 200 MP main -- the same camera hardware philosophy as today's Ultras
• First titanium, flat-screen, anti-reflective Ultra
• Updates run to Jan 2031</t>
  </si>
  <si>
    <t xml:space="preserve">Cheapest phone here with a true 5x periscope plus a Bluetooth S Pen with Air Actions.</t>
  </si>
  <si>
    <t xml:space="preserve">• Snapdragon 8 Gen 3 is two generations behind; runs warmer under sustained load
• 232 g and 12 GB RAM ceiling</t>
  </si>
  <si>
    <t xml:space="preserve">A value-first buyer who wants Ultra features around Rs 75,000.</t>
  </si>
  <si>
    <t xml:space="preserve">• The only phone in this comparison with a true 10x optical periscope
• Bluetooth S Pen with Air Actions
• 5,000 mAh with 45 W charging</t>
  </si>
  <si>
    <t xml:space="preserve">10x optical zoom -- Samsung has not shipped it since, so this is the last of its kind.</t>
  </si>
  <si>
    <t xml:space="preserve">• Security updates end Feb 2028 -- under 18 months of runway
• At roughly Rs 75,000 it is priced against a newer, better S24 Ultra</t>
  </si>
  <si>
    <t xml:space="preserve">A zoom specialist who understands the short support window. Otherwise skip.</t>
  </si>
  <si>
    <t xml:space="preserve">• 120 Hz ProMotion with always-on -- the first non-Pro iPhone to get it
• 256 GB base storage at the old 128 GB price
• 18 MP Center Stage front camera that auto-frames and shoots landscape while held upright</t>
  </si>
  <si>
    <t xml:space="preserve">The Center Stage square front sensor -- no other phone here reframes a selfie without rotating.</t>
  </si>
  <si>
    <t xml:space="preserve">• No telephoto lens at all; 2x is a sensor crop
• USB-C is still capped at USB 2.0 transfer speeds</t>
  </si>
  <si>
    <t xml:space="preserve">Anyone in the Apple ecosystem buying to keep for five or more years.</t>
  </si>
  <si>
    <t xml:space="preserve">• A18 with Apple Intelligence, the cheapest AI-capable iPhone here
• Camera Control button and Action button
• 170 g -- the lightest phone in the comparison</t>
  </si>
  <si>
    <t xml:space="preserve">Cheapest new iPhone that will run Apple Intelligence for its whole life.</t>
  </si>
  <si>
    <t xml:space="preserve">• 60 Hz screen in 2026 at roughly Rs 66,000
• 12 MP ultra-wide and no telephoto</t>
  </si>
  <si>
    <t xml:space="preserve">A budget-conscious iPhone buyer who can live without a high refresh rate.</t>
  </si>
  <si>
    <t xml:space="preserve">• Dynamic Island and a 48 MP main camera under Rs 52,000
• USB-C, so it shares chargers with everything else
• Best resale value per rupee spent in this workbook</t>
  </si>
  <si>
    <t xml:space="preserve">The cheapest way into a current-generation iOS experience -- but with a hard ceiling.</t>
  </si>
  <si>
    <t xml:space="preserve">• Will never run Apple Intelligence -- A16 and 6 GB RAM are below the bar
• 60 Hz, discontinued by Apple India, shortest support runway of the three iPhones</t>
  </si>
  <si>
    <t xml:space="preserve">A first-time iPhone buyer on a strict budget who does not care about AI features.</t>
  </si>
</sst>
</file>

<file path=xl/styles.xml><?xml version="1.0" encoding="utf-8"?>
<styleSheet xmlns="http://schemas.openxmlformats.org/spreadsheetml/2006/main">
  <numFmts count="6">
    <numFmt numFmtId="164" formatCode="General"/>
    <numFmt numFmtId="165" formatCode="[&gt;=10000000]\₹##\,##\,##\,##0;[&gt;=100000]\₹##\,##\,##0;\₹##,##0"/>
    <numFmt numFmtId="166" formatCode="0.0%"/>
    <numFmt numFmtId="167" formatCode="0.0"/>
    <numFmt numFmtId="168" formatCode="General"/>
    <numFmt numFmtId="169"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10"/>
      <color rgb="FF5A6570"/>
      <name val="Arial"/>
      <family val="0"/>
      <charset val="1"/>
    </font>
    <font>
      <b val="true"/>
      <sz val="10"/>
      <color rgb="FF1F4E79"/>
      <name val="Arial"/>
      <family val="0"/>
      <charset val="1"/>
    </font>
    <font>
      <b val="true"/>
      <sz val="10"/>
      <color rgb="FF1F2933"/>
      <name val="Arial"/>
      <family val="0"/>
      <charset val="1"/>
    </font>
    <font>
      <sz val="10"/>
      <color rgb="FF1F2933"/>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s>
  <fills count="6">
    <fill>
      <patternFill patternType="none"/>
    </fill>
    <fill>
      <patternFill patternType="gray125"/>
    </fill>
    <fill>
      <patternFill patternType="solid">
        <fgColor rgb="FFDDEBF7"/>
        <bgColor rgb="FFF5F7FA"/>
      </patternFill>
    </fill>
    <fill>
      <patternFill patternType="solid">
        <fgColor rgb="FF1F4E79"/>
        <bgColor rgb="FF003366"/>
      </patternFill>
    </fill>
    <fill>
      <patternFill patternType="solid">
        <fgColor rgb="FFF5F7FA"/>
        <bgColor rgb="FFFFFFFF"/>
      </patternFill>
    </fill>
    <fill>
      <patternFill patternType="solid">
        <fgColor rgb="FFFFF2CC"/>
        <bgColor rgb="FFF5F7FA"/>
      </patternFill>
    </fill>
  </fills>
  <borders count="2">
    <border diagonalUp="false" diagonalDown="false">
      <left/>
      <right/>
      <top/>
      <bottom/>
      <diagonal/>
    </border>
    <border diagonalUp="false" diagonalDown="false">
      <left style="thin">
        <color rgb="FFBFC7D1"/>
      </left>
      <right style="thin">
        <color rgb="FFBFC7D1"/>
      </right>
      <top style="thin">
        <color rgb="FFBFC7D1"/>
      </top>
      <bottom style="thin">
        <color rgb="FFBFC7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11" fillId="5"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8" fontId="8" fillId="4" borderId="1"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1"/>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7FA"/>
      <rgbColor rgb="FFCCFFCC"/>
      <rgbColor rgb="FFFFFF99"/>
      <rgbColor rgb="FF99CCFF"/>
      <rgbColor rgb="FFFF99CC"/>
      <rgbColor rgb="FFCC99FF"/>
      <rgbColor rgb="FFFFCC99"/>
      <rgbColor rgb="FF3366FF"/>
      <rgbColor rgb="FF33CCCC"/>
      <rgbColor rgb="FF99CC00"/>
      <rgbColor rgb="FFFFCC00"/>
      <rgbColor rgb="FFFF9900"/>
      <rgbColor rgb="FFFF6600"/>
      <rgbColor rgb="FF5A6570"/>
      <rgbColor rgb="FF969696"/>
      <rgbColor rgb="FF003366"/>
      <rgbColor rgb="FF339966"/>
      <rgbColor rgb="FF003300"/>
      <rgbColor rgb="FF333300"/>
      <rgbColor rgb="FF993300"/>
      <rgbColor rgb="FF993366"/>
      <rgbColor rgb="FF1F4E7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F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6" min="2" style="0" width="22"/>
  </cols>
  <sheetData>
    <row r="1" customFormat="false" ht="24" hidden="false" customHeight="true" outlineLevel="0" collapsed="false">
      <c r="A1" s="1" t="s">
        <v>0</v>
      </c>
      <c r="B1" s="1"/>
      <c r="C1" s="1"/>
      <c r="D1" s="1"/>
      <c r="E1" s="1"/>
      <c r="F1" s="1"/>
    </row>
    <row r="2" customFormat="false" ht="15" hidden="false" customHeight="true" outlineLevel="0" collapsed="false">
      <c r="A2" s="2" t="s">
        <v>1</v>
      </c>
      <c r="B2" s="2"/>
      <c r="C2" s="2"/>
      <c r="D2" s="2"/>
      <c r="E2" s="2"/>
      <c r="F2" s="2"/>
    </row>
    <row r="5" customFormat="false" ht="15" hidden="false" customHeight="false" outlineLevel="0" collapsed="false">
      <c r="A5" s="3" t="s">
        <v>2</v>
      </c>
      <c r="B5" s="3"/>
      <c r="C5" s="3"/>
      <c r="D5" s="3"/>
      <c r="E5" s="3"/>
      <c r="F5" s="3"/>
    </row>
    <row r="6" customFormat="false" ht="13.5" hidden="false" customHeight="true" outlineLevel="0" collapsed="false">
      <c r="A6" s="4" t="s">
        <v>3</v>
      </c>
      <c r="B6" s="5" t="s">
        <v>4</v>
      </c>
      <c r="C6" s="5"/>
      <c r="D6" s="5"/>
      <c r="E6" s="5"/>
      <c r="F6" s="5"/>
    </row>
    <row r="7" customFormat="false" ht="25.5" hidden="false" customHeight="true" outlineLevel="0" collapsed="false">
      <c r="A7" s="4" t="s">
        <v>5</v>
      </c>
      <c r="B7" s="5" t="s">
        <v>6</v>
      </c>
      <c r="C7" s="5"/>
      <c r="D7" s="5"/>
      <c r="E7" s="5"/>
      <c r="F7" s="5"/>
    </row>
    <row r="8" customFormat="false" ht="25.5" hidden="false" customHeight="true" outlineLevel="0" collapsed="false">
      <c r="A8" s="4" t="s">
        <v>7</v>
      </c>
      <c r="B8" s="5" t="s">
        <v>8</v>
      </c>
      <c r="C8" s="5"/>
      <c r="D8" s="5"/>
      <c r="E8" s="5"/>
      <c r="F8" s="5"/>
    </row>
    <row r="9" customFormat="false" ht="13.5" hidden="false" customHeight="true" outlineLevel="0" collapsed="false">
      <c r="A9" s="4" t="s">
        <v>9</v>
      </c>
      <c r="B9" s="5" t="s">
        <v>10</v>
      </c>
      <c r="C9" s="5"/>
      <c r="D9" s="5"/>
      <c r="E9" s="5"/>
      <c r="F9" s="5"/>
    </row>
    <row r="10" customFormat="false" ht="13.5" hidden="false" customHeight="true" outlineLevel="0" collapsed="false">
      <c r="A10" s="4" t="s">
        <v>11</v>
      </c>
      <c r="B10" s="5" t="s">
        <v>12</v>
      </c>
      <c r="C10" s="5"/>
      <c r="D10" s="5"/>
      <c r="E10" s="5"/>
      <c r="F10" s="5"/>
    </row>
    <row r="12" customFormat="false" ht="15" hidden="false" customHeight="false" outlineLevel="0" collapsed="false">
      <c r="A12" s="3" t="s">
        <v>13</v>
      </c>
      <c r="B12" s="3"/>
      <c r="C12" s="3"/>
      <c r="D12" s="3"/>
      <c r="E12" s="3"/>
      <c r="F12" s="3"/>
    </row>
    <row r="13" customFormat="false" ht="13.5" hidden="false" customHeight="true" outlineLevel="0" collapsed="false">
      <c r="A13" s="4" t="s">
        <v>14</v>
      </c>
      <c r="B13" s="5" t="s">
        <v>15</v>
      </c>
      <c r="C13" s="5"/>
      <c r="D13" s="5"/>
      <c r="E13" s="5"/>
      <c r="F13" s="5"/>
    </row>
    <row r="14" customFormat="false" ht="25.5" hidden="false" customHeight="true" outlineLevel="0" collapsed="false">
      <c r="A14" s="4" t="s">
        <v>16</v>
      </c>
      <c r="B14" s="5" t="s">
        <v>17</v>
      </c>
      <c r="C14" s="5"/>
      <c r="D14" s="5"/>
      <c r="E14" s="5"/>
      <c r="F14" s="5"/>
    </row>
    <row r="15" customFormat="false" ht="25.5" hidden="false" customHeight="true" outlineLevel="0" collapsed="false">
      <c r="A15" s="4" t="s">
        <v>18</v>
      </c>
      <c r="B15" s="5" t="s">
        <v>19</v>
      </c>
      <c r="C15" s="5"/>
      <c r="D15" s="5"/>
      <c r="E15" s="5"/>
      <c r="F15" s="5"/>
    </row>
    <row r="17" customFormat="false" ht="15" hidden="false" customHeight="false" outlineLevel="0" collapsed="false">
      <c r="A17" s="3" t="s">
        <v>20</v>
      </c>
      <c r="B17" s="3"/>
      <c r="C17" s="3"/>
      <c r="D17" s="3"/>
      <c r="E17" s="3"/>
      <c r="F17" s="3"/>
    </row>
    <row r="18" customFormat="false" ht="13.5" hidden="false" customHeight="true" outlineLevel="0" collapsed="false">
      <c r="A18" s="4" t="s">
        <v>21</v>
      </c>
      <c r="B18" s="5" t="s">
        <v>22</v>
      </c>
      <c r="C18" s="5"/>
      <c r="D18" s="5"/>
      <c r="E18" s="5"/>
      <c r="F18" s="5"/>
    </row>
    <row r="19" customFormat="false" ht="13.5" hidden="false" customHeight="true" outlineLevel="0" collapsed="false">
      <c r="A19" s="4" t="s">
        <v>23</v>
      </c>
      <c r="B19" s="5" t="s">
        <v>24</v>
      </c>
      <c r="C19" s="5"/>
      <c r="D19" s="5"/>
      <c r="E19" s="5"/>
      <c r="F19" s="5"/>
    </row>
    <row r="20" customFormat="false" ht="13.5" hidden="false" customHeight="true" outlineLevel="0" collapsed="false">
      <c r="A20" s="4" t="s">
        <v>25</v>
      </c>
      <c r="B20" s="5" t="s">
        <v>26</v>
      </c>
      <c r="C20" s="5"/>
      <c r="D20" s="5"/>
      <c r="E20" s="5"/>
      <c r="F20" s="5"/>
    </row>
    <row r="21" customFormat="false" ht="13.5" hidden="false" customHeight="true" outlineLevel="0" collapsed="false">
      <c r="A21" s="4" t="s">
        <v>27</v>
      </c>
      <c r="B21" s="5" t="s">
        <v>28</v>
      </c>
      <c r="C21" s="5"/>
      <c r="D21" s="5"/>
      <c r="E21" s="5"/>
      <c r="F21" s="5"/>
    </row>
    <row r="23" customFormat="false" ht="15" hidden="false" customHeight="false" outlineLevel="0" collapsed="false">
      <c r="A23" s="3" t="s">
        <v>29</v>
      </c>
      <c r="B23" s="3"/>
      <c r="C23" s="3"/>
      <c r="D23" s="3"/>
      <c r="E23" s="3"/>
      <c r="F23" s="3"/>
    </row>
    <row r="24" customFormat="false" ht="25.5" hidden="false" customHeight="true" outlineLevel="0" collapsed="false">
      <c r="A24" s="4" t="s">
        <v>30</v>
      </c>
      <c r="B24" s="5" t="s">
        <v>31</v>
      </c>
      <c r="C24" s="5"/>
      <c r="D24" s="5"/>
      <c r="E24" s="5"/>
      <c r="F24" s="5"/>
    </row>
    <row r="25" customFormat="false" ht="25.5" hidden="false" customHeight="true" outlineLevel="0" collapsed="false">
      <c r="A25" s="4" t="s">
        <v>32</v>
      </c>
      <c r="B25" s="5" t="s">
        <v>33</v>
      </c>
      <c r="C25" s="5"/>
      <c r="D25" s="5"/>
      <c r="E25" s="5"/>
      <c r="F25" s="5"/>
    </row>
    <row r="26" customFormat="false" ht="25.5" hidden="false" customHeight="true" outlineLevel="0" collapsed="false">
      <c r="A26" s="4" t="s">
        <v>34</v>
      </c>
      <c r="B26" s="5" t="s">
        <v>35</v>
      </c>
      <c r="C26" s="5"/>
      <c r="D26" s="5"/>
      <c r="E26" s="5"/>
      <c r="F26" s="5"/>
    </row>
    <row r="28" customFormat="false" ht="15" hidden="false" customHeight="false" outlineLevel="0" collapsed="false">
      <c r="A28" s="3" t="s">
        <v>36</v>
      </c>
      <c r="B28" s="3"/>
      <c r="C28" s="3"/>
      <c r="D28" s="3"/>
      <c r="E28" s="3"/>
      <c r="F28" s="3"/>
    </row>
    <row r="29" customFormat="false" ht="25.5" hidden="false" customHeight="true" outlineLevel="0" collapsed="false">
      <c r="A29" s="4" t="s">
        <v>37</v>
      </c>
      <c r="B29" s="5" t="s">
        <v>38</v>
      </c>
      <c r="C29" s="5"/>
      <c r="D29" s="5"/>
      <c r="E29" s="5"/>
      <c r="F29" s="5"/>
    </row>
    <row r="30" customFormat="false" ht="25.5" hidden="false" customHeight="true" outlineLevel="0" collapsed="false">
      <c r="A30" s="4" t="s">
        <v>39</v>
      </c>
      <c r="B30" s="5" t="s">
        <v>40</v>
      </c>
      <c r="C30" s="5"/>
      <c r="D30" s="5"/>
      <c r="E30" s="5"/>
      <c r="F30" s="5"/>
    </row>
    <row r="31" customFormat="false" ht="25.5" hidden="false" customHeight="true" outlineLevel="0" collapsed="false">
      <c r="A31" s="4" t="s">
        <v>41</v>
      </c>
      <c r="B31" s="5" t="s">
        <v>42</v>
      </c>
      <c r="C31" s="5"/>
      <c r="D31" s="5"/>
      <c r="E31" s="5"/>
      <c r="F31" s="5"/>
    </row>
    <row r="32" customFormat="false" ht="25.5" hidden="false" customHeight="true" outlineLevel="0" collapsed="false">
      <c r="A32" s="4" t="s">
        <v>43</v>
      </c>
      <c r="B32" s="5" t="s">
        <v>44</v>
      </c>
      <c r="C32" s="5"/>
      <c r="D32" s="5"/>
      <c r="E32" s="5"/>
      <c r="F32" s="5"/>
    </row>
  </sheetData>
  <mergeCells count="26">
    <mergeCell ref="A1:F1"/>
    <mergeCell ref="A2:F2"/>
    <mergeCell ref="A5:F5"/>
    <mergeCell ref="B6:F6"/>
    <mergeCell ref="B7:F7"/>
    <mergeCell ref="B8:F8"/>
    <mergeCell ref="B9:F9"/>
    <mergeCell ref="B10:F10"/>
    <mergeCell ref="A12:F12"/>
    <mergeCell ref="B13:F13"/>
    <mergeCell ref="B14:F14"/>
    <mergeCell ref="B15:F15"/>
    <mergeCell ref="A17:F17"/>
    <mergeCell ref="B18:F18"/>
    <mergeCell ref="B19:F19"/>
    <mergeCell ref="B20:F20"/>
    <mergeCell ref="B21:F21"/>
    <mergeCell ref="A23:F23"/>
    <mergeCell ref="B24:F24"/>
    <mergeCell ref="B25:F25"/>
    <mergeCell ref="B26:F26"/>
    <mergeCell ref="A28:F28"/>
    <mergeCell ref="B29:F29"/>
    <mergeCell ref="B30:F30"/>
    <mergeCell ref="B31:F31"/>
    <mergeCell ref="B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E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52"/>
    <col collapsed="false" customWidth="true" hidden="false" outlineLevel="0" max="5" min="4" style="0" width="34"/>
  </cols>
  <sheetData>
    <row r="1" customFormat="false" ht="24" hidden="false" customHeight="true" outlineLevel="0" collapsed="false">
      <c r="A1" s="1" t="s">
        <v>11</v>
      </c>
      <c r="B1" s="1"/>
      <c r="C1" s="1"/>
      <c r="D1" s="1"/>
      <c r="E1" s="1"/>
    </row>
    <row r="2" customFormat="false" ht="15" hidden="false" customHeight="true" outlineLevel="0" collapsed="false">
      <c r="A2" s="2" t="s">
        <v>45</v>
      </c>
      <c r="B2" s="2"/>
      <c r="C2" s="2"/>
      <c r="D2" s="2"/>
      <c r="E2" s="2"/>
    </row>
    <row r="4" customFormat="false" ht="19.5" hidden="false" customHeight="true" outlineLevel="0" collapsed="false">
      <c r="A4" s="3" t="s">
        <v>46</v>
      </c>
      <c r="B4" s="3"/>
      <c r="C4" s="3"/>
      <c r="D4" s="3"/>
      <c r="E4" s="3"/>
    </row>
    <row r="5" customFormat="false" ht="51.75" hidden="false" customHeight="true" outlineLevel="0" collapsed="false">
      <c r="A5" s="6" t="s">
        <v>47</v>
      </c>
      <c r="B5" s="6"/>
      <c r="C5" s="6"/>
      <c r="D5" s="6"/>
      <c r="E5" s="6"/>
    </row>
    <row r="6" customFormat="false" ht="39" hidden="false" customHeight="true" outlineLevel="0" collapsed="false">
      <c r="A6" s="5" t="s">
        <v>48</v>
      </c>
      <c r="B6" s="5"/>
      <c r="C6" s="5"/>
      <c r="D6" s="5"/>
      <c r="E6" s="5"/>
    </row>
    <row r="7" customFormat="false" ht="25.5" hidden="false" customHeight="true" outlineLevel="0" collapsed="false">
      <c r="A7" s="5" t="s">
        <v>49</v>
      </c>
      <c r="B7" s="5"/>
      <c r="C7" s="5"/>
      <c r="D7" s="5"/>
      <c r="E7" s="5"/>
    </row>
    <row r="9" customFormat="false" ht="19.5" hidden="false" customHeight="true" outlineLevel="0" collapsed="false">
      <c r="A9" s="3" t="s">
        <v>50</v>
      </c>
      <c r="B9" s="3"/>
      <c r="C9" s="3"/>
      <c r="D9" s="3"/>
      <c r="E9" s="3"/>
    </row>
    <row r="10" customFormat="false" ht="27.75" hidden="false" customHeight="true" outlineLevel="0" collapsed="false">
      <c r="A10" s="7" t="s">
        <v>51</v>
      </c>
      <c r="B10" s="7" t="s">
        <v>52</v>
      </c>
      <c r="C10" s="7" t="s">
        <v>53</v>
      </c>
      <c r="D10" s="7" t="s">
        <v>54</v>
      </c>
      <c r="E10" s="7" t="s">
        <v>55</v>
      </c>
    </row>
    <row r="11" customFormat="false" ht="43.5" hidden="false" customHeight="true" outlineLevel="0" collapsed="false">
      <c r="A11" s="8" t="s">
        <v>56</v>
      </c>
      <c r="B11" s="9" t="s">
        <v>57</v>
      </c>
      <c r="C11" s="9" t="s">
        <v>58</v>
      </c>
      <c r="D11" s="9" t="s">
        <v>59</v>
      </c>
      <c r="E11" s="9" t="s">
        <v>60</v>
      </c>
    </row>
    <row r="12" customFormat="false" ht="43.5" hidden="false" customHeight="true" outlineLevel="0" collapsed="false">
      <c r="A12" s="10" t="s">
        <v>61</v>
      </c>
      <c r="B12" s="11" t="s">
        <v>62</v>
      </c>
      <c r="C12" s="11" t="s">
        <v>63</v>
      </c>
      <c r="D12" s="11" t="s">
        <v>64</v>
      </c>
      <c r="E12" s="11" t="s">
        <v>65</v>
      </c>
    </row>
    <row r="13" customFormat="false" ht="43.5" hidden="false" customHeight="true" outlineLevel="0" collapsed="false">
      <c r="A13" s="8" t="s">
        <v>66</v>
      </c>
      <c r="B13" s="9" t="s">
        <v>67</v>
      </c>
      <c r="C13" s="9" t="s">
        <v>68</v>
      </c>
      <c r="D13" s="9" t="s">
        <v>69</v>
      </c>
      <c r="E13" s="9" t="s">
        <v>70</v>
      </c>
    </row>
    <row r="14" customFormat="false" ht="43.5" hidden="false" customHeight="true" outlineLevel="0" collapsed="false">
      <c r="A14" s="10" t="s">
        <v>71</v>
      </c>
      <c r="B14" s="11" t="s">
        <v>72</v>
      </c>
      <c r="C14" s="11" t="s">
        <v>73</v>
      </c>
      <c r="D14" s="11" t="s">
        <v>74</v>
      </c>
      <c r="E14" s="11" t="s">
        <v>75</v>
      </c>
    </row>
    <row r="15" customFormat="false" ht="43.5" hidden="false" customHeight="true" outlineLevel="0" collapsed="false">
      <c r="A15" s="8" t="s">
        <v>76</v>
      </c>
      <c r="B15" s="9" t="s">
        <v>77</v>
      </c>
      <c r="C15" s="9" t="s">
        <v>78</v>
      </c>
      <c r="D15" s="9" t="s">
        <v>79</v>
      </c>
      <c r="E15" s="9" t="s">
        <v>80</v>
      </c>
    </row>
    <row r="17" customFormat="false" ht="19.5" hidden="false" customHeight="true" outlineLevel="0" collapsed="false">
      <c r="A17" s="3" t="s">
        <v>81</v>
      </c>
      <c r="B17" s="3"/>
      <c r="C17" s="3"/>
      <c r="D17" s="3"/>
      <c r="E17" s="3"/>
    </row>
    <row r="18" customFormat="false" ht="27.75" hidden="false" customHeight="true" outlineLevel="0" collapsed="false">
      <c r="A18" s="7" t="s">
        <v>82</v>
      </c>
      <c r="B18" s="7" t="s">
        <v>83</v>
      </c>
      <c r="C18" s="7" t="s">
        <v>84</v>
      </c>
    </row>
    <row r="19" customFormat="false" ht="43.5" hidden="false" customHeight="true" outlineLevel="0" collapsed="false">
      <c r="A19" s="8" t="s">
        <v>85</v>
      </c>
      <c r="B19" s="9" t="s">
        <v>86</v>
      </c>
      <c r="C19" s="9" t="s">
        <v>87</v>
      </c>
    </row>
    <row r="20" customFormat="false" ht="43.5" hidden="false" customHeight="true" outlineLevel="0" collapsed="false">
      <c r="A20" s="10" t="s">
        <v>88</v>
      </c>
      <c r="B20" s="11" t="s">
        <v>89</v>
      </c>
      <c r="C20" s="11" t="s">
        <v>90</v>
      </c>
    </row>
    <row r="21" customFormat="false" ht="43.5" hidden="false" customHeight="true" outlineLevel="0" collapsed="false">
      <c r="A21" s="8" t="s">
        <v>91</v>
      </c>
      <c r="B21" s="9" t="s">
        <v>86</v>
      </c>
      <c r="C21" s="9" t="s">
        <v>92</v>
      </c>
    </row>
    <row r="22" customFormat="false" ht="43.5" hidden="false" customHeight="true" outlineLevel="0" collapsed="false">
      <c r="A22" s="10" t="s">
        <v>93</v>
      </c>
      <c r="B22" s="11" t="s">
        <v>94</v>
      </c>
      <c r="C22" s="11" t="s">
        <v>95</v>
      </c>
    </row>
    <row r="23" customFormat="false" ht="43.5" hidden="false" customHeight="true" outlineLevel="0" collapsed="false">
      <c r="A23" s="8" t="s">
        <v>96</v>
      </c>
      <c r="B23" s="9" t="s">
        <v>97</v>
      </c>
      <c r="C23" s="9" t="s">
        <v>98</v>
      </c>
    </row>
    <row r="24" customFormat="false" ht="43.5" hidden="false" customHeight="true" outlineLevel="0" collapsed="false">
      <c r="A24" s="10" t="s">
        <v>99</v>
      </c>
      <c r="B24" s="11" t="s">
        <v>86</v>
      </c>
      <c r="C24" s="11" t="s">
        <v>100</v>
      </c>
    </row>
    <row r="25" customFormat="false" ht="43.5" hidden="false" customHeight="true" outlineLevel="0" collapsed="false">
      <c r="A25" s="8" t="s">
        <v>101</v>
      </c>
      <c r="B25" s="9" t="s">
        <v>102</v>
      </c>
      <c r="C25" s="9" t="s">
        <v>103</v>
      </c>
    </row>
    <row r="26" customFormat="false" ht="43.5" hidden="false" customHeight="true" outlineLevel="0" collapsed="false">
      <c r="A26" s="10" t="s">
        <v>104</v>
      </c>
      <c r="B26" s="11" t="s">
        <v>105</v>
      </c>
      <c r="C26" s="11" t="s">
        <v>106</v>
      </c>
    </row>
    <row r="27" customFormat="false" ht="43.5" hidden="false" customHeight="true" outlineLevel="0" collapsed="false">
      <c r="A27" s="8" t="s">
        <v>107</v>
      </c>
      <c r="B27" s="9" t="s">
        <v>108</v>
      </c>
      <c r="C27" s="9" t="s">
        <v>109</v>
      </c>
    </row>
    <row r="29" customFormat="false" ht="19.5" hidden="false" customHeight="true" outlineLevel="0" collapsed="false">
      <c r="A29" s="3" t="s">
        <v>110</v>
      </c>
      <c r="B29" s="3"/>
      <c r="C29" s="3"/>
      <c r="D29" s="3"/>
      <c r="E29" s="3"/>
    </row>
    <row r="30" customFormat="false" ht="27.75" hidden="false" customHeight="true" outlineLevel="0" collapsed="false">
      <c r="A30" s="7" t="s">
        <v>111</v>
      </c>
      <c r="B30" s="7" t="s">
        <v>112</v>
      </c>
      <c r="C30" s="7" t="s">
        <v>113</v>
      </c>
    </row>
    <row r="31" customFormat="false" ht="43.5" hidden="false" customHeight="true" outlineLevel="0" collapsed="false">
      <c r="A31" s="8" t="s">
        <v>114</v>
      </c>
      <c r="B31" s="9" t="s">
        <v>115</v>
      </c>
      <c r="C31" s="9" t="s">
        <v>116</v>
      </c>
    </row>
    <row r="32" customFormat="false" ht="43.5" hidden="false" customHeight="true" outlineLevel="0" collapsed="false">
      <c r="A32" s="10" t="s">
        <v>117</v>
      </c>
      <c r="B32" s="11" t="s">
        <v>118</v>
      </c>
      <c r="C32" s="11" t="s">
        <v>119</v>
      </c>
    </row>
    <row r="33" customFormat="false" ht="43.5" hidden="false" customHeight="true" outlineLevel="0" collapsed="false">
      <c r="A33" s="8" t="s">
        <v>120</v>
      </c>
      <c r="B33" s="9" t="s">
        <v>121</v>
      </c>
      <c r="C33" s="9" t="s">
        <v>122</v>
      </c>
    </row>
    <row r="34" customFormat="false" ht="43.5" hidden="false" customHeight="true" outlineLevel="0" collapsed="false">
      <c r="A34" s="10" t="s">
        <v>123</v>
      </c>
      <c r="B34" s="11" t="s">
        <v>124</v>
      </c>
      <c r="C34" s="11" t="s">
        <v>125</v>
      </c>
    </row>
    <row r="36" customFormat="false" ht="19.5" hidden="false" customHeight="true" outlineLevel="0" collapsed="false">
      <c r="A36" s="3" t="s">
        <v>126</v>
      </c>
      <c r="B36" s="3"/>
      <c r="C36" s="3"/>
      <c r="D36" s="3"/>
      <c r="E36" s="3"/>
    </row>
    <row r="37" customFormat="false" ht="25.5" hidden="false" customHeight="true" outlineLevel="0" collapsed="false">
      <c r="A37" s="5" t="s">
        <v>127</v>
      </c>
      <c r="B37" s="5"/>
      <c r="C37" s="5"/>
      <c r="D37" s="5"/>
      <c r="E37" s="5"/>
    </row>
    <row r="38" customFormat="false" ht="51.75" hidden="false" customHeight="true" outlineLevel="0" collapsed="false">
      <c r="A38" s="5" t="s">
        <v>128</v>
      </c>
      <c r="B38" s="5"/>
      <c r="C38" s="5"/>
      <c r="D38" s="5"/>
      <c r="E38" s="5"/>
    </row>
    <row r="39" customFormat="false" ht="25.5" hidden="false" customHeight="true" outlineLevel="0" collapsed="false">
      <c r="A39" s="5" t="s">
        <v>129</v>
      </c>
      <c r="B39" s="5"/>
      <c r="C39" s="5"/>
      <c r="D39" s="5"/>
      <c r="E39" s="5"/>
    </row>
    <row r="40" customFormat="false" ht="39" hidden="false" customHeight="true" outlineLevel="0" collapsed="false">
      <c r="A40" s="5" t="s">
        <v>130</v>
      </c>
      <c r="B40" s="5"/>
      <c r="C40" s="5"/>
      <c r="D40" s="5"/>
      <c r="E40" s="5"/>
    </row>
    <row r="42" customFormat="false" ht="19.5" hidden="false" customHeight="true" outlineLevel="0" collapsed="false">
      <c r="A42" s="3" t="s">
        <v>131</v>
      </c>
      <c r="B42" s="3"/>
      <c r="C42" s="3"/>
      <c r="D42" s="3"/>
      <c r="E42" s="3"/>
    </row>
    <row r="43" customFormat="false" ht="25.5" hidden="false" customHeight="true" outlineLevel="0" collapsed="false">
      <c r="A43" s="5" t="s">
        <v>132</v>
      </c>
      <c r="B43" s="5"/>
      <c r="C43" s="5"/>
      <c r="D43" s="5"/>
      <c r="E43" s="5"/>
    </row>
    <row r="44" customFormat="false" ht="25.5" hidden="false" customHeight="true" outlineLevel="0" collapsed="false">
      <c r="A44" s="5" t="s">
        <v>133</v>
      </c>
      <c r="B44" s="5"/>
      <c r="C44" s="5"/>
      <c r="D44" s="5"/>
      <c r="E44" s="5"/>
    </row>
    <row r="45" customFormat="false" ht="25.5" hidden="false" customHeight="true" outlineLevel="0" collapsed="false">
      <c r="A45" s="5" t="s">
        <v>134</v>
      </c>
      <c r="B45" s="5"/>
      <c r="C45" s="5"/>
      <c r="D45" s="5"/>
      <c r="E45" s="5"/>
    </row>
    <row r="46" customFormat="false" ht="25.5" hidden="false" customHeight="true" outlineLevel="0" collapsed="false">
      <c r="A46" s="5" t="s">
        <v>135</v>
      </c>
      <c r="B46" s="5"/>
      <c r="C46" s="5"/>
      <c r="D46" s="5"/>
      <c r="E46" s="5"/>
    </row>
    <row r="47" customFormat="false" ht="25.5" hidden="false" customHeight="true" outlineLevel="0" collapsed="false">
      <c r="A47" s="5" t="s">
        <v>136</v>
      </c>
      <c r="B47" s="5"/>
      <c r="C47" s="5"/>
      <c r="D47" s="5"/>
      <c r="E47" s="5"/>
    </row>
    <row r="48" customFormat="false" ht="25.5" hidden="false" customHeight="true" outlineLevel="0" collapsed="false">
      <c r="A48" s="5" t="s">
        <v>137</v>
      </c>
      <c r="B48" s="5"/>
      <c r="C48" s="5"/>
      <c r="D48" s="5"/>
      <c r="E48" s="5"/>
    </row>
    <row r="50" customFormat="false" ht="19.5" hidden="false" customHeight="true" outlineLevel="0" collapsed="false">
      <c r="A50" s="3" t="s">
        <v>138</v>
      </c>
      <c r="B50" s="3"/>
      <c r="C50" s="3"/>
      <c r="D50" s="3"/>
      <c r="E50" s="3"/>
    </row>
    <row r="51" customFormat="false" ht="51.75" hidden="false" customHeight="true" outlineLevel="0" collapsed="false">
      <c r="A51" s="5" t="s">
        <v>139</v>
      </c>
      <c r="B51" s="5"/>
      <c r="C51" s="5"/>
      <c r="D51" s="5"/>
      <c r="E51" s="5"/>
    </row>
  </sheetData>
  <mergeCells count="23">
    <mergeCell ref="A1:E1"/>
    <mergeCell ref="A2:E2"/>
    <mergeCell ref="A4:E4"/>
    <mergeCell ref="A5:E5"/>
    <mergeCell ref="A6:E6"/>
    <mergeCell ref="A7:E7"/>
    <mergeCell ref="A9:E9"/>
    <mergeCell ref="A17:E17"/>
    <mergeCell ref="A29:E29"/>
    <mergeCell ref="A36:E36"/>
    <mergeCell ref="A37:E37"/>
    <mergeCell ref="A38:E38"/>
    <mergeCell ref="A39:E39"/>
    <mergeCell ref="A40:E40"/>
    <mergeCell ref="A42:E42"/>
    <mergeCell ref="A43:E43"/>
    <mergeCell ref="A44:E44"/>
    <mergeCell ref="A45:E45"/>
    <mergeCell ref="A46:E46"/>
    <mergeCell ref="A47:E47"/>
    <mergeCell ref="A48:E48"/>
    <mergeCell ref="A50:E50"/>
    <mergeCell ref="A51:E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L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12" min="3" style="0" width="26"/>
  </cols>
  <sheetData>
    <row r="1" customFormat="false" ht="24" hidden="false" customHeight="true" outlineLevel="0" collapsed="false">
      <c r="A1" s="1" t="s">
        <v>140</v>
      </c>
      <c r="B1" s="1"/>
      <c r="C1" s="1"/>
      <c r="D1" s="1"/>
      <c r="E1" s="1"/>
      <c r="F1" s="1"/>
      <c r="G1" s="1"/>
      <c r="H1" s="1"/>
      <c r="I1" s="1"/>
      <c r="J1" s="1"/>
      <c r="K1" s="1"/>
      <c r="L1" s="1"/>
    </row>
    <row r="2" customFormat="false" ht="15" hidden="false" customHeight="true" outlineLevel="0" collapsed="false">
      <c r="A2" s="2" t="s">
        <v>141</v>
      </c>
      <c r="B2" s="2"/>
      <c r="C2" s="2"/>
      <c r="D2" s="2"/>
      <c r="E2" s="2"/>
      <c r="F2" s="2"/>
      <c r="G2" s="2"/>
      <c r="H2" s="2"/>
      <c r="I2" s="2"/>
      <c r="J2" s="2"/>
      <c r="K2" s="2"/>
      <c r="L2" s="2"/>
    </row>
    <row r="3" customFormat="false" ht="33.75" hidden="false" customHeight="true" outlineLevel="0" collapsed="false">
      <c r="A3" s="7" t="s">
        <v>142</v>
      </c>
      <c r="B3" s="7" t="s">
        <v>143</v>
      </c>
      <c r="C3" s="7" t="s">
        <v>94</v>
      </c>
      <c r="D3" s="7" t="s">
        <v>144</v>
      </c>
      <c r="E3" s="7" t="s">
        <v>145</v>
      </c>
      <c r="F3" s="7" t="s">
        <v>86</v>
      </c>
      <c r="G3" s="7" t="s">
        <v>146</v>
      </c>
      <c r="H3" s="7" t="s">
        <v>147</v>
      </c>
      <c r="I3" s="7" t="s">
        <v>148</v>
      </c>
      <c r="J3" s="7" t="s">
        <v>102</v>
      </c>
      <c r="K3" s="7" t="s">
        <v>149</v>
      </c>
      <c r="L3" s="7" t="s">
        <v>108</v>
      </c>
    </row>
    <row r="4" customFormat="false" ht="18" hidden="false" customHeight="true" outlineLevel="0" collapsed="false">
      <c r="A4" s="12" t="s">
        <v>150</v>
      </c>
      <c r="B4" s="12"/>
      <c r="C4" s="12"/>
      <c r="D4" s="12"/>
      <c r="E4" s="12"/>
      <c r="F4" s="12"/>
      <c r="G4" s="12"/>
      <c r="H4" s="12"/>
      <c r="I4" s="12"/>
      <c r="J4" s="12"/>
      <c r="K4" s="12"/>
      <c r="L4" s="12"/>
    </row>
    <row r="5" customFormat="false" ht="30" hidden="false" customHeight="true" outlineLevel="0" collapsed="false">
      <c r="A5" s="13"/>
      <c r="B5" s="8" t="s">
        <v>151</v>
      </c>
      <c r="C5" s="9" t="s">
        <v>152</v>
      </c>
      <c r="D5" s="9" t="s">
        <v>152</v>
      </c>
      <c r="E5" s="9" t="s">
        <v>152</v>
      </c>
      <c r="F5" s="9" t="s">
        <v>153</v>
      </c>
      <c r="G5" s="9" t="s">
        <v>153</v>
      </c>
      <c r="H5" s="9" t="s">
        <v>153</v>
      </c>
      <c r="I5" s="9" t="s">
        <v>153</v>
      </c>
      <c r="J5" s="9" t="s">
        <v>154</v>
      </c>
      <c r="K5" s="9" t="s">
        <v>154</v>
      </c>
      <c r="L5" s="9" t="s">
        <v>154</v>
      </c>
    </row>
    <row r="6" customFormat="false" ht="30" hidden="false" customHeight="true" outlineLevel="0" collapsed="false">
      <c r="A6" s="14"/>
      <c r="B6" s="10" t="s">
        <v>155</v>
      </c>
      <c r="C6" s="11" t="s">
        <v>156</v>
      </c>
      <c r="D6" s="11" t="s">
        <v>157</v>
      </c>
      <c r="E6" s="11" t="s">
        <v>158</v>
      </c>
      <c r="F6" s="11" t="s">
        <v>159</v>
      </c>
      <c r="G6" s="11" t="s">
        <v>160</v>
      </c>
      <c r="H6" s="11" t="s">
        <v>161</v>
      </c>
      <c r="I6" s="11" t="s">
        <v>162</v>
      </c>
      <c r="J6" s="11" t="s">
        <v>163</v>
      </c>
      <c r="K6" s="11" t="s">
        <v>157</v>
      </c>
      <c r="L6" s="11" t="s">
        <v>158</v>
      </c>
    </row>
    <row r="7" customFormat="false" ht="30" hidden="false" customHeight="true" outlineLevel="0" collapsed="false">
      <c r="A7" s="13"/>
      <c r="B7" s="8" t="s">
        <v>164</v>
      </c>
      <c r="C7" s="9" t="s">
        <v>165</v>
      </c>
      <c r="D7" s="9" t="s">
        <v>166</v>
      </c>
      <c r="E7" s="9" t="s">
        <v>167</v>
      </c>
      <c r="F7" s="9" t="s">
        <v>168</v>
      </c>
      <c r="G7" s="9" t="s">
        <v>169</v>
      </c>
      <c r="H7" s="9" t="s">
        <v>170</v>
      </c>
      <c r="I7" s="9" t="s">
        <v>171</v>
      </c>
      <c r="J7" s="9" t="s">
        <v>172</v>
      </c>
      <c r="K7" s="9" t="s">
        <v>173</v>
      </c>
      <c r="L7" s="9" t="s">
        <v>174</v>
      </c>
    </row>
    <row r="8" customFormat="false" ht="30" hidden="false" customHeight="true" outlineLevel="0" collapsed="false">
      <c r="A8" s="14"/>
      <c r="B8" s="10" t="s">
        <v>175</v>
      </c>
      <c r="C8" s="11" t="s">
        <v>176</v>
      </c>
      <c r="D8" s="11" t="s">
        <v>177</v>
      </c>
      <c r="E8" s="11" t="s">
        <v>178</v>
      </c>
      <c r="F8" s="11" t="s">
        <v>179</v>
      </c>
      <c r="G8" s="11" t="s">
        <v>180</v>
      </c>
      <c r="H8" s="11" t="s">
        <v>177</v>
      </c>
      <c r="I8" s="11" t="s">
        <v>181</v>
      </c>
      <c r="J8" s="11" t="s">
        <v>182</v>
      </c>
      <c r="K8" s="11" t="s">
        <v>183</v>
      </c>
      <c r="L8" s="11" t="s">
        <v>184</v>
      </c>
    </row>
    <row r="9" customFormat="false" ht="30" hidden="false" customHeight="true" outlineLevel="0" collapsed="false">
      <c r="A9" s="13"/>
      <c r="B9" s="8" t="s">
        <v>185</v>
      </c>
      <c r="C9" s="9" t="s">
        <v>186</v>
      </c>
      <c r="D9" s="9" t="s">
        <v>186</v>
      </c>
      <c r="E9" s="9" t="s">
        <v>186</v>
      </c>
      <c r="F9" s="9" t="s">
        <v>187</v>
      </c>
      <c r="G9" s="9" t="s">
        <v>187</v>
      </c>
      <c r="H9" s="9" t="s">
        <v>187</v>
      </c>
      <c r="I9" s="9" t="s">
        <v>188</v>
      </c>
      <c r="J9" s="9" t="s">
        <v>189</v>
      </c>
      <c r="K9" s="9" t="s">
        <v>189</v>
      </c>
      <c r="L9" s="9" t="s">
        <v>189</v>
      </c>
    </row>
    <row r="10" customFormat="false" ht="18" hidden="false" customHeight="true" outlineLevel="0" collapsed="false">
      <c r="A10" s="12" t="s">
        <v>190</v>
      </c>
      <c r="B10" s="12"/>
      <c r="C10" s="12"/>
      <c r="D10" s="12"/>
      <c r="E10" s="12"/>
      <c r="F10" s="12"/>
      <c r="G10" s="12"/>
      <c r="H10" s="12"/>
      <c r="I10" s="12"/>
      <c r="J10" s="12"/>
      <c r="K10" s="12"/>
      <c r="L10" s="12"/>
    </row>
    <row r="11" customFormat="false" ht="30" hidden="false" customHeight="true" outlineLevel="0" collapsed="false">
      <c r="A11" s="13"/>
      <c r="B11" s="8" t="s">
        <v>191</v>
      </c>
      <c r="C11" s="9" t="s">
        <v>192</v>
      </c>
      <c r="D11" s="9" t="s">
        <v>192</v>
      </c>
      <c r="E11" s="9" t="s">
        <v>192</v>
      </c>
      <c r="F11" s="9" t="s">
        <v>192</v>
      </c>
      <c r="G11" s="9" t="s">
        <v>192</v>
      </c>
      <c r="H11" s="9" t="s">
        <v>192</v>
      </c>
      <c r="I11" s="9" t="s">
        <v>193</v>
      </c>
      <c r="J11" s="9" t="s">
        <v>194</v>
      </c>
      <c r="K11" s="9" t="s">
        <v>195</v>
      </c>
      <c r="L11" s="9" t="s">
        <v>195</v>
      </c>
    </row>
    <row r="12" customFormat="false" ht="30" hidden="false" customHeight="true" outlineLevel="0" collapsed="false">
      <c r="A12" s="14"/>
      <c r="B12" s="10" t="s">
        <v>196</v>
      </c>
      <c r="C12" s="15" t="n">
        <f aca="false">'Price and Value'!C4</f>
        <v>174999</v>
      </c>
      <c r="D12" s="15" t="n">
        <f aca="false">'Price and Value'!C5</f>
        <v>164999</v>
      </c>
      <c r="E12" s="15" t="n">
        <f aca="false">'Price and Value'!C6</f>
        <v>154999</v>
      </c>
      <c r="F12" s="15" t="n">
        <f aca="false">'Price and Value'!C7</f>
        <v>139999</v>
      </c>
      <c r="G12" s="15" t="n">
        <f aca="false">'Price and Value'!C8</f>
        <v>129999</v>
      </c>
      <c r="H12" s="15" t="n">
        <f aca="false">'Price and Value'!C9</f>
        <v>129999</v>
      </c>
      <c r="I12" s="15" t="n">
        <f aca="false">'Price and Value'!C10</f>
        <v>124999</v>
      </c>
      <c r="J12" s="15" t="n">
        <f aca="false">'Price and Value'!C11</f>
        <v>82900</v>
      </c>
      <c r="K12" s="15" t="n">
        <f aca="false">'Price and Value'!C12</f>
        <v>79900</v>
      </c>
      <c r="L12" s="15" t="n">
        <f aca="false">'Price and Value'!C13</f>
        <v>79900</v>
      </c>
    </row>
    <row r="13" customFormat="false" ht="30" hidden="false" customHeight="true" outlineLevel="0" collapsed="false">
      <c r="A13" s="13"/>
      <c r="B13" s="8" t="s">
        <v>197</v>
      </c>
      <c r="C13" s="16" t="n">
        <f aca="false">'Price and Value'!D4</f>
        <v>161855</v>
      </c>
      <c r="D13" s="16" t="n">
        <f aca="false">'Price and Value'!D5</f>
        <v>109999</v>
      </c>
      <c r="E13" s="16" t="n">
        <f aca="false">'Price and Value'!D6</f>
        <v>108990</v>
      </c>
      <c r="F13" s="16" t="n">
        <f aca="false">'Price and Value'!D7</f>
        <v>124999</v>
      </c>
      <c r="G13" s="16" t="n">
        <f aca="false">'Price and Value'!D8</f>
        <v>92990</v>
      </c>
      <c r="H13" s="16" t="n">
        <f aca="false">'Price and Value'!D9</f>
        <v>78999</v>
      </c>
      <c r="I13" s="16" t="n">
        <f aca="false">'Price and Value'!D10</f>
        <v>74999</v>
      </c>
      <c r="J13" s="16" t="n">
        <f aca="false">'Price and Value'!D11</f>
        <v>81900</v>
      </c>
      <c r="K13" s="16" t="n">
        <f aca="false">'Price and Value'!D12</f>
        <v>65900</v>
      </c>
      <c r="L13" s="16" t="n">
        <f aca="false">'Price and Value'!D13</f>
        <v>51999</v>
      </c>
    </row>
    <row r="14" customFormat="false" ht="30" hidden="false" customHeight="true" outlineLevel="0" collapsed="false">
      <c r="A14" s="14"/>
      <c r="B14" s="10" t="s">
        <v>198</v>
      </c>
      <c r="C14" s="15" t="n">
        <f aca="false">'Price and Value'!F4</f>
        <v>154855</v>
      </c>
      <c r="D14" s="15" t="n">
        <f aca="false">'Price and Value'!F5</f>
        <v>104999</v>
      </c>
      <c r="E14" s="15" t="n">
        <f aca="false">'Price and Value'!F6</f>
        <v>104990</v>
      </c>
      <c r="F14" s="15" t="n">
        <f aca="false">'Price and Value'!F7</f>
        <v>119999</v>
      </c>
      <c r="G14" s="15" t="n">
        <f aca="false">'Price and Value'!F8</f>
        <v>87990</v>
      </c>
      <c r="H14" s="15" t="n">
        <f aca="false">'Price and Value'!F9</f>
        <v>74999</v>
      </c>
      <c r="I14" s="15" t="n">
        <f aca="false">'Price and Value'!F10</f>
        <v>70999</v>
      </c>
      <c r="J14" s="15" t="n">
        <f aca="false">'Price and Value'!F11</f>
        <v>77900</v>
      </c>
      <c r="K14" s="15" t="n">
        <f aca="false">'Price and Value'!F12</f>
        <v>61900</v>
      </c>
      <c r="L14" s="15" t="n">
        <f aca="false">'Price and Value'!F13</f>
        <v>48999</v>
      </c>
    </row>
    <row r="15" customFormat="false" ht="30" hidden="false" customHeight="true" outlineLevel="0" collapsed="false">
      <c r="A15" s="13"/>
      <c r="B15" s="8" t="s">
        <v>199</v>
      </c>
      <c r="C15" s="17" t="n">
        <f aca="false">'Price and Value'!G4</f>
        <v>0.0751090006228607</v>
      </c>
      <c r="D15" s="17" t="n">
        <f aca="false">'Price and Value'!G5</f>
        <v>0.333335353547597</v>
      </c>
      <c r="E15" s="17" t="n">
        <f aca="false">'Price and Value'!G6</f>
        <v>0.296834173123698</v>
      </c>
      <c r="F15" s="17" t="n">
        <f aca="false">'Price and Value'!G7</f>
        <v>0.107143622454446</v>
      </c>
      <c r="G15" s="17" t="n">
        <f aca="false">'Price and Value'!G8</f>
        <v>0.284686805283118</v>
      </c>
      <c r="H15" s="17" t="n">
        <f aca="false">'Price and Value'!G9</f>
        <v>0.392310710082385</v>
      </c>
      <c r="I15" s="17" t="n">
        <f aca="false">'Price and Value'!G10</f>
        <v>0.4000032000256</v>
      </c>
      <c r="J15" s="17" t="n">
        <f aca="false">'Price and Value'!G11</f>
        <v>0.0120627261761158</v>
      </c>
      <c r="K15" s="17" t="n">
        <f aca="false">'Price and Value'!G12</f>
        <v>0.175219023779725</v>
      </c>
      <c r="L15" s="17" t="n">
        <f aca="false">'Price and Value'!G13</f>
        <v>0.349198998748436</v>
      </c>
    </row>
    <row r="16" customFormat="false" ht="18" hidden="false" customHeight="true" outlineLevel="0" collapsed="false">
      <c r="A16" s="12" t="s">
        <v>200</v>
      </c>
      <c r="B16" s="12"/>
      <c r="C16" s="12"/>
      <c r="D16" s="12"/>
      <c r="E16" s="12"/>
      <c r="F16" s="12"/>
      <c r="G16" s="12"/>
      <c r="H16" s="12"/>
      <c r="I16" s="12"/>
      <c r="J16" s="12"/>
      <c r="K16" s="12"/>
      <c r="L16" s="12"/>
    </row>
    <row r="17" customFormat="false" ht="30" hidden="false" customHeight="true" outlineLevel="0" collapsed="false">
      <c r="A17" s="13"/>
      <c r="B17" s="8" t="s">
        <v>201</v>
      </c>
      <c r="C17" s="9" t="s">
        <v>202</v>
      </c>
      <c r="D17" s="9" t="s">
        <v>203</v>
      </c>
      <c r="E17" s="9" t="s">
        <v>203</v>
      </c>
      <c r="F17" s="9" t="s">
        <v>204</v>
      </c>
      <c r="G17" s="9" t="s">
        <v>204</v>
      </c>
      <c r="H17" s="9" t="s">
        <v>205</v>
      </c>
      <c r="I17" s="9" t="s">
        <v>205</v>
      </c>
      <c r="J17" s="9" t="s">
        <v>206</v>
      </c>
      <c r="K17" s="9" t="s">
        <v>207</v>
      </c>
      <c r="L17" s="9" t="s">
        <v>207</v>
      </c>
    </row>
    <row r="18" customFormat="false" ht="30" hidden="false" customHeight="true" outlineLevel="0" collapsed="false">
      <c r="A18" s="14"/>
      <c r="B18" s="10" t="s">
        <v>208</v>
      </c>
      <c r="C18" s="11" t="s">
        <v>209</v>
      </c>
      <c r="D18" s="11" t="s">
        <v>210</v>
      </c>
      <c r="E18" s="11" t="s">
        <v>211</v>
      </c>
      <c r="F18" s="11" t="s">
        <v>212</v>
      </c>
      <c r="G18" s="11" t="s">
        <v>212</v>
      </c>
      <c r="H18" s="11" t="s">
        <v>212</v>
      </c>
      <c r="I18" s="11" t="s">
        <v>213</v>
      </c>
      <c r="J18" s="11" t="s">
        <v>214</v>
      </c>
      <c r="K18" s="11" t="s">
        <v>215</v>
      </c>
      <c r="L18" s="11" t="s">
        <v>215</v>
      </c>
    </row>
    <row r="19" customFormat="false" ht="30" hidden="false" customHeight="true" outlineLevel="0" collapsed="false">
      <c r="A19" s="13"/>
      <c r="B19" s="8" t="s">
        <v>216</v>
      </c>
      <c r="C19" s="9" t="s">
        <v>217</v>
      </c>
      <c r="D19" s="9" t="s">
        <v>217</v>
      </c>
      <c r="E19" s="9" t="s">
        <v>217</v>
      </c>
      <c r="F19" s="9" t="s">
        <v>218</v>
      </c>
      <c r="G19" s="9" t="s">
        <v>218</v>
      </c>
      <c r="H19" s="9" t="s">
        <v>218</v>
      </c>
      <c r="I19" s="9" t="s">
        <v>218</v>
      </c>
      <c r="J19" s="9" t="s">
        <v>219</v>
      </c>
      <c r="K19" s="9" t="s">
        <v>219</v>
      </c>
      <c r="L19" s="9" t="s">
        <v>219</v>
      </c>
    </row>
    <row r="20" customFormat="false" ht="30" hidden="false" customHeight="true" outlineLevel="0" collapsed="false">
      <c r="A20" s="14"/>
      <c r="B20" s="10" t="s">
        <v>220</v>
      </c>
      <c r="C20" s="11" t="s">
        <v>221</v>
      </c>
      <c r="D20" s="11" t="s">
        <v>221</v>
      </c>
      <c r="E20" s="11" t="s">
        <v>221</v>
      </c>
      <c r="F20" s="11" t="s">
        <v>221</v>
      </c>
      <c r="G20" s="11" t="s">
        <v>221</v>
      </c>
      <c r="H20" s="11" t="s">
        <v>221</v>
      </c>
      <c r="I20" s="11" t="s">
        <v>221</v>
      </c>
      <c r="J20" s="11" t="s">
        <v>222</v>
      </c>
      <c r="K20" s="11" t="s">
        <v>223</v>
      </c>
      <c r="L20" s="11" t="s">
        <v>223</v>
      </c>
    </row>
    <row r="21" customFormat="false" ht="30" hidden="false" customHeight="true" outlineLevel="0" collapsed="false">
      <c r="A21" s="13"/>
      <c r="B21" s="8" t="s">
        <v>224</v>
      </c>
      <c r="C21" s="9" t="s">
        <v>225</v>
      </c>
      <c r="D21" s="9" t="s">
        <v>225</v>
      </c>
      <c r="E21" s="9" t="s">
        <v>226</v>
      </c>
      <c r="F21" s="9" t="s">
        <v>225</v>
      </c>
      <c r="G21" s="9" t="s">
        <v>225</v>
      </c>
      <c r="H21" s="9" t="s">
        <v>225</v>
      </c>
      <c r="I21" s="9" t="s">
        <v>226</v>
      </c>
      <c r="J21" s="9" t="s">
        <v>227</v>
      </c>
      <c r="K21" s="9" t="s">
        <v>228</v>
      </c>
      <c r="L21" s="9" t="s">
        <v>228</v>
      </c>
    </row>
    <row r="22" customFormat="false" ht="30" hidden="false" customHeight="true" outlineLevel="0" collapsed="false">
      <c r="A22" s="14"/>
      <c r="B22" s="10" t="s">
        <v>229</v>
      </c>
      <c r="C22" s="11" t="s">
        <v>230</v>
      </c>
      <c r="D22" s="11" t="s">
        <v>230</v>
      </c>
      <c r="E22" s="11" t="s">
        <v>230</v>
      </c>
      <c r="F22" s="11" t="s">
        <v>230</v>
      </c>
      <c r="G22" s="11" t="s">
        <v>230</v>
      </c>
      <c r="H22" s="11" t="s">
        <v>230</v>
      </c>
      <c r="I22" s="11" t="s">
        <v>230</v>
      </c>
      <c r="J22" s="11" t="s">
        <v>230</v>
      </c>
      <c r="K22" s="11" t="s">
        <v>231</v>
      </c>
      <c r="L22" s="11" t="s">
        <v>231</v>
      </c>
    </row>
    <row r="23" customFormat="false" ht="30" hidden="false" customHeight="true" outlineLevel="0" collapsed="false">
      <c r="A23" s="13"/>
      <c r="B23" s="8" t="s">
        <v>232</v>
      </c>
      <c r="C23" s="9" t="s">
        <v>233</v>
      </c>
      <c r="D23" s="9" t="s">
        <v>234</v>
      </c>
      <c r="E23" s="9" t="s">
        <v>235</v>
      </c>
      <c r="F23" s="9" t="s">
        <v>236</v>
      </c>
      <c r="G23" s="9" t="s">
        <v>236</v>
      </c>
      <c r="H23" s="9" t="s">
        <v>236</v>
      </c>
      <c r="I23" s="9" t="s">
        <v>236</v>
      </c>
      <c r="J23" s="9" t="s">
        <v>236</v>
      </c>
      <c r="K23" s="9" t="s">
        <v>236</v>
      </c>
      <c r="L23" s="9" t="s">
        <v>236</v>
      </c>
    </row>
    <row r="24" customFormat="false" ht="30" hidden="false" customHeight="true" outlineLevel="0" collapsed="false">
      <c r="A24" s="14"/>
      <c r="B24" s="10" t="s">
        <v>237</v>
      </c>
      <c r="C24" s="11" t="s">
        <v>238</v>
      </c>
      <c r="D24" s="11" t="s">
        <v>239</v>
      </c>
      <c r="E24" s="11" t="s">
        <v>239</v>
      </c>
      <c r="F24" s="11" t="s">
        <v>240</v>
      </c>
      <c r="G24" s="11" t="s">
        <v>241</v>
      </c>
      <c r="H24" s="11" t="s">
        <v>242</v>
      </c>
      <c r="I24" s="11" t="s">
        <v>243</v>
      </c>
      <c r="J24" s="11" t="s">
        <v>244</v>
      </c>
      <c r="K24" s="11" t="s">
        <v>245</v>
      </c>
      <c r="L24" s="11" t="s">
        <v>245</v>
      </c>
    </row>
    <row r="25" customFormat="false" ht="18" hidden="false" customHeight="true" outlineLevel="0" collapsed="false">
      <c r="A25" s="12" t="s">
        <v>246</v>
      </c>
      <c r="B25" s="12"/>
      <c r="C25" s="12"/>
      <c r="D25" s="12"/>
      <c r="E25" s="12"/>
      <c r="F25" s="12"/>
      <c r="G25" s="12"/>
      <c r="H25" s="12"/>
      <c r="I25" s="12"/>
      <c r="J25" s="12"/>
      <c r="K25" s="12"/>
      <c r="L25" s="12"/>
    </row>
    <row r="26" customFormat="false" ht="30" hidden="false" customHeight="true" outlineLevel="0" collapsed="false">
      <c r="A26" s="14"/>
      <c r="B26" s="10" t="s">
        <v>247</v>
      </c>
      <c r="C26" s="11" t="s">
        <v>248</v>
      </c>
      <c r="D26" s="11" t="s">
        <v>249</v>
      </c>
      <c r="E26" s="11" t="s">
        <v>250</v>
      </c>
      <c r="F26" s="11" t="s">
        <v>251</v>
      </c>
      <c r="G26" s="11" t="s">
        <v>248</v>
      </c>
      <c r="H26" s="11" t="s">
        <v>249</v>
      </c>
      <c r="I26" s="11" t="s">
        <v>250</v>
      </c>
      <c r="J26" s="11" t="s">
        <v>252</v>
      </c>
      <c r="K26" s="11" t="s">
        <v>253</v>
      </c>
      <c r="L26" s="11" t="s">
        <v>254</v>
      </c>
    </row>
    <row r="27" customFormat="false" ht="30" hidden="false" customHeight="true" outlineLevel="0" collapsed="false">
      <c r="A27" s="13"/>
      <c r="B27" s="8" t="s">
        <v>255</v>
      </c>
      <c r="C27" s="9" t="s">
        <v>256</v>
      </c>
      <c r="D27" s="9" t="s">
        <v>257</v>
      </c>
      <c r="E27" s="9" t="s">
        <v>257</v>
      </c>
      <c r="F27" s="9" t="s">
        <v>256</v>
      </c>
      <c r="G27" s="9" t="s">
        <v>256</v>
      </c>
      <c r="H27" s="9" t="s">
        <v>257</v>
      </c>
      <c r="I27" s="9" t="s">
        <v>257</v>
      </c>
      <c r="J27" s="9" t="s">
        <v>256</v>
      </c>
      <c r="K27" s="9" t="s">
        <v>256</v>
      </c>
      <c r="L27" s="9" t="s">
        <v>257</v>
      </c>
    </row>
    <row r="28" customFormat="false" ht="30" hidden="false" customHeight="true" outlineLevel="0" collapsed="false">
      <c r="A28" s="14"/>
      <c r="B28" s="10" t="s">
        <v>258</v>
      </c>
      <c r="C28" s="11" t="s">
        <v>259</v>
      </c>
      <c r="D28" s="11" t="s">
        <v>260</v>
      </c>
      <c r="E28" s="11" t="s">
        <v>261</v>
      </c>
      <c r="F28" s="11" t="s">
        <v>262</v>
      </c>
      <c r="G28" s="11" t="s">
        <v>259</v>
      </c>
      <c r="H28" s="11" t="s">
        <v>260</v>
      </c>
      <c r="I28" s="11" t="s">
        <v>261</v>
      </c>
      <c r="J28" s="11" t="s">
        <v>263</v>
      </c>
      <c r="K28" s="11" t="s">
        <v>264</v>
      </c>
      <c r="L28" s="11" t="s">
        <v>265</v>
      </c>
    </row>
    <row r="29" customFormat="false" ht="30" hidden="false" customHeight="true" outlineLevel="0" collapsed="false">
      <c r="A29" s="13"/>
      <c r="B29" s="8" t="s">
        <v>266</v>
      </c>
      <c r="C29" s="9" t="s">
        <v>267</v>
      </c>
      <c r="D29" s="9" t="s">
        <v>268</v>
      </c>
      <c r="E29" s="9" t="s">
        <v>269</v>
      </c>
      <c r="F29" s="9" t="s">
        <v>270</v>
      </c>
      <c r="G29" s="9" t="s">
        <v>271</v>
      </c>
      <c r="H29" s="9" t="s">
        <v>268</v>
      </c>
      <c r="I29" s="9" t="s">
        <v>272</v>
      </c>
      <c r="J29" s="9" t="s">
        <v>273</v>
      </c>
      <c r="K29" s="9" t="s">
        <v>274</v>
      </c>
      <c r="L29" s="9" t="s">
        <v>275</v>
      </c>
    </row>
    <row r="30" customFormat="false" ht="30" hidden="false" customHeight="true" outlineLevel="0" collapsed="false">
      <c r="A30" s="14"/>
      <c r="B30" s="10" t="s">
        <v>276</v>
      </c>
      <c r="C30" s="11" t="s">
        <v>277</v>
      </c>
      <c r="D30" s="11" t="s">
        <v>278</v>
      </c>
      <c r="E30" s="11" t="s">
        <v>278</v>
      </c>
      <c r="F30" s="11" t="s">
        <v>277</v>
      </c>
      <c r="G30" s="11" t="s">
        <v>278</v>
      </c>
      <c r="H30" s="11" t="s">
        <v>278</v>
      </c>
      <c r="I30" s="11" t="s">
        <v>279</v>
      </c>
      <c r="J30" s="11" t="s">
        <v>280</v>
      </c>
      <c r="K30" s="11" t="s">
        <v>280</v>
      </c>
      <c r="L30" s="11" t="s">
        <v>281</v>
      </c>
    </row>
    <row r="31" customFormat="false" ht="30" hidden="false" customHeight="true" outlineLevel="0" collapsed="false">
      <c r="A31" s="13"/>
      <c r="B31" s="8" t="s">
        <v>282</v>
      </c>
      <c r="C31" s="9" t="s">
        <v>283</v>
      </c>
      <c r="D31" s="9" t="s">
        <v>283</v>
      </c>
      <c r="E31" s="9" t="s">
        <v>283</v>
      </c>
      <c r="F31" s="9" t="s">
        <v>283</v>
      </c>
      <c r="G31" s="9" t="s">
        <v>283</v>
      </c>
      <c r="H31" s="9" t="s">
        <v>283</v>
      </c>
      <c r="I31" s="9" t="s">
        <v>283</v>
      </c>
      <c r="J31" s="9" t="s">
        <v>284</v>
      </c>
      <c r="K31" s="9" t="s">
        <v>285</v>
      </c>
      <c r="L31" s="9" t="s">
        <v>285</v>
      </c>
    </row>
    <row r="32" customFormat="false" ht="30" hidden="false" customHeight="true" outlineLevel="0" collapsed="false">
      <c r="A32" s="14"/>
      <c r="B32" s="10" t="s">
        <v>286</v>
      </c>
      <c r="C32" s="11" t="s">
        <v>287</v>
      </c>
      <c r="D32" s="11" t="s">
        <v>288</v>
      </c>
      <c r="E32" s="11" t="s">
        <v>288</v>
      </c>
      <c r="F32" s="11" t="s">
        <v>289</v>
      </c>
      <c r="G32" s="11" t="s">
        <v>288</v>
      </c>
      <c r="H32" s="11" t="s">
        <v>288</v>
      </c>
      <c r="I32" s="11" t="s">
        <v>288</v>
      </c>
      <c r="J32" s="11" t="s">
        <v>290</v>
      </c>
      <c r="K32" s="11" t="s">
        <v>291</v>
      </c>
      <c r="L32" s="11" t="s">
        <v>291</v>
      </c>
    </row>
    <row r="33" customFormat="false" ht="18" hidden="false" customHeight="true" outlineLevel="0" collapsed="false">
      <c r="A33" s="12" t="s">
        <v>292</v>
      </c>
      <c r="B33" s="12"/>
      <c r="C33" s="12"/>
      <c r="D33" s="12"/>
      <c r="E33" s="12"/>
      <c r="F33" s="12"/>
      <c r="G33" s="12"/>
      <c r="H33" s="12"/>
      <c r="I33" s="12"/>
      <c r="J33" s="12"/>
      <c r="K33" s="12"/>
      <c r="L33" s="12"/>
    </row>
    <row r="34" customFormat="false" ht="30" hidden="false" customHeight="true" outlineLevel="0" collapsed="false">
      <c r="A34" s="14"/>
      <c r="B34" s="10" t="s">
        <v>293</v>
      </c>
      <c r="C34" s="11" t="s">
        <v>294</v>
      </c>
      <c r="D34" s="11" t="s">
        <v>295</v>
      </c>
      <c r="E34" s="11" t="s">
        <v>295</v>
      </c>
      <c r="F34" s="11" t="s">
        <v>296</v>
      </c>
      <c r="G34" s="11" t="s">
        <v>294</v>
      </c>
      <c r="H34" s="11" t="s">
        <v>294</v>
      </c>
      <c r="I34" s="11" t="s">
        <v>294</v>
      </c>
      <c r="J34" s="11" t="s">
        <v>297</v>
      </c>
      <c r="K34" s="11" t="s">
        <v>297</v>
      </c>
      <c r="L34" s="11" t="s">
        <v>298</v>
      </c>
    </row>
    <row r="35" customFormat="false" ht="30" hidden="false" customHeight="true" outlineLevel="0" collapsed="false">
      <c r="A35" s="13"/>
      <c r="B35" s="8" t="s">
        <v>299</v>
      </c>
      <c r="C35" s="9" t="s">
        <v>300</v>
      </c>
      <c r="D35" s="9" t="s">
        <v>300</v>
      </c>
      <c r="E35" s="9" t="s">
        <v>300</v>
      </c>
      <c r="F35" s="9" t="s">
        <v>301</v>
      </c>
      <c r="G35" s="9" t="s">
        <v>301</v>
      </c>
      <c r="H35" s="9" t="s">
        <v>300</v>
      </c>
      <c r="I35" s="9" t="s">
        <v>300</v>
      </c>
      <c r="J35" s="9" t="s">
        <v>302</v>
      </c>
      <c r="K35" s="9" t="s">
        <v>303</v>
      </c>
      <c r="L35" s="9" t="s">
        <v>304</v>
      </c>
    </row>
    <row r="36" customFormat="false" ht="30" hidden="false" customHeight="true" outlineLevel="0" collapsed="false">
      <c r="A36" s="14"/>
      <c r="B36" s="10" t="s">
        <v>305</v>
      </c>
      <c r="C36" s="11" t="s">
        <v>306</v>
      </c>
      <c r="D36" s="11" t="s">
        <v>306</v>
      </c>
      <c r="E36" s="11" t="s">
        <v>306</v>
      </c>
      <c r="F36" s="11" t="s">
        <v>306</v>
      </c>
      <c r="G36" s="11" t="s">
        <v>306</v>
      </c>
      <c r="H36" s="11" t="s">
        <v>306</v>
      </c>
      <c r="I36" s="11" t="s">
        <v>306</v>
      </c>
      <c r="J36" s="11" t="s">
        <v>307</v>
      </c>
      <c r="K36" s="11" t="s">
        <v>307</v>
      </c>
      <c r="L36" s="11" t="s">
        <v>307</v>
      </c>
    </row>
    <row r="37" customFormat="false" ht="30" hidden="false" customHeight="true" outlineLevel="0" collapsed="false">
      <c r="A37" s="13"/>
      <c r="B37" s="8" t="s">
        <v>308</v>
      </c>
      <c r="C37" s="9" t="s">
        <v>309</v>
      </c>
      <c r="D37" s="9" t="s">
        <v>309</v>
      </c>
      <c r="E37" s="9" t="s">
        <v>309</v>
      </c>
      <c r="F37" s="9" t="s">
        <v>310</v>
      </c>
      <c r="G37" s="9" t="s">
        <v>311</v>
      </c>
      <c r="H37" s="9" t="s">
        <v>311</v>
      </c>
      <c r="I37" s="9" t="s">
        <v>312</v>
      </c>
      <c r="J37" s="9" t="s">
        <v>309</v>
      </c>
      <c r="K37" s="9" t="s">
        <v>309</v>
      </c>
      <c r="L37" s="9" t="s">
        <v>309</v>
      </c>
    </row>
    <row r="38" customFormat="false" ht="30" hidden="false" customHeight="true" outlineLevel="0" collapsed="false">
      <c r="A38" s="14"/>
      <c r="B38" s="10" t="s">
        <v>313</v>
      </c>
      <c r="C38" s="11" t="s">
        <v>314</v>
      </c>
      <c r="D38" s="11" t="s">
        <v>314</v>
      </c>
      <c r="E38" s="11" t="s">
        <v>314</v>
      </c>
      <c r="F38" s="11" t="s">
        <v>315</v>
      </c>
      <c r="G38" s="11" t="s">
        <v>316</v>
      </c>
      <c r="H38" s="11" t="s">
        <v>316</v>
      </c>
      <c r="I38" s="11" t="s">
        <v>317</v>
      </c>
      <c r="J38" s="11" t="s">
        <v>318</v>
      </c>
      <c r="K38" s="11" t="s">
        <v>318</v>
      </c>
      <c r="L38" s="11" t="s">
        <v>318</v>
      </c>
    </row>
    <row r="39" customFormat="false" ht="30" hidden="false" customHeight="true" outlineLevel="0" collapsed="false">
      <c r="A39" s="13"/>
      <c r="B39" s="8" t="s">
        <v>319</v>
      </c>
      <c r="C39" s="9" t="s">
        <v>320</v>
      </c>
      <c r="D39" s="9" t="s">
        <v>321</v>
      </c>
      <c r="E39" s="9" t="s">
        <v>321</v>
      </c>
      <c r="F39" s="9" t="s">
        <v>322</v>
      </c>
      <c r="G39" s="9" t="s">
        <v>322</v>
      </c>
      <c r="H39" s="9" t="s">
        <v>322</v>
      </c>
      <c r="I39" s="9" t="s">
        <v>322</v>
      </c>
      <c r="J39" s="9" t="s">
        <v>323</v>
      </c>
      <c r="K39" s="9" t="s">
        <v>324</v>
      </c>
      <c r="L39" s="9" t="s">
        <v>324</v>
      </c>
    </row>
    <row r="40" customFormat="false" ht="30" hidden="false" customHeight="true" outlineLevel="0" collapsed="false">
      <c r="A40" s="14"/>
      <c r="B40" s="10" t="s">
        <v>325</v>
      </c>
      <c r="C40" s="11" t="s">
        <v>326</v>
      </c>
      <c r="D40" s="11" t="s">
        <v>327</v>
      </c>
      <c r="E40" s="11" t="s">
        <v>327</v>
      </c>
      <c r="F40" s="11" t="s">
        <v>328</v>
      </c>
      <c r="G40" s="11" t="s">
        <v>329</v>
      </c>
      <c r="H40" s="11" t="s">
        <v>326</v>
      </c>
      <c r="I40" s="11" t="s">
        <v>327</v>
      </c>
      <c r="J40" s="11" t="s">
        <v>330</v>
      </c>
      <c r="K40" s="11" t="s">
        <v>331</v>
      </c>
      <c r="L40" s="11" t="s">
        <v>331</v>
      </c>
    </row>
    <row r="41" customFormat="false" ht="30" hidden="false" customHeight="true" outlineLevel="0" collapsed="false">
      <c r="A41" s="13"/>
      <c r="B41" s="8" t="s">
        <v>332</v>
      </c>
      <c r="C41" s="9" t="s">
        <v>333</v>
      </c>
      <c r="D41" s="9" t="s">
        <v>334</v>
      </c>
      <c r="E41" s="9" t="s">
        <v>335</v>
      </c>
      <c r="F41" s="9" t="s">
        <v>336</v>
      </c>
      <c r="G41" s="9" t="s">
        <v>337</v>
      </c>
      <c r="H41" s="9" t="s">
        <v>338</v>
      </c>
      <c r="I41" s="9" t="s">
        <v>339</v>
      </c>
      <c r="J41" s="9" t="s">
        <v>340</v>
      </c>
      <c r="K41" s="9" t="s">
        <v>341</v>
      </c>
      <c r="L41" s="9" t="s">
        <v>342</v>
      </c>
    </row>
    <row r="42" customFormat="false" ht="18" hidden="false" customHeight="true" outlineLevel="0" collapsed="false">
      <c r="A42" s="12" t="s">
        <v>343</v>
      </c>
      <c r="B42" s="12"/>
      <c r="C42" s="12"/>
      <c r="D42" s="12"/>
      <c r="E42" s="12"/>
      <c r="F42" s="12"/>
      <c r="G42" s="12"/>
      <c r="H42" s="12"/>
      <c r="I42" s="12"/>
      <c r="J42" s="12"/>
      <c r="K42" s="12"/>
      <c r="L42" s="12"/>
    </row>
    <row r="43" customFormat="false" ht="30" hidden="false" customHeight="true" outlineLevel="0" collapsed="false">
      <c r="A43" s="13"/>
      <c r="B43" s="8" t="s">
        <v>344</v>
      </c>
      <c r="C43" s="9" t="s">
        <v>345</v>
      </c>
      <c r="D43" s="9" t="s">
        <v>345</v>
      </c>
      <c r="E43" s="9" t="s">
        <v>345</v>
      </c>
      <c r="F43" s="9" t="s">
        <v>346</v>
      </c>
      <c r="G43" s="9" t="s">
        <v>346</v>
      </c>
      <c r="H43" s="9" t="s">
        <v>346</v>
      </c>
      <c r="I43" s="9" t="s">
        <v>346</v>
      </c>
      <c r="J43" s="9" t="s">
        <v>347</v>
      </c>
      <c r="K43" s="9" t="s">
        <v>348</v>
      </c>
      <c r="L43" s="9" t="s">
        <v>349</v>
      </c>
    </row>
    <row r="44" customFormat="false" ht="30" hidden="false" customHeight="true" outlineLevel="0" collapsed="false">
      <c r="A44" s="14"/>
      <c r="B44" s="10" t="s">
        <v>350</v>
      </c>
      <c r="C44" s="11" t="s">
        <v>351</v>
      </c>
      <c r="D44" s="11" t="s">
        <v>351</v>
      </c>
      <c r="E44" s="11" t="s">
        <v>351</v>
      </c>
      <c r="F44" s="11" t="s">
        <v>352</v>
      </c>
      <c r="G44" s="11" t="s">
        <v>353</v>
      </c>
      <c r="H44" s="11" t="s">
        <v>353</v>
      </c>
      <c r="I44" s="11" t="s">
        <v>353</v>
      </c>
      <c r="J44" s="11" t="s">
        <v>354</v>
      </c>
      <c r="K44" s="11" t="s">
        <v>355</v>
      </c>
      <c r="L44" s="11" t="s">
        <v>356</v>
      </c>
    </row>
    <row r="45" customFormat="false" ht="30" hidden="false" customHeight="true" outlineLevel="0" collapsed="false">
      <c r="A45" s="13"/>
      <c r="B45" s="8" t="s">
        <v>357</v>
      </c>
      <c r="C45" s="9" t="s">
        <v>358</v>
      </c>
      <c r="D45" s="9" t="s">
        <v>358</v>
      </c>
      <c r="E45" s="9" t="s">
        <v>359</v>
      </c>
      <c r="F45" s="9" t="s">
        <v>351</v>
      </c>
      <c r="G45" s="9" t="s">
        <v>358</v>
      </c>
      <c r="H45" s="9" t="s">
        <v>358</v>
      </c>
      <c r="I45" s="9" t="s">
        <v>358</v>
      </c>
      <c r="J45" s="9" t="s">
        <v>360</v>
      </c>
      <c r="K45" s="9" t="s">
        <v>361</v>
      </c>
      <c r="L45" s="9" t="s">
        <v>362</v>
      </c>
    </row>
    <row r="46" customFormat="false" ht="30" hidden="false" customHeight="true" outlineLevel="0" collapsed="false">
      <c r="A46" s="14"/>
      <c r="B46" s="10" t="s">
        <v>363</v>
      </c>
      <c r="C46" s="11" t="s">
        <v>364</v>
      </c>
      <c r="D46" s="11" t="s">
        <v>364</v>
      </c>
      <c r="E46" s="11" t="s">
        <v>364</v>
      </c>
      <c r="F46" s="11" t="s">
        <v>364</v>
      </c>
      <c r="G46" s="11" t="s">
        <v>364</v>
      </c>
      <c r="H46" s="11" t="s">
        <v>364</v>
      </c>
      <c r="I46" s="11" t="s">
        <v>364</v>
      </c>
      <c r="J46" s="11" t="s">
        <v>365</v>
      </c>
      <c r="K46" s="11" t="s">
        <v>365</v>
      </c>
      <c r="L46" s="11" t="s">
        <v>365</v>
      </c>
    </row>
    <row r="47" customFormat="false" ht="30" hidden="false" customHeight="true" outlineLevel="0" collapsed="false">
      <c r="A47" s="13"/>
      <c r="B47" s="8" t="s">
        <v>366</v>
      </c>
      <c r="C47" s="9" t="s">
        <v>367</v>
      </c>
      <c r="D47" s="9" t="s">
        <v>367</v>
      </c>
      <c r="E47" s="9" t="s">
        <v>368</v>
      </c>
      <c r="F47" s="9" t="s">
        <v>369</v>
      </c>
      <c r="G47" s="9" t="s">
        <v>370</v>
      </c>
      <c r="H47" s="9" t="s">
        <v>371</v>
      </c>
      <c r="I47" s="9" t="s">
        <v>372</v>
      </c>
      <c r="J47" s="9" t="s">
        <v>372</v>
      </c>
      <c r="K47" s="9" t="s">
        <v>373</v>
      </c>
      <c r="L47" s="9" t="s">
        <v>374</v>
      </c>
    </row>
    <row r="48" customFormat="false" ht="30" hidden="false" customHeight="true" outlineLevel="0" collapsed="false">
      <c r="A48" s="14"/>
      <c r="B48" s="10" t="s">
        <v>375</v>
      </c>
      <c r="C48" s="11" t="s">
        <v>231</v>
      </c>
      <c r="D48" s="11" t="s">
        <v>231</v>
      </c>
      <c r="E48" s="11" t="s">
        <v>231</v>
      </c>
      <c r="F48" s="11" t="s">
        <v>231</v>
      </c>
      <c r="G48" s="11" t="s">
        <v>231</v>
      </c>
      <c r="H48" s="11" t="s">
        <v>231</v>
      </c>
      <c r="I48" s="11" t="s">
        <v>231</v>
      </c>
      <c r="J48" s="11" t="s">
        <v>231</v>
      </c>
      <c r="K48" s="11" t="s">
        <v>231</v>
      </c>
      <c r="L48" s="11" t="s">
        <v>231</v>
      </c>
    </row>
    <row r="49" customFormat="false" ht="18" hidden="false" customHeight="true" outlineLevel="0" collapsed="false">
      <c r="A49" s="12" t="s">
        <v>376</v>
      </c>
      <c r="B49" s="12"/>
      <c r="C49" s="12"/>
      <c r="D49" s="12"/>
      <c r="E49" s="12"/>
      <c r="F49" s="12"/>
      <c r="G49" s="12"/>
      <c r="H49" s="12"/>
      <c r="I49" s="12"/>
      <c r="J49" s="12"/>
      <c r="K49" s="12"/>
      <c r="L49" s="12"/>
    </row>
    <row r="50" customFormat="false" ht="30" hidden="false" customHeight="true" outlineLevel="0" collapsed="false">
      <c r="A50" s="14"/>
      <c r="B50" s="10" t="s">
        <v>377</v>
      </c>
      <c r="C50" s="11" t="s">
        <v>378</v>
      </c>
      <c r="D50" s="11" t="s">
        <v>378</v>
      </c>
      <c r="E50" s="11" t="s">
        <v>378</v>
      </c>
      <c r="F50" s="11" t="s">
        <v>379</v>
      </c>
      <c r="G50" s="11" t="s">
        <v>379</v>
      </c>
      <c r="H50" s="11" t="s">
        <v>378</v>
      </c>
      <c r="I50" s="11" t="s">
        <v>378</v>
      </c>
      <c r="J50" s="11" t="s">
        <v>380</v>
      </c>
      <c r="K50" s="11" t="s">
        <v>380</v>
      </c>
      <c r="L50" s="11" t="s">
        <v>380</v>
      </c>
    </row>
    <row r="51" customFormat="false" ht="30" hidden="false" customHeight="true" outlineLevel="0" collapsed="false">
      <c r="A51" s="13"/>
      <c r="B51" s="8" t="s">
        <v>381</v>
      </c>
      <c r="C51" s="9" t="s">
        <v>382</v>
      </c>
      <c r="D51" s="9" t="s">
        <v>383</v>
      </c>
      <c r="E51" s="9" t="s">
        <v>384</v>
      </c>
      <c r="F51" s="9" t="s">
        <v>385</v>
      </c>
      <c r="G51" s="9" t="s">
        <v>382</v>
      </c>
      <c r="H51" s="9" t="s">
        <v>383</v>
      </c>
      <c r="I51" s="9" t="s">
        <v>384</v>
      </c>
      <c r="J51" s="9" t="s">
        <v>386</v>
      </c>
      <c r="K51" s="9" t="s">
        <v>386</v>
      </c>
      <c r="L51" s="9" t="s">
        <v>386</v>
      </c>
    </row>
    <row r="52" customFormat="false" ht="30" hidden="false" customHeight="true" outlineLevel="0" collapsed="false">
      <c r="A52" s="14"/>
      <c r="B52" s="10" t="s">
        <v>387</v>
      </c>
      <c r="C52" s="11" t="s">
        <v>388</v>
      </c>
      <c r="D52" s="11" t="s">
        <v>389</v>
      </c>
      <c r="E52" s="11" t="s">
        <v>390</v>
      </c>
      <c r="F52" s="11" t="s">
        <v>391</v>
      </c>
      <c r="G52" s="11" t="s">
        <v>392</v>
      </c>
      <c r="H52" s="11" t="s">
        <v>393</v>
      </c>
      <c r="I52" s="11" t="s">
        <v>394</v>
      </c>
      <c r="J52" s="11" t="s">
        <v>395</v>
      </c>
      <c r="K52" s="11" t="s">
        <v>396</v>
      </c>
      <c r="L52" s="11" t="s">
        <v>397</v>
      </c>
    </row>
    <row r="53" customFormat="false" ht="30" hidden="false" customHeight="true" outlineLevel="0" collapsed="false">
      <c r="A53" s="13"/>
      <c r="B53" s="8" t="s">
        <v>398</v>
      </c>
      <c r="C53" s="9" t="s">
        <v>399</v>
      </c>
      <c r="D53" s="9" t="s">
        <v>400</v>
      </c>
      <c r="E53" s="9" t="s">
        <v>401</v>
      </c>
      <c r="F53" s="9" t="s">
        <v>402</v>
      </c>
      <c r="G53" s="9" t="s">
        <v>403</v>
      </c>
      <c r="H53" s="9" t="s">
        <v>404</v>
      </c>
      <c r="I53" s="9" t="s">
        <v>405</v>
      </c>
      <c r="J53" s="9" t="s">
        <v>403</v>
      </c>
      <c r="K53" s="9" t="s">
        <v>404</v>
      </c>
      <c r="L53" s="9" t="s">
        <v>406</v>
      </c>
    </row>
    <row r="54" customFormat="false" ht="30" hidden="false" customHeight="true" outlineLevel="0" collapsed="false">
      <c r="A54" s="14"/>
      <c r="B54" s="10" t="s">
        <v>407</v>
      </c>
      <c r="C54" s="11" t="s">
        <v>408</v>
      </c>
      <c r="D54" s="11" t="s">
        <v>409</v>
      </c>
      <c r="E54" s="11" t="s">
        <v>410</v>
      </c>
      <c r="F54" s="11" t="s">
        <v>411</v>
      </c>
      <c r="G54" s="11" t="s">
        <v>412</v>
      </c>
      <c r="H54" s="11" t="s">
        <v>412</v>
      </c>
      <c r="I54" s="11" t="s">
        <v>413</v>
      </c>
      <c r="J54" s="11" t="s">
        <v>414</v>
      </c>
      <c r="K54" s="11" t="s">
        <v>414</v>
      </c>
      <c r="L54" s="11" t="s">
        <v>415</v>
      </c>
    </row>
    <row r="55" customFormat="false" ht="30" hidden="false" customHeight="true" outlineLevel="0" collapsed="false">
      <c r="A55" s="13"/>
      <c r="B55" s="8" t="s">
        <v>416</v>
      </c>
      <c r="C55" s="9" t="s">
        <v>417</v>
      </c>
      <c r="D55" s="9" t="s">
        <v>418</v>
      </c>
      <c r="E55" s="9" t="s">
        <v>418</v>
      </c>
      <c r="F55" s="9" t="s">
        <v>418</v>
      </c>
      <c r="G55" s="9" t="s">
        <v>418</v>
      </c>
      <c r="H55" s="9" t="s">
        <v>418</v>
      </c>
      <c r="I55" s="9" t="s">
        <v>418</v>
      </c>
      <c r="J55" s="9" t="s">
        <v>419</v>
      </c>
      <c r="K55" s="9" t="s">
        <v>231</v>
      </c>
      <c r="L55" s="9" t="s">
        <v>231</v>
      </c>
    </row>
    <row r="56" customFormat="false" ht="18" hidden="false" customHeight="true" outlineLevel="0" collapsed="false">
      <c r="A56" s="12" t="s">
        <v>420</v>
      </c>
      <c r="B56" s="12"/>
      <c r="C56" s="12"/>
      <c r="D56" s="12"/>
      <c r="E56" s="12"/>
      <c r="F56" s="12"/>
      <c r="G56" s="12"/>
      <c r="H56" s="12"/>
      <c r="I56" s="12"/>
      <c r="J56" s="12"/>
      <c r="K56" s="12"/>
      <c r="L56" s="12"/>
    </row>
    <row r="57" customFormat="false" ht="30" hidden="false" customHeight="true" outlineLevel="0" collapsed="false">
      <c r="A57" s="13"/>
      <c r="B57" s="8" t="s">
        <v>421</v>
      </c>
      <c r="C57" s="9" t="s">
        <v>422</v>
      </c>
      <c r="D57" s="9" t="s">
        <v>423</v>
      </c>
      <c r="E57" s="9" t="s">
        <v>424</v>
      </c>
      <c r="F57" s="9" t="s">
        <v>425</v>
      </c>
      <c r="G57" s="9" t="s">
        <v>426</v>
      </c>
      <c r="H57" s="9" t="s">
        <v>427</v>
      </c>
      <c r="I57" s="9" t="s">
        <v>428</v>
      </c>
      <c r="J57" s="9" t="s">
        <v>429</v>
      </c>
      <c r="K57" s="9" t="s">
        <v>430</v>
      </c>
      <c r="L57" s="9" t="s">
        <v>430</v>
      </c>
    </row>
    <row r="58" customFormat="false" ht="30" hidden="false" customHeight="true" outlineLevel="0" collapsed="false">
      <c r="A58" s="14"/>
      <c r="B58" s="10" t="s">
        <v>431</v>
      </c>
      <c r="C58" s="11" t="s">
        <v>432</v>
      </c>
      <c r="D58" s="11" t="s">
        <v>433</v>
      </c>
      <c r="E58" s="11" t="s">
        <v>434</v>
      </c>
      <c r="F58" s="11" t="s">
        <v>435</v>
      </c>
      <c r="G58" s="11" t="s">
        <v>436</v>
      </c>
      <c r="H58" s="11" t="s">
        <v>437</v>
      </c>
      <c r="I58" s="11" t="s">
        <v>438</v>
      </c>
      <c r="J58" s="11" t="s">
        <v>439</v>
      </c>
      <c r="K58" s="11" t="s">
        <v>440</v>
      </c>
      <c r="L58" s="11" t="s">
        <v>441</v>
      </c>
    </row>
    <row r="59" customFormat="false" ht="30" hidden="false" customHeight="true" outlineLevel="0" collapsed="false">
      <c r="A59" s="13"/>
      <c r="B59" s="8" t="s">
        <v>442</v>
      </c>
      <c r="C59" s="9" t="s">
        <v>443</v>
      </c>
      <c r="D59" s="9" t="s">
        <v>444</v>
      </c>
      <c r="E59" s="9" t="s">
        <v>444</v>
      </c>
      <c r="F59" s="9" t="s">
        <v>445</v>
      </c>
      <c r="G59" s="9" t="s">
        <v>446</v>
      </c>
      <c r="H59" s="9" t="s">
        <v>447</v>
      </c>
      <c r="I59" s="9" t="s">
        <v>444</v>
      </c>
      <c r="J59" s="9" t="s">
        <v>448</v>
      </c>
      <c r="K59" s="9" t="s">
        <v>449</v>
      </c>
      <c r="L59" s="9" t="s">
        <v>450</v>
      </c>
    </row>
    <row r="60" customFormat="false" ht="30" hidden="false" customHeight="true" outlineLevel="0" collapsed="false">
      <c r="A60" s="14"/>
      <c r="B60" s="10" t="s">
        <v>451</v>
      </c>
      <c r="C60" s="11" t="s">
        <v>452</v>
      </c>
      <c r="D60" s="11" t="s">
        <v>453</v>
      </c>
      <c r="E60" s="11" t="s">
        <v>454</v>
      </c>
      <c r="F60" s="11" t="s">
        <v>455</v>
      </c>
      <c r="G60" s="11" t="s">
        <v>455</v>
      </c>
      <c r="H60" s="11" t="s">
        <v>455</v>
      </c>
      <c r="I60" s="11" t="s">
        <v>455</v>
      </c>
      <c r="J60" s="11" t="s">
        <v>455</v>
      </c>
      <c r="K60" s="11" t="s">
        <v>455</v>
      </c>
      <c r="L60" s="11" t="s">
        <v>455</v>
      </c>
    </row>
    <row r="61" customFormat="false" ht="30" hidden="false" customHeight="true" outlineLevel="0" collapsed="false">
      <c r="A61" s="13"/>
      <c r="B61" s="8" t="s">
        <v>456</v>
      </c>
      <c r="C61" s="9" t="s">
        <v>457</v>
      </c>
      <c r="D61" s="9" t="s">
        <v>458</v>
      </c>
      <c r="E61" s="9" t="s">
        <v>458</v>
      </c>
      <c r="F61" s="9" t="s">
        <v>459</v>
      </c>
      <c r="G61" s="9" t="s">
        <v>460</v>
      </c>
      <c r="H61" s="9" t="s">
        <v>461</v>
      </c>
      <c r="I61" s="9" t="s">
        <v>461</v>
      </c>
      <c r="J61" s="9" t="s">
        <v>231</v>
      </c>
      <c r="K61" s="9" t="s">
        <v>231</v>
      </c>
      <c r="L61" s="9" t="s">
        <v>231</v>
      </c>
    </row>
    <row r="62" customFormat="false" ht="30" hidden="false" customHeight="true" outlineLevel="0" collapsed="false">
      <c r="A62" s="14"/>
      <c r="B62" s="10" t="s">
        <v>462</v>
      </c>
      <c r="C62" s="11" t="s">
        <v>463</v>
      </c>
      <c r="D62" s="11" t="s">
        <v>464</v>
      </c>
      <c r="E62" s="11" t="s">
        <v>464</v>
      </c>
      <c r="F62" s="11" t="s">
        <v>465</v>
      </c>
      <c r="G62" s="11" t="s">
        <v>466</v>
      </c>
      <c r="H62" s="11" t="s">
        <v>466</v>
      </c>
      <c r="I62" s="11" t="s">
        <v>466</v>
      </c>
      <c r="J62" s="11" t="s">
        <v>467</v>
      </c>
      <c r="K62" s="11" t="s">
        <v>467</v>
      </c>
      <c r="L62" s="11" t="s">
        <v>467</v>
      </c>
    </row>
    <row r="63" customFormat="false" ht="18" hidden="false" customHeight="true" outlineLevel="0" collapsed="false">
      <c r="A63" s="12" t="s">
        <v>468</v>
      </c>
      <c r="B63" s="12"/>
      <c r="C63" s="12"/>
      <c r="D63" s="12"/>
      <c r="E63" s="12"/>
      <c r="F63" s="12"/>
      <c r="G63" s="12"/>
      <c r="H63" s="12"/>
      <c r="I63" s="12"/>
      <c r="J63" s="12"/>
      <c r="K63" s="12"/>
      <c r="L63" s="12"/>
    </row>
    <row r="64" customFormat="false" ht="30" hidden="false" customHeight="true" outlineLevel="0" collapsed="false">
      <c r="A64" s="14"/>
      <c r="B64" s="10" t="s">
        <v>469</v>
      </c>
      <c r="C64" s="11" t="s">
        <v>470</v>
      </c>
      <c r="D64" s="11" t="s">
        <v>470</v>
      </c>
      <c r="E64" s="11" t="s">
        <v>470</v>
      </c>
      <c r="F64" s="11" t="s">
        <v>470</v>
      </c>
      <c r="G64" s="11" t="s">
        <v>470</v>
      </c>
      <c r="H64" s="11" t="s">
        <v>470</v>
      </c>
      <c r="I64" s="11" t="s">
        <v>471</v>
      </c>
      <c r="J64" s="11" t="s">
        <v>470</v>
      </c>
      <c r="K64" s="11" t="s">
        <v>470</v>
      </c>
      <c r="L64" s="11" t="s">
        <v>470</v>
      </c>
    </row>
    <row r="65" customFormat="false" ht="30" hidden="false" customHeight="true" outlineLevel="0" collapsed="false">
      <c r="A65" s="13"/>
      <c r="B65" s="8" t="s">
        <v>472</v>
      </c>
      <c r="C65" s="9" t="s">
        <v>473</v>
      </c>
      <c r="D65" s="9" t="s">
        <v>474</v>
      </c>
      <c r="E65" s="9" t="s">
        <v>475</v>
      </c>
      <c r="F65" s="9" t="s">
        <v>473</v>
      </c>
      <c r="G65" s="9" t="s">
        <v>473</v>
      </c>
      <c r="H65" s="9" t="s">
        <v>474</v>
      </c>
      <c r="I65" s="9" t="s">
        <v>475</v>
      </c>
      <c r="J65" s="9" t="s">
        <v>476</v>
      </c>
      <c r="K65" s="9" t="s">
        <v>474</v>
      </c>
      <c r="L65" s="9" t="s">
        <v>477</v>
      </c>
    </row>
    <row r="66" customFormat="false" ht="30" hidden="false" customHeight="true" outlineLevel="0" collapsed="false">
      <c r="A66" s="14"/>
      <c r="B66" s="10" t="s">
        <v>478</v>
      </c>
      <c r="C66" s="11" t="s">
        <v>479</v>
      </c>
      <c r="D66" s="11" t="s">
        <v>480</v>
      </c>
      <c r="E66" s="11" t="s">
        <v>480</v>
      </c>
      <c r="F66" s="11" t="s">
        <v>480</v>
      </c>
      <c r="G66" s="11" t="s">
        <v>480</v>
      </c>
      <c r="H66" s="11" t="s">
        <v>480</v>
      </c>
      <c r="I66" s="11" t="s">
        <v>480</v>
      </c>
      <c r="J66" s="11" t="s">
        <v>481</v>
      </c>
      <c r="K66" s="11" t="s">
        <v>481</v>
      </c>
      <c r="L66" s="11" t="s">
        <v>481</v>
      </c>
    </row>
    <row r="67" customFormat="false" ht="30" hidden="false" customHeight="true" outlineLevel="0" collapsed="false">
      <c r="A67" s="13"/>
      <c r="B67" s="8" t="s">
        <v>482</v>
      </c>
      <c r="C67" s="9" t="s">
        <v>483</v>
      </c>
      <c r="D67" s="9" t="s">
        <v>484</v>
      </c>
      <c r="E67" s="9" t="s">
        <v>484</v>
      </c>
      <c r="F67" s="9" t="s">
        <v>483</v>
      </c>
      <c r="G67" s="9" t="s">
        <v>484</v>
      </c>
      <c r="H67" s="9" t="s">
        <v>484</v>
      </c>
      <c r="I67" s="9" t="s">
        <v>484</v>
      </c>
      <c r="J67" s="9" t="s">
        <v>485</v>
      </c>
      <c r="K67" s="9" t="s">
        <v>486</v>
      </c>
      <c r="L67" s="9" t="s">
        <v>486</v>
      </c>
    </row>
    <row r="68" customFormat="false" ht="18" hidden="false" customHeight="true" outlineLevel="0" collapsed="false">
      <c r="A68" s="12" t="s">
        <v>487</v>
      </c>
      <c r="B68" s="12"/>
      <c r="C68" s="12"/>
      <c r="D68" s="12"/>
      <c r="E68" s="12"/>
      <c r="F68" s="12"/>
      <c r="G68" s="12"/>
      <c r="H68" s="12"/>
      <c r="I68" s="12"/>
      <c r="J68" s="12"/>
      <c r="K68" s="12"/>
      <c r="L68" s="12"/>
    </row>
    <row r="69" customFormat="false" ht="30" hidden="false" customHeight="true" outlineLevel="0" collapsed="false">
      <c r="A69" s="13"/>
      <c r="B69" s="8" t="s">
        <v>488</v>
      </c>
      <c r="C69" s="9" t="s">
        <v>489</v>
      </c>
      <c r="D69" s="9" t="s">
        <v>490</v>
      </c>
      <c r="E69" s="9" t="s">
        <v>490</v>
      </c>
      <c r="F69" s="9" t="s">
        <v>489</v>
      </c>
      <c r="G69" s="9" t="s">
        <v>490</v>
      </c>
      <c r="H69" s="9" t="s">
        <v>490</v>
      </c>
      <c r="I69" s="9" t="s">
        <v>490</v>
      </c>
      <c r="J69" s="9" t="s">
        <v>491</v>
      </c>
      <c r="K69" s="9" t="s">
        <v>490</v>
      </c>
      <c r="L69" s="9" t="s">
        <v>490</v>
      </c>
    </row>
    <row r="70" customFormat="false" ht="30" hidden="false" customHeight="true" outlineLevel="0" collapsed="false">
      <c r="A70" s="14"/>
      <c r="B70" s="10" t="s">
        <v>492</v>
      </c>
      <c r="C70" s="11" t="s">
        <v>493</v>
      </c>
      <c r="D70" s="11" t="s">
        <v>494</v>
      </c>
      <c r="E70" s="11" t="s">
        <v>494</v>
      </c>
      <c r="F70" s="11" t="s">
        <v>495</v>
      </c>
      <c r="G70" s="11" t="s">
        <v>495</v>
      </c>
      <c r="H70" s="11" t="s">
        <v>495</v>
      </c>
      <c r="I70" s="11" t="s">
        <v>495</v>
      </c>
      <c r="J70" s="11" t="s">
        <v>496</v>
      </c>
      <c r="K70" s="11" t="s">
        <v>496</v>
      </c>
      <c r="L70" s="11" t="s">
        <v>496</v>
      </c>
    </row>
    <row r="71" customFormat="false" ht="30" hidden="false" customHeight="true" outlineLevel="0" collapsed="false">
      <c r="A71" s="13"/>
      <c r="B71" s="8" t="s">
        <v>497</v>
      </c>
      <c r="C71" s="9" t="s">
        <v>498</v>
      </c>
      <c r="D71" s="9" t="s">
        <v>499</v>
      </c>
      <c r="E71" s="9" t="s">
        <v>500</v>
      </c>
      <c r="F71" s="9" t="s">
        <v>501</v>
      </c>
      <c r="G71" s="9" t="s">
        <v>502</v>
      </c>
      <c r="H71" s="9" t="s">
        <v>503</v>
      </c>
      <c r="I71" s="9" t="s">
        <v>504</v>
      </c>
      <c r="J71" s="9" t="s">
        <v>505</v>
      </c>
      <c r="K71" s="9" t="s">
        <v>506</v>
      </c>
      <c r="L71" s="9" t="s">
        <v>501</v>
      </c>
    </row>
    <row r="72" customFormat="false" ht="30" hidden="false" customHeight="true" outlineLevel="0" collapsed="false">
      <c r="A72" s="14"/>
      <c r="B72" s="10" t="s">
        <v>507</v>
      </c>
      <c r="C72" s="11" t="s">
        <v>508</v>
      </c>
      <c r="D72" s="11" t="s">
        <v>509</v>
      </c>
      <c r="E72" s="11" t="s">
        <v>509</v>
      </c>
      <c r="F72" s="11" t="s">
        <v>510</v>
      </c>
      <c r="G72" s="11" t="s">
        <v>510</v>
      </c>
      <c r="H72" s="11" t="s">
        <v>510</v>
      </c>
      <c r="I72" s="11" t="s">
        <v>510</v>
      </c>
      <c r="J72" s="11" t="s">
        <v>511</v>
      </c>
      <c r="K72" s="11" t="s">
        <v>512</v>
      </c>
      <c r="L72" s="11" t="s">
        <v>512</v>
      </c>
    </row>
  </sheetData>
  <mergeCells count="12">
    <mergeCell ref="A1:L1"/>
    <mergeCell ref="A2:L2"/>
    <mergeCell ref="A4:L4"/>
    <mergeCell ref="A10:L10"/>
    <mergeCell ref="A16:L16"/>
    <mergeCell ref="A25:L25"/>
    <mergeCell ref="A33:L33"/>
    <mergeCell ref="A42:L42"/>
    <mergeCell ref="A49:L49"/>
    <mergeCell ref="A56:L56"/>
    <mergeCell ref="A63:L63"/>
    <mergeCell ref="A68:L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5"/>
    <col collapsed="false" customWidth="true" hidden="false" outlineLevel="0" max="4" min="4" style="0" width="17"/>
    <col collapsed="false" customWidth="true" hidden="false" outlineLevel="0" max="6" min="5" style="0" width="15"/>
    <col collapsed="false" customWidth="true" hidden="false" outlineLevel="0" max="7" min="7" style="0" width="14"/>
    <col collapsed="false" customWidth="true" hidden="false" outlineLevel="0" max="8" min="8" style="0" width="20"/>
    <col collapsed="false" customWidth="true" hidden="false" outlineLevel="0" max="9" min="9" style="0" width="60"/>
  </cols>
  <sheetData>
    <row r="1" customFormat="false" ht="24" hidden="false" customHeight="true" outlineLevel="0" collapsed="false">
      <c r="A1" s="1" t="s">
        <v>513</v>
      </c>
      <c r="B1" s="1"/>
      <c r="C1" s="1"/>
      <c r="D1" s="1"/>
      <c r="E1" s="1"/>
      <c r="F1" s="1"/>
      <c r="G1" s="1"/>
      <c r="H1" s="1"/>
      <c r="I1" s="1"/>
    </row>
    <row r="2" customFormat="false" ht="15" hidden="false" customHeight="true" outlineLevel="0" collapsed="false">
      <c r="A2" s="2" t="s">
        <v>514</v>
      </c>
      <c r="B2" s="2"/>
      <c r="C2" s="2"/>
      <c r="D2" s="2"/>
      <c r="E2" s="2"/>
      <c r="F2" s="2"/>
      <c r="G2" s="2"/>
      <c r="H2" s="2"/>
      <c r="I2" s="2"/>
    </row>
    <row r="3" customFormat="false" ht="31.5" hidden="false" customHeight="true" outlineLevel="0" collapsed="false">
      <c r="A3" s="7" t="s">
        <v>111</v>
      </c>
      <c r="B3" s="7" t="s">
        <v>515</v>
      </c>
      <c r="C3" s="7" t="s">
        <v>516</v>
      </c>
      <c r="D3" s="7" t="s">
        <v>197</v>
      </c>
      <c r="E3" s="7" t="s">
        <v>517</v>
      </c>
      <c r="F3" s="7" t="s">
        <v>518</v>
      </c>
      <c r="G3" s="7" t="s">
        <v>199</v>
      </c>
      <c r="H3" s="7" t="s">
        <v>519</v>
      </c>
      <c r="I3" s="7" t="s">
        <v>520</v>
      </c>
    </row>
    <row r="4" customFormat="false" ht="42" hidden="false" customHeight="true" outlineLevel="0" collapsed="false">
      <c r="A4" s="8" t="s">
        <v>94</v>
      </c>
      <c r="B4" s="9" t="s">
        <v>521</v>
      </c>
      <c r="C4" s="18" t="n">
        <v>174999</v>
      </c>
      <c r="D4" s="18" t="n">
        <v>161855</v>
      </c>
      <c r="E4" s="18" t="n">
        <v>7000</v>
      </c>
      <c r="F4" s="19" t="n">
        <f aca="false">D4-E4</f>
        <v>154855</v>
      </c>
      <c r="G4" s="20" t="n">
        <f aca="false">IF(C4=0,"",(C4-D4)/C4)</f>
        <v>0.0751090006228607</v>
      </c>
      <c r="H4" s="9" t="s">
        <v>522</v>
      </c>
      <c r="I4" s="9" t="s">
        <v>523</v>
      </c>
    </row>
    <row r="5" customFormat="false" ht="42" hidden="false" customHeight="true" outlineLevel="0" collapsed="false">
      <c r="A5" s="10" t="s">
        <v>144</v>
      </c>
      <c r="B5" s="11" t="s">
        <v>521</v>
      </c>
      <c r="C5" s="21" t="n">
        <v>164999</v>
      </c>
      <c r="D5" s="21" t="n">
        <v>109999</v>
      </c>
      <c r="E5" s="21" t="n">
        <v>5000</v>
      </c>
      <c r="F5" s="22" t="n">
        <f aca="false">D5-E5</f>
        <v>104999</v>
      </c>
      <c r="G5" s="23" t="n">
        <f aca="false">IF(C5=0,"",(C5-D5)/C5)</f>
        <v>0.333335353547597</v>
      </c>
      <c r="H5" s="11" t="s">
        <v>524</v>
      </c>
      <c r="I5" s="11" t="s">
        <v>525</v>
      </c>
    </row>
    <row r="6" customFormat="false" ht="42" hidden="false" customHeight="true" outlineLevel="0" collapsed="false">
      <c r="A6" s="8" t="s">
        <v>145</v>
      </c>
      <c r="B6" s="9" t="s">
        <v>521</v>
      </c>
      <c r="C6" s="18" t="n">
        <v>154999</v>
      </c>
      <c r="D6" s="18" t="n">
        <v>108990</v>
      </c>
      <c r="E6" s="18" t="n">
        <v>4000</v>
      </c>
      <c r="F6" s="19" t="n">
        <f aca="false">D6-E6</f>
        <v>104990</v>
      </c>
      <c r="G6" s="20" t="n">
        <f aca="false">IF(C6=0,"",(C6-D6)/C6)</f>
        <v>0.296834173123698</v>
      </c>
      <c r="H6" s="9" t="s">
        <v>526</v>
      </c>
      <c r="I6" s="9" t="s">
        <v>527</v>
      </c>
    </row>
    <row r="7" customFormat="false" ht="42" hidden="false" customHeight="true" outlineLevel="0" collapsed="false">
      <c r="A7" s="10" t="s">
        <v>86</v>
      </c>
      <c r="B7" s="11" t="s">
        <v>521</v>
      </c>
      <c r="C7" s="21" t="n">
        <v>139999</v>
      </c>
      <c r="D7" s="21" t="n">
        <v>124999</v>
      </c>
      <c r="E7" s="21" t="n">
        <v>5000</v>
      </c>
      <c r="F7" s="22" t="n">
        <f aca="false">D7-E7</f>
        <v>119999</v>
      </c>
      <c r="G7" s="23" t="n">
        <f aca="false">IF(C7=0,"",(C7-D7)/C7)</f>
        <v>0.107143622454446</v>
      </c>
      <c r="H7" s="11" t="s">
        <v>528</v>
      </c>
      <c r="I7" s="11" t="s">
        <v>529</v>
      </c>
    </row>
    <row r="8" customFormat="false" ht="42" hidden="false" customHeight="true" outlineLevel="0" collapsed="false">
      <c r="A8" s="8" t="s">
        <v>146</v>
      </c>
      <c r="B8" s="9" t="s">
        <v>521</v>
      </c>
      <c r="C8" s="18" t="n">
        <v>129999</v>
      </c>
      <c r="D8" s="18" t="n">
        <v>92990</v>
      </c>
      <c r="E8" s="18" t="n">
        <v>5000</v>
      </c>
      <c r="F8" s="19" t="n">
        <f aca="false">D8-E8</f>
        <v>87990</v>
      </c>
      <c r="G8" s="20" t="n">
        <f aca="false">IF(C8=0,"",(C8-D8)/C8)</f>
        <v>0.284686805283118</v>
      </c>
      <c r="H8" s="9" t="s">
        <v>524</v>
      </c>
      <c r="I8" s="9" t="s">
        <v>530</v>
      </c>
    </row>
    <row r="9" customFormat="false" ht="42" hidden="false" customHeight="true" outlineLevel="0" collapsed="false">
      <c r="A9" s="10" t="s">
        <v>147</v>
      </c>
      <c r="B9" s="11" t="s">
        <v>521</v>
      </c>
      <c r="C9" s="21" t="n">
        <v>129999</v>
      </c>
      <c r="D9" s="21" t="n">
        <v>78999</v>
      </c>
      <c r="E9" s="21" t="n">
        <v>4000</v>
      </c>
      <c r="F9" s="22" t="n">
        <f aca="false">D9-E9</f>
        <v>74999</v>
      </c>
      <c r="G9" s="23" t="n">
        <f aca="false">IF(C9=0,"",(C9-D9)/C9)</f>
        <v>0.392310710082385</v>
      </c>
      <c r="H9" s="11" t="s">
        <v>528</v>
      </c>
      <c r="I9" s="11" t="s">
        <v>531</v>
      </c>
    </row>
    <row r="10" customFormat="false" ht="42" hidden="false" customHeight="true" outlineLevel="0" collapsed="false">
      <c r="A10" s="8" t="s">
        <v>148</v>
      </c>
      <c r="B10" s="9" t="s">
        <v>532</v>
      </c>
      <c r="C10" s="18" t="n">
        <v>124999</v>
      </c>
      <c r="D10" s="18" t="n">
        <v>74999</v>
      </c>
      <c r="E10" s="18" t="n">
        <v>4000</v>
      </c>
      <c r="F10" s="19" t="n">
        <f aca="false">D10-E10</f>
        <v>70999</v>
      </c>
      <c r="G10" s="20" t="n">
        <f aca="false">IF(C10=0,"",(C10-D10)/C10)</f>
        <v>0.4000032000256</v>
      </c>
      <c r="H10" s="9" t="s">
        <v>533</v>
      </c>
      <c r="I10" s="9" t="s">
        <v>534</v>
      </c>
    </row>
    <row r="11" customFormat="false" ht="42" hidden="false" customHeight="true" outlineLevel="0" collapsed="false">
      <c r="A11" s="10" t="s">
        <v>102</v>
      </c>
      <c r="B11" s="11" t="s">
        <v>194</v>
      </c>
      <c r="C11" s="21" t="n">
        <v>82900</v>
      </c>
      <c r="D11" s="21" t="n">
        <v>81900</v>
      </c>
      <c r="E11" s="21" t="n">
        <v>4000</v>
      </c>
      <c r="F11" s="22" t="n">
        <f aca="false">D11-E11</f>
        <v>77900</v>
      </c>
      <c r="G11" s="23" t="n">
        <f aca="false">IF(C11=0,"",(C11-D11)/C11)</f>
        <v>0.0120627261761158</v>
      </c>
      <c r="H11" s="11" t="s">
        <v>528</v>
      </c>
      <c r="I11" s="11" t="s">
        <v>535</v>
      </c>
    </row>
    <row r="12" customFormat="false" ht="42" hidden="false" customHeight="true" outlineLevel="0" collapsed="false">
      <c r="A12" s="8" t="s">
        <v>149</v>
      </c>
      <c r="B12" s="9" t="s">
        <v>195</v>
      </c>
      <c r="C12" s="18" t="n">
        <v>79900</v>
      </c>
      <c r="D12" s="18" t="n">
        <v>65900</v>
      </c>
      <c r="E12" s="18" t="n">
        <v>4000</v>
      </c>
      <c r="F12" s="19" t="n">
        <f aca="false">D12-E12</f>
        <v>61900</v>
      </c>
      <c r="G12" s="20" t="n">
        <f aca="false">IF(C12=0,"",(C12-D12)/C12)</f>
        <v>0.175219023779725</v>
      </c>
      <c r="H12" s="9" t="s">
        <v>528</v>
      </c>
      <c r="I12" s="9" t="s">
        <v>536</v>
      </c>
    </row>
    <row r="13" customFormat="false" ht="42" hidden="false" customHeight="true" outlineLevel="0" collapsed="false">
      <c r="A13" s="10" t="s">
        <v>108</v>
      </c>
      <c r="B13" s="11" t="s">
        <v>195</v>
      </c>
      <c r="C13" s="21" t="n">
        <v>79900</v>
      </c>
      <c r="D13" s="21" t="n">
        <v>51999</v>
      </c>
      <c r="E13" s="21" t="n">
        <v>3000</v>
      </c>
      <c r="F13" s="22" t="n">
        <f aca="false">D13-E13</f>
        <v>48999</v>
      </c>
      <c r="G13" s="23" t="n">
        <f aca="false">IF(C13=0,"",(C13-D13)/C13)</f>
        <v>0.349198998748436</v>
      </c>
      <c r="H13" s="11" t="s">
        <v>537</v>
      </c>
      <c r="I13" s="11" t="s">
        <v>538</v>
      </c>
    </row>
    <row r="15" customFormat="false" ht="15" hidden="false" customHeight="false" outlineLevel="0" collapsed="false">
      <c r="A15" s="24" t="s">
        <v>539</v>
      </c>
      <c r="C15" s="25" t="n">
        <f aca="false">MIN(F4:F13)</f>
        <v>48999</v>
      </c>
    </row>
    <row r="16" customFormat="false" ht="15" hidden="false" customHeight="false" outlineLevel="0" collapsed="false">
      <c r="A16" s="24" t="s">
        <v>540</v>
      </c>
      <c r="C16" s="25" t="n">
        <f aca="false">MAX(F4:F13)</f>
        <v>154855</v>
      </c>
    </row>
    <row r="17" customFormat="false" ht="15" hidden="false" customHeight="false" outlineLevel="0" collapsed="false">
      <c r="A17" s="24" t="s">
        <v>541</v>
      </c>
      <c r="C17" s="25" t="n">
        <f aca="false">C16-C15</f>
        <v>105856</v>
      </c>
    </row>
    <row r="19" customFormat="false" ht="39.75" hidden="false" customHeight="true" outlineLevel="0" collapsed="false">
      <c r="A19" s="26" t="s">
        <v>542</v>
      </c>
      <c r="B19" s="26"/>
      <c r="C19" s="26"/>
      <c r="D19" s="26"/>
      <c r="E19" s="26"/>
      <c r="F19" s="26"/>
      <c r="G19" s="26"/>
      <c r="H19" s="26"/>
      <c r="I19" s="26"/>
    </row>
  </sheetData>
  <mergeCells count="3">
    <mergeCell ref="A1:I1"/>
    <mergeCell ref="A2:I2"/>
    <mergeCell ref="A19:I19"/>
  </mergeCells>
  <conditionalFormatting sqref="F4:F13">
    <cfRule type="colorScale" priority="2">
      <colorScale>
        <cfvo type="min" val="0"/>
        <cfvo type="max" val="0"/>
        <color rgb="FFC6EFCE"/>
        <color rgb="FFF8CBAD"/>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8" min="2" style="0" width="12"/>
    <col collapsed="false" customWidth="true" hidden="false" outlineLevel="0" max="9" min="9" style="0" width="14"/>
    <col collapsed="false" customWidth="true" hidden="false" outlineLevel="0" max="10" min="10" style="0" width="11"/>
    <col collapsed="false" customWidth="true" hidden="false" outlineLevel="0" max="12" min="11" style="0" width="15"/>
    <col collapsed="false" customWidth="true" hidden="false" outlineLevel="0" max="13" min="13" style="0" width="11"/>
  </cols>
  <sheetData>
    <row r="1" customFormat="false" ht="24" hidden="false" customHeight="true" outlineLevel="0" collapsed="false">
      <c r="A1" s="1" t="s">
        <v>543</v>
      </c>
      <c r="B1" s="1"/>
      <c r="C1" s="1"/>
      <c r="D1" s="1"/>
      <c r="E1" s="1"/>
      <c r="F1" s="1"/>
      <c r="G1" s="1"/>
      <c r="H1" s="1"/>
      <c r="I1" s="1"/>
      <c r="J1" s="1"/>
      <c r="K1" s="1"/>
      <c r="L1" s="1"/>
      <c r="M1" s="1"/>
    </row>
    <row r="2" customFormat="false" ht="15" hidden="false" customHeight="true" outlineLevel="0" collapsed="false">
      <c r="A2" s="2" t="s">
        <v>544</v>
      </c>
      <c r="B2" s="2"/>
      <c r="C2" s="2"/>
      <c r="D2" s="2"/>
      <c r="E2" s="2"/>
      <c r="F2" s="2"/>
      <c r="G2" s="2"/>
      <c r="H2" s="2"/>
      <c r="I2" s="2"/>
      <c r="J2" s="2"/>
      <c r="K2" s="2"/>
      <c r="L2" s="2"/>
      <c r="M2" s="2"/>
    </row>
    <row r="4" customFormat="false" ht="15" hidden="false" customHeight="false" outlineLevel="0" collapsed="false">
      <c r="A4" s="24" t="s">
        <v>545</v>
      </c>
      <c r="B4" s="27" t="n">
        <v>0.15</v>
      </c>
      <c r="C4" s="27" t="n">
        <v>0.15</v>
      </c>
      <c r="D4" s="27" t="n">
        <v>0.2</v>
      </c>
      <c r="E4" s="27" t="n">
        <v>0.15</v>
      </c>
      <c r="F4" s="27" t="n">
        <v>0.1</v>
      </c>
      <c r="G4" s="27" t="n">
        <v>0.1</v>
      </c>
      <c r="H4" s="27" t="n">
        <v>0.15</v>
      </c>
      <c r="I4" s="28" t="n">
        <f aca="false">SUM(B4:H4)</f>
        <v>1</v>
      </c>
      <c r="J4" s="24" t="str">
        <f aca="false">IF(ROUND(SUM(B4:H4),4)=1,"Weights OK","FIX: weights must total 100%")</f>
        <v>Weights OK</v>
      </c>
    </row>
    <row r="6" customFormat="false" ht="43.5" hidden="false" customHeight="true" outlineLevel="0" collapsed="false">
      <c r="A6" s="7" t="s">
        <v>111</v>
      </c>
      <c r="B6" s="7" t="s">
        <v>246</v>
      </c>
      <c r="C6" s="7" t="s">
        <v>200</v>
      </c>
      <c r="D6" s="7" t="s">
        <v>292</v>
      </c>
      <c r="E6" s="7" t="s">
        <v>343</v>
      </c>
      <c r="F6" s="7" t="s">
        <v>546</v>
      </c>
      <c r="G6" s="7" t="s">
        <v>547</v>
      </c>
      <c r="H6" s="7" t="s">
        <v>548</v>
      </c>
      <c r="I6" s="7" t="s">
        <v>549</v>
      </c>
      <c r="J6" s="7" t="s">
        <v>550</v>
      </c>
      <c r="K6" s="7" t="s">
        <v>518</v>
      </c>
      <c r="L6" s="7" t="s">
        <v>551</v>
      </c>
      <c r="M6" s="7" t="s">
        <v>552</v>
      </c>
    </row>
    <row r="7" customFormat="false" ht="19.5" hidden="false" customHeight="true" outlineLevel="0" collapsed="false">
      <c r="A7" s="29" t="s">
        <v>94</v>
      </c>
      <c r="B7" s="30" t="n">
        <v>9</v>
      </c>
      <c r="C7" s="30" t="n">
        <v>10</v>
      </c>
      <c r="D7" s="30" t="n">
        <v>8</v>
      </c>
      <c r="E7" s="30" t="n">
        <v>6</v>
      </c>
      <c r="F7" s="30" t="n">
        <v>9</v>
      </c>
      <c r="G7" s="30" t="n">
        <v>8</v>
      </c>
      <c r="H7" s="30" t="n">
        <v>10</v>
      </c>
      <c r="I7" s="31" t="n">
        <f aca="false">SUMPRODUCT($B$4:$H$4,B7:H7)</f>
        <v>8.55</v>
      </c>
      <c r="J7" s="32" t="n">
        <f aca="false">RANK(I7,$I$7:$I$16)</f>
        <v>4</v>
      </c>
      <c r="K7" s="16" t="n">
        <f aca="false">INDEX('Price and Value'!$F$4:$F$13,MATCH($A7,'Price and Value'!$A$4:$A$13,0))</f>
        <v>154855</v>
      </c>
      <c r="L7" s="33" t="n">
        <f aca="false">IF(K7=0,"",I7/(K7/10000))</f>
        <v>0.552129411384844</v>
      </c>
      <c r="M7" s="32" t="n">
        <f aca="false">RANK(L7,$L$7:$L$16)</f>
        <v>10</v>
      </c>
    </row>
    <row r="8" customFormat="false" ht="19.5" hidden="false" customHeight="true" outlineLevel="0" collapsed="false">
      <c r="A8" s="34" t="s">
        <v>144</v>
      </c>
      <c r="B8" s="35" t="n">
        <v>8</v>
      </c>
      <c r="C8" s="35" t="n">
        <v>9</v>
      </c>
      <c r="D8" s="35" t="n">
        <v>7</v>
      </c>
      <c r="E8" s="35" t="n">
        <v>6</v>
      </c>
      <c r="F8" s="35" t="n">
        <v>8</v>
      </c>
      <c r="G8" s="35" t="n">
        <v>6</v>
      </c>
      <c r="H8" s="35" t="n">
        <v>9</v>
      </c>
      <c r="I8" s="36" t="n">
        <f aca="false">SUMPRODUCT($B$4:$H$4,B8:H8)</f>
        <v>7.6</v>
      </c>
      <c r="J8" s="37" t="n">
        <f aca="false">RANK(I8,$I$7:$I$16)</f>
        <v>8</v>
      </c>
      <c r="K8" s="15" t="n">
        <f aca="false">INDEX('Price and Value'!$F$4:$F$13,MATCH($A8,'Price and Value'!$A$4:$A$13,0))</f>
        <v>104999</v>
      </c>
      <c r="L8" s="38" t="n">
        <f aca="false">IF(K8=0,"",I8/(K8/10000))</f>
        <v>0.723816417299212</v>
      </c>
      <c r="M8" s="37" t="n">
        <f aca="false">RANK(L8,$L$7:$L$16)</f>
        <v>8</v>
      </c>
    </row>
    <row r="9" customFormat="false" ht="19.5" hidden="false" customHeight="true" outlineLevel="0" collapsed="false">
      <c r="A9" s="29" t="s">
        <v>145</v>
      </c>
      <c r="B9" s="30" t="n">
        <v>7</v>
      </c>
      <c r="C9" s="30" t="n">
        <v>8</v>
      </c>
      <c r="D9" s="30" t="n">
        <v>6.5</v>
      </c>
      <c r="E9" s="30" t="n">
        <v>5.5</v>
      </c>
      <c r="F9" s="30" t="n">
        <v>6</v>
      </c>
      <c r="G9" s="30" t="n">
        <v>5</v>
      </c>
      <c r="H9" s="30" t="n">
        <v>8</v>
      </c>
      <c r="I9" s="31" t="n">
        <f aca="false">SUMPRODUCT($B$4:$H$4,B9:H9)</f>
        <v>6.675</v>
      </c>
      <c r="J9" s="32" t="n">
        <f aca="false">RANK(I9,$I$7:$I$16)</f>
        <v>10</v>
      </c>
      <c r="K9" s="16" t="n">
        <f aca="false">INDEX('Price and Value'!$F$4:$F$13,MATCH($A9,'Price and Value'!$A$4:$A$13,0))</f>
        <v>104990</v>
      </c>
      <c r="L9" s="33" t="n">
        <f aca="false">IF(K9=0,"",I9/(K9/10000))</f>
        <v>0.635774835698638</v>
      </c>
      <c r="M9" s="32" t="n">
        <f aca="false">RANK(L9,$L$7:$L$16)</f>
        <v>9</v>
      </c>
    </row>
    <row r="10" customFormat="false" ht="19.5" hidden="false" customHeight="true" outlineLevel="0" collapsed="false">
      <c r="A10" s="34" t="s">
        <v>86</v>
      </c>
      <c r="B10" s="35" t="n">
        <v>10</v>
      </c>
      <c r="C10" s="35" t="n">
        <v>10</v>
      </c>
      <c r="D10" s="35" t="n">
        <v>10</v>
      </c>
      <c r="E10" s="35" t="n">
        <v>9</v>
      </c>
      <c r="F10" s="35" t="n">
        <v>10</v>
      </c>
      <c r="G10" s="35" t="n">
        <v>8</v>
      </c>
      <c r="H10" s="35" t="n">
        <v>9</v>
      </c>
      <c r="I10" s="36" t="n">
        <f aca="false">SUMPRODUCT($B$4:$H$4,B10:H10)</f>
        <v>9.5</v>
      </c>
      <c r="J10" s="37" t="n">
        <f aca="false">RANK(I10,$I$7:$I$16)</f>
        <v>1</v>
      </c>
      <c r="K10" s="15" t="n">
        <f aca="false">INDEX('Price and Value'!$F$4:$F$13,MATCH($A10,'Price and Value'!$A$4:$A$13,0))</f>
        <v>119999</v>
      </c>
      <c r="L10" s="38" t="n">
        <f aca="false">IF(K10=0,"",I10/(K10/10000))</f>
        <v>0.791673263943866</v>
      </c>
      <c r="M10" s="37" t="n">
        <f aca="false">RANK(L10,$L$7:$L$16)</f>
        <v>7</v>
      </c>
    </row>
    <row r="11" customFormat="false" ht="19.5" hidden="false" customHeight="true" outlineLevel="0" collapsed="false">
      <c r="A11" s="29" t="s">
        <v>146</v>
      </c>
      <c r="B11" s="30" t="n">
        <v>9</v>
      </c>
      <c r="C11" s="30" t="n">
        <v>9.5</v>
      </c>
      <c r="D11" s="30" t="n">
        <v>9.5</v>
      </c>
      <c r="E11" s="30" t="n">
        <v>8</v>
      </c>
      <c r="F11" s="30" t="n">
        <v>9</v>
      </c>
      <c r="G11" s="30" t="n">
        <v>8</v>
      </c>
      <c r="H11" s="30" t="n">
        <v>9</v>
      </c>
      <c r="I11" s="31" t="n">
        <f aca="false">SUMPRODUCT($B$4:$H$4,B11:H11)</f>
        <v>8.925</v>
      </c>
      <c r="J11" s="32" t="n">
        <f aca="false">RANK(I11,$I$7:$I$16)</f>
        <v>2</v>
      </c>
      <c r="K11" s="16" t="n">
        <f aca="false">INDEX('Price and Value'!$F$4:$F$13,MATCH($A11,'Price and Value'!$A$4:$A$13,0))</f>
        <v>87990</v>
      </c>
      <c r="L11" s="33" t="n">
        <f aca="false">IF(K11=0,"",I11/(K11/10000))</f>
        <v>1.01431980906921</v>
      </c>
      <c r="M11" s="32" t="n">
        <f aca="false">RANK(L11,$L$7:$L$16)</f>
        <v>6</v>
      </c>
    </row>
    <row r="12" customFormat="false" ht="19.5" hidden="false" customHeight="true" outlineLevel="0" collapsed="false">
      <c r="A12" s="34" t="s">
        <v>147</v>
      </c>
      <c r="B12" s="35" t="n">
        <v>8</v>
      </c>
      <c r="C12" s="35" t="n">
        <v>9</v>
      </c>
      <c r="D12" s="35" t="n">
        <v>9</v>
      </c>
      <c r="E12" s="35" t="n">
        <v>8</v>
      </c>
      <c r="F12" s="35" t="n">
        <v>8</v>
      </c>
      <c r="G12" s="35" t="n">
        <v>7.5</v>
      </c>
      <c r="H12" s="35" t="n">
        <v>9</v>
      </c>
      <c r="I12" s="36" t="n">
        <f aca="false">SUMPRODUCT($B$4:$H$4,B12:H12)</f>
        <v>8.45</v>
      </c>
      <c r="J12" s="37" t="n">
        <f aca="false">RANK(I12,$I$7:$I$16)</f>
        <v>5</v>
      </c>
      <c r="K12" s="15" t="n">
        <f aca="false">INDEX('Price and Value'!$F$4:$F$13,MATCH($A12,'Price and Value'!$A$4:$A$13,0))</f>
        <v>74999</v>
      </c>
      <c r="L12" s="38" t="n">
        <f aca="false">IF(K12=0,"",I12/(K12/10000))</f>
        <v>1.12668168908919</v>
      </c>
      <c r="M12" s="37" t="n">
        <f aca="false">RANK(L12,$L$7:$L$16)</f>
        <v>3</v>
      </c>
    </row>
    <row r="13" customFormat="false" ht="19.5" hidden="false" customHeight="true" outlineLevel="0" collapsed="false">
      <c r="A13" s="29" t="s">
        <v>148</v>
      </c>
      <c r="B13" s="30" t="n">
        <v>7</v>
      </c>
      <c r="C13" s="30" t="n">
        <v>8</v>
      </c>
      <c r="D13" s="30" t="n">
        <v>8.5</v>
      </c>
      <c r="E13" s="30" t="n">
        <v>8</v>
      </c>
      <c r="F13" s="30" t="n">
        <v>6</v>
      </c>
      <c r="G13" s="30" t="n">
        <v>7</v>
      </c>
      <c r="H13" s="30" t="n">
        <v>8.5</v>
      </c>
      <c r="I13" s="31" t="n">
        <f aca="false">SUMPRODUCT($B$4:$H$4,B13:H13)</f>
        <v>7.725</v>
      </c>
      <c r="J13" s="32" t="n">
        <f aca="false">RANK(I13,$I$7:$I$16)</f>
        <v>7</v>
      </c>
      <c r="K13" s="16" t="n">
        <f aca="false">INDEX('Price and Value'!$F$4:$F$13,MATCH($A13,'Price and Value'!$A$4:$A$13,0))</f>
        <v>70999</v>
      </c>
      <c r="L13" s="33" t="n">
        <f aca="false">IF(K13=0,"",I13/(K13/10000))</f>
        <v>1.08804349357033</v>
      </c>
      <c r="M13" s="32" t="n">
        <f aca="false">RANK(L13,$L$7:$L$16)</f>
        <v>5</v>
      </c>
    </row>
    <row r="14" customFormat="false" ht="19.5" hidden="false" customHeight="true" outlineLevel="0" collapsed="false">
      <c r="A14" s="34" t="s">
        <v>102</v>
      </c>
      <c r="B14" s="35" t="n">
        <v>9.5</v>
      </c>
      <c r="C14" s="35" t="n">
        <v>9</v>
      </c>
      <c r="D14" s="35" t="n">
        <v>8.5</v>
      </c>
      <c r="E14" s="35" t="n">
        <v>8</v>
      </c>
      <c r="F14" s="35" t="n">
        <v>9</v>
      </c>
      <c r="G14" s="35" t="n">
        <v>9</v>
      </c>
      <c r="H14" s="35" t="n">
        <v>8</v>
      </c>
      <c r="I14" s="36" t="n">
        <f aca="false">SUMPRODUCT($B$4:$H$4,B14:H14)</f>
        <v>8.675</v>
      </c>
      <c r="J14" s="37" t="n">
        <f aca="false">RANK(I14,$I$7:$I$16)</f>
        <v>3</v>
      </c>
      <c r="K14" s="15" t="n">
        <f aca="false">INDEX('Price and Value'!$F$4:$F$13,MATCH($A14,'Price and Value'!$A$4:$A$13,0))</f>
        <v>77900</v>
      </c>
      <c r="L14" s="38" t="n">
        <f aca="false">IF(K14=0,"",I14/(K14/10000))</f>
        <v>1.11360718870347</v>
      </c>
      <c r="M14" s="37" t="n">
        <f aca="false">RANK(L14,$L$7:$L$16)</f>
        <v>4</v>
      </c>
    </row>
    <row r="15" customFormat="false" ht="19.5" hidden="false" customHeight="true" outlineLevel="0" collapsed="false">
      <c r="A15" s="29" t="s">
        <v>149</v>
      </c>
      <c r="B15" s="30" t="n">
        <v>8.5</v>
      </c>
      <c r="C15" s="30" t="n">
        <v>7</v>
      </c>
      <c r="D15" s="30" t="n">
        <v>7.5</v>
      </c>
      <c r="E15" s="30" t="n">
        <v>7.5</v>
      </c>
      <c r="F15" s="30" t="n">
        <v>8.5</v>
      </c>
      <c r="G15" s="30" t="n">
        <v>9</v>
      </c>
      <c r="H15" s="30" t="n">
        <v>7.5</v>
      </c>
      <c r="I15" s="31" t="n">
        <f aca="false">SUMPRODUCT($B$4:$H$4,B15:H15)</f>
        <v>7.825</v>
      </c>
      <c r="J15" s="32" t="n">
        <f aca="false">RANK(I15,$I$7:$I$16)</f>
        <v>6</v>
      </c>
      <c r="K15" s="16" t="n">
        <f aca="false">INDEX('Price and Value'!$F$4:$F$13,MATCH($A15,'Price and Value'!$A$4:$A$13,0))</f>
        <v>61900</v>
      </c>
      <c r="L15" s="33" t="n">
        <f aca="false">IF(K15=0,"",I15/(K15/10000))</f>
        <v>1.26413570274637</v>
      </c>
      <c r="M15" s="32" t="n">
        <f aca="false">RANK(L15,$L$7:$L$16)</f>
        <v>2</v>
      </c>
    </row>
    <row r="16" customFormat="false" ht="19.5" hidden="false" customHeight="true" outlineLevel="0" collapsed="false">
      <c r="A16" s="34" t="s">
        <v>108</v>
      </c>
      <c r="B16" s="35" t="n">
        <v>7</v>
      </c>
      <c r="C16" s="35" t="n">
        <v>6.5</v>
      </c>
      <c r="D16" s="35" t="n">
        <v>7</v>
      </c>
      <c r="E16" s="35" t="n">
        <v>6.5</v>
      </c>
      <c r="F16" s="35" t="n">
        <v>6.5</v>
      </c>
      <c r="G16" s="35" t="n">
        <v>9</v>
      </c>
      <c r="H16" s="35" t="n">
        <v>6.5</v>
      </c>
      <c r="I16" s="36" t="n">
        <f aca="false">SUMPRODUCT($B$4:$H$4,B16:H16)</f>
        <v>6.925</v>
      </c>
      <c r="J16" s="37" t="n">
        <f aca="false">RANK(I16,$I$7:$I$16)</f>
        <v>9</v>
      </c>
      <c r="K16" s="15" t="n">
        <f aca="false">INDEX('Price and Value'!$F$4:$F$13,MATCH($A16,'Price and Value'!$A$4:$A$13,0))</f>
        <v>48999</v>
      </c>
      <c r="L16" s="38" t="n">
        <f aca="false">IF(K16=0,"",I16/(K16/10000))</f>
        <v>1.41329414886018</v>
      </c>
      <c r="M16" s="37" t="n">
        <f aca="false">RANK(L16,$L$7:$L$16)</f>
        <v>1</v>
      </c>
    </row>
    <row r="19" customFormat="false" ht="15" hidden="false" customHeight="false" outlineLevel="0" collapsed="false">
      <c r="A19" s="39" t="s">
        <v>553</v>
      </c>
    </row>
    <row r="20" customFormat="false" ht="13.5" hidden="false" customHeight="true" outlineLevel="0" collapsed="false">
      <c r="A20" s="26" t="s">
        <v>554</v>
      </c>
      <c r="B20" s="26"/>
      <c r="C20" s="26"/>
      <c r="D20" s="26"/>
      <c r="E20" s="26"/>
      <c r="F20" s="26"/>
      <c r="G20" s="26"/>
      <c r="H20" s="26"/>
      <c r="I20" s="26"/>
      <c r="J20" s="26"/>
      <c r="K20" s="26"/>
      <c r="L20" s="26"/>
      <c r="M20" s="26"/>
    </row>
    <row r="21" customFormat="false" ht="39" hidden="false" customHeight="true" outlineLevel="0" collapsed="false">
      <c r="A21" s="26" t="s">
        <v>555</v>
      </c>
      <c r="B21" s="26"/>
      <c r="C21" s="26"/>
      <c r="D21" s="26"/>
      <c r="E21" s="26"/>
      <c r="F21" s="26"/>
      <c r="G21" s="26"/>
      <c r="H21" s="26"/>
      <c r="I21" s="26"/>
      <c r="J21" s="26"/>
      <c r="K21" s="26"/>
      <c r="L21" s="26"/>
      <c r="M21" s="26"/>
    </row>
    <row r="22" customFormat="false" ht="13.5" hidden="false" customHeight="true" outlineLevel="0" collapsed="false">
      <c r="A22" s="26" t="s">
        <v>556</v>
      </c>
      <c r="B22" s="26"/>
      <c r="C22" s="26"/>
      <c r="D22" s="26"/>
      <c r="E22" s="26"/>
      <c r="F22" s="26"/>
      <c r="G22" s="26"/>
      <c r="H22" s="26"/>
      <c r="I22" s="26"/>
      <c r="J22" s="26"/>
      <c r="K22" s="26"/>
      <c r="L22" s="26"/>
      <c r="M22" s="26"/>
    </row>
    <row r="24" customFormat="false" ht="15" hidden="false" customHeight="false" outlineLevel="0" collapsed="false">
      <c r="A24" s="39" t="s">
        <v>557</v>
      </c>
    </row>
    <row r="25" customFormat="false" ht="13.5" hidden="false" customHeight="true" outlineLevel="0" collapsed="false">
      <c r="A25" s="26" t="s">
        <v>558</v>
      </c>
      <c r="B25" s="26"/>
      <c r="C25" s="26"/>
      <c r="D25" s="26"/>
      <c r="E25" s="26"/>
      <c r="F25" s="26"/>
      <c r="G25" s="26"/>
      <c r="H25" s="26"/>
      <c r="I25" s="26"/>
      <c r="J25" s="26"/>
      <c r="K25" s="26"/>
      <c r="L25" s="26"/>
      <c r="M25" s="26"/>
    </row>
    <row r="26" customFormat="false" ht="13.5" hidden="false" customHeight="true" outlineLevel="0" collapsed="false">
      <c r="A26" s="26" t="s">
        <v>559</v>
      </c>
      <c r="B26" s="26"/>
      <c r="C26" s="26"/>
      <c r="D26" s="26"/>
      <c r="E26" s="26"/>
      <c r="F26" s="26"/>
      <c r="G26" s="26"/>
      <c r="H26" s="26"/>
      <c r="I26" s="26"/>
      <c r="J26" s="26"/>
      <c r="K26" s="26"/>
      <c r="L26" s="26"/>
      <c r="M26" s="26"/>
    </row>
    <row r="27" customFormat="false" ht="13.5" hidden="false" customHeight="true" outlineLevel="0" collapsed="false">
      <c r="A27" s="26" t="s">
        <v>560</v>
      </c>
      <c r="B27" s="26"/>
      <c r="C27" s="26"/>
      <c r="D27" s="26"/>
      <c r="E27" s="26"/>
      <c r="F27" s="26"/>
      <c r="G27" s="26"/>
      <c r="H27" s="26"/>
      <c r="I27" s="26"/>
      <c r="J27" s="26"/>
      <c r="K27" s="26"/>
      <c r="L27" s="26"/>
      <c r="M27" s="26"/>
    </row>
    <row r="28" customFormat="false" ht="13.5" hidden="false" customHeight="true" outlineLevel="0" collapsed="false">
      <c r="A28" s="26" t="s">
        <v>561</v>
      </c>
      <c r="B28" s="26"/>
      <c r="C28" s="26"/>
      <c r="D28" s="26"/>
      <c r="E28" s="26"/>
      <c r="F28" s="26"/>
      <c r="G28" s="26"/>
      <c r="H28" s="26"/>
      <c r="I28" s="26"/>
      <c r="J28" s="26"/>
      <c r="K28" s="26"/>
      <c r="L28" s="26"/>
      <c r="M28" s="26"/>
    </row>
    <row r="29" customFormat="false" ht="13.5" hidden="false" customHeight="true" outlineLevel="0" collapsed="false">
      <c r="A29" s="26" t="s">
        <v>562</v>
      </c>
      <c r="B29" s="26"/>
      <c r="C29" s="26"/>
      <c r="D29" s="26"/>
      <c r="E29" s="26"/>
      <c r="F29" s="26"/>
      <c r="G29" s="26"/>
      <c r="H29" s="26"/>
      <c r="I29" s="26"/>
      <c r="J29" s="26"/>
      <c r="K29" s="26"/>
      <c r="L29" s="26"/>
      <c r="M29" s="26"/>
    </row>
    <row r="30" customFormat="false" ht="13.5" hidden="false" customHeight="true" outlineLevel="0" collapsed="false">
      <c r="A30" s="26" t="s">
        <v>563</v>
      </c>
      <c r="B30" s="26"/>
      <c r="C30" s="26"/>
      <c r="D30" s="26"/>
      <c r="E30" s="26"/>
      <c r="F30" s="26"/>
      <c r="G30" s="26"/>
      <c r="H30" s="26"/>
      <c r="I30" s="26"/>
      <c r="J30" s="26"/>
      <c r="K30" s="26"/>
      <c r="L30" s="26"/>
      <c r="M30" s="26"/>
    </row>
    <row r="31" customFormat="false" ht="13.5" hidden="false" customHeight="true" outlineLevel="0" collapsed="false">
      <c r="A31" s="26" t="s">
        <v>564</v>
      </c>
      <c r="B31" s="26"/>
      <c r="C31" s="26"/>
      <c r="D31" s="26"/>
      <c r="E31" s="26"/>
      <c r="F31" s="26"/>
      <c r="G31" s="26"/>
      <c r="H31" s="26"/>
      <c r="I31" s="26"/>
      <c r="J31" s="26"/>
      <c r="K31" s="26"/>
      <c r="L31" s="26"/>
      <c r="M31" s="26"/>
    </row>
    <row r="33" customFormat="false" ht="25.5" hidden="false" customHeight="true" outlineLevel="0" collapsed="false">
      <c r="A33" s="26" t="s">
        <v>565</v>
      </c>
      <c r="B33" s="26"/>
      <c r="C33" s="26"/>
      <c r="D33" s="26"/>
      <c r="E33" s="26"/>
      <c r="F33" s="26"/>
      <c r="G33" s="26"/>
      <c r="H33" s="26"/>
      <c r="I33" s="26"/>
      <c r="J33" s="26"/>
      <c r="K33" s="26"/>
      <c r="L33" s="26"/>
      <c r="M33" s="26"/>
    </row>
  </sheetData>
  <mergeCells count="13">
    <mergeCell ref="A1:M1"/>
    <mergeCell ref="A2:M2"/>
    <mergeCell ref="A20:M20"/>
    <mergeCell ref="A21:M21"/>
    <mergeCell ref="A22:M22"/>
    <mergeCell ref="A25:M25"/>
    <mergeCell ref="A26:M26"/>
    <mergeCell ref="A27:M27"/>
    <mergeCell ref="A28:M28"/>
    <mergeCell ref="A29:M29"/>
    <mergeCell ref="A30:M30"/>
    <mergeCell ref="A31:M31"/>
    <mergeCell ref="A33:M33"/>
  </mergeCells>
  <conditionalFormatting sqref="I7:I16">
    <cfRule type="colorScale" priority="2">
      <colorScale>
        <cfvo type="min" val="0"/>
        <cfvo type="max" val="0"/>
        <color rgb="FFF8CBAD"/>
        <color rgb="FFC6EFCE"/>
      </colorScale>
    </cfRule>
  </conditionalFormatting>
  <conditionalFormatting sqref="L7:L16">
    <cfRule type="colorScale" priority="3">
      <colorScale>
        <cfvo type="min" val="0"/>
        <cfvo type="max" val="0"/>
        <color rgb="FFF8CBAD"/>
        <color rgb="FFC6EFC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52"/>
    <col collapsed="false" customWidth="true" hidden="false" outlineLevel="0" max="3" min="3" style="0" width="40"/>
    <col collapsed="false" customWidth="true" hidden="false" outlineLevel="0" max="4" min="4" style="0" width="44"/>
    <col collapsed="false" customWidth="true" hidden="false" outlineLevel="0" max="5" min="5" style="0" width="38"/>
  </cols>
  <sheetData>
    <row r="1" customFormat="false" ht="24" hidden="false" customHeight="true" outlineLevel="0" collapsed="false">
      <c r="A1" s="1" t="s">
        <v>566</v>
      </c>
      <c r="B1" s="1"/>
      <c r="C1" s="1"/>
      <c r="D1" s="1"/>
      <c r="E1" s="1"/>
    </row>
    <row r="2" customFormat="false" ht="15" hidden="false" customHeight="true" outlineLevel="0" collapsed="false">
      <c r="A2" s="2" t="s">
        <v>567</v>
      </c>
      <c r="B2" s="2"/>
      <c r="C2" s="2"/>
      <c r="D2" s="2"/>
      <c r="E2" s="2"/>
    </row>
    <row r="3" customFormat="false" ht="33.75" hidden="false" customHeight="true" outlineLevel="0" collapsed="false">
      <c r="A3" s="7" t="s">
        <v>111</v>
      </c>
      <c r="B3" s="7" t="s">
        <v>568</v>
      </c>
      <c r="C3" s="7" t="s">
        <v>569</v>
      </c>
      <c r="D3" s="7" t="s">
        <v>570</v>
      </c>
      <c r="E3" s="7" t="s">
        <v>571</v>
      </c>
    </row>
    <row r="4" customFormat="false" ht="75.75" hidden="false" customHeight="true" outlineLevel="0" collapsed="false">
      <c r="A4" s="8" t="s">
        <v>94</v>
      </c>
      <c r="B4" s="9" t="s">
        <v>572</v>
      </c>
      <c r="C4" s="40" t="s">
        <v>573</v>
      </c>
      <c r="D4" s="9" t="s">
        <v>574</v>
      </c>
      <c r="E4" s="9" t="s">
        <v>575</v>
      </c>
    </row>
    <row r="5" customFormat="false" ht="75.75" hidden="false" customHeight="true" outlineLevel="0" collapsed="false">
      <c r="A5" s="10" t="s">
        <v>144</v>
      </c>
      <c r="B5" s="11" t="s">
        <v>576</v>
      </c>
      <c r="C5" s="41" t="s">
        <v>577</v>
      </c>
      <c r="D5" s="11" t="s">
        <v>578</v>
      </c>
      <c r="E5" s="11" t="s">
        <v>579</v>
      </c>
    </row>
    <row r="6" customFormat="false" ht="75.75" hidden="false" customHeight="true" outlineLevel="0" collapsed="false">
      <c r="A6" s="8" t="s">
        <v>145</v>
      </c>
      <c r="B6" s="9" t="s">
        <v>580</v>
      </c>
      <c r="C6" s="40" t="s">
        <v>581</v>
      </c>
      <c r="D6" s="9" t="s">
        <v>582</v>
      </c>
      <c r="E6" s="9" t="s">
        <v>583</v>
      </c>
    </row>
    <row r="7" customFormat="false" ht="75.75" hidden="false" customHeight="true" outlineLevel="0" collapsed="false">
      <c r="A7" s="10" t="s">
        <v>86</v>
      </c>
      <c r="B7" s="11" t="s">
        <v>584</v>
      </c>
      <c r="C7" s="41" t="s">
        <v>585</v>
      </c>
      <c r="D7" s="11" t="s">
        <v>586</v>
      </c>
      <c r="E7" s="11" t="s">
        <v>587</v>
      </c>
    </row>
    <row r="8" customFormat="false" ht="75.75" hidden="false" customHeight="true" outlineLevel="0" collapsed="false">
      <c r="A8" s="8" t="s">
        <v>146</v>
      </c>
      <c r="B8" s="9" t="s">
        <v>588</v>
      </c>
      <c r="C8" s="40" t="s">
        <v>589</v>
      </c>
      <c r="D8" s="9" t="s">
        <v>590</v>
      </c>
      <c r="E8" s="9" t="s">
        <v>591</v>
      </c>
    </row>
    <row r="9" customFormat="false" ht="75.75" hidden="false" customHeight="true" outlineLevel="0" collapsed="false">
      <c r="A9" s="10" t="s">
        <v>147</v>
      </c>
      <c r="B9" s="11" t="s">
        <v>592</v>
      </c>
      <c r="C9" s="41" t="s">
        <v>593</v>
      </c>
      <c r="D9" s="11" t="s">
        <v>594</v>
      </c>
      <c r="E9" s="11" t="s">
        <v>595</v>
      </c>
    </row>
    <row r="10" customFormat="false" ht="75.75" hidden="false" customHeight="true" outlineLevel="0" collapsed="false">
      <c r="A10" s="8" t="s">
        <v>148</v>
      </c>
      <c r="B10" s="9" t="s">
        <v>596</v>
      </c>
      <c r="C10" s="40" t="s">
        <v>597</v>
      </c>
      <c r="D10" s="9" t="s">
        <v>598</v>
      </c>
      <c r="E10" s="9" t="s">
        <v>599</v>
      </c>
    </row>
    <row r="11" customFormat="false" ht="75.75" hidden="false" customHeight="true" outlineLevel="0" collapsed="false">
      <c r="A11" s="10" t="s">
        <v>102</v>
      </c>
      <c r="B11" s="11" t="s">
        <v>600</v>
      </c>
      <c r="C11" s="41" t="s">
        <v>601</v>
      </c>
      <c r="D11" s="11" t="s">
        <v>602</v>
      </c>
      <c r="E11" s="11" t="s">
        <v>603</v>
      </c>
    </row>
    <row r="12" customFormat="false" ht="75.75" hidden="false" customHeight="true" outlineLevel="0" collapsed="false">
      <c r="A12" s="8" t="s">
        <v>149</v>
      </c>
      <c r="B12" s="9" t="s">
        <v>604</v>
      </c>
      <c r="C12" s="40" t="s">
        <v>605</v>
      </c>
      <c r="D12" s="9" t="s">
        <v>606</v>
      </c>
      <c r="E12" s="9" t="s">
        <v>607</v>
      </c>
    </row>
    <row r="13" customFormat="false" ht="75.75" hidden="false" customHeight="true" outlineLevel="0" collapsed="false">
      <c r="A13" s="10" t="s">
        <v>108</v>
      </c>
      <c r="B13" s="11" t="s">
        <v>608</v>
      </c>
      <c r="C13" s="41" t="s">
        <v>609</v>
      </c>
      <c r="D13" s="11" t="s">
        <v>610</v>
      </c>
      <c r="E13" s="11" t="s">
        <v>611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2026-08-26T18:57:30Z</dcterms:created>
  <dc:creator>openpyxl</dc:creator>
  <dc:description/>
  <dc:language>en-US</dc:language>
  <cp:lastModifiedBy/>
  <dcterms:modified xsi:type="dcterms:W3CDTF">2026-08-26T18:57:30Z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