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" sheetId="1" state="visible" r:id="rId1"/>
    <sheet name="FAR" sheetId="2" state="visible" r:id="rId2"/>
    <sheet name="Reports" sheetId="3" state="visible" r:id="rId3"/>
    <sheet name="Summary" sheetId="4" state="visible" r:id="rId4"/>
  </sheets>
  <definedNames>
    <definedName name="GlobalCompany">Input!$C$6</definedName>
    <definedName name="GlobalMethod">Input!$C$8</definedName>
    <definedName name="DefaultResidual">Input!$C$9</definedName>
    <definedName name="FirstFYEnd">Input!$C$10</definedName>
    <definedName name="ReportingFYEnd">Input!$C$11</definedName>
    <definedName name="ScheduleIITable">Input!$C$15:$E$32</definedName>
    <definedName name="AssetCategories">Input!$C$15:$C$32</definedName>
    <definedName name="_xlnm.Print_Titles" localSheetId="1">'FAR'!$1:$4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0;[Red](#,##0)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9"/>
    </font>
    <font>
      <name val="Calibri"/>
      <b val="1"/>
      <color rgb="00FFFFFF"/>
      <sz val="11"/>
    </font>
    <font>
      <name val="Calibri"/>
      <b val="1"/>
      <color rgb="001F3864"/>
      <sz val="10"/>
    </font>
    <font>
      <name val="Calibri"/>
      <b val="1"/>
      <color rgb="00BF9000"/>
      <sz val="10"/>
    </font>
    <font>
      <name val="Calibri"/>
      <i val="1"/>
      <color rgb="00808080"/>
      <sz val="8"/>
    </font>
    <font>
      <name val="Calibri"/>
      <b val="1"/>
      <color rgb="00FFFFFF"/>
      <sz val="10"/>
    </font>
    <font>
      <name val="Calibri"/>
      <color rgb="00000000"/>
      <sz val="9"/>
    </font>
    <font>
      <name val="Calibri"/>
      <b val="1"/>
      <color rgb="001F3864"/>
      <sz val="9"/>
    </font>
    <font>
      <name val="Calibri"/>
      <color rgb="00808080"/>
      <sz val="9"/>
    </font>
    <font>
      <name val="Calibri"/>
      <b val="1"/>
      <color rgb="00000000"/>
      <sz val="9"/>
    </font>
    <font>
      <name val="Calibri"/>
      <color rgb="00C55A11"/>
      <sz val="9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FFFFFF"/>
      <sz val="8"/>
    </font>
    <font>
      <name val="Calibri"/>
      <b val="1"/>
      <color rgb="002E5496"/>
      <sz val="9"/>
    </font>
    <font>
      <name val="Calibri"/>
      <color rgb="00000000"/>
      <sz val="8"/>
    </font>
    <font>
      <name val="Calibri"/>
      <b val="1"/>
      <color rgb="00548235"/>
      <sz val="9"/>
    </font>
    <font>
      <name val="Calibri"/>
      <b val="1"/>
      <color rgb="00BF9000"/>
      <sz val="9"/>
    </font>
    <font>
      <name val="Calibri"/>
      <b val="1"/>
      <color rgb="001F3864"/>
      <sz val="8"/>
    </font>
    <font>
      <name val="Calibri"/>
      <i val="1"/>
      <color rgb="00808080"/>
      <sz val="9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EAF0F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C55A11"/>
      </patternFill>
    </fill>
    <fill>
      <patternFill patternType="solid">
        <fgColor rgb="00BF9000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/>
      <right/>
      <top style="thin">
        <color rgb="00B0B7C3"/>
      </top>
      <bottom/>
      <diagonal/>
    </border>
    <border>
      <left/>
      <right style="thin">
        <color rgb="00B0B7C3"/>
      </right>
      <top style="thin">
        <color rgb="00B0B7C3"/>
      </top>
      <bottom/>
      <diagonal/>
    </border>
    <border>
      <left/>
      <right/>
      <top style="thin">
        <color rgb="00B0B7C3"/>
      </top>
      <bottom style="thin">
        <color rgb="00B0B7C3"/>
      </bottom>
      <diagonal/>
    </border>
    <border>
      <left/>
      <right style="thin">
        <color rgb="00B0B7C3"/>
      </right>
      <top style="thin">
        <color rgb="00B0B7C3"/>
      </top>
      <bottom style="thin">
        <color rgb="00B0B7C3"/>
      </bottom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center" vertical="center"/>
    </xf>
    <xf numFmtId="0" fontId="6" fillId="6" borderId="0" applyAlignment="1" pivotButton="0" quotePrefix="0" xfId="0">
      <alignment horizontal="left" vertical="center"/>
    </xf>
    <xf numFmtId="10" fontId="5" fillId="5" borderId="2" applyAlignment="1" pivotButton="0" quotePrefix="0" xfId="0">
      <alignment horizontal="center" vertical="center"/>
    </xf>
    <xf numFmtId="165" fontId="5" fillId="5" borderId="2" applyAlignment="1" pivotButton="0" quotePrefix="0" xfId="0">
      <alignment horizontal="center" vertical="center"/>
    </xf>
    <xf numFmtId="1" fontId="5" fillId="5" borderId="2" applyAlignment="1" pivotButton="0" quotePrefix="0" xfId="0">
      <alignment horizontal="center" vertical="center"/>
    </xf>
    <xf numFmtId="0" fontId="3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left" vertical="center"/>
    </xf>
    <xf numFmtId="1" fontId="11" fillId="8" borderId="2" applyAlignment="1" pivotButton="0" quotePrefix="0" xfId="0">
      <alignment horizontal="center" vertical="center"/>
    </xf>
    <xf numFmtId="10" fontId="12" fillId="8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left" vertical="center"/>
    </xf>
    <xf numFmtId="1" fontId="11" fillId="9" borderId="2" applyAlignment="1" pivotButton="0" quotePrefix="0" xfId="0">
      <alignment horizontal="center" vertical="center"/>
    </xf>
    <xf numFmtId="10" fontId="12" fillId="9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4" fillId="3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4" fillId="7" borderId="2" applyAlignment="1" pivotButton="0" quotePrefix="0" xfId="0">
      <alignment horizontal="center" vertical="center"/>
    </xf>
    <xf numFmtId="0" fontId="14" fillId="11" borderId="2" applyAlignment="1" pivotButton="0" quotePrefix="0" xfId="0">
      <alignment horizontal="center" vertical="center"/>
    </xf>
    <xf numFmtId="165" fontId="15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5" fillId="11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left" vertical="center"/>
    </xf>
    <xf numFmtId="0" fontId="10" fillId="4" borderId="2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8" fillId="4" borderId="2" applyAlignment="1" pivotButton="0" quotePrefix="0" xfId="0">
      <alignment horizontal="center" vertical="center"/>
    </xf>
    <xf numFmtId="165" fontId="12" fillId="4" borderId="2" applyAlignment="1" pivotButton="0" quotePrefix="0" xfId="0">
      <alignment horizontal="center" vertical="center"/>
    </xf>
    <xf numFmtId="166" fontId="12" fillId="4" borderId="2" applyAlignment="1" pivotButton="0" quotePrefix="0" xfId="0">
      <alignment horizontal="right" vertical="center"/>
    </xf>
    <xf numFmtId="166" fontId="11" fillId="4" borderId="2" applyAlignment="1" pivotButton="0" quotePrefix="0" xfId="0">
      <alignment horizontal="right" vertical="center"/>
    </xf>
    <xf numFmtId="10" fontId="8" fillId="4" borderId="2" applyAlignment="1" pivotButton="0" quotePrefix="0" xfId="0">
      <alignment horizontal="center" vertical="center"/>
    </xf>
    <xf numFmtId="166" fontId="8" fillId="4" borderId="2" applyAlignment="1" pivotButton="0" quotePrefix="0" xfId="0">
      <alignment horizontal="right" vertical="center"/>
    </xf>
    <xf numFmtId="1" fontId="11" fillId="4" borderId="2" applyAlignment="1" pivotButton="0" quotePrefix="0" xfId="0">
      <alignment horizontal="center" vertical="center"/>
    </xf>
    <xf numFmtId="0" fontId="16" fillId="4" borderId="2" applyAlignment="1" pivotButton="0" quotePrefix="0" xfId="0">
      <alignment horizontal="center" vertical="center"/>
    </xf>
    <xf numFmtId="10" fontId="12" fillId="4" borderId="2" applyAlignment="1" pivotButton="0" quotePrefix="0" xfId="0">
      <alignment horizontal="center" vertical="center"/>
    </xf>
    <xf numFmtId="166" fontId="18" fillId="4" borderId="2" applyAlignment="1" pivotButton="0" quotePrefix="0" xfId="0">
      <alignment horizontal="right" vertical="center"/>
    </xf>
    <xf numFmtId="166" fontId="19" fillId="4" borderId="2" applyAlignment="1" pivotButton="0" quotePrefix="0" xfId="0">
      <alignment horizontal="right" vertical="center"/>
    </xf>
    <xf numFmtId="0" fontId="11" fillId="4" borderId="2" applyAlignment="1" pivotButton="0" quotePrefix="0" xfId="0">
      <alignment horizontal="center" vertical="center"/>
    </xf>
    <xf numFmtId="166" fontId="17" fillId="8" borderId="2" applyAlignment="1" pivotButton="0" quotePrefix="0" xfId="0">
      <alignment horizontal="right" vertical="center"/>
    </xf>
    <xf numFmtId="166" fontId="17" fillId="5" borderId="2" applyAlignment="1" pivotButton="0" quotePrefix="0" xfId="0">
      <alignment horizontal="right" vertical="center"/>
    </xf>
    <xf numFmtId="0" fontId="9" fillId="9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center" vertical="center"/>
    </xf>
    <xf numFmtId="165" fontId="8" fillId="9" borderId="2" applyAlignment="1" pivotButton="0" quotePrefix="0" xfId="0">
      <alignment horizontal="center" vertical="center"/>
    </xf>
    <xf numFmtId="165" fontId="12" fillId="9" borderId="2" applyAlignment="1" pivotButton="0" quotePrefix="0" xfId="0">
      <alignment horizontal="center" vertical="center"/>
    </xf>
    <xf numFmtId="166" fontId="12" fillId="9" borderId="2" applyAlignment="1" pivotButton="0" quotePrefix="0" xfId="0">
      <alignment horizontal="right" vertical="center"/>
    </xf>
    <xf numFmtId="166" fontId="11" fillId="9" borderId="2" applyAlignment="1" pivotButton="0" quotePrefix="0" xfId="0">
      <alignment horizontal="right" vertical="center"/>
    </xf>
    <xf numFmtId="10" fontId="8" fillId="9" borderId="2" applyAlignment="1" pivotButton="0" quotePrefix="0" xfId="0">
      <alignment horizontal="center" vertical="center"/>
    </xf>
    <xf numFmtId="166" fontId="8" fillId="9" borderId="2" applyAlignment="1" pivotButton="0" quotePrefix="0" xfId="0">
      <alignment horizontal="right" vertical="center"/>
    </xf>
    <xf numFmtId="0" fontId="16" fillId="9" borderId="2" applyAlignment="1" pivotButton="0" quotePrefix="0" xfId="0">
      <alignment horizontal="center" vertical="center"/>
    </xf>
    <xf numFmtId="166" fontId="18" fillId="9" borderId="2" applyAlignment="1" pivotButton="0" quotePrefix="0" xfId="0">
      <alignment horizontal="right" vertical="center"/>
    </xf>
    <xf numFmtId="166" fontId="19" fillId="9" borderId="2" applyAlignment="1" pivotButton="0" quotePrefix="0" xfId="0">
      <alignment horizontal="right" vertical="center"/>
    </xf>
    <xf numFmtId="0" fontId="11" fillId="9" borderId="2" applyAlignment="1" pivotButton="0" quotePrefix="0" xfId="0">
      <alignment horizontal="center" vertical="center"/>
    </xf>
    <xf numFmtId="166" fontId="17" fillId="9" borderId="2" applyAlignment="1" pivotButton="0" quotePrefix="0" xfId="0">
      <alignment horizontal="right" vertical="center"/>
    </xf>
    <xf numFmtId="0" fontId="7" fillId="2" borderId="2" applyAlignment="1" pivotButton="0" quotePrefix="0" xfId="0">
      <alignment horizontal="center" vertical="center"/>
    </xf>
    <xf numFmtId="0" fontId="0" fillId="2" borderId="2" pivotButton="0" quotePrefix="0" xfId="0"/>
    <xf numFmtId="166" fontId="7" fillId="2" borderId="2" applyAlignment="1" pivotButton="0" quotePrefix="0" xfId="0">
      <alignment horizontal="right" vertical="center"/>
    </xf>
    <xf numFmtId="166" fontId="15" fillId="2" borderId="2" applyAlignment="1" pivotButton="0" quotePrefix="0" xfId="0">
      <alignment horizontal="right" vertical="center"/>
    </xf>
    <xf numFmtId="0" fontId="1" fillId="7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7" fillId="2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/>
    </xf>
    <xf numFmtId="166" fontId="8" fillId="8" borderId="2" applyAlignment="1" pivotButton="0" quotePrefix="0" xfId="0">
      <alignment horizontal="right" vertical="center"/>
    </xf>
    <xf numFmtId="166" fontId="19" fillId="8" borderId="2" applyAlignment="1" pivotButton="0" quotePrefix="0" xfId="0">
      <alignment horizontal="right" vertical="center"/>
    </xf>
    <xf numFmtId="0" fontId="20" fillId="8" borderId="2" applyAlignment="1" pivotButton="0" quotePrefix="0" xfId="0">
      <alignment horizontal="left" vertical="center"/>
    </xf>
    <xf numFmtId="0" fontId="20" fillId="9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center" vertical="center"/>
    </xf>
    <xf numFmtId="0" fontId="1" fillId="11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/>
    </xf>
    <xf numFmtId="166" fontId="8" fillId="5" borderId="2" applyAlignment="1" pivotButton="0" quotePrefix="0" xfId="0">
      <alignment horizontal="right" vertical="center"/>
    </xf>
    <xf numFmtId="166" fontId="19" fillId="5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/>
    </xf>
    <xf numFmtId="166" fontId="11" fillId="6" borderId="2" applyAlignment="1" pivotButton="0" quotePrefix="0" xfId="0">
      <alignment horizontal="right" vertical="center"/>
    </xf>
    <xf numFmtId="0" fontId="18" fillId="8" borderId="2" applyAlignment="1" pivotButton="0" quotePrefix="0" xfId="0">
      <alignment horizontal="center" vertical="center"/>
    </xf>
    <xf numFmtId="0" fontId="3" fillId="10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/>
    </xf>
    <xf numFmtId="165" fontId="8" fillId="12" borderId="2" applyAlignment="1" pivotButton="0" quotePrefix="0" xfId="0">
      <alignment horizontal="center" vertical="center"/>
    </xf>
    <xf numFmtId="166" fontId="8" fillId="12" borderId="2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ont>
        <name val="Calibri"/>
        <i val="1"/>
        <color rgb="00C55A11"/>
        <sz val="9"/>
      </font>
      <fill>
        <patternFill patternType="solid">
          <fgColor rgb="00FCE4D6"/>
        </patternFill>
      </fill>
    </dxf>
    <dxf>
      <font>
        <name val="Calibri"/>
        <b val="1"/>
        <color rgb="00C00000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F33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26" customWidth="1" min="3" max="3"/>
    <col width="34" customWidth="1" min="4" max="4"/>
    <col width="16" customWidth="1" min="5" max="5"/>
    <col width="16" customWidth="1" min="6" max="6"/>
  </cols>
  <sheetData>
    <row r="2" ht="26" customHeight="1">
      <c r="B2" s="1" t="inlineStr">
        <is>
          <t>FIXED ASSET REGISTER  |  CONTROL PANEL</t>
        </is>
      </c>
    </row>
    <row r="3" ht="16" customHeight="1">
      <c r="B3" s="2" t="inlineStr">
        <is>
          <t>Companies Act, 2013 – Schedule II  •  Single switch drives the whole register</t>
        </is>
      </c>
    </row>
    <row r="5">
      <c r="B5" s="3" t="inlineStr">
        <is>
          <t>A.  GLOBAL PARAMETERS  (edit the yellow cells)</t>
        </is>
      </c>
    </row>
    <row r="6">
      <c r="B6" s="4" t="inlineStr">
        <is>
          <t>Company Name</t>
        </is>
      </c>
      <c r="C6" s="5" t="inlineStr">
        <is>
          <t>ABC Manufacturing Pvt. Ltd.</t>
        </is>
      </c>
      <c r="E6" s="6" t="inlineStr">
        <is>
          <t>↳ free text</t>
        </is>
      </c>
    </row>
    <row r="7">
      <c r="B7" s="4" t="inlineStr">
        <is>
          <t>Reporting Currency</t>
        </is>
      </c>
      <c r="C7" s="5" t="inlineStr">
        <is>
          <t>INR (Rs.)</t>
        </is>
      </c>
      <c r="E7" s="6" t="inlineStr">
        <is>
          <t>display only</t>
        </is>
      </c>
    </row>
    <row r="8">
      <c r="B8" s="4" t="inlineStr">
        <is>
          <t>Depreciation Method (Global)</t>
        </is>
      </c>
      <c r="C8" s="5" t="inlineStr">
        <is>
          <t>WDV</t>
        </is>
      </c>
      <c r="E8" s="6" t="inlineStr">
        <is>
          <t>↳ pick SLM or WDV — recalculates everything</t>
        </is>
      </c>
    </row>
    <row r="9">
      <c r="B9" s="4" t="inlineStr">
        <is>
          <t>Default Residual Value %</t>
        </is>
      </c>
      <c r="C9" s="7" t="n">
        <v>0.05</v>
      </c>
      <c r="E9" s="6" t="inlineStr">
        <is>
          <t>↳ 5% per Schedule II guidance</t>
        </is>
      </c>
    </row>
    <row r="10">
      <c r="B10" s="4" t="inlineStr">
        <is>
          <t>First Financial Year End</t>
        </is>
      </c>
      <c r="C10" s="8" t="n">
        <v>44286</v>
      </c>
      <c r="E10" s="6" t="inlineStr">
        <is>
          <t>↳ anchor for the year columns</t>
        </is>
      </c>
    </row>
    <row r="11">
      <c r="B11" s="4" t="inlineStr">
        <is>
          <t>Reporting Financial Year End</t>
        </is>
      </c>
      <c r="C11" s="8" t="n">
        <v>45747</v>
      </c>
      <c r="E11" s="6" t="inlineStr">
        <is>
          <t>↳ must equal one of the FY columns</t>
        </is>
      </c>
    </row>
    <row r="12">
      <c r="B12" s="4" t="inlineStr">
        <is>
          <t>No. of Year Columns in FAR</t>
        </is>
      </c>
      <c r="C12" s="9" t="n">
        <v>16</v>
      </c>
      <c r="E12" s="6" t="inlineStr">
        <is>
          <t>↳ informational</t>
        </is>
      </c>
    </row>
    <row r="13">
      <c r="B13" s="10" t="inlineStr">
        <is>
          <t>B.  SCHEDULE II – USEFUL LIVES OF ASSETS  (master lookup)</t>
        </is>
      </c>
    </row>
    <row r="14">
      <c r="B14" s="11" t="inlineStr">
        <is>
          <t>Sr.</t>
        </is>
      </c>
      <c r="C14" s="11" t="inlineStr">
        <is>
          <t>Asset Category</t>
        </is>
      </c>
      <c r="D14" s="11" t="inlineStr">
        <is>
          <t>Description / Notes</t>
        </is>
      </c>
      <c r="E14" s="11" t="inlineStr">
        <is>
          <t>Useful Life (Years)</t>
        </is>
      </c>
      <c r="F14" s="11" t="inlineStr">
        <is>
          <t>Indicative WDV Rate*</t>
        </is>
      </c>
    </row>
    <row r="15">
      <c r="B15" s="12" t="n">
        <v>1</v>
      </c>
      <c r="C15" s="13" t="inlineStr">
        <is>
          <t>Buildings - RCC Frame</t>
        </is>
      </c>
      <c r="D15" s="14" t="inlineStr">
        <is>
          <t>Buildings other than factory (RCC frame)</t>
        </is>
      </c>
      <c r="E15" s="15" t="n">
        <v>60</v>
      </c>
      <c r="F15" s="16">
        <f>IF(E15=0,0,1-(DefaultResidual)^(1/E15))</f>
        <v/>
      </c>
    </row>
    <row r="16">
      <c r="B16" s="17" t="n">
        <v>2</v>
      </c>
      <c r="C16" s="18" t="inlineStr">
        <is>
          <t>Buildings - Other than RCC</t>
        </is>
      </c>
      <c r="D16" s="19" t="inlineStr">
        <is>
          <t>Buildings other than factory (non-RCC)</t>
        </is>
      </c>
      <c r="E16" s="20" t="n">
        <v>30</v>
      </c>
      <c r="F16" s="21">
        <f>IF(E16=0,0,1-(DefaultResidual)^(1/E16))</f>
        <v/>
      </c>
    </row>
    <row r="17">
      <c r="B17" s="12" t="n">
        <v>3</v>
      </c>
      <c r="C17" s="13" t="inlineStr">
        <is>
          <t>Factory Building</t>
        </is>
      </c>
      <c r="D17" s="14" t="inlineStr">
        <is>
          <t>Factory buildings</t>
        </is>
      </c>
      <c r="E17" s="15" t="n">
        <v>30</v>
      </c>
      <c r="F17" s="16">
        <f>IF(E17=0,0,1-(DefaultResidual)^(1/E17))</f>
        <v/>
      </c>
    </row>
    <row r="18">
      <c r="B18" s="17" t="n">
        <v>4</v>
      </c>
      <c r="C18" s="18" t="inlineStr">
        <is>
          <t>Plant &amp; Machinery - General</t>
        </is>
      </c>
      <c r="D18" s="19" t="inlineStr">
        <is>
          <t>General rate plant &amp; machinery</t>
        </is>
      </c>
      <c r="E18" s="20" t="n">
        <v>15</v>
      </c>
      <c r="F18" s="21">
        <f>IF(E18=0,0,1-(DefaultResidual)^(1/E18))</f>
        <v/>
      </c>
    </row>
    <row r="19">
      <c r="B19" s="12" t="n">
        <v>5</v>
      </c>
      <c r="C19" s="13" t="inlineStr">
        <is>
          <t>Plant &amp; Machinery - Continuous Process</t>
        </is>
      </c>
      <c r="D19" s="14" t="inlineStr">
        <is>
          <t>Continuous process plant</t>
        </is>
      </c>
      <c r="E19" s="15" t="n">
        <v>25</v>
      </c>
      <c r="F19" s="16">
        <f>IF(E19=0,0,1-(DefaultResidual)^(1/E19))</f>
        <v/>
      </c>
    </row>
    <row r="20">
      <c r="B20" s="17" t="n">
        <v>6</v>
      </c>
      <c r="C20" s="18" t="inlineStr">
        <is>
          <t>Furniture &amp; Fittings</t>
        </is>
      </c>
      <c r="D20" s="19" t="inlineStr">
        <is>
          <t>General furniture and fittings</t>
        </is>
      </c>
      <c r="E20" s="20" t="n">
        <v>10</v>
      </c>
      <c r="F20" s="21">
        <f>IF(E20=0,0,1-(DefaultResidual)^(1/E20))</f>
        <v/>
      </c>
    </row>
    <row r="21">
      <c r="B21" s="12" t="n">
        <v>7</v>
      </c>
      <c r="C21" s="13" t="inlineStr">
        <is>
          <t>Office Equipment</t>
        </is>
      </c>
      <c r="D21" s="14" t="inlineStr">
        <is>
          <t>General office equipment</t>
        </is>
      </c>
      <c r="E21" s="15" t="n">
        <v>5</v>
      </c>
      <c r="F21" s="16">
        <f>IF(E21=0,0,1-(DefaultResidual)^(1/E21))</f>
        <v/>
      </c>
    </row>
    <row r="22">
      <c r="B22" s="17" t="n">
        <v>8</v>
      </c>
      <c r="C22" s="18" t="inlineStr">
        <is>
          <t>Computers - End User Devices</t>
        </is>
      </c>
      <c r="D22" s="19" t="inlineStr">
        <is>
          <t>Laptops, desktops, printers</t>
        </is>
      </c>
      <c r="E22" s="20" t="n">
        <v>3</v>
      </c>
      <c r="F22" s="21">
        <f>IF(E22=0,0,1-(DefaultResidual)^(1/E22))</f>
        <v/>
      </c>
    </row>
    <row r="23">
      <c r="B23" s="12" t="n">
        <v>9</v>
      </c>
      <c r="C23" s="13" t="inlineStr">
        <is>
          <t>Computers - Servers &amp; Networks</t>
        </is>
      </c>
      <c r="D23" s="14" t="inlineStr">
        <is>
          <t>Servers and network equipment</t>
        </is>
      </c>
      <c r="E23" s="15" t="n">
        <v>6</v>
      </c>
      <c r="F23" s="16">
        <f>IF(E23=0,0,1-(DefaultResidual)^(1/E23))</f>
        <v/>
      </c>
    </row>
    <row r="24">
      <c r="B24" s="17" t="n">
        <v>10</v>
      </c>
      <c r="C24" s="18" t="inlineStr">
        <is>
          <t>Electrical Installations</t>
        </is>
      </c>
      <c r="D24" s="19" t="inlineStr">
        <is>
          <t>Electrical installations &amp; equipment</t>
        </is>
      </c>
      <c r="E24" s="20" t="n">
        <v>10</v>
      </c>
      <c r="F24" s="21">
        <f>IF(E24=0,0,1-(DefaultResidual)^(1/E24))</f>
        <v/>
      </c>
    </row>
    <row r="25">
      <c r="B25" s="12" t="n">
        <v>11</v>
      </c>
      <c r="C25" s="13" t="inlineStr">
        <is>
          <t>Motor Vehicles - Motor Cars</t>
        </is>
      </c>
      <c r="D25" s="14" t="inlineStr">
        <is>
          <t>Cars (other than used in hire business)</t>
        </is>
      </c>
      <c r="E25" s="15" t="n">
        <v>8</v>
      </c>
      <c r="F25" s="16">
        <f>IF(E25=0,0,1-(DefaultResidual)^(1/E25))</f>
        <v/>
      </c>
    </row>
    <row r="26">
      <c r="B26" s="17" t="n">
        <v>12</v>
      </c>
      <c r="C26" s="18" t="inlineStr">
        <is>
          <t>Motor Vehicles - Commercial</t>
        </is>
      </c>
      <c r="D26" s="19" t="inlineStr">
        <is>
          <t>Buses, lorries, motor lorries (commercial)</t>
        </is>
      </c>
      <c r="E26" s="20" t="n">
        <v>6</v>
      </c>
      <c r="F26" s="21">
        <f>IF(E26=0,0,1-(DefaultResidual)^(1/E26))</f>
        <v/>
      </c>
    </row>
    <row r="27">
      <c r="B27" s="12" t="n">
        <v>13</v>
      </c>
      <c r="C27" s="13" t="inlineStr">
        <is>
          <t>Motor Vehicles - Two Wheelers</t>
        </is>
      </c>
      <c r="D27" s="14" t="inlineStr">
        <is>
          <t>Motor cycles, scooters</t>
        </is>
      </c>
      <c r="E27" s="15" t="n">
        <v>10</v>
      </c>
      <c r="F27" s="16">
        <f>IF(E27=0,0,1-(DefaultResidual)^(1/E27))</f>
        <v/>
      </c>
    </row>
    <row r="28">
      <c r="B28" s="17" t="n">
        <v>14</v>
      </c>
      <c r="C28" s="18" t="inlineStr">
        <is>
          <t>Laboratory Equipment - General</t>
        </is>
      </c>
      <c r="D28" s="19" t="inlineStr">
        <is>
          <t>General laboratory equipment</t>
        </is>
      </c>
      <c r="E28" s="20" t="n">
        <v>10</v>
      </c>
      <c r="F28" s="21">
        <f>IF(E28=0,0,1-(DefaultResidual)^(1/E28))</f>
        <v/>
      </c>
    </row>
    <row r="29">
      <c r="B29" s="12" t="n">
        <v>15</v>
      </c>
      <c r="C29" s="13" t="inlineStr">
        <is>
          <t>Plant &amp; Machinery - Moulds/Dies</t>
        </is>
      </c>
      <c r="D29" s="14" t="inlineStr">
        <is>
          <t>Moulds, jigs, dies and tooling</t>
        </is>
      </c>
      <c r="E29" s="15" t="n">
        <v>8</v>
      </c>
      <c r="F29" s="16">
        <f>IF(E29=0,0,1-(DefaultResidual)^(1/E29))</f>
        <v/>
      </c>
    </row>
    <row r="30">
      <c r="B30" s="17" t="n">
        <v>16</v>
      </c>
      <c r="C30" s="18" t="inlineStr">
        <is>
          <t>Air Conditioning Plant</t>
        </is>
      </c>
      <c r="D30" s="19" t="inlineStr">
        <is>
          <t>AC plant (treated as P&amp;M / office eqp.)</t>
        </is>
      </c>
      <c r="E30" s="20" t="n">
        <v>5</v>
      </c>
      <c r="F30" s="21">
        <f>IF(E30=0,0,1-(DefaultResidual)^(1/E30))</f>
        <v/>
      </c>
    </row>
    <row r="31">
      <c r="B31" s="12" t="n">
        <v>17</v>
      </c>
      <c r="C31" s="13" t="inlineStr">
        <is>
          <t>Intangible Assets - Software</t>
        </is>
      </c>
      <c r="D31" s="14" t="inlineStr">
        <is>
          <t>Computer software (per AS/Ind AS)</t>
        </is>
      </c>
      <c r="E31" s="15" t="n">
        <v>5</v>
      </c>
      <c r="F31" s="16">
        <f>IF(E31=0,0,1-(DefaultResidual)^(1/E31))</f>
        <v/>
      </c>
    </row>
    <row r="32">
      <c r="B32" s="17" t="n">
        <v>18</v>
      </c>
      <c r="C32" s="18" t="inlineStr">
        <is>
          <t>Leasehold Improvements</t>
        </is>
      </c>
      <c r="D32" s="19" t="inlineStr">
        <is>
          <t>Over primary lease period (illustrative)</t>
        </is>
      </c>
      <c r="E32" s="20" t="n">
        <v>10</v>
      </c>
      <c r="F32" s="21">
        <f>IF(E32=0,0,1-(DefaultResidual)^(1/E32))</f>
        <v/>
      </c>
    </row>
    <row r="33" ht="26" customHeight="1">
      <c r="B33" s="22" t="inlineStr">
        <is>
          <t>*Indicative WDV rate = 1 − (Residual Value)^(1/Useful Life), using the default residual % above. Add or edit rows freely – the FAR dropdown &amp; lookups follow this table.</t>
        </is>
      </c>
    </row>
  </sheetData>
  <mergeCells count="19">
    <mergeCell ref="E12:F12"/>
    <mergeCell ref="C6:D6"/>
    <mergeCell ref="B3:F3"/>
    <mergeCell ref="E8:F8"/>
    <mergeCell ref="C10:D10"/>
    <mergeCell ref="B2:F2"/>
    <mergeCell ref="E10:F10"/>
    <mergeCell ref="C9:D9"/>
    <mergeCell ref="E9:F9"/>
    <mergeCell ref="B13:F13"/>
    <mergeCell ref="C12:D12"/>
    <mergeCell ref="E6:F6"/>
    <mergeCell ref="C11:D11"/>
    <mergeCell ref="E11:F11"/>
    <mergeCell ref="C8:D8"/>
    <mergeCell ref="C7:D7"/>
    <mergeCell ref="E7:F7"/>
    <mergeCell ref="B33:F33"/>
    <mergeCell ref="B5:F5"/>
  </mergeCells>
  <dataValidations count="1">
    <dataValidation sqref="C8" showDropDown="0" showInputMessage="0" showErrorMessage="0" allowBlank="0" error="Choose SLM (Straight Line) or WDV (Written Down Value)." prompt="Select depreciation method" type="list">
      <formula1>"SLM,WDV"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BA65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6" customWidth="1" min="3" max="3"/>
    <col width="20" customWidth="1" min="4" max="4"/>
    <col width="20" customWidth="1" min="5" max="5"/>
    <col width="14" customWidth="1" min="6" max="6"/>
    <col width="15" customWidth="1" min="7" max="7"/>
    <col width="15" customWidth="1" min="8" max="8"/>
    <col width="16" customWidth="1" min="9" max="9"/>
    <col width="15" customWidth="1" min="10" max="10"/>
    <col width="16" customWidth="1" min="11" max="11"/>
    <col width="11" customWidth="1" min="12" max="12"/>
    <col width="15" customWidth="1" min="13" max="13"/>
    <col width="12" customWidth="1" min="14" max="14"/>
    <col width="9" customWidth="1" min="15" max="15"/>
    <col width="10" customWidth="1" min="16" max="16"/>
    <col width="16" customWidth="1" min="17" max="17"/>
    <col width="16" customWidth="1" min="18" max="18"/>
    <col width="16" customWidth="1" min="19" max="19"/>
    <col width="16" customWidth="1" min="20" max="20"/>
    <col width="13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</cols>
  <sheetData>
    <row r="1" ht="30" customHeight="1">
      <c r="A1" s="23" t="inlineStr">
        <is>
          <t>REGISTER OF FIXED ASSETS  (FAR)</t>
        </is>
      </c>
    </row>
    <row r="2" ht="18" customHeight="1">
      <c r="A2" s="24">
        <f>Input!C6&amp;"   |   Depreciation Method: "&amp;GlobalMethod&amp;"   |   Reporting FY ending: "&amp;TEXT(ReportingFYEnd,"dd-mmm-yyyy")&amp;"   |   Default Residual: "&amp;TEXT(DefaultResidual,"0%")&amp;"   |   Prepared per Companies Act, 2013 – Schedule II"</f>
        <v/>
      </c>
    </row>
    <row r="3">
      <c r="A3" s="25" t="inlineStr">
        <is>
          <t>ASSET MASTER DETAILS</t>
        </is>
      </c>
      <c r="J3" s="26" t="inlineStr">
        <is>
          <t>DISPOSAL</t>
        </is>
      </c>
      <c r="K3" s="27" t="inlineStr">
        <is>
          <t>COST &amp; DEPRECIATION BASIS</t>
        </is>
      </c>
      <c r="R3" s="28" t="inlineStr">
        <is>
          <t>POSITION AS ON REPORTING FY</t>
        </is>
      </c>
      <c r="V3" s="29">
        <f>EDATE(FirstFYEnd,12*0)</f>
        <v/>
      </c>
      <c r="W3" s="30" t="inlineStr"/>
      <c r="X3" s="29">
        <f>EDATE(FirstFYEnd,12*1)</f>
        <v/>
      </c>
      <c r="Y3" s="30" t="inlineStr"/>
      <c r="Z3" s="29">
        <f>EDATE(FirstFYEnd,12*2)</f>
        <v/>
      </c>
      <c r="AA3" s="30" t="inlineStr"/>
      <c r="AB3" s="29">
        <f>EDATE(FirstFYEnd,12*3)</f>
        <v/>
      </c>
      <c r="AC3" s="30" t="inlineStr"/>
      <c r="AD3" s="29">
        <f>EDATE(FirstFYEnd,12*4)</f>
        <v/>
      </c>
      <c r="AE3" s="30" t="inlineStr"/>
      <c r="AF3" s="29">
        <f>EDATE(FirstFYEnd,12*5)</f>
        <v/>
      </c>
      <c r="AG3" s="30" t="inlineStr"/>
      <c r="AH3" s="29">
        <f>EDATE(FirstFYEnd,12*6)</f>
        <v/>
      </c>
      <c r="AI3" s="30" t="inlineStr"/>
      <c r="AJ3" s="29">
        <f>EDATE(FirstFYEnd,12*7)</f>
        <v/>
      </c>
      <c r="AK3" s="30" t="inlineStr"/>
      <c r="AL3" s="29">
        <f>EDATE(FirstFYEnd,12*8)</f>
        <v/>
      </c>
      <c r="AM3" s="30" t="inlineStr"/>
      <c r="AN3" s="29">
        <f>EDATE(FirstFYEnd,12*9)</f>
        <v/>
      </c>
      <c r="AO3" s="30" t="inlineStr"/>
      <c r="AP3" s="29">
        <f>EDATE(FirstFYEnd,12*10)</f>
        <v/>
      </c>
      <c r="AQ3" s="30" t="inlineStr"/>
      <c r="AR3" s="29">
        <f>EDATE(FirstFYEnd,12*11)</f>
        <v/>
      </c>
      <c r="AS3" s="30" t="inlineStr"/>
      <c r="AT3" s="29">
        <f>EDATE(FirstFYEnd,12*12)</f>
        <v/>
      </c>
      <c r="AU3" s="30" t="inlineStr"/>
      <c r="AV3" s="29">
        <f>EDATE(FirstFYEnd,12*13)</f>
        <v/>
      </c>
      <c r="AW3" s="30" t="inlineStr"/>
      <c r="AX3" s="29">
        <f>EDATE(FirstFYEnd,12*14)</f>
        <v/>
      </c>
      <c r="AY3" s="30" t="inlineStr"/>
      <c r="AZ3" s="29">
        <f>EDATE(FirstFYEnd,12*15)</f>
        <v/>
      </c>
      <c r="BA3" s="30" t="inlineStr"/>
    </row>
    <row r="4" ht="38" customHeight="1">
      <c r="A4" s="31" t="inlineStr">
        <is>
          <t>Asset ID</t>
        </is>
      </c>
      <c r="B4" s="31" t="inlineStr">
        <is>
          <t>Asset Description</t>
        </is>
      </c>
      <c r="C4" s="31" t="inlineStr">
        <is>
          <t>Asset Category</t>
        </is>
      </c>
      <c r="D4" s="31" t="inlineStr">
        <is>
          <t>Location / Cost Centre</t>
        </is>
      </c>
      <c r="E4" s="31" t="inlineStr">
        <is>
          <t>Supplier / Vendor</t>
        </is>
      </c>
      <c r="F4" s="31" t="inlineStr">
        <is>
          <t>Invoice No.</t>
        </is>
      </c>
      <c r="G4" s="31" t="inlineStr">
        <is>
          <t>Date of Purchase</t>
        </is>
      </c>
      <c r="H4" s="31" t="inlineStr">
        <is>
          <t>Date Put to Use</t>
        </is>
      </c>
      <c r="I4" s="31" t="inlineStr">
        <is>
          <t>Date of Sale / Disposal</t>
        </is>
      </c>
      <c r="J4" s="31" t="inlineStr">
        <is>
          <t>Sale Proceeds (Rs.)</t>
        </is>
      </c>
      <c r="K4" s="31" t="inlineStr">
        <is>
          <t>Gross Cost (Rs.)</t>
        </is>
      </c>
      <c r="L4" s="31" t="inlineStr">
        <is>
          <t>Residual %</t>
        </is>
      </c>
      <c r="M4" s="31" t="inlineStr">
        <is>
          <t>Residual Value (Rs.)</t>
        </is>
      </c>
      <c r="N4" s="31" t="inlineStr">
        <is>
          <t>Useful Life (Yrs)</t>
        </is>
      </c>
      <c r="O4" s="31" t="inlineStr">
        <is>
          <t>Method</t>
        </is>
      </c>
      <c r="P4" s="31" t="inlineStr">
        <is>
          <t>WDV Rate</t>
        </is>
      </c>
      <c r="Q4" s="31" t="inlineStr">
        <is>
          <t>Depreciable Amt (Rs.)</t>
        </is>
      </c>
      <c r="R4" s="31" t="inlineStr">
        <is>
          <t>Dep – Reporting FY (Rs.)</t>
        </is>
      </c>
      <c r="S4" s="31" t="inlineStr">
        <is>
          <t>Acc. Dep – Rep. FY (Rs.)</t>
        </is>
      </c>
      <c r="T4" s="31" t="inlineStr">
        <is>
          <t>WDV – Reporting FY (Rs.)</t>
        </is>
      </c>
      <c r="U4" s="31" t="inlineStr">
        <is>
          <t>Status</t>
        </is>
      </c>
      <c r="V4" s="32">
        <f>"Dep "&amp;TEXT(EDATE(FirstFYEnd,12*0),"yyyy")</f>
        <v/>
      </c>
      <c r="W4" s="33">
        <f>"WDV "&amp;TEXT(EDATE(FirstFYEnd,12*0),"yyyy")</f>
        <v/>
      </c>
      <c r="X4" s="32">
        <f>"Dep "&amp;TEXT(EDATE(FirstFYEnd,12*1),"yyyy")</f>
        <v/>
      </c>
      <c r="Y4" s="33">
        <f>"WDV "&amp;TEXT(EDATE(FirstFYEnd,12*1),"yyyy")</f>
        <v/>
      </c>
      <c r="Z4" s="32">
        <f>"Dep "&amp;TEXT(EDATE(FirstFYEnd,12*2),"yyyy")</f>
        <v/>
      </c>
      <c r="AA4" s="33">
        <f>"WDV "&amp;TEXT(EDATE(FirstFYEnd,12*2),"yyyy")</f>
        <v/>
      </c>
      <c r="AB4" s="32">
        <f>"Dep "&amp;TEXT(EDATE(FirstFYEnd,12*3),"yyyy")</f>
        <v/>
      </c>
      <c r="AC4" s="33">
        <f>"WDV "&amp;TEXT(EDATE(FirstFYEnd,12*3),"yyyy")</f>
        <v/>
      </c>
      <c r="AD4" s="32">
        <f>"Dep "&amp;TEXT(EDATE(FirstFYEnd,12*4),"yyyy")</f>
        <v/>
      </c>
      <c r="AE4" s="33">
        <f>"WDV "&amp;TEXT(EDATE(FirstFYEnd,12*4),"yyyy")</f>
        <v/>
      </c>
      <c r="AF4" s="32">
        <f>"Dep "&amp;TEXT(EDATE(FirstFYEnd,12*5),"yyyy")</f>
        <v/>
      </c>
      <c r="AG4" s="33">
        <f>"WDV "&amp;TEXT(EDATE(FirstFYEnd,12*5),"yyyy")</f>
        <v/>
      </c>
      <c r="AH4" s="32">
        <f>"Dep "&amp;TEXT(EDATE(FirstFYEnd,12*6),"yyyy")</f>
        <v/>
      </c>
      <c r="AI4" s="33">
        <f>"WDV "&amp;TEXT(EDATE(FirstFYEnd,12*6),"yyyy")</f>
        <v/>
      </c>
      <c r="AJ4" s="32">
        <f>"Dep "&amp;TEXT(EDATE(FirstFYEnd,12*7),"yyyy")</f>
        <v/>
      </c>
      <c r="AK4" s="33">
        <f>"WDV "&amp;TEXT(EDATE(FirstFYEnd,12*7),"yyyy")</f>
        <v/>
      </c>
      <c r="AL4" s="32">
        <f>"Dep "&amp;TEXT(EDATE(FirstFYEnd,12*8),"yyyy")</f>
        <v/>
      </c>
      <c r="AM4" s="33">
        <f>"WDV "&amp;TEXT(EDATE(FirstFYEnd,12*8),"yyyy")</f>
        <v/>
      </c>
      <c r="AN4" s="32">
        <f>"Dep "&amp;TEXT(EDATE(FirstFYEnd,12*9),"yyyy")</f>
        <v/>
      </c>
      <c r="AO4" s="33">
        <f>"WDV "&amp;TEXT(EDATE(FirstFYEnd,12*9),"yyyy")</f>
        <v/>
      </c>
      <c r="AP4" s="32">
        <f>"Dep "&amp;TEXT(EDATE(FirstFYEnd,12*10),"yyyy")</f>
        <v/>
      </c>
      <c r="AQ4" s="33">
        <f>"WDV "&amp;TEXT(EDATE(FirstFYEnd,12*10),"yyyy")</f>
        <v/>
      </c>
      <c r="AR4" s="32">
        <f>"Dep "&amp;TEXT(EDATE(FirstFYEnd,12*11),"yyyy")</f>
        <v/>
      </c>
      <c r="AS4" s="33">
        <f>"WDV "&amp;TEXT(EDATE(FirstFYEnd,12*11),"yyyy")</f>
        <v/>
      </c>
      <c r="AT4" s="32">
        <f>"Dep "&amp;TEXT(EDATE(FirstFYEnd,12*12),"yyyy")</f>
        <v/>
      </c>
      <c r="AU4" s="33">
        <f>"WDV "&amp;TEXT(EDATE(FirstFYEnd,12*12),"yyyy")</f>
        <v/>
      </c>
      <c r="AV4" s="32">
        <f>"Dep "&amp;TEXT(EDATE(FirstFYEnd,12*13),"yyyy")</f>
        <v/>
      </c>
      <c r="AW4" s="33">
        <f>"WDV "&amp;TEXT(EDATE(FirstFYEnd,12*13),"yyyy")</f>
        <v/>
      </c>
      <c r="AX4" s="32">
        <f>"Dep "&amp;TEXT(EDATE(FirstFYEnd,12*14),"yyyy")</f>
        <v/>
      </c>
      <c r="AY4" s="33">
        <f>"WDV "&amp;TEXT(EDATE(FirstFYEnd,12*14),"yyyy")</f>
        <v/>
      </c>
      <c r="AZ4" s="32">
        <f>"Dep "&amp;TEXT(EDATE(FirstFYEnd,12*15),"yyyy")</f>
        <v/>
      </c>
      <c r="BA4" s="33">
        <f>"WDV "&amp;TEXT(EDATE(FirstFYEnd,12*15),"yyyy")</f>
        <v/>
      </c>
    </row>
    <row r="5">
      <c r="A5" s="34" t="inlineStr">
        <is>
          <t>FA-001</t>
        </is>
      </c>
      <c r="B5" s="35" t="inlineStr">
        <is>
          <t>Head Office Building</t>
        </is>
      </c>
      <c r="C5" s="35" t="inlineStr">
        <is>
          <t>Buildings - RCC Frame</t>
        </is>
      </c>
      <c r="D5" s="35" t="inlineStr">
        <is>
          <t>Mumbai HO</t>
        </is>
      </c>
      <c r="E5" s="36" t="inlineStr">
        <is>
          <t>Skyline Constructions</t>
        </is>
      </c>
      <c r="F5" s="37" t="inlineStr">
        <is>
          <t>INV-HO-001</t>
        </is>
      </c>
      <c r="G5" s="38" t="n">
        <v>43922</v>
      </c>
      <c r="H5" s="38" t="n">
        <v>43922</v>
      </c>
      <c r="I5" s="39" t="n"/>
      <c r="J5" s="40" t="n"/>
      <c r="K5" s="41" t="n">
        <v>50000000</v>
      </c>
      <c r="L5" s="42">
        <f>DefaultResidual</f>
        <v/>
      </c>
      <c r="M5" s="43">
        <f>IF($K5="","",$K5*$L5)</f>
        <v/>
      </c>
      <c r="N5" s="44">
        <f>IF($C5="","",IFERROR(VLOOKUP($C5,ScheduleIITable,3,FALSE),"#N/A"))</f>
        <v/>
      </c>
      <c r="O5" s="45">
        <f>IF($K5="","",GlobalMethod)</f>
        <v/>
      </c>
      <c r="P5" s="46">
        <f>IF(OR($K5="",$N5="",$N5=0,$M5=0),0,1-($M5/$K5)^(1/$N5))</f>
        <v/>
      </c>
      <c r="Q5" s="43">
        <f>IF($K5="","",$K5-$M5)</f>
        <v/>
      </c>
      <c r="R5" s="47">
        <f>IF($K5="","",INDEX($V5:$BA5,1,MATCH(ReportingFYEnd,$V$3:$BA$3,0)))</f>
        <v/>
      </c>
      <c r="S5" s="43">
        <f>IF($K5="","",IF($U5="Disposed",0,$K5-$T5))</f>
        <v/>
      </c>
      <c r="T5" s="48">
        <f>IF($K5="","",INDEX($V5:$BA5,1,MATCH(ReportingFYEnd,$V$3:$BA$3,0)+1))</f>
        <v/>
      </c>
      <c r="U5" s="49">
        <f>IF($K5="","",IF(AND($I5&lt;&gt;"",$I5&lt;=ReportingFYEnd),"Disposed",IF(OR($H5="",$H5&gt;ReportingFYEnd),"Not Yet in Use","Active")))</f>
        <v/>
      </c>
      <c r="V5" s="50">
        <f>IF(OR($K5="",$H5=""),"",MIN(MAX(0,IF($O5="WDV",$K5*$P5*MAX(0,(IF($I5="",V$3,MIN($I5,V$3)))-(MAX($H5,(EDATE(V$3,-12)+1)))+1)/(V$3-(EDATE(V$3,-12)+1)+1),IF($N5=0,0,$Q5/$N5*MAX(0,(IF($I5="",V$3,MIN($I5,V$3)))-(MAX($H5,(EDATE(V$3,-12)+1)))+1)/(V$3-(EDATE(V$3,-12)+1)+1)))),MAX(0,$K5-$M5)))</f>
        <v/>
      </c>
      <c r="W5" s="51">
        <f>IF($K5="","",IF(AND($I5&lt;&gt;"",$I5&lt;=V$3),0,$K5-V5))</f>
        <v/>
      </c>
      <c r="X5" s="50">
        <f>IF(OR($K5="",$H5=""),"",MIN(MAX(0,IF($O5="WDV",W5*$P5*MAX(0,(IF($I5="",X$3,MIN($I5,X$3)))-(MAX($H5,(EDATE(X$3,-12)+1)))+1)/(X$3-(EDATE(X$3,-12)+1)+1),IF($N5=0,0,$Q5/$N5*MAX(0,(IF($I5="",X$3,MIN($I5,X$3)))-(MAX($H5,(EDATE(X$3,-12)+1)))+1)/(X$3-(EDATE(X$3,-12)+1)+1)))),MAX(0,W5-$M5)))</f>
        <v/>
      </c>
      <c r="Y5" s="51">
        <f>IF($K5="","",IF(AND($I5&lt;&gt;"",$I5&lt;=X$3),0,W5-X5))</f>
        <v/>
      </c>
      <c r="Z5" s="50">
        <f>IF(OR($K5="",$H5=""),"",MIN(MAX(0,IF($O5="WDV",Y5*$P5*MAX(0,(IF($I5="",Z$3,MIN($I5,Z$3)))-(MAX($H5,(EDATE(Z$3,-12)+1)))+1)/(Z$3-(EDATE(Z$3,-12)+1)+1),IF($N5=0,0,$Q5/$N5*MAX(0,(IF($I5="",Z$3,MIN($I5,Z$3)))-(MAX($H5,(EDATE(Z$3,-12)+1)))+1)/(Z$3-(EDATE(Z$3,-12)+1)+1)))),MAX(0,Y5-$M5)))</f>
        <v/>
      </c>
      <c r="AA5" s="51">
        <f>IF($K5="","",IF(AND($I5&lt;&gt;"",$I5&lt;=Z$3),0,Y5-Z5))</f>
        <v/>
      </c>
      <c r="AB5" s="50">
        <f>IF(OR($K5="",$H5=""),"",MIN(MAX(0,IF($O5="WDV",AA5*$P5*MAX(0,(IF($I5="",AB$3,MIN($I5,AB$3)))-(MAX($H5,(EDATE(AB$3,-12)+1)))+1)/(AB$3-(EDATE(AB$3,-12)+1)+1),IF($N5=0,0,$Q5/$N5*MAX(0,(IF($I5="",AB$3,MIN($I5,AB$3)))-(MAX($H5,(EDATE(AB$3,-12)+1)))+1)/(AB$3-(EDATE(AB$3,-12)+1)+1)))),MAX(0,AA5-$M5)))</f>
        <v/>
      </c>
      <c r="AC5" s="51">
        <f>IF($K5="","",IF(AND($I5&lt;&gt;"",$I5&lt;=AB$3),0,AA5-AB5))</f>
        <v/>
      </c>
      <c r="AD5" s="50">
        <f>IF(OR($K5="",$H5=""),"",MIN(MAX(0,IF($O5="WDV",AC5*$P5*MAX(0,(IF($I5="",AD$3,MIN($I5,AD$3)))-(MAX($H5,(EDATE(AD$3,-12)+1)))+1)/(AD$3-(EDATE(AD$3,-12)+1)+1),IF($N5=0,0,$Q5/$N5*MAX(0,(IF($I5="",AD$3,MIN($I5,AD$3)))-(MAX($H5,(EDATE(AD$3,-12)+1)))+1)/(AD$3-(EDATE(AD$3,-12)+1)+1)))),MAX(0,AC5-$M5)))</f>
        <v/>
      </c>
      <c r="AE5" s="51">
        <f>IF($K5="","",IF(AND($I5&lt;&gt;"",$I5&lt;=AD$3),0,AC5-AD5))</f>
        <v/>
      </c>
      <c r="AF5" s="50">
        <f>IF(OR($K5="",$H5=""),"",MIN(MAX(0,IF($O5="WDV",AE5*$P5*MAX(0,(IF($I5="",AF$3,MIN($I5,AF$3)))-(MAX($H5,(EDATE(AF$3,-12)+1)))+1)/(AF$3-(EDATE(AF$3,-12)+1)+1),IF($N5=0,0,$Q5/$N5*MAX(0,(IF($I5="",AF$3,MIN($I5,AF$3)))-(MAX($H5,(EDATE(AF$3,-12)+1)))+1)/(AF$3-(EDATE(AF$3,-12)+1)+1)))),MAX(0,AE5-$M5)))</f>
        <v/>
      </c>
      <c r="AG5" s="51">
        <f>IF($K5="","",IF(AND($I5&lt;&gt;"",$I5&lt;=AF$3),0,AE5-AF5))</f>
        <v/>
      </c>
      <c r="AH5" s="50">
        <f>IF(OR($K5="",$H5=""),"",MIN(MAX(0,IF($O5="WDV",AG5*$P5*MAX(0,(IF($I5="",AH$3,MIN($I5,AH$3)))-(MAX($H5,(EDATE(AH$3,-12)+1)))+1)/(AH$3-(EDATE(AH$3,-12)+1)+1),IF($N5=0,0,$Q5/$N5*MAX(0,(IF($I5="",AH$3,MIN($I5,AH$3)))-(MAX($H5,(EDATE(AH$3,-12)+1)))+1)/(AH$3-(EDATE(AH$3,-12)+1)+1)))),MAX(0,AG5-$M5)))</f>
        <v/>
      </c>
      <c r="AI5" s="51">
        <f>IF($K5="","",IF(AND($I5&lt;&gt;"",$I5&lt;=AH$3),0,AG5-AH5))</f>
        <v/>
      </c>
      <c r="AJ5" s="50">
        <f>IF(OR($K5="",$H5=""),"",MIN(MAX(0,IF($O5="WDV",AI5*$P5*MAX(0,(IF($I5="",AJ$3,MIN($I5,AJ$3)))-(MAX($H5,(EDATE(AJ$3,-12)+1)))+1)/(AJ$3-(EDATE(AJ$3,-12)+1)+1),IF($N5=0,0,$Q5/$N5*MAX(0,(IF($I5="",AJ$3,MIN($I5,AJ$3)))-(MAX($H5,(EDATE(AJ$3,-12)+1)))+1)/(AJ$3-(EDATE(AJ$3,-12)+1)+1)))),MAX(0,AI5-$M5)))</f>
        <v/>
      </c>
      <c r="AK5" s="51">
        <f>IF($K5="","",IF(AND($I5&lt;&gt;"",$I5&lt;=AJ$3),0,AI5-AJ5))</f>
        <v/>
      </c>
      <c r="AL5" s="50">
        <f>IF(OR($K5="",$H5=""),"",MIN(MAX(0,IF($O5="WDV",AK5*$P5*MAX(0,(IF($I5="",AL$3,MIN($I5,AL$3)))-(MAX($H5,(EDATE(AL$3,-12)+1)))+1)/(AL$3-(EDATE(AL$3,-12)+1)+1),IF($N5=0,0,$Q5/$N5*MAX(0,(IF($I5="",AL$3,MIN($I5,AL$3)))-(MAX($H5,(EDATE(AL$3,-12)+1)))+1)/(AL$3-(EDATE(AL$3,-12)+1)+1)))),MAX(0,AK5-$M5)))</f>
        <v/>
      </c>
      <c r="AM5" s="51">
        <f>IF($K5="","",IF(AND($I5&lt;&gt;"",$I5&lt;=AL$3),0,AK5-AL5))</f>
        <v/>
      </c>
      <c r="AN5" s="50">
        <f>IF(OR($K5="",$H5=""),"",MIN(MAX(0,IF($O5="WDV",AM5*$P5*MAX(0,(IF($I5="",AN$3,MIN($I5,AN$3)))-(MAX($H5,(EDATE(AN$3,-12)+1)))+1)/(AN$3-(EDATE(AN$3,-12)+1)+1),IF($N5=0,0,$Q5/$N5*MAX(0,(IF($I5="",AN$3,MIN($I5,AN$3)))-(MAX($H5,(EDATE(AN$3,-12)+1)))+1)/(AN$3-(EDATE(AN$3,-12)+1)+1)))),MAX(0,AM5-$M5)))</f>
        <v/>
      </c>
      <c r="AO5" s="51">
        <f>IF($K5="","",IF(AND($I5&lt;&gt;"",$I5&lt;=AN$3),0,AM5-AN5))</f>
        <v/>
      </c>
      <c r="AP5" s="50">
        <f>IF(OR($K5="",$H5=""),"",MIN(MAX(0,IF($O5="WDV",AO5*$P5*MAX(0,(IF($I5="",AP$3,MIN($I5,AP$3)))-(MAX($H5,(EDATE(AP$3,-12)+1)))+1)/(AP$3-(EDATE(AP$3,-12)+1)+1),IF($N5=0,0,$Q5/$N5*MAX(0,(IF($I5="",AP$3,MIN($I5,AP$3)))-(MAX($H5,(EDATE(AP$3,-12)+1)))+1)/(AP$3-(EDATE(AP$3,-12)+1)+1)))),MAX(0,AO5-$M5)))</f>
        <v/>
      </c>
      <c r="AQ5" s="51">
        <f>IF($K5="","",IF(AND($I5&lt;&gt;"",$I5&lt;=AP$3),0,AO5-AP5))</f>
        <v/>
      </c>
      <c r="AR5" s="50">
        <f>IF(OR($K5="",$H5=""),"",MIN(MAX(0,IF($O5="WDV",AQ5*$P5*MAX(0,(IF($I5="",AR$3,MIN($I5,AR$3)))-(MAX($H5,(EDATE(AR$3,-12)+1)))+1)/(AR$3-(EDATE(AR$3,-12)+1)+1),IF($N5=0,0,$Q5/$N5*MAX(0,(IF($I5="",AR$3,MIN($I5,AR$3)))-(MAX($H5,(EDATE(AR$3,-12)+1)))+1)/(AR$3-(EDATE(AR$3,-12)+1)+1)))),MAX(0,AQ5-$M5)))</f>
        <v/>
      </c>
      <c r="AS5" s="51">
        <f>IF($K5="","",IF(AND($I5&lt;&gt;"",$I5&lt;=AR$3),0,AQ5-AR5))</f>
        <v/>
      </c>
      <c r="AT5" s="50">
        <f>IF(OR($K5="",$H5=""),"",MIN(MAX(0,IF($O5="WDV",AS5*$P5*MAX(0,(IF($I5="",AT$3,MIN($I5,AT$3)))-(MAX($H5,(EDATE(AT$3,-12)+1)))+1)/(AT$3-(EDATE(AT$3,-12)+1)+1),IF($N5=0,0,$Q5/$N5*MAX(0,(IF($I5="",AT$3,MIN($I5,AT$3)))-(MAX($H5,(EDATE(AT$3,-12)+1)))+1)/(AT$3-(EDATE(AT$3,-12)+1)+1)))),MAX(0,AS5-$M5)))</f>
        <v/>
      </c>
      <c r="AU5" s="51">
        <f>IF($K5="","",IF(AND($I5&lt;&gt;"",$I5&lt;=AT$3),0,AS5-AT5))</f>
        <v/>
      </c>
      <c r="AV5" s="50">
        <f>IF(OR($K5="",$H5=""),"",MIN(MAX(0,IF($O5="WDV",AU5*$P5*MAX(0,(IF($I5="",AV$3,MIN($I5,AV$3)))-(MAX($H5,(EDATE(AV$3,-12)+1)))+1)/(AV$3-(EDATE(AV$3,-12)+1)+1),IF($N5=0,0,$Q5/$N5*MAX(0,(IF($I5="",AV$3,MIN($I5,AV$3)))-(MAX($H5,(EDATE(AV$3,-12)+1)))+1)/(AV$3-(EDATE(AV$3,-12)+1)+1)))),MAX(0,AU5-$M5)))</f>
        <v/>
      </c>
      <c r="AW5" s="51">
        <f>IF($K5="","",IF(AND($I5&lt;&gt;"",$I5&lt;=AV$3),0,AU5-AV5))</f>
        <v/>
      </c>
      <c r="AX5" s="50">
        <f>IF(OR($K5="",$H5=""),"",MIN(MAX(0,IF($O5="WDV",AW5*$P5*MAX(0,(IF($I5="",AX$3,MIN($I5,AX$3)))-(MAX($H5,(EDATE(AX$3,-12)+1)))+1)/(AX$3-(EDATE(AX$3,-12)+1)+1),IF($N5=0,0,$Q5/$N5*MAX(0,(IF($I5="",AX$3,MIN($I5,AX$3)))-(MAX($H5,(EDATE(AX$3,-12)+1)))+1)/(AX$3-(EDATE(AX$3,-12)+1)+1)))),MAX(0,AW5-$M5)))</f>
        <v/>
      </c>
      <c r="AY5" s="51">
        <f>IF($K5="","",IF(AND($I5&lt;&gt;"",$I5&lt;=AX$3),0,AW5-AX5))</f>
        <v/>
      </c>
      <c r="AZ5" s="50">
        <f>IF(OR($K5="",$H5=""),"",MIN(MAX(0,IF($O5="WDV",AY5*$P5*MAX(0,(IF($I5="",AZ$3,MIN($I5,AZ$3)))-(MAX($H5,(EDATE(AZ$3,-12)+1)))+1)/(AZ$3-(EDATE(AZ$3,-12)+1)+1),IF($N5=0,0,$Q5/$N5*MAX(0,(IF($I5="",AZ$3,MIN($I5,AZ$3)))-(MAX($H5,(EDATE(AZ$3,-12)+1)))+1)/(AZ$3-(EDATE(AZ$3,-12)+1)+1)))),MAX(0,AY5-$M5)))</f>
        <v/>
      </c>
      <c r="BA5" s="51">
        <f>IF($K5="","",IF(AND($I5&lt;&gt;"",$I5&lt;=AZ$3),0,AY5-AZ5))</f>
        <v/>
      </c>
    </row>
    <row r="6">
      <c r="A6" s="52" t="inlineStr">
        <is>
          <t>FA-002</t>
        </is>
      </c>
      <c r="B6" s="53" t="inlineStr">
        <is>
          <t>Factory Shed - Unit 1</t>
        </is>
      </c>
      <c r="C6" s="53" t="inlineStr">
        <is>
          <t>Factory Building</t>
        </is>
      </c>
      <c r="D6" s="53" t="inlineStr">
        <is>
          <t>Pune Plant</t>
        </is>
      </c>
      <c r="E6" s="19" t="inlineStr">
        <is>
          <t>BuildWell Ltd</t>
        </is>
      </c>
      <c r="F6" s="54" t="inlineStr">
        <is>
          <t>INV-FB-014</t>
        </is>
      </c>
      <c r="G6" s="55" t="n">
        <v>44027</v>
      </c>
      <c r="H6" s="55" t="n">
        <v>44044</v>
      </c>
      <c r="I6" s="56" t="n"/>
      <c r="J6" s="57" t="n"/>
      <c r="K6" s="58" t="n">
        <v>18000000</v>
      </c>
      <c r="L6" s="59">
        <f>DefaultResidual</f>
        <v/>
      </c>
      <c r="M6" s="60">
        <f>IF($K6="","",$K6*$L6)</f>
        <v/>
      </c>
      <c r="N6" s="20">
        <f>IF($C6="","",IFERROR(VLOOKUP($C6,ScheduleIITable,3,FALSE),"#N/A"))</f>
        <v/>
      </c>
      <c r="O6" s="61">
        <f>IF($K6="","",GlobalMethod)</f>
        <v/>
      </c>
      <c r="P6" s="21">
        <f>IF(OR($K6="",$N6="",$N6=0,$M6=0),0,1-($M6/$K6)^(1/$N6))</f>
        <v/>
      </c>
      <c r="Q6" s="60">
        <f>IF($K6="","",$K6-$M6)</f>
        <v/>
      </c>
      <c r="R6" s="62">
        <f>IF($K6="","",INDEX($V6:$BA6,1,MATCH(ReportingFYEnd,$V$3:$BA$3,0)))</f>
        <v/>
      </c>
      <c r="S6" s="60">
        <f>IF($K6="","",IF($U6="Disposed",0,$K6-$T6))</f>
        <v/>
      </c>
      <c r="T6" s="63">
        <f>IF($K6="","",INDEX($V6:$BA6,1,MATCH(ReportingFYEnd,$V$3:$BA$3,0)+1))</f>
        <v/>
      </c>
      <c r="U6" s="64">
        <f>IF($K6="","",IF(AND($I6&lt;&gt;"",$I6&lt;=ReportingFYEnd),"Disposed",IF(OR($H6="",$H6&gt;ReportingFYEnd),"Not Yet in Use","Active")))</f>
        <v/>
      </c>
      <c r="V6" s="65">
        <f>IF(OR($K6="",$H6=""),"",MIN(MAX(0,IF($O6="WDV",$K6*$P6*MAX(0,(IF($I6="",V$3,MIN($I6,V$3)))-(MAX($H6,(EDATE(V$3,-12)+1)))+1)/(V$3-(EDATE(V$3,-12)+1)+1),IF($N6=0,0,$Q6/$N6*MAX(0,(IF($I6="",V$3,MIN($I6,V$3)))-(MAX($H6,(EDATE(V$3,-12)+1)))+1)/(V$3-(EDATE(V$3,-12)+1)+1)))),MAX(0,$K6-$M6)))</f>
        <v/>
      </c>
      <c r="W6" s="65">
        <f>IF($K6="","",IF(AND($I6&lt;&gt;"",$I6&lt;=V$3),0,$K6-V6))</f>
        <v/>
      </c>
      <c r="X6" s="65">
        <f>IF(OR($K6="",$H6=""),"",MIN(MAX(0,IF($O6="WDV",W6*$P6*MAX(0,(IF($I6="",X$3,MIN($I6,X$3)))-(MAX($H6,(EDATE(X$3,-12)+1)))+1)/(X$3-(EDATE(X$3,-12)+1)+1),IF($N6=0,0,$Q6/$N6*MAX(0,(IF($I6="",X$3,MIN($I6,X$3)))-(MAX($H6,(EDATE(X$3,-12)+1)))+1)/(X$3-(EDATE(X$3,-12)+1)+1)))),MAX(0,W6-$M6)))</f>
        <v/>
      </c>
      <c r="Y6" s="65">
        <f>IF($K6="","",IF(AND($I6&lt;&gt;"",$I6&lt;=X$3),0,W6-X6))</f>
        <v/>
      </c>
      <c r="Z6" s="65">
        <f>IF(OR($K6="",$H6=""),"",MIN(MAX(0,IF($O6="WDV",Y6*$P6*MAX(0,(IF($I6="",Z$3,MIN($I6,Z$3)))-(MAX($H6,(EDATE(Z$3,-12)+1)))+1)/(Z$3-(EDATE(Z$3,-12)+1)+1),IF($N6=0,0,$Q6/$N6*MAX(0,(IF($I6="",Z$3,MIN($I6,Z$3)))-(MAX($H6,(EDATE(Z$3,-12)+1)))+1)/(Z$3-(EDATE(Z$3,-12)+1)+1)))),MAX(0,Y6-$M6)))</f>
        <v/>
      </c>
      <c r="AA6" s="65">
        <f>IF($K6="","",IF(AND($I6&lt;&gt;"",$I6&lt;=Z$3),0,Y6-Z6))</f>
        <v/>
      </c>
      <c r="AB6" s="65">
        <f>IF(OR($K6="",$H6=""),"",MIN(MAX(0,IF($O6="WDV",AA6*$P6*MAX(0,(IF($I6="",AB$3,MIN($I6,AB$3)))-(MAX($H6,(EDATE(AB$3,-12)+1)))+1)/(AB$3-(EDATE(AB$3,-12)+1)+1),IF($N6=0,0,$Q6/$N6*MAX(0,(IF($I6="",AB$3,MIN($I6,AB$3)))-(MAX($H6,(EDATE(AB$3,-12)+1)))+1)/(AB$3-(EDATE(AB$3,-12)+1)+1)))),MAX(0,AA6-$M6)))</f>
        <v/>
      </c>
      <c r="AC6" s="65">
        <f>IF($K6="","",IF(AND($I6&lt;&gt;"",$I6&lt;=AB$3),0,AA6-AB6))</f>
        <v/>
      </c>
      <c r="AD6" s="65">
        <f>IF(OR($K6="",$H6=""),"",MIN(MAX(0,IF($O6="WDV",AC6*$P6*MAX(0,(IF($I6="",AD$3,MIN($I6,AD$3)))-(MAX($H6,(EDATE(AD$3,-12)+1)))+1)/(AD$3-(EDATE(AD$3,-12)+1)+1),IF($N6=0,0,$Q6/$N6*MAX(0,(IF($I6="",AD$3,MIN($I6,AD$3)))-(MAX($H6,(EDATE(AD$3,-12)+1)))+1)/(AD$3-(EDATE(AD$3,-12)+1)+1)))),MAX(0,AC6-$M6)))</f>
        <v/>
      </c>
      <c r="AE6" s="65">
        <f>IF($K6="","",IF(AND($I6&lt;&gt;"",$I6&lt;=AD$3),0,AC6-AD6))</f>
        <v/>
      </c>
      <c r="AF6" s="65">
        <f>IF(OR($K6="",$H6=""),"",MIN(MAX(0,IF($O6="WDV",AE6*$P6*MAX(0,(IF($I6="",AF$3,MIN($I6,AF$3)))-(MAX($H6,(EDATE(AF$3,-12)+1)))+1)/(AF$3-(EDATE(AF$3,-12)+1)+1),IF($N6=0,0,$Q6/$N6*MAX(0,(IF($I6="",AF$3,MIN($I6,AF$3)))-(MAX($H6,(EDATE(AF$3,-12)+1)))+1)/(AF$3-(EDATE(AF$3,-12)+1)+1)))),MAX(0,AE6-$M6)))</f>
        <v/>
      </c>
      <c r="AG6" s="65">
        <f>IF($K6="","",IF(AND($I6&lt;&gt;"",$I6&lt;=AF$3),0,AE6-AF6))</f>
        <v/>
      </c>
      <c r="AH6" s="65">
        <f>IF(OR($K6="",$H6=""),"",MIN(MAX(0,IF($O6="WDV",AG6*$P6*MAX(0,(IF($I6="",AH$3,MIN($I6,AH$3)))-(MAX($H6,(EDATE(AH$3,-12)+1)))+1)/(AH$3-(EDATE(AH$3,-12)+1)+1),IF($N6=0,0,$Q6/$N6*MAX(0,(IF($I6="",AH$3,MIN($I6,AH$3)))-(MAX($H6,(EDATE(AH$3,-12)+1)))+1)/(AH$3-(EDATE(AH$3,-12)+1)+1)))),MAX(0,AG6-$M6)))</f>
        <v/>
      </c>
      <c r="AI6" s="65">
        <f>IF($K6="","",IF(AND($I6&lt;&gt;"",$I6&lt;=AH$3),0,AG6-AH6))</f>
        <v/>
      </c>
      <c r="AJ6" s="65">
        <f>IF(OR($K6="",$H6=""),"",MIN(MAX(0,IF($O6="WDV",AI6*$P6*MAX(0,(IF($I6="",AJ$3,MIN($I6,AJ$3)))-(MAX($H6,(EDATE(AJ$3,-12)+1)))+1)/(AJ$3-(EDATE(AJ$3,-12)+1)+1),IF($N6=0,0,$Q6/$N6*MAX(0,(IF($I6="",AJ$3,MIN($I6,AJ$3)))-(MAX($H6,(EDATE(AJ$3,-12)+1)))+1)/(AJ$3-(EDATE(AJ$3,-12)+1)+1)))),MAX(0,AI6-$M6)))</f>
        <v/>
      </c>
      <c r="AK6" s="65">
        <f>IF($K6="","",IF(AND($I6&lt;&gt;"",$I6&lt;=AJ$3),0,AI6-AJ6))</f>
        <v/>
      </c>
      <c r="AL6" s="65">
        <f>IF(OR($K6="",$H6=""),"",MIN(MAX(0,IF($O6="WDV",AK6*$P6*MAX(0,(IF($I6="",AL$3,MIN($I6,AL$3)))-(MAX($H6,(EDATE(AL$3,-12)+1)))+1)/(AL$3-(EDATE(AL$3,-12)+1)+1),IF($N6=0,0,$Q6/$N6*MAX(0,(IF($I6="",AL$3,MIN($I6,AL$3)))-(MAX($H6,(EDATE(AL$3,-12)+1)))+1)/(AL$3-(EDATE(AL$3,-12)+1)+1)))),MAX(0,AK6-$M6)))</f>
        <v/>
      </c>
      <c r="AM6" s="65">
        <f>IF($K6="","",IF(AND($I6&lt;&gt;"",$I6&lt;=AL$3),0,AK6-AL6))</f>
        <v/>
      </c>
      <c r="AN6" s="65">
        <f>IF(OR($K6="",$H6=""),"",MIN(MAX(0,IF($O6="WDV",AM6*$P6*MAX(0,(IF($I6="",AN$3,MIN($I6,AN$3)))-(MAX($H6,(EDATE(AN$3,-12)+1)))+1)/(AN$3-(EDATE(AN$3,-12)+1)+1),IF($N6=0,0,$Q6/$N6*MAX(0,(IF($I6="",AN$3,MIN($I6,AN$3)))-(MAX($H6,(EDATE(AN$3,-12)+1)))+1)/(AN$3-(EDATE(AN$3,-12)+1)+1)))),MAX(0,AM6-$M6)))</f>
        <v/>
      </c>
      <c r="AO6" s="65">
        <f>IF($K6="","",IF(AND($I6&lt;&gt;"",$I6&lt;=AN$3),0,AM6-AN6))</f>
        <v/>
      </c>
      <c r="AP6" s="65">
        <f>IF(OR($K6="",$H6=""),"",MIN(MAX(0,IF($O6="WDV",AO6*$P6*MAX(0,(IF($I6="",AP$3,MIN($I6,AP$3)))-(MAX($H6,(EDATE(AP$3,-12)+1)))+1)/(AP$3-(EDATE(AP$3,-12)+1)+1),IF($N6=0,0,$Q6/$N6*MAX(0,(IF($I6="",AP$3,MIN($I6,AP$3)))-(MAX($H6,(EDATE(AP$3,-12)+1)))+1)/(AP$3-(EDATE(AP$3,-12)+1)+1)))),MAX(0,AO6-$M6)))</f>
        <v/>
      </c>
      <c r="AQ6" s="65">
        <f>IF($K6="","",IF(AND($I6&lt;&gt;"",$I6&lt;=AP$3),0,AO6-AP6))</f>
        <v/>
      </c>
      <c r="AR6" s="65">
        <f>IF(OR($K6="",$H6=""),"",MIN(MAX(0,IF($O6="WDV",AQ6*$P6*MAX(0,(IF($I6="",AR$3,MIN($I6,AR$3)))-(MAX($H6,(EDATE(AR$3,-12)+1)))+1)/(AR$3-(EDATE(AR$3,-12)+1)+1),IF($N6=0,0,$Q6/$N6*MAX(0,(IF($I6="",AR$3,MIN($I6,AR$3)))-(MAX($H6,(EDATE(AR$3,-12)+1)))+1)/(AR$3-(EDATE(AR$3,-12)+1)+1)))),MAX(0,AQ6-$M6)))</f>
        <v/>
      </c>
      <c r="AS6" s="65">
        <f>IF($K6="","",IF(AND($I6&lt;&gt;"",$I6&lt;=AR$3),0,AQ6-AR6))</f>
        <v/>
      </c>
      <c r="AT6" s="65">
        <f>IF(OR($K6="",$H6=""),"",MIN(MAX(0,IF($O6="WDV",AS6*$P6*MAX(0,(IF($I6="",AT$3,MIN($I6,AT$3)))-(MAX($H6,(EDATE(AT$3,-12)+1)))+1)/(AT$3-(EDATE(AT$3,-12)+1)+1),IF($N6=0,0,$Q6/$N6*MAX(0,(IF($I6="",AT$3,MIN($I6,AT$3)))-(MAX($H6,(EDATE(AT$3,-12)+1)))+1)/(AT$3-(EDATE(AT$3,-12)+1)+1)))),MAX(0,AS6-$M6)))</f>
        <v/>
      </c>
      <c r="AU6" s="65">
        <f>IF($K6="","",IF(AND($I6&lt;&gt;"",$I6&lt;=AT$3),0,AS6-AT6))</f>
        <v/>
      </c>
      <c r="AV6" s="65">
        <f>IF(OR($K6="",$H6=""),"",MIN(MAX(0,IF($O6="WDV",AU6*$P6*MAX(0,(IF($I6="",AV$3,MIN($I6,AV$3)))-(MAX($H6,(EDATE(AV$3,-12)+1)))+1)/(AV$3-(EDATE(AV$3,-12)+1)+1),IF($N6=0,0,$Q6/$N6*MAX(0,(IF($I6="",AV$3,MIN($I6,AV$3)))-(MAX($H6,(EDATE(AV$3,-12)+1)))+1)/(AV$3-(EDATE(AV$3,-12)+1)+1)))),MAX(0,AU6-$M6)))</f>
        <v/>
      </c>
      <c r="AW6" s="65">
        <f>IF($K6="","",IF(AND($I6&lt;&gt;"",$I6&lt;=AV$3),0,AU6-AV6))</f>
        <v/>
      </c>
      <c r="AX6" s="65">
        <f>IF(OR($K6="",$H6=""),"",MIN(MAX(0,IF($O6="WDV",AW6*$P6*MAX(0,(IF($I6="",AX$3,MIN($I6,AX$3)))-(MAX($H6,(EDATE(AX$3,-12)+1)))+1)/(AX$3-(EDATE(AX$3,-12)+1)+1),IF($N6=0,0,$Q6/$N6*MAX(0,(IF($I6="",AX$3,MIN($I6,AX$3)))-(MAX($H6,(EDATE(AX$3,-12)+1)))+1)/(AX$3-(EDATE(AX$3,-12)+1)+1)))),MAX(0,AW6-$M6)))</f>
        <v/>
      </c>
      <c r="AY6" s="65">
        <f>IF($K6="","",IF(AND($I6&lt;&gt;"",$I6&lt;=AX$3),0,AW6-AX6))</f>
        <v/>
      </c>
      <c r="AZ6" s="65">
        <f>IF(OR($K6="",$H6=""),"",MIN(MAX(0,IF($O6="WDV",AY6*$P6*MAX(0,(IF($I6="",AZ$3,MIN($I6,AZ$3)))-(MAX($H6,(EDATE(AZ$3,-12)+1)))+1)/(AZ$3-(EDATE(AZ$3,-12)+1)+1),IF($N6=0,0,$Q6/$N6*MAX(0,(IF($I6="",AZ$3,MIN($I6,AZ$3)))-(MAX($H6,(EDATE(AZ$3,-12)+1)))+1)/(AZ$3-(EDATE(AZ$3,-12)+1)+1)))),MAX(0,AY6-$M6)))</f>
        <v/>
      </c>
      <c r="BA6" s="65">
        <f>IF($K6="","",IF(AND($I6&lt;&gt;"",$I6&lt;=AZ$3),0,AY6-AZ6))</f>
        <v/>
      </c>
    </row>
    <row r="7">
      <c r="A7" s="34" t="inlineStr">
        <is>
          <t>FA-003</t>
        </is>
      </c>
      <c r="B7" s="35" t="inlineStr">
        <is>
          <t>CNC Machine</t>
        </is>
      </c>
      <c r="C7" s="35" t="inlineStr">
        <is>
          <t>Plant &amp; Machinery - General</t>
        </is>
      </c>
      <c r="D7" s="35" t="inlineStr">
        <is>
          <t>Pune Plant</t>
        </is>
      </c>
      <c r="E7" s="36" t="inlineStr">
        <is>
          <t>TechMach India</t>
        </is>
      </c>
      <c r="F7" s="37" t="inlineStr">
        <is>
          <t>INV-PM-203</t>
        </is>
      </c>
      <c r="G7" s="38" t="n">
        <v>44326</v>
      </c>
      <c r="H7" s="38" t="n">
        <v>44348</v>
      </c>
      <c r="I7" s="39" t="n"/>
      <c r="J7" s="40" t="n"/>
      <c r="K7" s="41" t="n">
        <v>6500000</v>
      </c>
      <c r="L7" s="42">
        <f>DefaultResidual</f>
        <v/>
      </c>
      <c r="M7" s="43">
        <f>IF($K7="","",$K7*$L7)</f>
        <v/>
      </c>
      <c r="N7" s="44">
        <f>IF($C7="","",IFERROR(VLOOKUP($C7,ScheduleIITable,3,FALSE),"#N/A"))</f>
        <v/>
      </c>
      <c r="O7" s="45">
        <f>IF($K7="","",GlobalMethod)</f>
        <v/>
      </c>
      <c r="P7" s="46">
        <f>IF(OR($K7="",$N7="",$N7=0,$M7=0),0,1-($M7/$K7)^(1/$N7))</f>
        <v/>
      </c>
      <c r="Q7" s="43">
        <f>IF($K7="","",$K7-$M7)</f>
        <v/>
      </c>
      <c r="R7" s="47">
        <f>IF($K7="","",INDEX($V7:$BA7,1,MATCH(ReportingFYEnd,$V$3:$BA$3,0)))</f>
        <v/>
      </c>
      <c r="S7" s="43">
        <f>IF($K7="","",IF($U7="Disposed",0,$K7-$T7))</f>
        <v/>
      </c>
      <c r="T7" s="48">
        <f>IF($K7="","",INDEX($V7:$BA7,1,MATCH(ReportingFYEnd,$V$3:$BA$3,0)+1))</f>
        <v/>
      </c>
      <c r="U7" s="49">
        <f>IF($K7="","",IF(AND($I7&lt;&gt;"",$I7&lt;=ReportingFYEnd),"Disposed",IF(OR($H7="",$H7&gt;ReportingFYEnd),"Not Yet in Use","Active")))</f>
        <v/>
      </c>
      <c r="V7" s="50">
        <f>IF(OR($K7="",$H7=""),"",MIN(MAX(0,IF($O7="WDV",$K7*$P7*MAX(0,(IF($I7="",V$3,MIN($I7,V$3)))-(MAX($H7,(EDATE(V$3,-12)+1)))+1)/(V$3-(EDATE(V$3,-12)+1)+1),IF($N7=0,0,$Q7/$N7*MAX(0,(IF($I7="",V$3,MIN($I7,V$3)))-(MAX($H7,(EDATE(V$3,-12)+1)))+1)/(V$3-(EDATE(V$3,-12)+1)+1)))),MAX(0,$K7-$M7)))</f>
        <v/>
      </c>
      <c r="W7" s="51">
        <f>IF($K7="","",IF(AND($I7&lt;&gt;"",$I7&lt;=V$3),0,$K7-V7))</f>
        <v/>
      </c>
      <c r="X7" s="50">
        <f>IF(OR($K7="",$H7=""),"",MIN(MAX(0,IF($O7="WDV",W7*$P7*MAX(0,(IF($I7="",X$3,MIN($I7,X$3)))-(MAX($H7,(EDATE(X$3,-12)+1)))+1)/(X$3-(EDATE(X$3,-12)+1)+1),IF($N7=0,0,$Q7/$N7*MAX(0,(IF($I7="",X$3,MIN($I7,X$3)))-(MAX($H7,(EDATE(X$3,-12)+1)))+1)/(X$3-(EDATE(X$3,-12)+1)+1)))),MAX(0,W7-$M7)))</f>
        <v/>
      </c>
      <c r="Y7" s="51">
        <f>IF($K7="","",IF(AND($I7&lt;&gt;"",$I7&lt;=X$3),0,W7-X7))</f>
        <v/>
      </c>
      <c r="Z7" s="50">
        <f>IF(OR($K7="",$H7=""),"",MIN(MAX(0,IF($O7="WDV",Y7*$P7*MAX(0,(IF($I7="",Z$3,MIN($I7,Z$3)))-(MAX($H7,(EDATE(Z$3,-12)+1)))+1)/(Z$3-(EDATE(Z$3,-12)+1)+1),IF($N7=0,0,$Q7/$N7*MAX(0,(IF($I7="",Z$3,MIN($I7,Z$3)))-(MAX($H7,(EDATE(Z$3,-12)+1)))+1)/(Z$3-(EDATE(Z$3,-12)+1)+1)))),MAX(0,Y7-$M7)))</f>
        <v/>
      </c>
      <c r="AA7" s="51">
        <f>IF($K7="","",IF(AND($I7&lt;&gt;"",$I7&lt;=Z$3),0,Y7-Z7))</f>
        <v/>
      </c>
      <c r="AB7" s="50">
        <f>IF(OR($K7="",$H7=""),"",MIN(MAX(0,IF($O7="WDV",AA7*$P7*MAX(0,(IF($I7="",AB$3,MIN($I7,AB$3)))-(MAX($H7,(EDATE(AB$3,-12)+1)))+1)/(AB$3-(EDATE(AB$3,-12)+1)+1),IF($N7=0,0,$Q7/$N7*MAX(0,(IF($I7="",AB$3,MIN($I7,AB$3)))-(MAX($H7,(EDATE(AB$3,-12)+1)))+1)/(AB$3-(EDATE(AB$3,-12)+1)+1)))),MAX(0,AA7-$M7)))</f>
        <v/>
      </c>
      <c r="AC7" s="51">
        <f>IF($K7="","",IF(AND($I7&lt;&gt;"",$I7&lt;=AB$3),0,AA7-AB7))</f>
        <v/>
      </c>
      <c r="AD7" s="50">
        <f>IF(OR($K7="",$H7=""),"",MIN(MAX(0,IF($O7="WDV",AC7*$P7*MAX(0,(IF($I7="",AD$3,MIN($I7,AD$3)))-(MAX($H7,(EDATE(AD$3,-12)+1)))+1)/(AD$3-(EDATE(AD$3,-12)+1)+1),IF($N7=0,0,$Q7/$N7*MAX(0,(IF($I7="",AD$3,MIN($I7,AD$3)))-(MAX($H7,(EDATE(AD$3,-12)+1)))+1)/(AD$3-(EDATE(AD$3,-12)+1)+1)))),MAX(0,AC7-$M7)))</f>
        <v/>
      </c>
      <c r="AE7" s="51">
        <f>IF($K7="","",IF(AND($I7&lt;&gt;"",$I7&lt;=AD$3),0,AC7-AD7))</f>
        <v/>
      </c>
      <c r="AF7" s="50">
        <f>IF(OR($K7="",$H7=""),"",MIN(MAX(0,IF($O7="WDV",AE7*$P7*MAX(0,(IF($I7="",AF$3,MIN($I7,AF$3)))-(MAX($H7,(EDATE(AF$3,-12)+1)))+1)/(AF$3-(EDATE(AF$3,-12)+1)+1),IF($N7=0,0,$Q7/$N7*MAX(0,(IF($I7="",AF$3,MIN($I7,AF$3)))-(MAX($H7,(EDATE(AF$3,-12)+1)))+1)/(AF$3-(EDATE(AF$3,-12)+1)+1)))),MAX(0,AE7-$M7)))</f>
        <v/>
      </c>
      <c r="AG7" s="51">
        <f>IF($K7="","",IF(AND($I7&lt;&gt;"",$I7&lt;=AF$3),0,AE7-AF7))</f>
        <v/>
      </c>
      <c r="AH7" s="50">
        <f>IF(OR($K7="",$H7=""),"",MIN(MAX(0,IF($O7="WDV",AG7*$P7*MAX(0,(IF($I7="",AH$3,MIN($I7,AH$3)))-(MAX($H7,(EDATE(AH$3,-12)+1)))+1)/(AH$3-(EDATE(AH$3,-12)+1)+1),IF($N7=0,0,$Q7/$N7*MAX(0,(IF($I7="",AH$3,MIN($I7,AH$3)))-(MAX($H7,(EDATE(AH$3,-12)+1)))+1)/(AH$3-(EDATE(AH$3,-12)+1)+1)))),MAX(0,AG7-$M7)))</f>
        <v/>
      </c>
      <c r="AI7" s="51">
        <f>IF($K7="","",IF(AND($I7&lt;&gt;"",$I7&lt;=AH$3),0,AG7-AH7))</f>
        <v/>
      </c>
      <c r="AJ7" s="50">
        <f>IF(OR($K7="",$H7=""),"",MIN(MAX(0,IF($O7="WDV",AI7*$P7*MAX(0,(IF($I7="",AJ$3,MIN($I7,AJ$3)))-(MAX($H7,(EDATE(AJ$3,-12)+1)))+1)/(AJ$3-(EDATE(AJ$3,-12)+1)+1),IF($N7=0,0,$Q7/$N7*MAX(0,(IF($I7="",AJ$3,MIN($I7,AJ$3)))-(MAX($H7,(EDATE(AJ$3,-12)+1)))+1)/(AJ$3-(EDATE(AJ$3,-12)+1)+1)))),MAX(0,AI7-$M7)))</f>
        <v/>
      </c>
      <c r="AK7" s="51">
        <f>IF($K7="","",IF(AND($I7&lt;&gt;"",$I7&lt;=AJ$3),0,AI7-AJ7))</f>
        <v/>
      </c>
      <c r="AL7" s="50">
        <f>IF(OR($K7="",$H7=""),"",MIN(MAX(0,IF($O7="WDV",AK7*$P7*MAX(0,(IF($I7="",AL$3,MIN($I7,AL$3)))-(MAX($H7,(EDATE(AL$3,-12)+1)))+1)/(AL$3-(EDATE(AL$3,-12)+1)+1),IF($N7=0,0,$Q7/$N7*MAX(0,(IF($I7="",AL$3,MIN($I7,AL$3)))-(MAX($H7,(EDATE(AL$3,-12)+1)))+1)/(AL$3-(EDATE(AL$3,-12)+1)+1)))),MAX(0,AK7-$M7)))</f>
        <v/>
      </c>
      <c r="AM7" s="51">
        <f>IF($K7="","",IF(AND($I7&lt;&gt;"",$I7&lt;=AL$3),0,AK7-AL7))</f>
        <v/>
      </c>
      <c r="AN7" s="50">
        <f>IF(OR($K7="",$H7=""),"",MIN(MAX(0,IF($O7="WDV",AM7*$P7*MAX(0,(IF($I7="",AN$3,MIN($I7,AN$3)))-(MAX($H7,(EDATE(AN$3,-12)+1)))+1)/(AN$3-(EDATE(AN$3,-12)+1)+1),IF($N7=0,0,$Q7/$N7*MAX(0,(IF($I7="",AN$3,MIN($I7,AN$3)))-(MAX($H7,(EDATE(AN$3,-12)+1)))+1)/(AN$3-(EDATE(AN$3,-12)+1)+1)))),MAX(0,AM7-$M7)))</f>
        <v/>
      </c>
      <c r="AO7" s="51">
        <f>IF($K7="","",IF(AND($I7&lt;&gt;"",$I7&lt;=AN$3),0,AM7-AN7))</f>
        <v/>
      </c>
      <c r="AP7" s="50">
        <f>IF(OR($K7="",$H7=""),"",MIN(MAX(0,IF($O7="WDV",AO7*$P7*MAX(0,(IF($I7="",AP$3,MIN($I7,AP$3)))-(MAX($H7,(EDATE(AP$3,-12)+1)))+1)/(AP$3-(EDATE(AP$3,-12)+1)+1),IF($N7=0,0,$Q7/$N7*MAX(0,(IF($I7="",AP$3,MIN($I7,AP$3)))-(MAX($H7,(EDATE(AP$3,-12)+1)))+1)/(AP$3-(EDATE(AP$3,-12)+1)+1)))),MAX(0,AO7-$M7)))</f>
        <v/>
      </c>
      <c r="AQ7" s="51">
        <f>IF($K7="","",IF(AND($I7&lt;&gt;"",$I7&lt;=AP$3),0,AO7-AP7))</f>
        <v/>
      </c>
      <c r="AR7" s="50">
        <f>IF(OR($K7="",$H7=""),"",MIN(MAX(0,IF($O7="WDV",AQ7*$P7*MAX(0,(IF($I7="",AR$3,MIN($I7,AR$3)))-(MAX($H7,(EDATE(AR$3,-12)+1)))+1)/(AR$3-(EDATE(AR$3,-12)+1)+1),IF($N7=0,0,$Q7/$N7*MAX(0,(IF($I7="",AR$3,MIN($I7,AR$3)))-(MAX($H7,(EDATE(AR$3,-12)+1)))+1)/(AR$3-(EDATE(AR$3,-12)+1)+1)))),MAX(0,AQ7-$M7)))</f>
        <v/>
      </c>
      <c r="AS7" s="51">
        <f>IF($K7="","",IF(AND($I7&lt;&gt;"",$I7&lt;=AR$3),0,AQ7-AR7))</f>
        <v/>
      </c>
      <c r="AT7" s="50">
        <f>IF(OR($K7="",$H7=""),"",MIN(MAX(0,IF($O7="WDV",AS7*$P7*MAX(0,(IF($I7="",AT$3,MIN($I7,AT$3)))-(MAX($H7,(EDATE(AT$3,-12)+1)))+1)/(AT$3-(EDATE(AT$3,-12)+1)+1),IF($N7=0,0,$Q7/$N7*MAX(0,(IF($I7="",AT$3,MIN($I7,AT$3)))-(MAX($H7,(EDATE(AT$3,-12)+1)))+1)/(AT$3-(EDATE(AT$3,-12)+1)+1)))),MAX(0,AS7-$M7)))</f>
        <v/>
      </c>
      <c r="AU7" s="51">
        <f>IF($K7="","",IF(AND($I7&lt;&gt;"",$I7&lt;=AT$3),0,AS7-AT7))</f>
        <v/>
      </c>
      <c r="AV7" s="50">
        <f>IF(OR($K7="",$H7=""),"",MIN(MAX(0,IF($O7="WDV",AU7*$P7*MAX(0,(IF($I7="",AV$3,MIN($I7,AV$3)))-(MAX($H7,(EDATE(AV$3,-12)+1)))+1)/(AV$3-(EDATE(AV$3,-12)+1)+1),IF($N7=0,0,$Q7/$N7*MAX(0,(IF($I7="",AV$3,MIN($I7,AV$3)))-(MAX($H7,(EDATE(AV$3,-12)+1)))+1)/(AV$3-(EDATE(AV$3,-12)+1)+1)))),MAX(0,AU7-$M7)))</f>
        <v/>
      </c>
      <c r="AW7" s="51">
        <f>IF($K7="","",IF(AND($I7&lt;&gt;"",$I7&lt;=AV$3),0,AU7-AV7))</f>
        <v/>
      </c>
      <c r="AX7" s="50">
        <f>IF(OR($K7="",$H7=""),"",MIN(MAX(0,IF($O7="WDV",AW7*$P7*MAX(0,(IF($I7="",AX$3,MIN($I7,AX$3)))-(MAX($H7,(EDATE(AX$3,-12)+1)))+1)/(AX$3-(EDATE(AX$3,-12)+1)+1),IF($N7=0,0,$Q7/$N7*MAX(0,(IF($I7="",AX$3,MIN($I7,AX$3)))-(MAX($H7,(EDATE(AX$3,-12)+1)))+1)/(AX$3-(EDATE(AX$3,-12)+1)+1)))),MAX(0,AW7-$M7)))</f>
        <v/>
      </c>
      <c r="AY7" s="51">
        <f>IF($K7="","",IF(AND($I7&lt;&gt;"",$I7&lt;=AX$3),0,AW7-AX7))</f>
        <v/>
      </c>
      <c r="AZ7" s="50">
        <f>IF(OR($K7="",$H7=""),"",MIN(MAX(0,IF($O7="WDV",AY7*$P7*MAX(0,(IF($I7="",AZ$3,MIN($I7,AZ$3)))-(MAX($H7,(EDATE(AZ$3,-12)+1)))+1)/(AZ$3-(EDATE(AZ$3,-12)+1)+1),IF($N7=0,0,$Q7/$N7*MAX(0,(IF($I7="",AZ$3,MIN($I7,AZ$3)))-(MAX($H7,(EDATE(AZ$3,-12)+1)))+1)/(AZ$3-(EDATE(AZ$3,-12)+1)+1)))),MAX(0,AY7-$M7)))</f>
        <v/>
      </c>
      <c r="BA7" s="51">
        <f>IF($K7="","",IF(AND($I7&lt;&gt;"",$I7&lt;=AZ$3),0,AY7-AZ7))</f>
        <v/>
      </c>
    </row>
    <row r="8">
      <c r="A8" s="52" t="inlineStr">
        <is>
          <t>FA-004</t>
        </is>
      </c>
      <c r="B8" s="53" t="inlineStr">
        <is>
          <t>Office Furniture (lot)</t>
        </is>
      </c>
      <c r="C8" s="53" t="inlineStr">
        <is>
          <t>Furniture &amp; Fittings</t>
        </is>
      </c>
      <c r="D8" s="53" t="inlineStr">
        <is>
          <t>Mumbai HO</t>
        </is>
      </c>
      <c r="E8" s="19" t="inlineStr">
        <is>
          <t>Featherlite</t>
        </is>
      </c>
      <c r="F8" s="54" t="inlineStr">
        <is>
          <t>INV-FF-099</t>
        </is>
      </c>
      <c r="G8" s="55" t="n">
        <v>44306</v>
      </c>
      <c r="H8" s="55" t="n">
        <v>44306</v>
      </c>
      <c r="I8" s="56" t="n"/>
      <c r="J8" s="57" t="n"/>
      <c r="K8" s="58" t="n">
        <v>850000</v>
      </c>
      <c r="L8" s="59">
        <f>DefaultResidual</f>
        <v/>
      </c>
      <c r="M8" s="60">
        <f>IF($K8="","",$K8*$L8)</f>
        <v/>
      </c>
      <c r="N8" s="20">
        <f>IF($C8="","",IFERROR(VLOOKUP($C8,ScheduleIITable,3,FALSE),"#N/A"))</f>
        <v/>
      </c>
      <c r="O8" s="61">
        <f>IF($K8="","",GlobalMethod)</f>
        <v/>
      </c>
      <c r="P8" s="21">
        <f>IF(OR($K8="",$N8="",$N8=0,$M8=0),0,1-($M8/$K8)^(1/$N8))</f>
        <v/>
      </c>
      <c r="Q8" s="60">
        <f>IF($K8="","",$K8-$M8)</f>
        <v/>
      </c>
      <c r="R8" s="62">
        <f>IF($K8="","",INDEX($V8:$BA8,1,MATCH(ReportingFYEnd,$V$3:$BA$3,0)))</f>
        <v/>
      </c>
      <c r="S8" s="60">
        <f>IF($K8="","",IF($U8="Disposed",0,$K8-$T8))</f>
        <v/>
      </c>
      <c r="T8" s="63">
        <f>IF($K8="","",INDEX($V8:$BA8,1,MATCH(ReportingFYEnd,$V$3:$BA$3,0)+1))</f>
        <v/>
      </c>
      <c r="U8" s="64">
        <f>IF($K8="","",IF(AND($I8&lt;&gt;"",$I8&lt;=ReportingFYEnd),"Disposed",IF(OR($H8="",$H8&gt;ReportingFYEnd),"Not Yet in Use","Active")))</f>
        <v/>
      </c>
      <c r="V8" s="65">
        <f>IF(OR($K8="",$H8=""),"",MIN(MAX(0,IF($O8="WDV",$K8*$P8*MAX(0,(IF($I8="",V$3,MIN($I8,V$3)))-(MAX($H8,(EDATE(V$3,-12)+1)))+1)/(V$3-(EDATE(V$3,-12)+1)+1),IF($N8=0,0,$Q8/$N8*MAX(0,(IF($I8="",V$3,MIN($I8,V$3)))-(MAX($H8,(EDATE(V$3,-12)+1)))+1)/(V$3-(EDATE(V$3,-12)+1)+1)))),MAX(0,$K8-$M8)))</f>
        <v/>
      </c>
      <c r="W8" s="65">
        <f>IF($K8="","",IF(AND($I8&lt;&gt;"",$I8&lt;=V$3),0,$K8-V8))</f>
        <v/>
      </c>
      <c r="X8" s="65">
        <f>IF(OR($K8="",$H8=""),"",MIN(MAX(0,IF($O8="WDV",W8*$P8*MAX(0,(IF($I8="",X$3,MIN($I8,X$3)))-(MAX($H8,(EDATE(X$3,-12)+1)))+1)/(X$3-(EDATE(X$3,-12)+1)+1),IF($N8=0,0,$Q8/$N8*MAX(0,(IF($I8="",X$3,MIN($I8,X$3)))-(MAX($H8,(EDATE(X$3,-12)+1)))+1)/(X$3-(EDATE(X$3,-12)+1)+1)))),MAX(0,W8-$M8)))</f>
        <v/>
      </c>
      <c r="Y8" s="65">
        <f>IF($K8="","",IF(AND($I8&lt;&gt;"",$I8&lt;=X$3),0,W8-X8))</f>
        <v/>
      </c>
      <c r="Z8" s="65">
        <f>IF(OR($K8="",$H8=""),"",MIN(MAX(0,IF($O8="WDV",Y8*$P8*MAX(0,(IF($I8="",Z$3,MIN($I8,Z$3)))-(MAX($H8,(EDATE(Z$3,-12)+1)))+1)/(Z$3-(EDATE(Z$3,-12)+1)+1),IF($N8=0,0,$Q8/$N8*MAX(0,(IF($I8="",Z$3,MIN($I8,Z$3)))-(MAX($H8,(EDATE(Z$3,-12)+1)))+1)/(Z$3-(EDATE(Z$3,-12)+1)+1)))),MAX(0,Y8-$M8)))</f>
        <v/>
      </c>
      <c r="AA8" s="65">
        <f>IF($K8="","",IF(AND($I8&lt;&gt;"",$I8&lt;=Z$3),0,Y8-Z8))</f>
        <v/>
      </c>
      <c r="AB8" s="65">
        <f>IF(OR($K8="",$H8=""),"",MIN(MAX(0,IF($O8="WDV",AA8*$P8*MAX(0,(IF($I8="",AB$3,MIN($I8,AB$3)))-(MAX($H8,(EDATE(AB$3,-12)+1)))+1)/(AB$3-(EDATE(AB$3,-12)+1)+1),IF($N8=0,0,$Q8/$N8*MAX(0,(IF($I8="",AB$3,MIN($I8,AB$3)))-(MAX($H8,(EDATE(AB$3,-12)+1)))+1)/(AB$3-(EDATE(AB$3,-12)+1)+1)))),MAX(0,AA8-$M8)))</f>
        <v/>
      </c>
      <c r="AC8" s="65">
        <f>IF($K8="","",IF(AND($I8&lt;&gt;"",$I8&lt;=AB$3),0,AA8-AB8))</f>
        <v/>
      </c>
      <c r="AD8" s="65">
        <f>IF(OR($K8="",$H8=""),"",MIN(MAX(0,IF($O8="WDV",AC8*$P8*MAX(0,(IF($I8="",AD$3,MIN($I8,AD$3)))-(MAX($H8,(EDATE(AD$3,-12)+1)))+1)/(AD$3-(EDATE(AD$3,-12)+1)+1),IF($N8=0,0,$Q8/$N8*MAX(0,(IF($I8="",AD$3,MIN($I8,AD$3)))-(MAX($H8,(EDATE(AD$3,-12)+1)))+1)/(AD$3-(EDATE(AD$3,-12)+1)+1)))),MAX(0,AC8-$M8)))</f>
        <v/>
      </c>
      <c r="AE8" s="65">
        <f>IF($K8="","",IF(AND($I8&lt;&gt;"",$I8&lt;=AD$3),0,AC8-AD8))</f>
        <v/>
      </c>
      <c r="AF8" s="65">
        <f>IF(OR($K8="",$H8=""),"",MIN(MAX(0,IF($O8="WDV",AE8*$P8*MAX(0,(IF($I8="",AF$3,MIN($I8,AF$3)))-(MAX($H8,(EDATE(AF$3,-12)+1)))+1)/(AF$3-(EDATE(AF$3,-12)+1)+1),IF($N8=0,0,$Q8/$N8*MAX(0,(IF($I8="",AF$3,MIN($I8,AF$3)))-(MAX($H8,(EDATE(AF$3,-12)+1)))+1)/(AF$3-(EDATE(AF$3,-12)+1)+1)))),MAX(0,AE8-$M8)))</f>
        <v/>
      </c>
      <c r="AG8" s="65">
        <f>IF($K8="","",IF(AND($I8&lt;&gt;"",$I8&lt;=AF$3),0,AE8-AF8))</f>
        <v/>
      </c>
      <c r="AH8" s="65">
        <f>IF(OR($K8="",$H8=""),"",MIN(MAX(0,IF($O8="WDV",AG8*$P8*MAX(0,(IF($I8="",AH$3,MIN($I8,AH$3)))-(MAX($H8,(EDATE(AH$3,-12)+1)))+1)/(AH$3-(EDATE(AH$3,-12)+1)+1),IF($N8=0,0,$Q8/$N8*MAX(0,(IF($I8="",AH$3,MIN($I8,AH$3)))-(MAX($H8,(EDATE(AH$3,-12)+1)))+1)/(AH$3-(EDATE(AH$3,-12)+1)+1)))),MAX(0,AG8-$M8)))</f>
        <v/>
      </c>
      <c r="AI8" s="65">
        <f>IF($K8="","",IF(AND($I8&lt;&gt;"",$I8&lt;=AH$3),0,AG8-AH8))</f>
        <v/>
      </c>
      <c r="AJ8" s="65">
        <f>IF(OR($K8="",$H8=""),"",MIN(MAX(0,IF($O8="WDV",AI8*$P8*MAX(0,(IF($I8="",AJ$3,MIN($I8,AJ$3)))-(MAX($H8,(EDATE(AJ$3,-12)+1)))+1)/(AJ$3-(EDATE(AJ$3,-12)+1)+1),IF($N8=0,0,$Q8/$N8*MAX(0,(IF($I8="",AJ$3,MIN($I8,AJ$3)))-(MAX($H8,(EDATE(AJ$3,-12)+1)))+1)/(AJ$3-(EDATE(AJ$3,-12)+1)+1)))),MAX(0,AI8-$M8)))</f>
        <v/>
      </c>
      <c r="AK8" s="65">
        <f>IF($K8="","",IF(AND($I8&lt;&gt;"",$I8&lt;=AJ$3),0,AI8-AJ8))</f>
        <v/>
      </c>
      <c r="AL8" s="65">
        <f>IF(OR($K8="",$H8=""),"",MIN(MAX(0,IF($O8="WDV",AK8*$P8*MAX(0,(IF($I8="",AL$3,MIN($I8,AL$3)))-(MAX($H8,(EDATE(AL$3,-12)+1)))+1)/(AL$3-(EDATE(AL$3,-12)+1)+1),IF($N8=0,0,$Q8/$N8*MAX(0,(IF($I8="",AL$3,MIN($I8,AL$3)))-(MAX($H8,(EDATE(AL$3,-12)+1)))+1)/(AL$3-(EDATE(AL$3,-12)+1)+1)))),MAX(0,AK8-$M8)))</f>
        <v/>
      </c>
      <c r="AM8" s="65">
        <f>IF($K8="","",IF(AND($I8&lt;&gt;"",$I8&lt;=AL$3),0,AK8-AL8))</f>
        <v/>
      </c>
      <c r="AN8" s="65">
        <f>IF(OR($K8="",$H8=""),"",MIN(MAX(0,IF($O8="WDV",AM8*$P8*MAX(0,(IF($I8="",AN$3,MIN($I8,AN$3)))-(MAX($H8,(EDATE(AN$3,-12)+1)))+1)/(AN$3-(EDATE(AN$3,-12)+1)+1),IF($N8=0,0,$Q8/$N8*MAX(0,(IF($I8="",AN$3,MIN($I8,AN$3)))-(MAX($H8,(EDATE(AN$3,-12)+1)))+1)/(AN$3-(EDATE(AN$3,-12)+1)+1)))),MAX(0,AM8-$M8)))</f>
        <v/>
      </c>
      <c r="AO8" s="65">
        <f>IF($K8="","",IF(AND($I8&lt;&gt;"",$I8&lt;=AN$3),0,AM8-AN8))</f>
        <v/>
      </c>
      <c r="AP8" s="65">
        <f>IF(OR($K8="",$H8=""),"",MIN(MAX(0,IF($O8="WDV",AO8*$P8*MAX(0,(IF($I8="",AP$3,MIN($I8,AP$3)))-(MAX($H8,(EDATE(AP$3,-12)+1)))+1)/(AP$3-(EDATE(AP$3,-12)+1)+1),IF($N8=0,0,$Q8/$N8*MAX(0,(IF($I8="",AP$3,MIN($I8,AP$3)))-(MAX($H8,(EDATE(AP$3,-12)+1)))+1)/(AP$3-(EDATE(AP$3,-12)+1)+1)))),MAX(0,AO8-$M8)))</f>
        <v/>
      </c>
      <c r="AQ8" s="65">
        <f>IF($K8="","",IF(AND($I8&lt;&gt;"",$I8&lt;=AP$3),0,AO8-AP8))</f>
        <v/>
      </c>
      <c r="AR8" s="65">
        <f>IF(OR($K8="",$H8=""),"",MIN(MAX(0,IF($O8="WDV",AQ8*$P8*MAX(0,(IF($I8="",AR$3,MIN($I8,AR$3)))-(MAX($H8,(EDATE(AR$3,-12)+1)))+1)/(AR$3-(EDATE(AR$3,-12)+1)+1),IF($N8=0,0,$Q8/$N8*MAX(0,(IF($I8="",AR$3,MIN($I8,AR$3)))-(MAX($H8,(EDATE(AR$3,-12)+1)))+1)/(AR$3-(EDATE(AR$3,-12)+1)+1)))),MAX(0,AQ8-$M8)))</f>
        <v/>
      </c>
      <c r="AS8" s="65">
        <f>IF($K8="","",IF(AND($I8&lt;&gt;"",$I8&lt;=AR$3),0,AQ8-AR8))</f>
        <v/>
      </c>
      <c r="AT8" s="65">
        <f>IF(OR($K8="",$H8=""),"",MIN(MAX(0,IF($O8="WDV",AS8*$P8*MAX(0,(IF($I8="",AT$3,MIN($I8,AT$3)))-(MAX($H8,(EDATE(AT$3,-12)+1)))+1)/(AT$3-(EDATE(AT$3,-12)+1)+1),IF($N8=0,0,$Q8/$N8*MAX(0,(IF($I8="",AT$3,MIN($I8,AT$3)))-(MAX($H8,(EDATE(AT$3,-12)+1)))+1)/(AT$3-(EDATE(AT$3,-12)+1)+1)))),MAX(0,AS8-$M8)))</f>
        <v/>
      </c>
      <c r="AU8" s="65">
        <f>IF($K8="","",IF(AND($I8&lt;&gt;"",$I8&lt;=AT$3),0,AS8-AT8))</f>
        <v/>
      </c>
      <c r="AV8" s="65">
        <f>IF(OR($K8="",$H8=""),"",MIN(MAX(0,IF($O8="WDV",AU8*$P8*MAX(0,(IF($I8="",AV$3,MIN($I8,AV$3)))-(MAX($H8,(EDATE(AV$3,-12)+1)))+1)/(AV$3-(EDATE(AV$3,-12)+1)+1),IF($N8=0,0,$Q8/$N8*MAX(0,(IF($I8="",AV$3,MIN($I8,AV$3)))-(MAX($H8,(EDATE(AV$3,-12)+1)))+1)/(AV$3-(EDATE(AV$3,-12)+1)+1)))),MAX(0,AU8-$M8)))</f>
        <v/>
      </c>
      <c r="AW8" s="65">
        <f>IF($K8="","",IF(AND($I8&lt;&gt;"",$I8&lt;=AV$3),0,AU8-AV8))</f>
        <v/>
      </c>
      <c r="AX8" s="65">
        <f>IF(OR($K8="",$H8=""),"",MIN(MAX(0,IF($O8="WDV",AW8*$P8*MAX(0,(IF($I8="",AX$3,MIN($I8,AX$3)))-(MAX($H8,(EDATE(AX$3,-12)+1)))+1)/(AX$3-(EDATE(AX$3,-12)+1)+1),IF($N8=0,0,$Q8/$N8*MAX(0,(IF($I8="",AX$3,MIN($I8,AX$3)))-(MAX($H8,(EDATE(AX$3,-12)+1)))+1)/(AX$3-(EDATE(AX$3,-12)+1)+1)))),MAX(0,AW8-$M8)))</f>
        <v/>
      </c>
      <c r="AY8" s="65">
        <f>IF($K8="","",IF(AND($I8&lt;&gt;"",$I8&lt;=AX$3),0,AW8-AX8))</f>
        <v/>
      </c>
      <c r="AZ8" s="65">
        <f>IF(OR($K8="",$H8=""),"",MIN(MAX(0,IF($O8="WDV",AY8*$P8*MAX(0,(IF($I8="",AZ$3,MIN($I8,AZ$3)))-(MAX($H8,(EDATE(AZ$3,-12)+1)))+1)/(AZ$3-(EDATE(AZ$3,-12)+1)+1),IF($N8=0,0,$Q8/$N8*MAX(0,(IF($I8="",AZ$3,MIN($I8,AZ$3)))-(MAX($H8,(EDATE(AZ$3,-12)+1)))+1)/(AZ$3-(EDATE(AZ$3,-12)+1)+1)))),MAX(0,AY8-$M8)))</f>
        <v/>
      </c>
      <c r="BA8" s="65">
        <f>IF($K8="","",IF(AND($I8&lt;&gt;"",$I8&lt;=AZ$3),0,AY8-AZ8))</f>
        <v/>
      </c>
    </row>
    <row r="9">
      <c r="A9" s="34" t="inlineStr">
        <is>
          <t>FA-005</t>
        </is>
      </c>
      <c r="B9" s="35" t="inlineStr">
        <is>
          <t>Laptops (25 nos.)</t>
        </is>
      </c>
      <c r="C9" s="35" t="inlineStr">
        <is>
          <t>Computers - End User Devices</t>
        </is>
      </c>
      <c r="D9" s="35" t="inlineStr">
        <is>
          <t>Mumbai HO</t>
        </is>
      </c>
      <c r="E9" s="36" t="inlineStr">
        <is>
          <t>Dell India</t>
        </is>
      </c>
      <c r="F9" s="37" t="inlineStr">
        <is>
          <t>INV-IT-451</t>
        </is>
      </c>
      <c r="G9" s="38" t="n">
        <v>44713</v>
      </c>
      <c r="H9" s="38" t="n">
        <v>44717</v>
      </c>
      <c r="I9" s="39" t="n"/>
      <c r="J9" s="40" t="n"/>
      <c r="K9" s="41" t="n">
        <v>1750000</v>
      </c>
      <c r="L9" s="42">
        <f>DefaultResidual</f>
        <v/>
      </c>
      <c r="M9" s="43">
        <f>IF($K9="","",$K9*$L9)</f>
        <v/>
      </c>
      <c r="N9" s="44">
        <f>IF($C9="","",IFERROR(VLOOKUP($C9,ScheduleIITable,3,FALSE),"#N/A"))</f>
        <v/>
      </c>
      <c r="O9" s="45">
        <f>IF($K9="","",GlobalMethod)</f>
        <v/>
      </c>
      <c r="P9" s="46">
        <f>IF(OR($K9="",$N9="",$N9=0,$M9=0),0,1-($M9/$K9)^(1/$N9))</f>
        <v/>
      </c>
      <c r="Q9" s="43">
        <f>IF($K9="","",$K9-$M9)</f>
        <v/>
      </c>
      <c r="R9" s="47">
        <f>IF($K9="","",INDEX($V9:$BA9,1,MATCH(ReportingFYEnd,$V$3:$BA$3,0)))</f>
        <v/>
      </c>
      <c r="S9" s="43">
        <f>IF($K9="","",IF($U9="Disposed",0,$K9-$T9))</f>
        <v/>
      </c>
      <c r="T9" s="48">
        <f>IF($K9="","",INDEX($V9:$BA9,1,MATCH(ReportingFYEnd,$V$3:$BA$3,0)+1))</f>
        <v/>
      </c>
      <c r="U9" s="49">
        <f>IF($K9="","",IF(AND($I9&lt;&gt;"",$I9&lt;=ReportingFYEnd),"Disposed",IF(OR($H9="",$H9&gt;ReportingFYEnd),"Not Yet in Use","Active")))</f>
        <v/>
      </c>
      <c r="V9" s="50">
        <f>IF(OR($K9="",$H9=""),"",MIN(MAX(0,IF($O9="WDV",$K9*$P9*MAX(0,(IF($I9="",V$3,MIN($I9,V$3)))-(MAX($H9,(EDATE(V$3,-12)+1)))+1)/(V$3-(EDATE(V$3,-12)+1)+1),IF($N9=0,0,$Q9/$N9*MAX(0,(IF($I9="",V$3,MIN($I9,V$3)))-(MAX($H9,(EDATE(V$3,-12)+1)))+1)/(V$3-(EDATE(V$3,-12)+1)+1)))),MAX(0,$K9-$M9)))</f>
        <v/>
      </c>
      <c r="W9" s="51">
        <f>IF($K9="","",IF(AND($I9&lt;&gt;"",$I9&lt;=V$3),0,$K9-V9))</f>
        <v/>
      </c>
      <c r="X9" s="50">
        <f>IF(OR($K9="",$H9=""),"",MIN(MAX(0,IF($O9="WDV",W9*$P9*MAX(0,(IF($I9="",X$3,MIN($I9,X$3)))-(MAX($H9,(EDATE(X$3,-12)+1)))+1)/(X$3-(EDATE(X$3,-12)+1)+1),IF($N9=0,0,$Q9/$N9*MAX(0,(IF($I9="",X$3,MIN($I9,X$3)))-(MAX($H9,(EDATE(X$3,-12)+1)))+1)/(X$3-(EDATE(X$3,-12)+1)+1)))),MAX(0,W9-$M9)))</f>
        <v/>
      </c>
      <c r="Y9" s="51">
        <f>IF($K9="","",IF(AND($I9&lt;&gt;"",$I9&lt;=X$3),0,W9-X9))</f>
        <v/>
      </c>
      <c r="Z9" s="50">
        <f>IF(OR($K9="",$H9=""),"",MIN(MAX(0,IF($O9="WDV",Y9*$P9*MAX(0,(IF($I9="",Z$3,MIN($I9,Z$3)))-(MAX($H9,(EDATE(Z$3,-12)+1)))+1)/(Z$3-(EDATE(Z$3,-12)+1)+1),IF($N9=0,0,$Q9/$N9*MAX(0,(IF($I9="",Z$3,MIN($I9,Z$3)))-(MAX($H9,(EDATE(Z$3,-12)+1)))+1)/(Z$3-(EDATE(Z$3,-12)+1)+1)))),MAX(0,Y9-$M9)))</f>
        <v/>
      </c>
      <c r="AA9" s="51">
        <f>IF($K9="","",IF(AND($I9&lt;&gt;"",$I9&lt;=Z$3),0,Y9-Z9))</f>
        <v/>
      </c>
      <c r="AB9" s="50">
        <f>IF(OR($K9="",$H9=""),"",MIN(MAX(0,IF($O9="WDV",AA9*$P9*MAX(0,(IF($I9="",AB$3,MIN($I9,AB$3)))-(MAX($H9,(EDATE(AB$3,-12)+1)))+1)/(AB$3-(EDATE(AB$3,-12)+1)+1),IF($N9=0,0,$Q9/$N9*MAX(0,(IF($I9="",AB$3,MIN($I9,AB$3)))-(MAX($H9,(EDATE(AB$3,-12)+1)))+1)/(AB$3-(EDATE(AB$3,-12)+1)+1)))),MAX(0,AA9-$M9)))</f>
        <v/>
      </c>
      <c r="AC9" s="51">
        <f>IF($K9="","",IF(AND($I9&lt;&gt;"",$I9&lt;=AB$3),0,AA9-AB9))</f>
        <v/>
      </c>
      <c r="AD9" s="50">
        <f>IF(OR($K9="",$H9=""),"",MIN(MAX(0,IF($O9="WDV",AC9*$P9*MAX(0,(IF($I9="",AD$3,MIN($I9,AD$3)))-(MAX($H9,(EDATE(AD$3,-12)+1)))+1)/(AD$3-(EDATE(AD$3,-12)+1)+1),IF($N9=0,0,$Q9/$N9*MAX(0,(IF($I9="",AD$3,MIN($I9,AD$3)))-(MAX($H9,(EDATE(AD$3,-12)+1)))+1)/(AD$3-(EDATE(AD$3,-12)+1)+1)))),MAX(0,AC9-$M9)))</f>
        <v/>
      </c>
      <c r="AE9" s="51">
        <f>IF($K9="","",IF(AND($I9&lt;&gt;"",$I9&lt;=AD$3),0,AC9-AD9))</f>
        <v/>
      </c>
      <c r="AF9" s="50">
        <f>IF(OR($K9="",$H9=""),"",MIN(MAX(0,IF($O9="WDV",AE9*$P9*MAX(0,(IF($I9="",AF$3,MIN($I9,AF$3)))-(MAX($H9,(EDATE(AF$3,-12)+1)))+1)/(AF$3-(EDATE(AF$3,-12)+1)+1),IF($N9=0,0,$Q9/$N9*MAX(0,(IF($I9="",AF$3,MIN($I9,AF$3)))-(MAX($H9,(EDATE(AF$3,-12)+1)))+1)/(AF$3-(EDATE(AF$3,-12)+1)+1)))),MAX(0,AE9-$M9)))</f>
        <v/>
      </c>
      <c r="AG9" s="51">
        <f>IF($K9="","",IF(AND($I9&lt;&gt;"",$I9&lt;=AF$3),0,AE9-AF9))</f>
        <v/>
      </c>
      <c r="AH9" s="50">
        <f>IF(OR($K9="",$H9=""),"",MIN(MAX(0,IF($O9="WDV",AG9*$P9*MAX(0,(IF($I9="",AH$3,MIN($I9,AH$3)))-(MAX($H9,(EDATE(AH$3,-12)+1)))+1)/(AH$3-(EDATE(AH$3,-12)+1)+1),IF($N9=0,0,$Q9/$N9*MAX(0,(IF($I9="",AH$3,MIN($I9,AH$3)))-(MAX($H9,(EDATE(AH$3,-12)+1)))+1)/(AH$3-(EDATE(AH$3,-12)+1)+1)))),MAX(0,AG9-$M9)))</f>
        <v/>
      </c>
      <c r="AI9" s="51">
        <f>IF($K9="","",IF(AND($I9&lt;&gt;"",$I9&lt;=AH$3),0,AG9-AH9))</f>
        <v/>
      </c>
      <c r="AJ9" s="50">
        <f>IF(OR($K9="",$H9=""),"",MIN(MAX(0,IF($O9="WDV",AI9*$P9*MAX(0,(IF($I9="",AJ$3,MIN($I9,AJ$3)))-(MAX($H9,(EDATE(AJ$3,-12)+1)))+1)/(AJ$3-(EDATE(AJ$3,-12)+1)+1),IF($N9=0,0,$Q9/$N9*MAX(0,(IF($I9="",AJ$3,MIN($I9,AJ$3)))-(MAX($H9,(EDATE(AJ$3,-12)+1)))+1)/(AJ$3-(EDATE(AJ$3,-12)+1)+1)))),MAX(0,AI9-$M9)))</f>
        <v/>
      </c>
      <c r="AK9" s="51">
        <f>IF($K9="","",IF(AND($I9&lt;&gt;"",$I9&lt;=AJ$3),0,AI9-AJ9))</f>
        <v/>
      </c>
      <c r="AL9" s="50">
        <f>IF(OR($K9="",$H9=""),"",MIN(MAX(0,IF($O9="WDV",AK9*$P9*MAX(0,(IF($I9="",AL$3,MIN($I9,AL$3)))-(MAX($H9,(EDATE(AL$3,-12)+1)))+1)/(AL$3-(EDATE(AL$3,-12)+1)+1),IF($N9=0,0,$Q9/$N9*MAX(0,(IF($I9="",AL$3,MIN($I9,AL$3)))-(MAX($H9,(EDATE(AL$3,-12)+1)))+1)/(AL$3-(EDATE(AL$3,-12)+1)+1)))),MAX(0,AK9-$M9)))</f>
        <v/>
      </c>
      <c r="AM9" s="51">
        <f>IF($K9="","",IF(AND($I9&lt;&gt;"",$I9&lt;=AL$3),0,AK9-AL9))</f>
        <v/>
      </c>
      <c r="AN9" s="50">
        <f>IF(OR($K9="",$H9=""),"",MIN(MAX(0,IF($O9="WDV",AM9*$P9*MAX(0,(IF($I9="",AN$3,MIN($I9,AN$3)))-(MAX($H9,(EDATE(AN$3,-12)+1)))+1)/(AN$3-(EDATE(AN$3,-12)+1)+1),IF($N9=0,0,$Q9/$N9*MAX(0,(IF($I9="",AN$3,MIN($I9,AN$3)))-(MAX($H9,(EDATE(AN$3,-12)+1)))+1)/(AN$3-(EDATE(AN$3,-12)+1)+1)))),MAX(0,AM9-$M9)))</f>
        <v/>
      </c>
      <c r="AO9" s="51">
        <f>IF($K9="","",IF(AND($I9&lt;&gt;"",$I9&lt;=AN$3),0,AM9-AN9))</f>
        <v/>
      </c>
      <c r="AP9" s="50">
        <f>IF(OR($K9="",$H9=""),"",MIN(MAX(0,IF($O9="WDV",AO9*$P9*MAX(0,(IF($I9="",AP$3,MIN($I9,AP$3)))-(MAX($H9,(EDATE(AP$3,-12)+1)))+1)/(AP$3-(EDATE(AP$3,-12)+1)+1),IF($N9=0,0,$Q9/$N9*MAX(0,(IF($I9="",AP$3,MIN($I9,AP$3)))-(MAX($H9,(EDATE(AP$3,-12)+1)))+1)/(AP$3-(EDATE(AP$3,-12)+1)+1)))),MAX(0,AO9-$M9)))</f>
        <v/>
      </c>
      <c r="AQ9" s="51">
        <f>IF($K9="","",IF(AND($I9&lt;&gt;"",$I9&lt;=AP$3),0,AO9-AP9))</f>
        <v/>
      </c>
      <c r="AR9" s="50">
        <f>IF(OR($K9="",$H9=""),"",MIN(MAX(0,IF($O9="WDV",AQ9*$P9*MAX(0,(IF($I9="",AR$3,MIN($I9,AR$3)))-(MAX($H9,(EDATE(AR$3,-12)+1)))+1)/(AR$3-(EDATE(AR$3,-12)+1)+1),IF($N9=0,0,$Q9/$N9*MAX(0,(IF($I9="",AR$3,MIN($I9,AR$3)))-(MAX($H9,(EDATE(AR$3,-12)+1)))+1)/(AR$3-(EDATE(AR$3,-12)+1)+1)))),MAX(0,AQ9-$M9)))</f>
        <v/>
      </c>
      <c r="AS9" s="51">
        <f>IF($K9="","",IF(AND($I9&lt;&gt;"",$I9&lt;=AR$3),0,AQ9-AR9))</f>
        <v/>
      </c>
      <c r="AT9" s="50">
        <f>IF(OR($K9="",$H9=""),"",MIN(MAX(0,IF($O9="WDV",AS9*$P9*MAX(0,(IF($I9="",AT$3,MIN($I9,AT$3)))-(MAX($H9,(EDATE(AT$3,-12)+1)))+1)/(AT$3-(EDATE(AT$3,-12)+1)+1),IF($N9=0,0,$Q9/$N9*MAX(0,(IF($I9="",AT$3,MIN($I9,AT$3)))-(MAX($H9,(EDATE(AT$3,-12)+1)))+1)/(AT$3-(EDATE(AT$3,-12)+1)+1)))),MAX(0,AS9-$M9)))</f>
        <v/>
      </c>
      <c r="AU9" s="51">
        <f>IF($K9="","",IF(AND($I9&lt;&gt;"",$I9&lt;=AT$3),0,AS9-AT9))</f>
        <v/>
      </c>
      <c r="AV9" s="50">
        <f>IF(OR($K9="",$H9=""),"",MIN(MAX(0,IF($O9="WDV",AU9*$P9*MAX(0,(IF($I9="",AV$3,MIN($I9,AV$3)))-(MAX($H9,(EDATE(AV$3,-12)+1)))+1)/(AV$3-(EDATE(AV$3,-12)+1)+1),IF($N9=0,0,$Q9/$N9*MAX(0,(IF($I9="",AV$3,MIN($I9,AV$3)))-(MAX($H9,(EDATE(AV$3,-12)+1)))+1)/(AV$3-(EDATE(AV$3,-12)+1)+1)))),MAX(0,AU9-$M9)))</f>
        <v/>
      </c>
      <c r="AW9" s="51">
        <f>IF($K9="","",IF(AND($I9&lt;&gt;"",$I9&lt;=AV$3),0,AU9-AV9))</f>
        <v/>
      </c>
      <c r="AX9" s="50">
        <f>IF(OR($K9="",$H9=""),"",MIN(MAX(0,IF($O9="WDV",AW9*$P9*MAX(0,(IF($I9="",AX$3,MIN($I9,AX$3)))-(MAX($H9,(EDATE(AX$3,-12)+1)))+1)/(AX$3-(EDATE(AX$3,-12)+1)+1),IF($N9=0,0,$Q9/$N9*MAX(0,(IF($I9="",AX$3,MIN($I9,AX$3)))-(MAX($H9,(EDATE(AX$3,-12)+1)))+1)/(AX$3-(EDATE(AX$3,-12)+1)+1)))),MAX(0,AW9-$M9)))</f>
        <v/>
      </c>
      <c r="AY9" s="51">
        <f>IF($K9="","",IF(AND($I9&lt;&gt;"",$I9&lt;=AX$3),0,AW9-AX9))</f>
        <v/>
      </c>
      <c r="AZ9" s="50">
        <f>IF(OR($K9="",$H9=""),"",MIN(MAX(0,IF($O9="WDV",AY9*$P9*MAX(0,(IF($I9="",AZ$3,MIN($I9,AZ$3)))-(MAX($H9,(EDATE(AZ$3,-12)+1)))+1)/(AZ$3-(EDATE(AZ$3,-12)+1)+1),IF($N9=0,0,$Q9/$N9*MAX(0,(IF($I9="",AZ$3,MIN($I9,AZ$3)))-(MAX($H9,(EDATE(AZ$3,-12)+1)))+1)/(AZ$3-(EDATE(AZ$3,-12)+1)+1)))),MAX(0,AY9-$M9)))</f>
        <v/>
      </c>
      <c r="BA9" s="51">
        <f>IF($K9="","",IF(AND($I9&lt;&gt;"",$I9&lt;=AZ$3),0,AY9-AZ9))</f>
        <v/>
      </c>
    </row>
    <row r="10">
      <c r="A10" s="52" t="inlineStr">
        <is>
          <t>FA-006</t>
        </is>
      </c>
      <c r="B10" s="53" t="inlineStr">
        <is>
          <t>Application Server</t>
        </is>
      </c>
      <c r="C10" s="53" t="inlineStr">
        <is>
          <t>Computers - Servers &amp; Networks</t>
        </is>
      </c>
      <c r="D10" s="53" t="inlineStr">
        <is>
          <t>Mumbai HO</t>
        </is>
      </c>
      <c r="E10" s="19" t="inlineStr">
        <is>
          <t>HPE</t>
        </is>
      </c>
      <c r="F10" s="54" t="inlineStr">
        <is>
          <t>INV-IT-460</t>
        </is>
      </c>
      <c r="G10" s="55" t="n">
        <v>44816</v>
      </c>
      <c r="H10" s="55" t="n">
        <v>44824</v>
      </c>
      <c r="I10" s="56" t="n"/>
      <c r="J10" s="57" t="n"/>
      <c r="K10" s="58" t="n">
        <v>1200000</v>
      </c>
      <c r="L10" s="59">
        <f>DefaultResidual</f>
        <v/>
      </c>
      <c r="M10" s="60">
        <f>IF($K10="","",$K10*$L10)</f>
        <v/>
      </c>
      <c r="N10" s="20">
        <f>IF($C10="","",IFERROR(VLOOKUP($C10,ScheduleIITable,3,FALSE),"#N/A"))</f>
        <v/>
      </c>
      <c r="O10" s="61">
        <f>IF($K10="","",GlobalMethod)</f>
        <v/>
      </c>
      <c r="P10" s="21">
        <f>IF(OR($K10="",$N10="",$N10=0,$M10=0),0,1-($M10/$K10)^(1/$N10))</f>
        <v/>
      </c>
      <c r="Q10" s="60">
        <f>IF($K10="","",$K10-$M10)</f>
        <v/>
      </c>
      <c r="R10" s="62">
        <f>IF($K10="","",INDEX($V10:$BA10,1,MATCH(ReportingFYEnd,$V$3:$BA$3,0)))</f>
        <v/>
      </c>
      <c r="S10" s="60">
        <f>IF($K10="","",IF($U10="Disposed",0,$K10-$T10))</f>
        <v/>
      </c>
      <c r="T10" s="63">
        <f>IF($K10="","",INDEX($V10:$BA10,1,MATCH(ReportingFYEnd,$V$3:$BA$3,0)+1))</f>
        <v/>
      </c>
      <c r="U10" s="64">
        <f>IF($K10="","",IF(AND($I10&lt;&gt;"",$I10&lt;=ReportingFYEnd),"Disposed",IF(OR($H10="",$H10&gt;ReportingFYEnd),"Not Yet in Use","Active")))</f>
        <v/>
      </c>
      <c r="V10" s="65">
        <f>IF(OR($K10="",$H10=""),"",MIN(MAX(0,IF($O10="WDV",$K10*$P10*MAX(0,(IF($I10="",V$3,MIN($I10,V$3)))-(MAX($H10,(EDATE(V$3,-12)+1)))+1)/(V$3-(EDATE(V$3,-12)+1)+1),IF($N10=0,0,$Q10/$N10*MAX(0,(IF($I10="",V$3,MIN($I10,V$3)))-(MAX($H10,(EDATE(V$3,-12)+1)))+1)/(V$3-(EDATE(V$3,-12)+1)+1)))),MAX(0,$K10-$M10)))</f>
        <v/>
      </c>
      <c r="W10" s="65">
        <f>IF($K10="","",IF(AND($I10&lt;&gt;"",$I10&lt;=V$3),0,$K10-V10))</f>
        <v/>
      </c>
      <c r="X10" s="65">
        <f>IF(OR($K10="",$H10=""),"",MIN(MAX(0,IF($O10="WDV",W10*$P10*MAX(0,(IF($I10="",X$3,MIN($I10,X$3)))-(MAX($H10,(EDATE(X$3,-12)+1)))+1)/(X$3-(EDATE(X$3,-12)+1)+1),IF($N10=0,0,$Q10/$N10*MAX(0,(IF($I10="",X$3,MIN($I10,X$3)))-(MAX($H10,(EDATE(X$3,-12)+1)))+1)/(X$3-(EDATE(X$3,-12)+1)+1)))),MAX(0,W10-$M10)))</f>
        <v/>
      </c>
      <c r="Y10" s="65">
        <f>IF($K10="","",IF(AND($I10&lt;&gt;"",$I10&lt;=X$3),0,W10-X10))</f>
        <v/>
      </c>
      <c r="Z10" s="65">
        <f>IF(OR($K10="",$H10=""),"",MIN(MAX(0,IF($O10="WDV",Y10*$P10*MAX(0,(IF($I10="",Z$3,MIN($I10,Z$3)))-(MAX($H10,(EDATE(Z$3,-12)+1)))+1)/(Z$3-(EDATE(Z$3,-12)+1)+1),IF($N10=0,0,$Q10/$N10*MAX(0,(IF($I10="",Z$3,MIN($I10,Z$3)))-(MAX($H10,(EDATE(Z$3,-12)+1)))+1)/(Z$3-(EDATE(Z$3,-12)+1)+1)))),MAX(0,Y10-$M10)))</f>
        <v/>
      </c>
      <c r="AA10" s="65">
        <f>IF($K10="","",IF(AND($I10&lt;&gt;"",$I10&lt;=Z$3),0,Y10-Z10))</f>
        <v/>
      </c>
      <c r="AB10" s="65">
        <f>IF(OR($K10="",$H10=""),"",MIN(MAX(0,IF($O10="WDV",AA10*$P10*MAX(0,(IF($I10="",AB$3,MIN($I10,AB$3)))-(MAX($H10,(EDATE(AB$3,-12)+1)))+1)/(AB$3-(EDATE(AB$3,-12)+1)+1),IF($N10=0,0,$Q10/$N10*MAX(0,(IF($I10="",AB$3,MIN($I10,AB$3)))-(MAX($H10,(EDATE(AB$3,-12)+1)))+1)/(AB$3-(EDATE(AB$3,-12)+1)+1)))),MAX(0,AA10-$M10)))</f>
        <v/>
      </c>
      <c r="AC10" s="65">
        <f>IF($K10="","",IF(AND($I10&lt;&gt;"",$I10&lt;=AB$3),0,AA10-AB10))</f>
        <v/>
      </c>
      <c r="AD10" s="65">
        <f>IF(OR($K10="",$H10=""),"",MIN(MAX(0,IF($O10="WDV",AC10*$P10*MAX(0,(IF($I10="",AD$3,MIN($I10,AD$3)))-(MAX($H10,(EDATE(AD$3,-12)+1)))+1)/(AD$3-(EDATE(AD$3,-12)+1)+1),IF($N10=0,0,$Q10/$N10*MAX(0,(IF($I10="",AD$3,MIN($I10,AD$3)))-(MAX($H10,(EDATE(AD$3,-12)+1)))+1)/(AD$3-(EDATE(AD$3,-12)+1)+1)))),MAX(0,AC10-$M10)))</f>
        <v/>
      </c>
      <c r="AE10" s="65">
        <f>IF($K10="","",IF(AND($I10&lt;&gt;"",$I10&lt;=AD$3),0,AC10-AD10))</f>
        <v/>
      </c>
      <c r="AF10" s="65">
        <f>IF(OR($K10="",$H10=""),"",MIN(MAX(0,IF($O10="WDV",AE10*$P10*MAX(0,(IF($I10="",AF$3,MIN($I10,AF$3)))-(MAX($H10,(EDATE(AF$3,-12)+1)))+1)/(AF$3-(EDATE(AF$3,-12)+1)+1),IF($N10=0,0,$Q10/$N10*MAX(0,(IF($I10="",AF$3,MIN($I10,AF$3)))-(MAX($H10,(EDATE(AF$3,-12)+1)))+1)/(AF$3-(EDATE(AF$3,-12)+1)+1)))),MAX(0,AE10-$M10)))</f>
        <v/>
      </c>
      <c r="AG10" s="65">
        <f>IF($K10="","",IF(AND($I10&lt;&gt;"",$I10&lt;=AF$3),0,AE10-AF10))</f>
        <v/>
      </c>
      <c r="AH10" s="65">
        <f>IF(OR($K10="",$H10=""),"",MIN(MAX(0,IF($O10="WDV",AG10*$P10*MAX(0,(IF($I10="",AH$3,MIN($I10,AH$3)))-(MAX($H10,(EDATE(AH$3,-12)+1)))+1)/(AH$3-(EDATE(AH$3,-12)+1)+1),IF($N10=0,0,$Q10/$N10*MAX(0,(IF($I10="",AH$3,MIN($I10,AH$3)))-(MAX($H10,(EDATE(AH$3,-12)+1)))+1)/(AH$3-(EDATE(AH$3,-12)+1)+1)))),MAX(0,AG10-$M10)))</f>
        <v/>
      </c>
      <c r="AI10" s="65">
        <f>IF($K10="","",IF(AND($I10&lt;&gt;"",$I10&lt;=AH$3),0,AG10-AH10))</f>
        <v/>
      </c>
      <c r="AJ10" s="65">
        <f>IF(OR($K10="",$H10=""),"",MIN(MAX(0,IF($O10="WDV",AI10*$P10*MAX(0,(IF($I10="",AJ$3,MIN($I10,AJ$3)))-(MAX($H10,(EDATE(AJ$3,-12)+1)))+1)/(AJ$3-(EDATE(AJ$3,-12)+1)+1),IF($N10=0,0,$Q10/$N10*MAX(0,(IF($I10="",AJ$3,MIN($I10,AJ$3)))-(MAX($H10,(EDATE(AJ$3,-12)+1)))+1)/(AJ$3-(EDATE(AJ$3,-12)+1)+1)))),MAX(0,AI10-$M10)))</f>
        <v/>
      </c>
      <c r="AK10" s="65">
        <f>IF($K10="","",IF(AND($I10&lt;&gt;"",$I10&lt;=AJ$3),0,AI10-AJ10))</f>
        <v/>
      </c>
      <c r="AL10" s="65">
        <f>IF(OR($K10="",$H10=""),"",MIN(MAX(0,IF($O10="WDV",AK10*$P10*MAX(0,(IF($I10="",AL$3,MIN($I10,AL$3)))-(MAX($H10,(EDATE(AL$3,-12)+1)))+1)/(AL$3-(EDATE(AL$3,-12)+1)+1),IF($N10=0,0,$Q10/$N10*MAX(0,(IF($I10="",AL$3,MIN($I10,AL$3)))-(MAX($H10,(EDATE(AL$3,-12)+1)))+1)/(AL$3-(EDATE(AL$3,-12)+1)+1)))),MAX(0,AK10-$M10)))</f>
        <v/>
      </c>
      <c r="AM10" s="65">
        <f>IF($K10="","",IF(AND($I10&lt;&gt;"",$I10&lt;=AL$3),0,AK10-AL10))</f>
        <v/>
      </c>
      <c r="AN10" s="65">
        <f>IF(OR($K10="",$H10=""),"",MIN(MAX(0,IF($O10="WDV",AM10*$P10*MAX(0,(IF($I10="",AN$3,MIN($I10,AN$3)))-(MAX($H10,(EDATE(AN$3,-12)+1)))+1)/(AN$3-(EDATE(AN$3,-12)+1)+1),IF($N10=0,0,$Q10/$N10*MAX(0,(IF($I10="",AN$3,MIN($I10,AN$3)))-(MAX($H10,(EDATE(AN$3,-12)+1)))+1)/(AN$3-(EDATE(AN$3,-12)+1)+1)))),MAX(0,AM10-$M10)))</f>
        <v/>
      </c>
      <c r="AO10" s="65">
        <f>IF($K10="","",IF(AND($I10&lt;&gt;"",$I10&lt;=AN$3),0,AM10-AN10))</f>
        <v/>
      </c>
      <c r="AP10" s="65">
        <f>IF(OR($K10="",$H10=""),"",MIN(MAX(0,IF($O10="WDV",AO10*$P10*MAX(0,(IF($I10="",AP$3,MIN($I10,AP$3)))-(MAX($H10,(EDATE(AP$3,-12)+1)))+1)/(AP$3-(EDATE(AP$3,-12)+1)+1),IF($N10=0,0,$Q10/$N10*MAX(0,(IF($I10="",AP$3,MIN($I10,AP$3)))-(MAX($H10,(EDATE(AP$3,-12)+1)))+1)/(AP$3-(EDATE(AP$3,-12)+1)+1)))),MAX(0,AO10-$M10)))</f>
        <v/>
      </c>
      <c r="AQ10" s="65">
        <f>IF($K10="","",IF(AND($I10&lt;&gt;"",$I10&lt;=AP$3),0,AO10-AP10))</f>
        <v/>
      </c>
      <c r="AR10" s="65">
        <f>IF(OR($K10="",$H10=""),"",MIN(MAX(0,IF($O10="WDV",AQ10*$P10*MAX(0,(IF($I10="",AR$3,MIN($I10,AR$3)))-(MAX($H10,(EDATE(AR$3,-12)+1)))+1)/(AR$3-(EDATE(AR$3,-12)+1)+1),IF($N10=0,0,$Q10/$N10*MAX(0,(IF($I10="",AR$3,MIN($I10,AR$3)))-(MAX($H10,(EDATE(AR$3,-12)+1)))+1)/(AR$3-(EDATE(AR$3,-12)+1)+1)))),MAX(0,AQ10-$M10)))</f>
        <v/>
      </c>
      <c r="AS10" s="65">
        <f>IF($K10="","",IF(AND($I10&lt;&gt;"",$I10&lt;=AR$3),0,AQ10-AR10))</f>
        <v/>
      </c>
      <c r="AT10" s="65">
        <f>IF(OR($K10="",$H10=""),"",MIN(MAX(0,IF($O10="WDV",AS10*$P10*MAX(0,(IF($I10="",AT$3,MIN($I10,AT$3)))-(MAX($H10,(EDATE(AT$3,-12)+1)))+1)/(AT$3-(EDATE(AT$3,-12)+1)+1),IF($N10=0,0,$Q10/$N10*MAX(0,(IF($I10="",AT$3,MIN($I10,AT$3)))-(MAX($H10,(EDATE(AT$3,-12)+1)))+1)/(AT$3-(EDATE(AT$3,-12)+1)+1)))),MAX(0,AS10-$M10)))</f>
        <v/>
      </c>
      <c r="AU10" s="65">
        <f>IF($K10="","",IF(AND($I10&lt;&gt;"",$I10&lt;=AT$3),0,AS10-AT10))</f>
        <v/>
      </c>
      <c r="AV10" s="65">
        <f>IF(OR($K10="",$H10=""),"",MIN(MAX(0,IF($O10="WDV",AU10*$P10*MAX(0,(IF($I10="",AV$3,MIN($I10,AV$3)))-(MAX($H10,(EDATE(AV$3,-12)+1)))+1)/(AV$3-(EDATE(AV$3,-12)+1)+1),IF($N10=0,0,$Q10/$N10*MAX(0,(IF($I10="",AV$3,MIN($I10,AV$3)))-(MAX($H10,(EDATE(AV$3,-12)+1)))+1)/(AV$3-(EDATE(AV$3,-12)+1)+1)))),MAX(0,AU10-$M10)))</f>
        <v/>
      </c>
      <c r="AW10" s="65">
        <f>IF($K10="","",IF(AND($I10&lt;&gt;"",$I10&lt;=AV$3),0,AU10-AV10))</f>
        <v/>
      </c>
      <c r="AX10" s="65">
        <f>IF(OR($K10="",$H10=""),"",MIN(MAX(0,IF($O10="WDV",AW10*$P10*MAX(0,(IF($I10="",AX$3,MIN($I10,AX$3)))-(MAX($H10,(EDATE(AX$3,-12)+1)))+1)/(AX$3-(EDATE(AX$3,-12)+1)+1),IF($N10=0,0,$Q10/$N10*MAX(0,(IF($I10="",AX$3,MIN($I10,AX$3)))-(MAX($H10,(EDATE(AX$3,-12)+1)))+1)/(AX$3-(EDATE(AX$3,-12)+1)+1)))),MAX(0,AW10-$M10)))</f>
        <v/>
      </c>
      <c r="AY10" s="65">
        <f>IF($K10="","",IF(AND($I10&lt;&gt;"",$I10&lt;=AX$3),0,AW10-AX10))</f>
        <v/>
      </c>
      <c r="AZ10" s="65">
        <f>IF(OR($K10="",$H10=""),"",MIN(MAX(0,IF($O10="WDV",AY10*$P10*MAX(0,(IF($I10="",AZ$3,MIN($I10,AZ$3)))-(MAX($H10,(EDATE(AZ$3,-12)+1)))+1)/(AZ$3-(EDATE(AZ$3,-12)+1)+1),IF($N10=0,0,$Q10/$N10*MAX(0,(IF($I10="",AZ$3,MIN($I10,AZ$3)))-(MAX($H10,(EDATE(AZ$3,-12)+1)))+1)/(AZ$3-(EDATE(AZ$3,-12)+1)+1)))),MAX(0,AY10-$M10)))</f>
        <v/>
      </c>
      <c r="BA10" s="65">
        <f>IF($K10="","",IF(AND($I10&lt;&gt;"",$I10&lt;=AZ$3),0,AY10-AZ10))</f>
        <v/>
      </c>
    </row>
    <row r="11">
      <c r="A11" s="34" t="inlineStr">
        <is>
          <t>FA-007</t>
        </is>
      </c>
      <c r="B11" s="35" t="inlineStr">
        <is>
          <t>Director's Car</t>
        </is>
      </c>
      <c r="C11" s="35" t="inlineStr">
        <is>
          <t>Motor Vehicles - Motor Cars</t>
        </is>
      </c>
      <c r="D11" s="35" t="inlineStr">
        <is>
          <t>Mumbai HO</t>
        </is>
      </c>
      <c r="E11" s="36" t="inlineStr">
        <is>
          <t>Toyota</t>
        </is>
      </c>
      <c r="F11" s="37" t="inlineStr">
        <is>
          <t>INV-MV-011</t>
        </is>
      </c>
      <c r="G11" s="38" t="n">
        <v>44941</v>
      </c>
      <c r="H11" s="38" t="n">
        <v>44941</v>
      </c>
      <c r="I11" s="39" t="n"/>
      <c r="J11" s="40" t="n"/>
      <c r="K11" s="41" t="n">
        <v>2800000</v>
      </c>
      <c r="L11" s="42">
        <f>DefaultResidual</f>
        <v/>
      </c>
      <c r="M11" s="43">
        <f>IF($K11="","",$K11*$L11)</f>
        <v/>
      </c>
      <c r="N11" s="44">
        <f>IF($C11="","",IFERROR(VLOOKUP($C11,ScheduleIITable,3,FALSE),"#N/A"))</f>
        <v/>
      </c>
      <c r="O11" s="45">
        <f>IF($K11="","",GlobalMethod)</f>
        <v/>
      </c>
      <c r="P11" s="46">
        <f>IF(OR($K11="",$N11="",$N11=0,$M11=0),0,1-($M11/$K11)^(1/$N11))</f>
        <v/>
      </c>
      <c r="Q11" s="43">
        <f>IF($K11="","",$K11-$M11)</f>
        <v/>
      </c>
      <c r="R11" s="47">
        <f>IF($K11="","",INDEX($V11:$BA11,1,MATCH(ReportingFYEnd,$V$3:$BA$3,0)))</f>
        <v/>
      </c>
      <c r="S11" s="43">
        <f>IF($K11="","",IF($U11="Disposed",0,$K11-$T11))</f>
        <v/>
      </c>
      <c r="T11" s="48">
        <f>IF($K11="","",INDEX($V11:$BA11,1,MATCH(ReportingFYEnd,$V$3:$BA$3,0)+1))</f>
        <v/>
      </c>
      <c r="U11" s="49">
        <f>IF($K11="","",IF(AND($I11&lt;&gt;"",$I11&lt;=ReportingFYEnd),"Disposed",IF(OR($H11="",$H11&gt;ReportingFYEnd),"Not Yet in Use","Active")))</f>
        <v/>
      </c>
      <c r="V11" s="50">
        <f>IF(OR($K11="",$H11=""),"",MIN(MAX(0,IF($O11="WDV",$K11*$P11*MAX(0,(IF($I11="",V$3,MIN($I11,V$3)))-(MAX($H11,(EDATE(V$3,-12)+1)))+1)/(V$3-(EDATE(V$3,-12)+1)+1),IF($N11=0,0,$Q11/$N11*MAX(0,(IF($I11="",V$3,MIN($I11,V$3)))-(MAX($H11,(EDATE(V$3,-12)+1)))+1)/(V$3-(EDATE(V$3,-12)+1)+1)))),MAX(0,$K11-$M11)))</f>
        <v/>
      </c>
      <c r="W11" s="51">
        <f>IF($K11="","",IF(AND($I11&lt;&gt;"",$I11&lt;=V$3),0,$K11-V11))</f>
        <v/>
      </c>
      <c r="X11" s="50">
        <f>IF(OR($K11="",$H11=""),"",MIN(MAX(0,IF($O11="WDV",W11*$P11*MAX(0,(IF($I11="",X$3,MIN($I11,X$3)))-(MAX($H11,(EDATE(X$3,-12)+1)))+1)/(X$3-(EDATE(X$3,-12)+1)+1),IF($N11=0,0,$Q11/$N11*MAX(0,(IF($I11="",X$3,MIN($I11,X$3)))-(MAX($H11,(EDATE(X$3,-12)+1)))+1)/(X$3-(EDATE(X$3,-12)+1)+1)))),MAX(0,W11-$M11)))</f>
        <v/>
      </c>
      <c r="Y11" s="51">
        <f>IF($K11="","",IF(AND($I11&lt;&gt;"",$I11&lt;=X$3),0,W11-X11))</f>
        <v/>
      </c>
      <c r="Z11" s="50">
        <f>IF(OR($K11="",$H11=""),"",MIN(MAX(0,IF($O11="WDV",Y11*$P11*MAX(0,(IF($I11="",Z$3,MIN($I11,Z$3)))-(MAX($H11,(EDATE(Z$3,-12)+1)))+1)/(Z$3-(EDATE(Z$3,-12)+1)+1),IF($N11=0,0,$Q11/$N11*MAX(0,(IF($I11="",Z$3,MIN($I11,Z$3)))-(MAX($H11,(EDATE(Z$3,-12)+1)))+1)/(Z$3-(EDATE(Z$3,-12)+1)+1)))),MAX(0,Y11-$M11)))</f>
        <v/>
      </c>
      <c r="AA11" s="51">
        <f>IF($K11="","",IF(AND($I11&lt;&gt;"",$I11&lt;=Z$3),0,Y11-Z11))</f>
        <v/>
      </c>
      <c r="AB11" s="50">
        <f>IF(OR($K11="",$H11=""),"",MIN(MAX(0,IF($O11="WDV",AA11*$P11*MAX(0,(IF($I11="",AB$3,MIN($I11,AB$3)))-(MAX($H11,(EDATE(AB$3,-12)+1)))+1)/(AB$3-(EDATE(AB$3,-12)+1)+1),IF($N11=0,0,$Q11/$N11*MAX(0,(IF($I11="",AB$3,MIN($I11,AB$3)))-(MAX($H11,(EDATE(AB$3,-12)+1)))+1)/(AB$3-(EDATE(AB$3,-12)+1)+1)))),MAX(0,AA11-$M11)))</f>
        <v/>
      </c>
      <c r="AC11" s="51">
        <f>IF($K11="","",IF(AND($I11&lt;&gt;"",$I11&lt;=AB$3),0,AA11-AB11))</f>
        <v/>
      </c>
      <c r="AD11" s="50">
        <f>IF(OR($K11="",$H11=""),"",MIN(MAX(0,IF($O11="WDV",AC11*$P11*MAX(0,(IF($I11="",AD$3,MIN($I11,AD$3)))-(MAX($H11,(EDATE(AD$3,-12)+1)))+1)/(AD$3-(EDATE(AD$3,-12)+1)+1),IF($N11=0,0,$Q11/$N11*MAX(0,(IF($I11="",AD$3,MIN($I11,AD$3)))-(MAX($H11,(EDATE(AD$3,-12)+1)))+1)/(AD$3-(EDATE(AD$3,-12)+1)+1)))),MAX(0,AC11-$M11)))</f>
        <v/>
      </c>
      <c r="AE11" s="51">
        <f>IF($K11="","",IF(AND($I11&lt;&gt;"",$I11&lt;=AD$3),0,AC11-AD11))</f>
        <v/>
      </c>
      <c r="AF11" s="50">
        <f>IF(OR($K11="",$H11=""),"",MIN(MAX(0,IF($O11="WDV",AE11*$P11*MAX(0,(IF($I11="",AF$3,MIN($I11,AF$3)))-(MAX($H11,(EDATE(AF$3,-12)+1)))+1)/(AF$3-(EDATE(AF$3,-12)+1)+1),IF($N11=0,0,$Q11/$N11*MAX(0,(IF($I11="",AF$3,MIN($I11,AF$3)))-(MAX($H11,(EDATE(AF$3,-12)+1)))+1)/(AF$3-(EDATE(AF$3,-12)+1)+1)))),MAX(0,AE11-$M11)))</f>
        <v/>
      </c>
      <c r="AG11" s="51">
        <f>IF($K11="","",IF(AND($I11&lt;&gt;"",$I11&lt;=AF$3),0,AE11-AF11))</f>
        <v/>
      </c>
      <c r="AH11" s="50">
        <f>IF(OR($K11="",$H11=""),"",MIN(MAX(0,IF($O11="WDV",AG11*$P11*MAX(0,(IF($I11="",AH$3,MIN($I11,AH$3)))-(MAX($H11,(EDATE(AH$3,-12)+1)))+1)/(AH$3-(EDATE(AH$3,-12)+1)+1),IF($N11=0,0,$Q11/$N11*MAX(0,(IF($I11="",AH$3,MIN($I11,AH$3)))-(MAX($H11,(EDATE(AH$3,-12)+1)))+1)/(AH$3-(EDATE(AH$3,-12)+1)+1)))),MAX(0,AG11-$M11)))</f>
        <v/>
      </c>
      <c r="AI11" s="51">
        <f>IF($K11="","",IF(AND($I11&lt;&gt;"",$I11&lt;=AH$3),0,AG11-AH11))</f>
        <v/>
      </c>
      <c r="AJ11" s="50">
        <f>IF(OR($K11="",$H11=""),"",MIN(MAX(0,IF($O11="WDV",AI11*$P11*MAX(0,(IF($I11="",AJ$3,MIN($I11,AJ$3)))-(MAX($H11,(EDATE(AJ$3,-12)+1)))+1)/(AJ$3-(EDATE(AJ$3,-12)+1)+1),IF($N11=0,0,$Q11/$N11*MAX(0,(IF($I11="",AJ$3,MIN($I11,AJ$3)))-(MAX($H11,(EDATE(AJ$3,-12)+1)))+1)/(AJ$3-(EDATE(AJ$3,-12)+1)+1)))),MAX(0,AI11-$M11)))</f>
        <v/>
      </c>
      <c r="AK11" s="51">
        <f>IF($K11="","",IF(AND($I11&lt;&gt;"",$I11&lt;=AJ$3),0,AI11-AJ11))</f>
        <v/>
      </c>
      <c r="AL11" s="50">
        <f>IF(OR($K11="",$H11=""),"",MIN(MAX(0,IF($O11="WDV",AK11*$P11*MAX(0,(IF($I11="",AL$3,MIN($I11,AL$3)))-(MAX($H11,(EDATE(AL$3,-12)+1)))+1)/(AL$3-(EDATE(AL$3,-12)+1)+1),IF($N11=0,0,$Q11/$N11*MAX(0,(IF($I11="",AL$3,MIN($I11,AL$3)))-(MAX($H11,(EDATE(AL$3,-12)+1)))+1)/(AL$3-(EDATE(AL$3,-12)+1)+1)))),MAX(0,AK11-$M11)))</f>
        <v/>
      </c>
      <c r="AM11" s="51">
        <f>IF($K11="","",IF(AND($I11&lt;&gt;"",$I11&lt;=AL$3),0,AK11-AL11))</f>
        <v/>
      </c>
      <c r="AN11" s="50">
        <f>IF(OR($K11="",$H11=""),"",MIN(MAX(0,IF($O11="WDV",AM11*$P11*MAX(0,(IF($I11="",AN$3,MIN($I11,AN$3)))-(MAX($H11,(EDATE(AN$3,-12)+1)))+1)/(AN$3-(EDATE(AN$3,-12)+1)+1),IF($N11=0,0,$Q11/$N11*MAX(0,(IF($I11="",AN$3,MIN($I11,AN$3)))-(MAX($H11,(EDATE(AN$3,-12)+1)))+1)/(AN$3-(EDATE(AN$3,-12)+1)+1)))),MAX(0,AM11-$M11)))</f>
        <v/>
      </c>
      <c r="AO11" s="51">
        <f>IF($K11="","",IF(AND($I11&lt;&gt;"",$I11&lt;=AN$3),0,AM11-AN11))</f>
        <v/>
      </c>
      <c r="AP11" s="50">
        <f>IF(OR($K11="",$H11=""),"",MIN(MAX(0,IF($O11="WDV",AO11*$P11*MAX(0,(IF($I11="",AP$3,MIN($I11,AP$3)))-(MAX($H11,(EDATE(AP$3,-12)+1)))+1)/(AP$3-(EDATE(AP$3,-12)+1)+1),IF($N11=0,0,$Q11/$N11*MAX(0,(IF($I11="",AP$3,MIN($I11,AP$3)))-(MAX($H11,(EDATE(AP$3,-12)+1)))+1)/(AP$3-(EDATE(AP$3,-12)+1)+1)))),MAX(0,AO11-$M11)))</f>
        <v/>
      </c>
      <c r="AQ11" s="51">
        <f>IF($K11="","",IF(AND($I11&lt;&gt;"",$I11&lt;=AP$3),0,AO11-AP11))</f>
        <v/>
      </c>
      <c r="AR11" s="50">
        <f>IF(OR($K11="",$H11=""),"",MIN(MAX(0,IF($O11="WDV",AQ11*$P11*MAX(0,(IF($I11="",AR$3,MIN($I11,AR$3)))-(MAX($H11,(EDATE(AR$3,-12)+1)))+1)/(AR$3-(EDATE(AR$3,-12)+1)+1),IF($N11=0,0,$Q11/$N11*MAX(0,(IF($I11="",AR$3,MIN($I11,AR$3)))-(MAX($H11,(EDATE(AR$3,-12)+1)))+1)/(AR$3-(EDATE(AR$3,-12)+1)+1)))),MAX(0,AQ11-$M11)))</f>
        <v/>
      </c>
      <c r="AS11" s="51">
        <f>IF($K11="","",IF(AND($I11&lt;&gt;"",$I11&lt;=AR$3),0,AQ11-AR11))</f>
        <v/>
      </c>
      <c r="AT11" s="50">
        <f>IF(OR($K11="",$H11=""),"",MIN(MAX(0,IF($O11="WDV",AS11*$P11*MAX(0,(IF($I11="",AT$3,MIN($I11,AT$3)))-(MAX($H11,(EDATE(AT$3,-12)+1)))+1)/(AT$3-(EDATE(AT$3,-12)+1)+1),IF($N11=0,0,$Q11/$N11*MAX(0,(IF($I11="",AT$3,MIN($I11,AT$3)))-(MAX($H11,(EDATE(AT$3,-12)+1)))+1)/(AT$3-(EDATE(AT$3,-12)+1)+1)))),MAX(0,AS11-$M11)))</f>
        <v/>
      </c>
      <c r="AU11" s="51">
        <f>IF($K11="","",IF(AND($I11&lt;&gt;"",$I11&lt;=AT$3),0,AS11-AT11))</f>
        <v/>
      </c>
      <c r="AV11" s="50">
        <f>IF(OR($K11="",$H11=""),"",MIN(MAX(0,IF($O11="WDV",AU11*$P11*MAX(0,(IF($I11="",AV$3,MIN($I11,AV$3)))-(MAX($H11,(EDATE(AV$3,-12)+1)))+1)/(AV$3-(EDATE(AV$3,-12)+1)+1),IF($N11=0,0,$Q11/$N11*MAX(0,(IF($I11="",AV$3,MIN($I11,AV$3)))-(MAX($H11,(EDATE(AV$3,-12)+1)))+1)/(AV$3-(EDATE(AV$3,-12)+1)+1)))),MAX(0,AU11-$M11)))</f>
        <v/>
      </c>
      <c r="AW11" s="51">
        <f>IF($K11="","",IF(AND($I11&lt;&gt;"",$I11&lt;=AV$3),0,AU11-AV11))</f>
        <v/>
      </c>
      <c r="AX11" s="50">
        <f>IF(OR($K11="",$H11=""),"",MIN(MAX(0,IF($O11="WDV",AW11*$P11*MAX(0,(IF($I11="",AX$3,MIN($I11,AX$3)))-(MAX($H11,(EDATE(AX$3,-12)+1)))+1)/(AX$3-(EDATE(AX$3,-12)+1)+1),IF($N11=0,0,$Q11/$N11*MAX(0,(IF($I11="",AX$3,MIN($I11,AX$3)))-(MAX($H11,(EDATE(AX$3,-12)+1)))+1)/(AX$3-(EDATE(AX$3,-12)+1)+1)))),MAX(0,AW11-$M11)))</f>
        <v/>
      </c>
      <c r="AY11" s="51">
        <f>IF($K11="","",IF(AND($I11&lt;&gt;"",$I11&lt;=AX$3),0,AW11-AX11))</f>
        <v/>
      </c>
      <c r="AZ11" s="50">
        <f>IF(OR($K11="",$H11=""),"",MIN(MAX(0,IF($O11="WDV",AY11*$P11*MAX(0,(IF($I11="",AZ$3,MIN($I11,AZ$3)))-(MAX($H11,(EDATE(AZ$3,-12)+1)))+1)/(AZ$3-(EDATE(AZ$3,-12)+1)+1),IF($N11=0,0,$Q11/$N11*MAX(0,(IF($I11="",AZ$3,MIN($I11,AZ$3)))-(MAX($H11,(EDATE(AZ$3,-12)+1)))+1)/(AZ$3-(EDATE(AZ$3,-12)+1)+1)))),MAX(0,AY11-$M11)))</f>
        <v/>
      </c>
      <c r="BA11" s="51">
        <f>IF($K11="","",IF(AND($I11&lt;&gt;"",$I11&lt;=AZ$3),0,AY11-AZ11))</f>
        <v/>
      </c>
    </row>
    <row r="12">
      <c r="A12" s="52" t="inlineStr">
        <is>
          <t>FA-008</t>
        </is>
      </c>
      <c r="B12" s="53" t="inlineStr">
        <is>
          <t>Central AC Plant</t>
        </is>
      </c>
      <c r="C12" s="53" t="inlineStr">
        <is>
          <t>Air Conditioning Plant</t>
        </is>
      </c>
      <c r="D12" s="53" t="inlineStr">
        <is>
          <t>Mumbai HO</t>
        </is>
      </c>
      <c r="E12" s="19" t="inlineStr">
        <is>
          <t>Blue Star</t>
        </is>
      </c>
      <c r="F12" s="54" t="inlineStr">
        <is>
          <t>INV-AC-007</t>
        </is>
      </c>
      <c r="G12" s="55" t="n">
        <v>44256</v>
      </c>
      <c r="H12" s="55" t="n">
        <v>44265</v>
      </c>
      <c r="I12" s="56" t="n"/>
      <c r="J12" s="57" t="n"/>
      <c r="K12" s="58" t="n">
        <v>1500000</v>
      </c>
      <c r="L12" s="59">
        <f>DefaultResidual</f>
        <v/>
      </c>
      <c r="M12" s="60">
        <f>IF($K12="","",$K12*$L12)</f>
        <v/>
      </c>
      <c r="N12" s="20">
        <f>IF($C12="","",IFERROR(VLOOKUP($C12,ScheduleIITable,3,FALSE),"#N/A"))</f>
        <v/>
      </c>
      <c r="O12" s="61">
        <f>IF($K12="","",GlobalMethod)</f>
        <v/>
      </c>
      <c r="P12" s="21">
        <f>IF(OR($K12="",$N12="",$N12=0,$M12=0),0,1-($M12/$K12)^(1/$N12))</f>
        <v/>
      </c>
      <c r="Q12" s="60">
        <f>IF($K12="","",$K12-$M12)</f>
        <v/>
      </c>
      <c r="R12" s="62">
        <f>IF($K12="","",INDEX($V12:$BA12,1,MATCH(ReportingFYEnd,$V$3:$BA$3,0)))</f>
        <v/>
      </c>
      <c r="S12" s="60">
        <f>IF($K12="","",IF($U12="Disposed",0,$K12-$T12))</f>
        <v/>
      </c>
      <c r="T12" s="63">
        <f>IF($K12="","",INDEX($V12:$BA12,1,MATCH(ReportingFYEnd,$V$3:$BA$3,0)+1))</f>
        <v/>
      </c>
      <c r="U12" s="64">
        <f>IF($K12="","",IF(AND($I12&lt;&gt;"",$I12&lt;=ReportingFYEnd),"Disposed",IF(OR($H12="",$H12&gt;ReportingFYEnd),"Not Yet in Use","Active")))</f>
        <v/>
      </c>
      <c r="V12" s="65">
        <f>IF(OR($K12="",$H12=""),"",MIN(MAX(0,IF($O12="WDV",$K12*$P12*MAX(0,(IF($I12="",V$3,MIN($I12,V$3)))-(MAX($H12,(EDATE(V$3,-12)+1)))+1)/(V$3-(EDATE(V$3,-12)+1)+1),IF($N12=0,0,$Q12/$N12*MAX(0,(IF($I12="",V$3,MIN($I12,V$3)))-(MAX($H12,(EDATE(V$3,-12)+1)))+1)/(V$3-(EDATE(V$3,-12)+1)+1)))),MAX(0,$K12-$M12)))</f>
        <v/>
      </c>
      <c r="W12" s="65">
        <f>IF($K12="","",IF(AND($I12&lt;&gt;"",$I12&lt;=V$3),0,$K12-V12))</f>
        <v/>
      </c>
      <c r="X12" s="65">
        <f>IF(OR($K12="",$H12=""),"",MIN(MAX(0,IF($O12="WDV",W12*$P12*MAX(0,(IF($I12="",X$3,MIN($I12,X$3)))-(MAX($H12,(EDATE(X$3,-12)+1)))+1)/(X$3-(EDATE(X$3,-12)+1)+1),IF($N12=0,0,$Q12/$N12*MAX(0,(IF($I12="",X$3,MIN($I12,X$3)))-(MAX($H12,(EDATE(X$3,-12)+1)))+1)/(X$3-(EDATE(X$3,-12)+1)+1)))),MAX(0,W12-$M12)))</f>
        <v/>
      </c>
      <c r="Y12" s="65">
        <f>IF($K12="","",IF(AND($I12&lt;&gt;"",$I12&lt;=X$3),0,W12-X12))</f>
        <v/>
      </c>
      <c r="Z12" s="65">
        <f>IF(OR($K12="",$H12=""),"",MIN(MAX(0,IF($O12="WDV",Y12*$P12*MAX(0,(IF($I12="",Z$3,MIN($I12,Z$3)))-(MAX($H12,(EDATE(Z$3,-12)+1)))+1)/(Z$3-(EDATE(Z$3,-12)+1)+1),IF($N12=0,0,$Q12/$N12*MAX(0,(IF($I12="",Z$3,MIN($I12,Z$3)))-(MAX($H12,(EDATE(Z$3,-12)+1)))+1)/(Z$3-(EDATE(Z$3,-12)+1)+1)))),MAX(0,Y12-$M12)))</f>
        <v/>
      </c>
      <c r="AA12" s="65">
        <f>IF($K12="","",IF(AND($I12&lt;&gt;"",$I12&lt;=Z$3),0,Y12-Z12))</f>
        <v/>
      </c>
      <c r="AB12" s="65">
        <f>IF(OR($K12="",$H12=""),"",MIN(MAX(0,IF($O12="WDV",AA12*$P12*MAX(0,(IF($I12="",AB$3,MIN($I12,AB$3)))-(MAX($H12,(EDATE(AB$3,-12)+1)))+1)/(AB$3-(EDATE(AB$3,-12)+1)+1),IF($N12=0,0,$Q12/$N12*MAX(0,(IF($I12="",AB$3,MIN($I12,AB$3)))-(MAX($H12,(EDATE(AB$3,-12)+1)))+1)/(AB$3-(EDATE(AB$3,-12)+1)+1)))),MAX(0,AA12-$M12)))</f>
        <v/>
      </c>
      <c r="AC12" s="65">
        <f>IF($K12="","",IF(AND($I12&lt;&gt;"",$I12&lt;=AB$3),0,AA12-AB12))</f>
        <v/>
      </c>
      <c r="AD12" s="65">
        <f>IF(OR($K12="",$H12=""),"",MIN(MAX(0,IF($O12="WDV",AC12*$P12*MAX(0,(IF($I12="",AD$3,MIN($I12,AD$3)))-(MAX($H12,(EDATE(AD$3,-12)+1)))+1)/(AD$3-(EDATE(AD$3,-12)+1)+1),IF($N12=0,0,$Q12/$N12*MAX(0,(IF($I12="",AD$3,MIN($I12,AD$3)))-(MAX($H12,(EDATE(AD$3,-12)+1)))+1)/(AD$3-(EDATE(AD$3,-12)+1)+1)))),MAX(0,AC12-$M12)))</f>
        <v/>
      </c>
      <c r="AE12" s="65">
        <f>IF($K12="","",IF(AND($I12&lt;&gt;"",$I12&lt;=AD$3),0,AC12-AD12))</f>
        <v/>
      </c>
      <c r="AF12" s="65">
        <f>IF(OR($K12="",$H12=""),"",MIN(MAX(0,IF($O12="WDV",AE12*$P12*MAX(0,(IF($I12="",AF$3,MIN($I12,AF$3)))-(MAX($H12,(EDATE(AF$3,-12)+1)))+1)/(AF$3-(EDATE(AF$3,-12)+1)+1),IF($N12=0,0,$Q12/$N12*MAX(0,(IF($I12="",AF$3,MIN($I12,AF$3)))-(MAX($H12,(EDATE(AF$3,-12)+1)))+1)/(AF$3-(EDATE(AF$3,-12)+1)+1)))),MAX(0,AE12-$M12)))</f>
        <v/>
      </c>
      <c r="AG12" s="65">
        <f>IF($K12="","",IF(AND($I12&lt;&gt;"",$I12&lt;=AF$3),0,AE12-AF12))</f>
        <v/>
      </c>
      <c r="AH12" s="65">
        <f>IF(OR($K12="",$H12=""),"",MIN(MAX(0,IF($O12="WDV",AG12*$P12*MAX(0,(IF($I12="",AH$3,MIN($I12,AH$3)))-(MAX($H12,(EDATE(AH$3,-12)+1)))+1)/(AH$3-(EDATE(AH$3,-12)+1)+1),IF($N12=0,0,$Q12/$N12*MAX(0,(IF($I12="",AH$3,MIN($I12,AH$3)))-(MAX($H12,(EDATE(AH$3,-12)+1)))+1)/(AH$3-(EDATE(AH$3,-12)+1)+1)))),MAX(0,AG12-$M12)))</f>
        <v/>
      </c>
      <c r="AI12" s="65">
        <f>IF($K12="","",IF(AND($I12&lt;&gt;"",$I12&lt;=AH$3),0,AG12-AH12))</f>
        <v/>
      </c>
      <c r="AJ12" s="65">
        <f>IF(OR($K12="",$H12=""),"",MIN(MAX(0,IF($O12="WDV",AI12*$P12*MAX(0,(IF($I12="",AJ$3,MIN($I12,AJ$3)))-(MAX($H12,(EDATE(AJ$3,-12)+1)))+1)/(AJ$3-(EDATE(AJ$3,-12)+1)+1),IF($N12=0,0,$Q12/$N12*MAX(0,(IF($I12="",AJ$3,MIN($I12,AJ$3)))-(MAX($H12,(EDATE(AJ$3,-12)+1)))+1)/(AJ$3-(EDATE(AJ$3,-12)+1)+1)))),MAX(0,AI12-$M12)))</f>
        <v/>
      </c>
      <c r="AK12" s="65">
        <f>IF($K12="","",IF(AND($I12&lt;&gt;"",$I12&lt;=AJ$3),0,AI12-AJ12))</f>
        <v/>
      </c>
      <c r="AL12" s="65">
        <f>IF(OR($K12="",$H12=""),"",MIN(MAX(0,IF($O12="WDV",AK12*$P12*MAX(0,(IF($I12="",AL$3,MIN($I12,AL$3)))-(MAX($H12,(EDATE(AL$3,-12)+1)))+1)/(AL$3-(EDATE(AL$3,-12)+1)+1),IF($N12=0,0,$Q12/$N12*MAX(0,(IF($I12="",AL$3,MIN($I12,AL$3)))-(MAX($H12,(EDATE(AL$3,-12)+1)))+1)/(AL$3-(EDATE(AL$3,-12)+1)+1)))),MAX(0,AK12-$M12)))</f>
        <v/>
      </c>
      <c r="AM12" s="65">
        <f>IF($K12="","",IF(AND($I12&lt;&gt;"",$I12&lt;=AL$3),0,AK12-AL12))</f>
        <v/>
      </c>
      <c r="AN12" s="65">
        <f>IF(OR($K12="",$H12=""),"",MIN(MAX(0,IF($O12="WDV",AM12*$P12*MAX(0,(IF($I12="",AN$3,MIN($I12,AN$3)))-(MAX($H12,(EDATE(AN$3,-12)+1)))+1)/(AN$3-(EDATE(AN$3,-12)+1)+1),IF($N12=0,0,$Q12/$N12*MAX(0,(IF($I12="",AN$3,MIN($I12,AN$3)))-(MAX($H12,(EDATE(AN$3,-12)+1)))+1)/(AN$3-(EDATE(AN$3,-12)+1)+1)))),MAX(0,AM12-$M12)))</f>
        <v/>
      </c>
      <c r="AO12" s="65">
        <f>IF($K12="","",IF(AND($I12&lt;&gt;"",$I12&lt;=AN$3),0,AM12-AN12))</f>
        <v/>
      </c>
      <c r="AP12" s="65">
        <f>IF(OR($K12="",$H12=""),"",MIN(MAX(0,IF($O12="WDV",AO12*$P12*MAX(0,(IF($I12="",AP$3,MIN($I12,AP$3)))-(MAX($H12,(EDATE(AP$3,-12)+1)))+1)/(AP$3-(EDATE(AP$3,-12)+1)+1),IF($N12=0,0,$Q12/$N12*MAX(0,(IF($I12="",AP$3,MIN($I12,AP$3)))-(MAX($H12,(EDATE(AP$3,-12)+1)))+1)/(AP$3-(EDATE(AP$3,-12)+1)+1)))),MAX(0,AO12-$M12)))</f>
        <v/>
      </c>
      <c r="AQ12" s="65">
        <f>IF($K12="","",IF(AND($I12&lt;&gt;"",$I12&lt;=AP$3),0,AO12-AP12))</f>
        <v/>
      </c>
      <c r="AR12" s="65">
        <f>IF(OR($K12="",$H12=""),"",MIN(MAX(0,IF($O12="WDV",AQ12*$P12*MAX(0,(IF($I12="",AR$3,MIN($I12,AR$3)))-(MAX($H12,(EDATE(AR$3,-12)+1)))+1)/(AR$3-(EDATE(AR$3,-12)+1)+1),IF($N12=0,0,$Q12/$N12*MAX(0,(IF($I12="",AR$3,MIN($I12,AR$3)))-(MAX($H12,(EDATE(AR$3,-12)+1)))+1)/(AR$3-(EDATE(AR$3,-12)+1)+1)))),MAX(0,AQ12-$M12)))</f>
        <v/>
      </c>
      <c r="AS12" s="65">
        <f>IF($K12="","",IF(AND($I12&lt;&gt;"",$I12&lt;=AR$3),0,AQ12-AR12))</f>
        <v/>
      </c>
      <c r="AT12" s="65">
        <f>IF(OR($K12="",$H12=""),"",MIN(MAX(0,IF($O12="WDV",AS12*$P12*MAX(0,(IF($I12="",AT$3,MIN($I12,AT$3)))-(MAX($H12,(EDATE(AT$3,-12)+1)))+1)/(AT$3-(EDATE(AT$3,-12)+1)+1),IF($N12=0,0,$Q12/$N12*MAX(0,(IF($I12="",AT$3,MIN($I12,AT$3)))-(MAX($H12,(EDATE(AT$3,-12)+1)))+1)/(AT$3-(EDATE(AT$3,-12)+1)+1)))),MAX(0,AS12-$M12)))</f>
        <v/>
      </c>
      <c r="AU12" s="65">
        <f>IF($K12="","",IF(AND($I12&lt;&gt;"",$I12&lt;=AT$3),0,AS12-AT12))</f>
        <v/>
      </c>
      <c r="AV12" s="65">
        <f>IF(OR($K12="",$H12=""),"",MIN(MAX(0,IF($O12="WDV",AU12*$P12*MAX(0,(IF($I12="",AV$3,MIN($I12,AV$3)))-(MAX($H12,(EDATE(AV$3,-12)+1)))+1)/(AV$3-(EDATE(AV$3,-12)+1)+1),IF($N12=0,0,$Q12/$N12*MAX(0,(IF($I12="",AV$3,MIN($I12,AV$3)))-(MAX($H12,(EDATE(AV$3,-12)+1)))+1)/(AV$3-(EDATE(AV$3,-12)+1)+1)))),MAX(0,AU12-$M12)))</f>
        <v/>
      </c>
      <c r="AW12" s="65">
        <f>IF($K12="","",IF(AND($I12&lt;&gt;"",$I12&lt;=AV$3),0,AU12-AV12))</f>
        <v/>
      </c>
      <c r="AX12" s="65">
        <f>IF(OR($K12="",$H12=""),"",MIN(MAX(0,IF($O12="WDV",AW12*$P12*MAX(0,(IF($I12="",AX$3,MIN($I12,AX$3)))-(MAX($H12,(EDATE(AX$3,-12)+1)))+1)/(AX$3-(EDATE(AX$3,-12)+1)+1),IF($N12=0,0,$Q12/$N12*MAX(0,(IF($I12="",AX$3,MIN($I12,AX$3)))-(MAX($H12,(EDATE(AX$3,-12)+1)))+1)/(AX$3-(EDATE(AX$3,-12)+1)+1)))),MAX(0,AW12-$M12)))</f>
        <v/>
      </c>
      <c r="AY12" s="65">
        <f>IF($K12="","",IF(AND($I12&lt;&gt;"",$I12&lt;=AX$3),0,AW12-AX12))</f>
        <v/>
      </c>
      <c r="AZ12" s="65">
        <f>IF(OR($K12="",$H12=""),"",MIN(MAX(0,IF($O12="WDV",AY12*$P12*MAX(0,(IF($I12="",AZ$3,MIN($I12,AZ$3)))-(MAX($H12,(EDATE(AZ$3,-12)+1)))+1)/(AZ$3-(EDATE(AZ$3,-12)+1)+1),IF($N12=0,0,$Q12/$N12*MAX(0,(IF($I12="",AZ$3,MIN($I12,AZ$3)))-(MAX($H12,(EDATE(AZ$3,-12)+1)))+1)/(AZ$3-(EDATE(AZ$3,-12)+1)+1)))),MAX(0,AY12-$M12)))</f>
        <v/>
      </c>
      <c r="BA12" s="65">
        <f>IF($K12="","",IF(AND($I12&lt;&gt;"",$I12&lt;=AZ$3),0,AY12-AZ12))</f>
        <v/>
      </c>
    </row>
    <row r="13">
      <c r="A13" s="34" t="inlineStr">
        <is>
          <t>FA-009</t>
        </is>
      </c>
      <c r="B13" s="35" t="inlineStr">
        <is>
          <t>Electrical Installation</t>
        </is>
      </c>
      <c r="C13" s="35" t="inlineStr">
        <is>
          <t>Electrical Installations</t>
        </is>
      </c>
      <c r="D13" s="35" t="inlineStr">
        <is>
          <t>Pune Plant</t>
        </is>
      </c>
      <c r="E13" s="36" t="inlineStr">
        <is>
          <t>Schneider</t>
        </is>
      </c>
      <c r="F13" s="37" t="inlineStr">
        <is>
          <t>INV-EL-033</t>
        </is>
      </c>
      <c r="G13" s="38" t="n">
        <v>44044</v>
      </c>
      <c r="H13" s="38" t="n">
        <v>44075</v>
      </c>
      <c r="I13" s="39" t="n"/>
      <c r="J13" s="40" t="n"/>
      <c r="K13" s="41" t="n">
        <v>2200000</v>
      </c>
      <c r="L13" s="42">
        <f>DefaultResidual</f>
        <v/>
      </c>
      <c r="M13" s="43">
        <f>IF($K13="","",$K13*$L13)</f>
        <v/>
      </c>
      <c r="N13" s="44">
        <f>IF($C13="","",IFERROR(VLOOKUP($C13,ScheduleIITable,3,FALSE),"#N/A"))</f>
        <v/>
      </c>
      <c r="O13" s="45">
        <f>IF($K13="","",GlobalMethod)</f>
        <v/>
      </c>
      <c r="P13" s="46">
        <f>IF(OR($K13="",$N13="",$N13=0,$M13=0),0,1-($M13/$K13)^(1/$N13))</f>
        <v/>
      </c>
      <c r="Q13" s="43">
        <f>IF($K13="","",$K13-$M13)</f>
        <v/>
      </c>
      <c r="R13" s="47">
        <f>IF($K13="","",INDEX($V13:$BA13,1,MATCH(ReportingFYEnd,$V$3:$BA$3,0)))</f>
        <v/>
      </c>
      <c r="S13" s="43">
        <f>IF($K13="","",IF($U13="Disposed",0,$K13-$T13))</f>
        <v/>
      </c>
      <c r="T13" s="48">
        <f>IF($K13="","",INDEX($V13:$BA13,1,MATCH(ReportingFYEnd,$V$3:$BA$3,0)+1))</f>
        <v/>
      </c>
      <c r="U13" s="49">
        <f>IF($K13="","",IF(AND($I13&lt;&gt;"",$I13&lt;=ReportingFYEnd),"Disposed",IF(OR($H13="",$H13&gt;ReportingFYEnd),"Not Yet in Use","Active")))</f>
        <v/>
      </c>
      <c r="V13" s="50">
        <f>IF(OR($K13="",$H13=""),"",MIN(MAX(0,IF($O13="WDV",$K13*$P13*MAX(0,(IF($I13="",V$3,MIN($I13,V$3)))-(MAX($H13,(EDATE(V$3,-12)+1)))+1)/(V$3-(EDATE(V$3,-12)+1)+1),IF($N13=0,0,$Q13/$N13*MAX(0,(IF($I13="",V$3,MIN($I13,V$3)))-(MAX($H13,(EDATE(V$3,-12)+1)))+1)/(V$3-(EDATE(V$3,-12)+1)+1)))),MAX(0,$K13-$M13)))</f>
        <v/>
      </c>
      <c r="W13" s="51">
        <f>IF($K13="","",IF(AND($I13&lt;&gt;"",$I13&lt;=V$3),0,$K13-V13))</f>
        <v/>
      </c>
      <c r="X13" s="50">
        <f>IF(OR($K13="",$H13=""),"",MIN(MAX(0,IF($O13="WDV",W13*$P13*MAX(0,(IF($I13="",X$3,MIN($I13,X$3)))-(MAX($H13,(EDATE(X$3,-12)+1)))+1)/(X$3-(EDATE(X$3,-12)+1)+1),IF($N13=0,0,$Q13/$N13*MAX(0,(IF($I13="",X$3,MIN($I13,X$3)))-(MAX($H13,(EDATE(X$3,-12)+1)))+1)/(X$3-(EDATE(X$3,-12)+1)+1)))),MAX(0,W13-$M13)))</f>
        <v/>
      </c>
      <c r="Y13" s="51">
        <f>IF($K13="","",IF(AND($I13&lt;&gt;"",$I13&lt;=X$3),0,W13-X13))</f>
        <v/>
      </c>
      <c r="Z13" s="50">
        <f>IF(OR($K13="",$H13=""),"",MIN(MAX(0,IF($O13="WDV",Y13*$P13*MAX(0,(IF($I13="",Z$3,MIN($I13,Z$3)))-(MAX($H13,(EDATE(Z$3,-12)+1)))+1)/(Z$3-(EDATE(Z$3,-12)+1)+1),IF($N13=0,0,$Q13/$N13*MAX(0,(IF($I13="",Z$3,MIN($I13,Z$3)))-(MAX($H13,(EDATE(Z$3,-12)+1)))+1)/(Z$3-(EDATE(Z$3,-12)+1)+1)))),MAX(0,Y13-$M13)))</f>
        <v/>
      </c>
      <c r="AA13" s="51">
        <f>IF($K13="","",IF(AND($I13&lt;&gt;"",$I13&lt;=Z$3),0,Y13-Z13))</f>
        <v/>
      </c>
      <c r="AB13" s="50">
        <f>IF(OR($K13="",$H13=""),"",MIN(MAX(0,IF($O13="WDV",AA13*$P13*MAX(0,(IF($I13="",AB$3,MIN($I13,AB$3)))-(MAX($H13,(EDATE(AB$3,-12)+1)))+1)/(AB$3-(EDATE(AB$3,-12)+1)+1),IF($N13=0,0,$Q13/$N13*MAX(0,(IF($I13="",AB$3,MIN($I13,AB$3)))-(MAX($H13,(EDATE(AB$3,-12)+1)))+1)/(AB$3-(EDATE(AB$3,-12)+1)+1)))),MAX(0,AA13-$M13)))</f>
        <v/>
      </c>
      <c r="AC13" s="51">
        <f>IF($K13="","",IF(AND($I13&lt;&gt;"",$I13&lt;=AB$3),0,AA13-AB13))</f>
        <v/>
      </c>
      <c r="AD13" s="50">
        <f>IF(OR($K13="",$H13=""),"",MIN(MAX(0,IF($O13="WDV",AC13*$P13*MAX(0,(IF($I13="",AD$3,MIN($I13,AD$3)))-(MAX($H13,(EDATE(AD$3,-12)+1)))+1)/(AD$3-(EDATE(AD$3,-12)+1)+1),IF($N13=0,0,$Q13/$N13*MAX(0,(IF($I13="",AD$3,MIN($I13,AD$3)))-(MAX($H13,(EDATE(AD$3,-12)+1)))+1)/(AD$3-(EDATE(AD$3,-12)+1)+1)))),MAX(0,AC13-$M13)))</f>
        <v/>
      </c>
      <c r="AE13" s="51">
        <f>IF($K13="","",IF(AND($I13&lt;&gt;"",$I13&lt;=AD$3),0,AC13-AD13))</f>
        <v/>
      </c>
      <c r="AF13" s="50">
        <f>IF(OR($K13="",$H13=""),"",MIN(MAX(0,IF($O13="WDV",AE13*$P13*MAX(0,(IF($I13="",AF$3,MIN($I13,AF$3)))-(MAX($H13,(EDATE(AF$3,-12)+1)))+1)/(AF$3-(EDATE(AF$3,-12)+1)+1),IF($N13=0,0,$Q13/$N13*MAX(0,(IF($I13="",AF$3,MIN($I13,AF$3)))-(MAX($H13,(EDATE(AF$3,-12)+1)))+1)/(AF$3-(EDATE(AF$3,-12)+1)+1)))),MAX(0,AE13-$M13)))</f>
        <v/>
      </c>
      <c r="AG13" s="51">
        <f>IF($K13="","",IF(AND($I13&lt;&gt;"",$I13&lt;=AF$3),0,AE13-AF13))</f>
        <v/>
      </c>
      <c r="AH13" s="50">
        <f>IF(OR($K13="",$H13=""),"",MIN(MAX(0,IF($O13="WDV",AG13*$P13*MAX(0,(IF($I13="",AH$3,MIN($I13,AH$3)))-(MAX($H13,(EDATE(AH$3,-12)+1)))+1)/(AH$3-(EDATE(AH$3,-12)+1)+1),IF($N13=0,0,$Q13/$N13*MAX(0,(IF($I13="",AH$3,MIN($I13,AH$3)))-(MAX($H13,(EDATE(AH$3,-12)+1)))+1)/(AH$3-(EDATE(AH$3,-12)+1)+1)))),MAX(0,AG13-$M13)))</f>
        <v/>
      </c>
      <c r="AI13" s="51">
        <f>IF($K13="","",IF(AND($I13&lt;&gt;"",$I13&lt;=AH$3),0,AG13-AH13))</f>
        <v/>
      </c>
      <c r="AJ13" s="50">
        <f>IF(OR($K13="",$H13=""),"",MIN(MAX(0,IF($O13="WDV",AI13*$P13*MAX(0,(IF($I13="",AJ$3,MIN($I13,AJ$3)))-(MAX($H13,(EDATE(AJ$3,-12)+1)))+1)/(AJ$3-(EDATE(AJ$3,-12)+1)+1),IF($N13=0,0,$Q13/$N13*MAX(0,(IF($I13="",AJ$3,MIN($I13,AJ$3)))-(MAX($H13,(EDATE(AJ$3,-12)+1)))+1)/(AJ$3-(EDATE(AJ$3,-12)+1)+1)))),MAX(0,AI13-$M13)))</f>
        <v/>
      </c>
      <c r="AK13" s="51">
        <f>IF($K13="","",IF(AND($I13&lt;&gt;"",$I13&lt;=AJ$3),0,AI13-AJ13))</f>
        <v/>
      </c>
      <c r="AL13" s="50">
        <f>IF(OR($K13="",$H13=""),"",MIN(MAX(0,IF($O13="WDV",AK13*$P13*MAX(0,(IF($I13="",AL$3,MIN($I13,AL$3)))-(MAX($H13,(EDATE(AL$3,-12)+1)))+1)/(AL$3-(EDATE(AL$3,-12)+1)+1),IF($N13=0,0,$Q13/$N13*MAX(0,(IF($I13="",AL$3,MIN($I13,AL$3)))-(MAX($H13,(EDATE(AL$3,-12)+1)))+1)/(AL$3-(EDATE(AL$3,-12)+1)+1)))),MAX(0,AK13-$M13)))</f>
        <v/>
      </c>
      <c r="AM13" s="51">
        <f>IF($K13="","",IF(AND($I13&lt;&gt;"",$I13&lt;=AL$3),0,AK13-AL13))</f>
        <v/>
      </c>
      <c r="AN13" s="50">
        <f>IF(OR($K13="",$H13=""),"",MIN(MAX(0,IF($O13="WDV",AM13*$P13*MAX(0,(IF($I13="",AN$3,MIN($I13,AN$3)))-(MAX($H13,(EDATE(AN$3,-12)+1)))+1)/(AN$3-(EDATE(AN$3,-12)+1)+1),IF($N13=0,0,$Q13/$N13*MAX(0,(IF($I13="",AN$3,MIN($I13,AN$3)))-(MAX($H13,(EDATE(AN$3,-12)+1)))+1)/(AN$3-(EDATE(AN$3,-12)+1)+1)))),MAX(0,AM13-$M13)))</f>
        <v/>
      </c>
      <c r="AO13" s="51">
        <f>IF($K13="","",IF(AND($I13&lt;&gt;"",$I13&lt;=AN$3),0,AM13-AN13))</f>
        <v/>
      </c>
      <c r="AP13" s="50">
        <f>IF(OR($K13="",$H13=""),"",MIN(MAX(0,IF($O13="WDV",AO13*$P13*MAX(0,(IF($I13="",AP$3,MIN($I13,AP$3)))-(MAX($H13,(EDATE(AP$3,-12)+1)))+1)/(AP$3-(EDATE(AP$3,-12)+1)+1),IF($N13=0,0,$Q13/$N13*MAX(0,(IF($I13="",AP$3,MIN($I13,AP$3)))-(MAX($H13,(EDATE(AP$3,-12)+1)))+1)/(AP$3-(EDATE(AP$3,-12)+1)+1)))),MAX(0,AO13-$M13)))</f>
        <v/>
      </c>
      <c r="AQ13" s="51">
        <f>IF($K13="","",IF(AND($I13&lt;&gt;"",$I13&lt;=AP$3),0,AO13-AP13))</f>
        <v/>
      </c>
      <c r="AR13" s="50">
        <f>IF(OR($K13="",$H13=""),"",MIN(MAX(0,IF($O13="WDV",AQ13*$P13*MAX(0,(IF($I13="",AR$3,MIN($I13,AR$3)))-(MAX($H13,(EDATE(AR$3,-12)+1)))+1)/(AR$3-(EDATE(AR$3,-12)+1)+1),IF($N13=0,0,$Q13/$N13*MAX(0,(IF($I13="",AR$3,MIN($I13,AR$3)))-(MAX($H13,(EDATE(AR$3,-12)+1)))+1)/(AR$3-(EDATE(AR$3,-12)+1)+1)))),MAX(0,AQ13-$M13)))</f>
        <v/>
      </c>
      <c r="AS13" s="51">
        <f>IF($K13="","",IF(AND($I13&lt;&gt;"",$I13&lt;=AR$3),0,AQ13-AR13))</f>
        <v/>
      </c>
      <c r="AT13" s="50">
        <f>IF(OR($K13="",$H13=""),"",MIN(MAX(0,IF($O13="WDV",AS13*$P13*MAX(0,(IF($I13="",AT$3,MIN($I13,AT$3)))-(MAX($H13,(EDATE(AT$3,-12)+1)))+1)/(AT$3-(EDATE(AT$3,-12)+1)+1),IF($N13=0,0,$Q13/$N13*MAX(0,(IF($I13="",AT$3,MIN($I13,AT$3)))-(MAX($H13,(EDATE(AT$3,-12)+1)))+1)/(AT$3-(EDATE(AT$3,-12)+1)+1)))),MAX(0,AS13-$M13)))</f>
        <v/>
      </c>
      <c r="AU13" s="51">
        <f>IF($K13="","",IF(AND($I13&lt;&gt;"",$I13&lt;=AT$3),0,AS13-AT13))</f>
        <v/>
      </c>
      <c r="AV13" s="50">
        <f>IF(OR($K13="",$H13=""),"",MIN(MAX(0,IF($O13="WDV",AU13*$P13*MAX(0,(IF($I13="",AV$3,MIN($I13,AV$3)))-(MAX($H13,(EDATE(AV$3,-12)+1)))+1)/(AV$3-(EDATE(AV$3,-12)+1)+1),IF($N13=0,0,$Q13/$N13*MAX(0,(IF($I13="",AV$3,MIN($I13,AV$3)))-(MAX($H13,(EDATE(AV$3,-12)+1)))+1)/(AV$3-(EDATE(AV$3,-12)+1)+1)))),MAX(0,AU13-$M13)))</f>
        <v/>
      </c>
      <c r="AW13" s="51">
        <f>IF($K13="","",IF(AND($I13&lt;&gt;"",$I13&lt;=AV$3),0,AU13-AV13))</f>
        <v/>
      </c>
      <c r="AX13" s="50">
        <f>IF(OR($K13="",$H13=""),"",MIN(MAX(0,IF($O13="WDV",AW13*$P13*MAX(0,(IF($I13="",AX$3,MIN($I13,AX$3)))-(MAX($H13,(EDATE(AX$3,-12)+1)))+1)/(AX$3-(EDATE(AX$3,-12)+1)+1),IF($N13=0,0,$Q13/$N13*MAX(0,(IF($I13="",AX$3,MIN($I13,AX$3)))-(MAX($H13,(EDATE(AX$3,-12)+1)))+1)/(AX$3-(EDATE(AX$3,-12)+1)+1)))),MAX(0,AW13-$M13)))</f>
        <v/>
      </c>
      <c r="AY13" s="51">
        <f>IF($K13="","",IF(AND($I13&lt;&gt;"",$I13&lt;=AX$3),0,AW13-AX13))</f>
        <v/>
      </c>
      <c r="AZ13" s="50">
        <f>IF(OR($K13="",$H13=""),"",MIN(MAX(0,IF($O13="WDV",AY13*$P13*MAX(0,(IF($I13="",AZ$3,MIN($I13,AZ$3)))-(MAX($H13,(EDATE(AZ$3,-12)+1)))+1)/(AZ$3-(EDATE(AZ$3,-12)+1)+1),IF($N13=0,0,$Q13/$N13*MAX(0,(IF($I13="",AZ$3,MIN($I13,AZ$3)))-(MAX($H13,(EDATE(AZ$3,-12)+1)))+1)/(AZ$3-(EDATE(AZ$3,-12)+1)+1)))),MAX(0,AY13-$M13)))</f>
        <v/>
      </c>
      <c r="BA13" s="51">
        <f>IF($K13="","",IF(AND($I13&lt;&gt;"",$I13&lt;=AZ$3),0,AY13-AZ13))</f>
        <v/>
      </c>
    </row>
    <row r="14">
      <c r="A14" s="52" t="inlineStr">
        <is>
          <t>FA-010</t>
        </is>
      </c>
      <c r="B14" s="53" t="inlineStr">
        <is>
          <t>Delivery Van (disposed)</t>
        </is>
      </c>
      <c r="C14" s="53" t="inlineStr">
        <is>
          <t>Motor Vehicles - Commercial</t>
        </is>
      </c>
      <c r="D14" s="53" t="inlineStr">
        <is>
          <t>Pune Plant</t>
        </is>
      </c>
      <c r="E14" s="19" t="inlineStr">
        <is>
          <t>Tata Motors</t>
        </is>
      </c>
      <c r="F14" s="54" t="inlineStr">
        <is>
          <t>INV-MV-020</t>
        </is>
      </c>
      <c r="G14" s="55" t="n">
        <v>43983</v>
      </c>
      <c r="H14" s="55" t="n">
        <v>43992</v>
      </c>
      <c r="I14" s="56" t="n">
        <v>45565</v>
      </c>
      <c r="J14" s="57" t="n">
        <v>350000</v>
      </c>
      <c r="K14" s="58" t="n">
        <v>1400000</v>
      </c>
      <c r="L14" s="59">
        <f>DefaultResidual</f>
        <v/>
      </c>
      <c r="M14" s="60">
        <f>IF($K14="","",$K14*$L14)</f>
        <v/>
      </c>
      <c r="N14" s="20">
        <f>IF($C14="","",IFERROR(VLOOKUP($C14,ScheduleIITable,3,FALSE),"#N/A"))</f>
        <v/>
      </c>
      <c r="O14" s="61">
        <f>IF($K14="","",GlobalMethod)</f>
        <v/>
      </c>
      <c r="P14" s="21">
        <f>IF(OR($K14="",$N14="",$N14=0,$M14=0),0,1-($M14/$K14)^(1/$N14))</f>
        <v/>
      </c>
      <c r="Q14" s="60">
        <f>IF($K14="","",$K14-$M14)</f>
        <v/>
      </c>
      <c r="R14" s="62">
        <f>IF($K14="","",INDEX($V14:$BA14,1,MATCH(ReportingFYEnd,$V$3:$BA$3,0)))</f>
        <v/>
      </c>
      <c r="S14" s="60">
        <f>IF($K14="","",IF($U14="Disposed",0,$K14-$T14))</f>
        <v/>
      </c>
      <c r="T14" s="63">
        <f>IF($K14="","",INDEX($V14:$BA14,1,MATCH(ReportingFYEnd,$V$3:$BA$3,0)+1))</f>
        <v/>
      </c>
      <c r="U14" s="64">
        <f>IF($K14="","",IF(AND($I14&lt;&gt;"",$I14&lt;=ReportingFYEnd),"Disposed",IF(OR($H14="",$H14&gt;ReportingFYEnd),"Not Yet in Use","Active")))</f>
        <v/>
      </c>
      <c r="V14" s="65">
        <f>IF(OR($K14="",$H14=""),"",MIN(MAX(0,IF($O14="WDV",$K14*$P14*MAX(0,(IF($I14="",V$3,MIN($I14,V$3)))-(MAX($H14,(EDATE(V$3,-12)+1)))+1)/(V$3-(EDATE(V$3,-12)+1)+1),IF($N14=0,0,$Q14/$N14*MAX(0,(IF($I14="",V$3,MIN($I14,V$3)))-(MAX($H14,(EDATE(V$3,-12)+1)))+1)/(V$3-(EDATE(V$3,-12)+1)+1)))),MAX(0,$K14-$M14)))</f>
        <v/>
      </c>
      <c r="W14" s="65">
        <f>IF($K14="","",IF(AND($I14&lt;&gt;"",$I14&lt;=V$3),0,$K14-V14))</f>
        <v/>
      </c>
      <c r="X14" s="65">
        <f>IF(OR($K14="",$H14=""),"",MIN(MAX(0,IF($O14="WDV",W14*$P14*MAX(0,(IF($I14="",X$3,MIN($I14,X$3)))-(MAX($H14,(EDATE(X$3,-12)+1)))+1)/(X$3-(EDATE(X$3,-12)+1)+1),IF($N14=0,0,$Q14/$N14*MAX(0,(IF($I14="",X$3,MIN($I14,X$3)))-(MAX($H14,(EDATE(X$3,-12)+1)))+1)/(X$3-(EDATE(X$3,-12)+1)+1)))),MAX(0,W14-$M14)))</f>
        <v/>
      </c>
      <c r="Y14" s="65">
        <f>IF($K14="","",IF(AND($I14&lt;&gt;"",$I14&lt;=X$3),0,W14-X14))</f>
        <v/>
      </c>
      <c r="Z14" s="65">
        <f>IF(OR($K14="",$H14=""),"",MIN(MAX(0,IF($O14="WDV",Y14*$P14*MAX(0,(IF($I14="",Z$3,MIN($I14,Z$3)))-(MAX($H14,(EDATE(Z$3,-12)+1)))+1)/(Z$3-(EDATE(Z$3,-12)+1)+1),IF($N14=0,0,$Q14/$N14*MAX(0,(IF($I14="",Z$3,MIN($I14,Z$3)))-(MAX($H14,(EDATE(Z$3,-12)+1)))+1)/(Z$3-(EDATE(Z$3,-12)+1)+1)))),MAX(0,Y14-$M14)))</f>
        <v/>
      </c>
      <c r="AA14" s="65">
        <f>IF($K14="","",IF(AND($I14&lt;&gt;"",$I14&lt;=Z$3),0,Y14-Z14))</f>
        <v/>
      </c>
      <c r="AB14" s="65">
        <f>IF(OR($K14="",$H14=""),"",MIN(MAX(0,IF($O14="WDV",AA14*$P14*MAX(0,(IF($I14="",AB$3,MIN($I14,AB$3)))-(MAX($H14,(EDATE(AB$3,-12)+1)))+1)/(AB$3-(EDATE(AB$3,-12)+1)+1),IF($N14=0,0,$Q14/$N14*MAX(0,(IF($I14="",AB$3,MIN($I14,AB$3)))-(MAX($H14,(EDATE(AB$3,-12)+1)))+1)/(AB$3-(EDATE(AB$3,-12)+1)+1)))),MAX(0,AA14-$M14)))</f>
        <v/>
      </c>
      <c r="AC14" s="65">
        <f>IF($K14="","",IF(AND($I14&lt;&gt;"",$I14&lt;=AB$3),0,AA14-AB14))</f>
        <v/>
      </c>
      <c r="AD14" s="65">
        <f>IF(OR($K14="",$H14=""),"",MIN(MAX(0,IF($O14="WDV",AC14*$P14*MAX(0,(IF($I14="",AD$3,MIN($I14,AD$3)))-(MAX($H14,(EDATE(AD$3,-12)+1)))+1)/(AD$3-(EDATE(AD$3,-12)+1)+1),IF($N14=0,0,$Q14/$N14*MAX(0,(IF($I14="",AD$3,MIN($I14,AD$3)))-(MAX($H14,(EDATE(AD$3,-12)+1)))+1)/(AD$3-(EDATE(AD$3,-12)+1)+1)))),MAX(0,AC14-$M14)))</f>
        <v/>
      </c>
      <c r="AE14" s="65">
        <f>IF($K14="","",IF(AND($I14&lt;&gt;"",$I14&lt;=AD$3),0,AC14-AD14))</f>
        <v/>
      </c>
      <c r="AF14" s="65">
        <f>IF(OR($K14="",$H14=""),"",MIN(MAX(0,IF($O14="WDV",AE14*$P14*MAX(0,(IF($I14="",AF$3,MIN($I14,AF$3)))-(MAX($H14,(EDATE(AF$3,-12)+1)))+1)/(AF$3-(EDATE(AF$3,-12)+1)+1),IF($N14=0,0,$Q14/$N14*MAX(0,(IF($I14="",AF$3,MIN($I14,AF$3)))-(MAX($H14,(EDATE(AF$3,-12)+1)))+1)/(AF$3-(EDATE(AF$3,-12)+1)+1)))),MAX(0,AE14-$M14)))</f>
        <v/>
      </c>
      <c r="AG14" s="65">
        <f>IF($K14="","",IF(AND($I14&lt;&gt;"",$I14&lt;=AF$3),0,AE14-AF14))</f>
        <v/>
      </c>
      <c r="AH14" s="65">
        <f>IF(OR($K14="",$H14=""),"",MIN(MAX(0,IF($O14="WDV",AG14*$P14*MAX(0,(IF($I14="",AH$3,MIN($I14,AH$3)))-(MAX($H14,(EDATE(AH$3,-12)+1)))+1)/(AH$3-(EDATE(AH$3,-12)+1)+1),IF($N14=0,0,$Q14/$N14*MAX(0,(IF($I14="",AH$3,MIN($I14,AH$3)))-(MAX($H14,(EDATE(AH$3,-12)+1)))+1)/(AH$3-(EDATE(AH$3,-12)+1)+1)))),MAX(0,AG14-$M14)))</f>
        <v/>
      </c>
      <c r="AI14" s="65">
        <f>IF($K14="","",IF(AND($I14&lt;&gt;"",$I14&lt;=AH$3),0,AG14-AH14))</f>
        <v/>
      </c>
      <c r="AJ14" s="65">
        <f>IF(OR($K14="",$H14=""),"",MIN(MAX(0,IF($O14="WDV",AI14*$P14*MAX(0,(IF($I14="",AJ$3,MIN($I14,AJ$3)))-(MAX($H14,(EDATE(AJ$3,-12)+1)))+1)/(AJ$3-(EDATE(AJ$3,-12)+1)+1),IF($N14=0,0,$Q14/$N14*MAX(0,(IF($I14="",AJ$3,MIN($I14,AJ$3)))-(MAX($H14,(EDATE(AJ$3,-12)+1)))+1)/(AJ$3-(EDATE(AJ$3,-12)+1)+1)))),MAX(0,AI14-$M14)))</f>
        <v/>
      </c>
      <c r="AK14" s="65">
        <f>IF($K14="","",IF(AND($I14&lt;&gt;"",$I14&lt;=AJ$3),0,AI14-AJ14))</f>
        <v/>
      </c>
      <c r="AL14" s="65">
        <f>IF(OR($K14="",$H14=""),"",MIN(MAX(0,IF($O14="WDV",AK14*$P14*MAX(0,(IF($I14="",AL$3,MIN($I14,AL$3)))-(MAX($H14,(EDATE(AL$3,-12)+1)))+1)/(AL$3-(EDATE(AL$3,-12)+1)+1),IF($N14=0,0,$Q14/$N14*MAX(0,(IF($I14="",AL$3,MIN($I14,AL$3)))-(MAX($H14,(EDATE(AL$3,-12)+1)))+1)/(AL$3-(EDATE(AL$3,-12)+1)+1)))),MAX(0,AK14-$M14)))</f>
        <v/>
      </c>
      <c r="AM14" s="65">
        <f>IF($K14="","",IF(AND($I14&lt;&gt;"",$I14&lt;=AL$3),0,AK14-AL14))</f>
        <v/>
      </c>
      <c r="AN14" s="65">
        <f>IF(OR($K14="",$H14=""),"",MIN(MAX(0,IF($O14="WDV",AM14*$P14*MAX(0,(IF($I14="",AN$3,MIN($I14,AN$3)))-(MAX($H14,(EDATE(AN$3,-12)+1)))+1)/(AN$3-(EDATE(AN$3,-12)+1)+1),IF($N14=0,0,$Q14/$N14*MAX(0,(IF($I14="",AN$3,MIN($I14,AN$3)))-(MAX($H14,(EDATE(AN$3,-12)+1)))+1)/(AN$3-(EDATE(AN$3,-12)+1)+1)))),MAX(0,AM14-$M14)))</f>
        <v/>
      </c>
      <c r="AO14" s="65">
        <f>IF($K14="","",IF(AND($I14&lt;&gt;"",$I14&lt;=AN$3),0,AM14-AN14))</f>
        <v/>
      </c>
      <c r="AP14" s="65">
        <f>IF(OR($K14="",$H14=""),"",MIN(MAX(0,IF($O14="WDV",AO14*$P14*MAX(0,(IF($I14="",AP$3,MIN($I14,AP$3)))-(MAX($H14,(EDATE(AP$3,-12)+1)))+1)/(AP$3-(EDATE(AP$3,-12)+1)+1),IF($N14=0,0,$Q14/$N14*MAX(0,(IF($I14="",AP$3,MIN($I14,AP$3)))-(MAX($H14,(EDATE(AP$3,-12)+1)))+1)/(AP$3-(EDATE(AP$3,-12)+1)+1)))),MAX(0,AO14-$M14)))</f>
        <v/>
      </c>
      <c r="AQ14" s="65">
        <f>IF($K14="","",IF(AND($I14&lt;&gt;"",$I14&lt;=AP$3),0,AO14-AP14))</f>
        <v/>
      </c>
      <c r="AR14" s="65">
        <f>IF(OR($K14="",$H14=""),"",MIN(MAX(0,IF($O14="WDV",AQ14*$P14*MAX(0,(IF($I14="",AR$3,MIN($I14,AR$3)))-(MAX($H14,(EDATE(AR$3,-12)+1)))+1)/(AR$3-(EDATE(AR$3,-12)+1)+1),IF($N14=0,0,$Q14/$N14*MAX(0,(IF($I14="",AR$3,MIN($I14,AR$3)))-(MAX($H14,(EDATE(AR$3,-12)+1)))+1)/(AR$3-(EDATE(AR$3,-12)+1)+1)))),MAX(0,AQ14-$M14)))</f>
        <v/>
      </c>
      <c r="AS14" s="65">
        <f>IF($K14="","",IF(AND($I14&lt;&gt;"",$I14&lt;=AR$3),0,AQ14-AR14))</f>
        <v/>
      </c>
      <c r="AT14" s="65">
        <f>IF(OR($K14="",$H14=""),"",MIN(MAX(0,IF($O14="WDV",AS14*$P14*MAX(0,(IF($I14="",AT$3,MIN($I14,AT$3)))-(MAX($H14,(EDATE(AT$3,-12)+1)))+1)/(AT$3-(EDATE(AT$3,-12)+1)+1),IF($N14=0,0,$Q14/$N14*MAX(0,(IF($I14="",AT$3,MIN($I14,AT$3)))-(MAX($H14,(EDATE(AT$3,-12)+1)))+1)/(AT$3-(EDATE(AT$3,-12)+1)+1)))),MAX(0,AS14-$M14)))</f>
        <v/>
      </c>
      <c r="AU14" s="65">
        <f>IF($K14="","",IF(AND($I14&lt;&gt;"",$I14&lt;=AT$3),0,AS14-AT14))</f>
        <v/>
      </c>
      <c r="AV14" s="65">
        <f>IF(OR($K14="",$H14=""),"",MIN(MAX(0,IF($O14="WDV",AU14*$P14*MAX(0,(IF($I14="",AV$3,MIN($I14,AV$3)))-(MAX($H14,(EDATE(AV$3,-12)+1)))+1)/(AV$3-(EDATE(AV$3,-12)+1)+1),IF($N14=0,0,$Q14/$N14*MAX(0,(IF($I14="",AV$3,MIN($I14,AV$3)))-(MAX($H14,(EDATE(AV$3,-12)+1)))+1)/(AV$3-(EDATE(AV$3,-12)+1)+1)))),MAX(0,AU14-$M14)))</f>
        <v/>
      </c>
      <c r="AW14" s="65">
        <f>IF($K14="","",IF(AND($I14&lt;&gt;"",$I14&lt;=AV$3),0,AU14-AV14))</f>
        <v/>
      </c>
      <c r="AX14" s="65">
        <f>IF(OR($K14="",$H14=""),"",MIN(MAX(0,IF($O14="WDV",AW14*$P14*MAX(0,(IF($I14="",AX$3,MIN($I14,AX$3)))-(MAX($H14,(EDATE(AX$3,-12)+1)))+1)/(AX$3-(EDATE(AX$3,-12)+1)+1),IF($N14=0,0,$Q14/$N14*MAX(0,(IF($I14="",AX$3,MIN($I14,AX$3)))-(MAX($H14,(EDATE(AX$3,-12)+1)))+1)/(AX$3-(EDATE(AX$3,-12)+1)+1)))),MAX(0,AW14-$M14)))</f>
        <v/>
      </c>
      <c r="AY14" s="65">
        <f>IF($K14="","",IF(AND($I14&lt;&gt;"",$I14&lt;=AX$3),0,AW14-AX14))</f>
        <v/>
      </c>
      <c r="AZ14" s="65">
        <f>IF(OR($K14="",$H14=""),"",MIN(MAX(0,IF($O14="WDV",AY14*$P14*MAX(0,(IF($I14="",AZ$3,MIN($I14,AZ$3)))-(MAX($H14,(EDATE(AZ$3,-12)+1)))+1)/(AZ$3-(EDATE(AZ$3,-12)+1)+1),IF($N14=0,0,$Q14/$N14*MAX(0,(IF($I14="",AZ$3,MIN($I14,AZ$3)))-(MAX($H14,(EDATE(AZ$3,-12)+1)))+1)/(AZ$3-(EDATE(AZ$3,-12)+1)+1)))),MAX(0,AY14-$M14)))</f>
        <v/>
      </c>
      <c r="BA14" s="65">
        <f>IF($K14="","",IF(AND($I14&lt;&gt;"",$I14&lt;=AZ$3),0,AY14-AZ14))</f>
        <v/>
      </c>
    </row>
    <row r="15">
      <c r="A15" s="34" t="n"/>
      <c r="B15" s="35" t="n"/>
      <c r="C15" s="35" t="n"/>
      <c r="D15" s="35" t="n"/>
      <c r="E15" s="36" t="n"/>
      <c r="F15" s="37" t="n"/>
      <c r="G15" s="38" t="n"/>
      <c r="H15" s="38" t="n"/>
      <c r="I15" s="39" t="n"/>
      <c r="J15" s="40" t="n"/>
      <c r="K15" s="41" t="n"/>
      <c r="L15" s="42">
        <f>DefaultResidual</f>
        <v/>
      </c>
      <c r="M15" s="43">
        <f>IF($K15="","",$K15*$L15)</f>
        <v/>
      </c>
      <c r="N15" s="44">
        <f>IF($C15="","",IFERROR(VLOOKUP($C15,ScheduleIITable,3,FALSE),"#N/A"))</f>
        <v/>
      </c>
      <c r="O15" s="45">
        <f>IF($K15="","",GlobalMethod)</f>
        <v/>
      </c>
      <c r="P15" s="46">
        <f>IF(OR($K15="",$N15="",$N15=0,$M15=0),0,1-($M15/$K15)^(1/$N15))</f>
        <v/>
      </c>
      <c r="Q15" s="43">
        <f>IF($K15="","",$K15-$M15)</f>
        <v/>
      </c>
      <c r="R15" s="47">
        <f>IF($K15="","",INDEX($V15:$BA15,1,MATCH(ReportingFYEnd,$V$3:$BA$3,0)))</f>
        <v/>
      </c>
      <c r="S15" s="43">
        <f>IF($K15="","",IF($U15="Disposed",0,$K15-$T15))</f>
        <v/>
      </c>
      <c r="T15" s="48">
        <f>IF($K15="","",INDEX($V15:$BA15,1,MATCH(ReportingFYEnd,$V$3:$BA$3,0)+1))</f>
        <v/>
      </c>
      <c r="U15" s="49">
        <f>IF($K15="","",IF(AND($I15&lt;&gt;"",$I15&lt;=ReportingFYEnd),"Disposed",IF(OR($H15="",$H15&gt;ReportingFYEnd),"Not Yet in Use","Active")))</f>
        <v/>
      </c>
      <c r="V15" s="50">
        <f>IF(OR($K15="",$H15=""),"",MIN(MAX(0,IF($O15="WDV",$K15*$P15*MAX(0,(IF($I15="",V$3,MIN($I15,V$3)))-(MAX($H15,(EDATE(V$3,-12)+1)))+1)/(V$3-(EDATE(V$3,-12)+1)+1),IF($N15=0,0,$Q15/$N15*MAX(0,(IF($I15="",V$3,MIN($I15,V$3)))-(MAX($H15,(EDATE(V$3,-12)+1)))+1)/(V$3-(EDATE(V$3,-12)+1)+1)))),MAX(0,$K15-$M15)))</f>
        <v/>
      </c>
      <c r="W15" s="51">
        <f>IF($K15="","",IF(AND($I15&lt;&gt;"",$I15&lt;=V$3),0,$K15-V15))</f>
        <v/>
      </c>
      <c r="X15" s="50">
        <f>IF(OR($K15="",$H15=""),"",MIN(MAX(0,IF($O15="WDV",W15*$P15*MAX(0,(IF($I15="",X$3,MIN($I15,X$3)))-(MAX($H15,(EDATE(X$3,-12)+1)))+1)/(X$3-(EDATE(X$3,-12)+1)+1),IF($N15=0,0,$Q15/$N15*MAX(0,(IF($I15="",X$3,MIN($I15,X$3)))-(MAX($H15,(EDATE(X$3,-12)+1)))+1)/(X$3-(EDATE(X$3,-12)+1)+1)))),MAX(0,W15-$M15)))</f>
        <v/>
      </c>
      <c r="Y15" s="51">
        <f>IF($K15="","",IF(AND($I15&lt;&gt;"",$I15&lt;=X$3),0,W15-X15))</f>
        <v/>
      </c>
      <c r="Z15" s="50">
        <f>IF(OR($K15="",$H15=""),"",MIN(MAX(0,IF($O15="WDV",Y15*$P15*MAX(0,(IF($I15="",Z$3,MIN($I15,Z$3)))-(MAX($H15,(EDATE(Z$3,-12)+1)))+1)/(Z$3-(EDATE(Z$3,-12)+1)+1),IF($N15=0,0,$Q15/$N15*MAX(0,(IF($I15="",Z$3,MIN($I15,Z$3)))-(MAX($H15,(EDATE(Z$3,-12)+1)))+1)/(Z$3-(EDATE(Z$3,-12)+1)+1)))),MAX(0,Y15-$M15)))</f>
        <v/>
      </c>
      <c r="AA15" s="51">
        <f>IF($K15="","",IF(AND($I15&lt;&gt;"",$I15&lt;=Z$3),0,Y15-Z15))</f>
        <v/>
      </c>
      <c r="AB15" s="50">
        <f>IF(OR($K15="",$H15=""),"",MIN(MAX(0,IF($O15="WDV",AA15*$P15*MAX(0,(IF($I15="",AB$3,MIN($I15,AB$3)))-(MAX($H15,(EDATE(AB$3,-12)+1)))+1)/(AB$3-(EDATE(AB$3,-12)+1)+1),IF($N15=0,0,$Q15/$N15*MAX(0,(IF($I15="",AB$3,MIN($I15,AB$3)))-(MAX($H15,(EDATE(AB$3,-12)+1)))+1)/(AB$3-(EDATE(AB$3,-12)+1)+1)))),MAX(0,AA15-$M15)))</f>
        <v/>
      </c>
      <c r="AC15" s="51">
        <f>IF($K15="","",IF(AND($I15&lt;&gt;"",$I15&lt;=AB$3),0,AA15-AB15))</f>
        <v/>
      </c>
      <c r="AD15" s="50">
        <f>IF(OR($K15="",$H15=""),"",MIN(MAX(0,IF($O15="WDV",AC15*$P15*MAX(0,(IF($I15="",AD$3,MIN($I15,AD$3)))-(MAX($H15,(EDATE(AD$3,-12)+1)))+1)/(AD$3-(EDATE(AD$3,-12)+1)+1),IF($N15=0,0,$Q15/$N15*MAX(0,(IF($I15="",AD$3,MIN($I15,AD$3)))-(MAX($H15,(EDATE(AD$3,-12)+1)))+1)/(AD$3-(EDATE(AD$3,-12)+1)+1)))),MAX(0,AC15-$M15)))</f>
        <v/>
      </c>
      <c r="AE15" s="51">
        <f>IF($K15="","",IF(AND($I15&lt;&gt;"",$I15&lt;=AD$3),0,AC15-AD15))</f>
        <v/>
      </c>
      <c r="AF15" s="50">
        <f>IF(OR($K15="",$H15=""),"",MIN(MAX(0,IF($O15="WDV",AE15*$P15*MAX(0,(IF($I15="",AF$3,MIN($I15,AF$3)))-(MAX($H15,(EDATE(AF$3,-12)+1)))+1)/(AF$3-(EDATE(AF$3,-12)+1)+1),IF($N15=0,0,$Q15/$N15*MAX(0,(IF($I15="",AF$3,MIN($I15,AF$3)))-(MAX($H15,(EDATE(AF$3,-12)+1)))+1)/(AF$3-(EDATE(AF$3,-12)+1)+1)))),MAX(0,AE15-$M15)))</f>
        <v/>
      </c>
      <c r="AG15" s="51">
        <f>IF($K15="","",IF(AND($I15&lt;&gt;"",$I15&lt;=AF$3),0,AE15-AF15))</f>
        <v/>
      </c>
      <c r="AH15" s="50">
        <f>IF(OR($K15="",$H15=""),"",MIN(MAX(0,IF($O15="WDV",AG15*$P15*MAX(0,(IF($I15="",AH$3,MIN($I15,AH$3)))-(MAX($H15,(EDATE(AH$3,-12)+1)))+1)/(AH$3-(EDATE(AH$3,-12)+1)+1),IF($N15=0,0,$Q15/$N15*MAX(0,(IF($I15="",AH$3,MIN($I15,AH$3)))-(MAX($H15,(EDATE(AH$3,-12)+1)))+1)/(AH$3-(EDATE(AH$3,-12)+1)+1)))),MAX(0,AG15-$M15)))</f>
        <v/>
      </c>
      <c r="AI15" s="51">
        <f>IF($K15="","",IF(AND($I15&lt;&gt;"",$I15&lt;=AH$3),0,AG15-AH15))</f>
        <v/>
      </c>
      <c r="AJ15" s="50">
        <f>IF(OR($K15="",$H15=""),"",MIN(MAX(0,IF($O15="WDV",AI15*$P15*MAX(0,(IF($I15="",AJ$3,MIN($I15,AJ$3)))-(MAX($H15,(EDATE(AJ$3,-12)+1)))+1)/(AJ$3-(EDATE(AJ$3,-12)+1)+1),IF($N15=0,0,$Q15/$N15*MAX(0,(IF($I15="",AJ$3,MIN($I15,AJ$3)))-(MAX($H15,(EDATE(AJ$3,-12)+1)))+1)/(AJ$3-(EDATE(AJ$3,-12)+1)+1)))),MAX(0,AI15-$M15)))</f>
        <v/>
      </c>
      <c r="AK15" s="51">
        <f>IF($K15="","",IF(AND($I15&lt;&gt;"",$I15&lt;=AJ$3),0,AI15-AJ15))</f>
        <v/>
      </c>
      <c r="AL15" s="50">
        <f>IF(OR($K15="",$H15=""),"",MIN(MAX(0,IF($O15="WDV",AK15*$P15*MAX(0,(IF($I15="",AL$3,MIN($I15,AL$3)))-(MAX($H15,(EDATE(AL$3,-12)+1)))+1)/(AL$3-(EDATE(AL$3,-12)+1)+1),IF($N15=0,0,$Q15/$N15*MAX(0,(IF($I15="",AL$3,MIN($I15,AL$3)))-(MAX($H15,(EDATE(AL$3,-12)+1)))+1)/(AL$3-(EDATE(AL$3,-12)+1)+1)))),MAX(0,AK15-$M15)))</f>
        <v/>
      </c>
      <c r="AM15" s="51">
        <f>IF($K15="","",IF(AND($I15&lt;&gt;"",$I15&lt;=AL$3),0,AK15-AL15))</f>
        <v/>
      </c>
      <c r="AN15" s="50">
        <f>IF(OR($K15="",$H15=""),"",MIN(MAX(0,IF($O15="WDV",AM15*$P15*MAX(0,(IF($I15="",AN$3,MIN($I15,AN$3)))-(MAX($H15,(EDATE(AN$3,-12)+1)))+1)/(AN$3-(EDATE(AN$3,-12)+1)+1),IF($N15=0,0,$Q15/$N15*MAX(0,(IF($I15="",AN$3,MIN($I15,AN$3)))-(MAX($H15,(EDATE(AN$3,-12)+1)))+1)/(AN$3-(EDATE(AN$3,-12)+1)+1)))),MAX(0,AM15-$M15)))</f>
        <v/>
      </c>
      <c r="AO15" s="51">
        <f>IF($K15="","",IF(AND($I15&lt;&gt;"",$I15&lt;=AN$3),0,AM15-AN15))</f>
        <v/>
      </c>
      <c r="AP15" s="50">
        <f>IF(OR($K15="",$H15=""),"",MIN(MAX(0,IF($O15="WDV",AO15*$P15*MAX(0,(IF($I15="",AP$3,MIN($I15,AP$3)))-(MAX($H15,(EDATE(AP$3,-12)+1)))+1)/(AP$3-(EDATE(AP$3,-12)+1)+1),IF($N15=0,0,$Q15/$N15*MAX(0,(IF($I15="",AP$3,MIN($I15,AP$3)))-(MAX($H15,(EDATE(AP$3,-12)+1)))+1)/(AP$3-(EDATE(AP$3,-12)+1)+1)))),MAX(0,AO15-$M15)))</f>
        <v/>
      </c>
      <c r="AQ15" s="51">
        <f>IF($K15="","",IF(AND($I15&lt;&gt;"",$I15&lt;=AP$3),0,AO15-AP15))</f>
        <v/>
      </c>
      <c r="AR15" s="50">
        <f>IF(OR($K15="",$H15=""),"",MIN(MAX(0,IF($O15="WDV",AQ15*$P15*MAX(0,(IF($I15="",AR$3,MIN($I15,AR$3)))-(MAX($H15,(EDATE(AR$3,-12)+1)))+1)/(AR$3-(EDATE(AR$3,-12)+1)+1),IF($N15=0,0,$Q15/$N15*MAX(0,(IF($I15="",AR$3,MIN($I15,AR$3)))-(MAX($H15,(EDATE(AR$3,-12)+1)))+1)/(AR$3-(EDATE(AR$3,-12)+1)+1)))),MAX(0,AQ15-$M15)))</f>
        <v/>
      </c>
      <c r="AS15" s="51">
        <f>IF($K15="","",IF(AND($I15&lt;&gt;"",$I15&lt;=AR$3),0,AQ15-AR15))</f>
        <v/>
      </c>
      <c r="AT15" s="50">
        <f>IF(OR($K15="",$H15=""),"",MIN(MAX(0,IF($O15="WDV",AS15*$P15*MAX(0,(IF($I15="",AT$3,MIN($I15,AT$3)))-(MAX($H15,(EDATE(AT$3,-12)+1)))+1)/(AT$3-(EDATE(AT$3,-12)+1)+1),IF($N15=0,0,$Q15/$N15*MAX(0,(IF($I15="",AT$3,MIN($I15,AT$3)))-(MAX($H15,(EDATE(AT$3,-12)+1)))+1)/(AT$3-(EDATE(AT$3,-12)+1)+1)))),MAX(0,AS15-$M15)))</f>
        <v/>
      </c>
      <c r="AU15" s="51">
        <f>IF($K15="","",IF(AND($I15&lt;&gt;"",$I15&lt;=AT$3),0,AS15-AT15))</f>
        <v/>
      </c>
      <c r="AV15" s="50">
        <f>IF(OR($K15="",$H15=""),"",MIN(MAX(0,IF($O15="WDV",AU15*$P15*MAX(0,(IF($I15="",AV$3,MIN($I15,AV$3)))-(MAX($H15,(EDATE(AV$3,-12)+1)))+1)/(AV$3-(EDATE(AV$3,-12)+1)+1),IF($N15=0,0,$Q15/$N15*MAX(0,(IF($I15="",AV$3,MIN($I15,AV$3)))-(MAX($H15,(EDATE(AV$3,-12)+1)))+1)/(AV$3-(EDATE(AV$3,-12)+1)+1)))),MAX(0,AU15-$M15)))</f>
        <v/>
      </c>
      <c r="AW15" s="51">
        <f>IF($K15="","",IF(AND($I15&lt;&gt;"",$I15&lt;=AV$3),0,AU15-AV15))</f>
        <v/>
      </c>
      <c r="AX15" s="50">
        <f>IF(OR($K15="",$H15=""),"",MIN(MAX(0,IF($O15="WDV",AW15*$P15*MAX(0,(IF($I15="",AX$3,MIN($I15,AX$3)))-(MAX($H15,(EDATE(AX$3,-12)+1)))+1)/(AX$3-(EDATE(AX$3,-12)+1)+1),IF($N15=0,0,$Q15/$N15*MAX(0,(IF($I15="",AX$3,MIN($I15,AX$3)))-(MAX($H15,(EDATE(AX$3,-12)+1)))+1)/(AX$3-(EDATE(AX$3,-12)+1)+1)))),MAX(0,AW15-$M15)))</f>
        <v/>
      </c>
      <c r="AY15" s="51">
        <f>IF($K15="","",IF(AND($I15&lt;&gt;"",$I15&lt;=AX$3),0,AW15-AX15))</f>
        <v/>
      </c>
      <c r="AZ15" s="50">
        <f>IF(OR($K15="",$H15=""),"",MIN(MAX(0,IF($O15="WDV",AY15*$P15*MAX(0,(IF($I15="",AZ$3,MIN($I15,AZ$3)))-(MAX($H15,(EDATE(AZ$3,-12)+1)))+1)/(AZ$3-(EDATE(AZ$3,-12)+1)+1),IF($N15=0,0,$Q15/$N15*MAX(0,(IF($I15="",AZ$3,MIN($I15,AZ$3)))-(MAX($H15,(EDATE(AZ$3,-12)+1)))+1)/(AZ$3-(EDATE(AZ$3,-12)+1)+1)))),MAX(0,AY15-$M15)))</f>
        <v/>
      </c>
      <c r="BA15" s="51">
        <f>IF($K15="","",IF(AND($I15&lt;&gt;"",$I15&lt;=AZ$3),0,AY15-AZ15))</f>
        <v/>
      </c>
    </row>
    <row r="16">
      <c r="A16" s="52" t="n"/>
      <c r="B16" s="53" t="n"/>
      <c r="C16" s="53" t="n"/>
      <c r="D16" s="53" t="n"/>
      <c r="E16" s="19" t="n"/>
      <c r="F16" s="54" t="n"/>
      <c r="G16" s="55" t="n"/>
      <c r="H16" s="55" t="n"/>
      <c r="I16" s="56" t="n"/>
      <c r="J16" s="57" t="n"/>
      <c r="K16" s="58" t="n"/>
      <c r="L16" s="59">
        <f>DefaultResidual</f>
        <v/>
      </c>
      <c r="M16" s="60">
        <f>IF($K16="","",$K16*$L16)</f>
        <v/>
      </c>
      <c r="N16" s="20">
        <f>IF($C16="","",IFERROR(VLOOKUP($C16,ScheduleIITable,3,FALSE),"#N/A"))</f>
        <v/>
      </c>
      <c r="O16" s="61">
        <f>IF($K16="","",GlobalMethod)</f>
        <v/>
      </c>
      <c r="P16" s="21">
        <f>IF(OR($K16="",$N16="",$N16=0,$M16=0),0,1-($M16/$K16)^(1/$N16))</f>
        <v/>
      </c>
      <c r="Q16" s="60">
        <f>IF($K16="","",$K16-$M16)</f>
        <v/>
      </c>
      <c r="R16" s="62">
        <f>IF($K16="","",INDEX($V16:$BA16,1,MATCH(ReportingFYEnd,$V$3:$BA$3,0)))</f>
        <v/>
      </c>
      <c r="S16" s="60">
        <f>IF($K16="","",IF($U16="Disposed",0,$K16-$T16))</f>
        <v/>
      </c>
      <c r="T16" s="63">
        <f>IF($K16="","",INDEX($V16:$BA16,1,MATCH(ReportingFYEnd,$V$3:$BA$3,0)+1))</f>
        <v/>
      </c>
      <c r="U16" s="64">
        <f>IF($K16="","",IF(AND($I16&lt;&gt;"",$I16&lt;=ReportingFYEnd),"Disposed",IF(OR($H16="",$H16&gt;ReportingFYEnd),"Not Yet in Use","Active")))</f>
        <v/>
      </c>
      <c r="V16" s="65">
        <f>IF(OR($K16="",$H16=""),"",MIN(MAX(0,IF($O16="WDV",$K16*$P16*MAX(0,(IF($I16="",V$3,MIN($I16,V$3)))-(MAX($H16,(EDATE(V$3,-12)+1)))+1)/(V$3-(EDATE(V$3,-12)+1)+1),IF($N16=0,0,$Q16/$N16*MAX(0,(IF($I16="",V$3,MIN($I16,V$3)))-(MAX($H16,(EDATE(V$3,-12)+1)))+1)/(V$3-(EDATE(V$3,-12)+1)+1)))),MAX(0,$K16-$M16)))</f>
        <v/>
      </c>
      <c r="W16" s="65">
        <f>IF($K16="","",IF(AND($I16&lt;&gt;"",$I16&lt;=V$3),0,$K16-V16))</f>
        <v/>
      </c>
      <c r="X16" s="65">
        <f>IF(OR($K16="",$H16=""),"",MIN(MAX(0,IF($O16="WDV",W16*$P16*MAX(0,(IF($I16="",X$3,MIN($I16,X$3)))-(MAX($H16,(EDATE(X$3,-12)+1)))+1)/(X$3-(EDATE(X$3,-12)+1)+1),IF($N16=0,0,$Q16/$N16*MAX(0,(IF($I16="",X$3,MIN($I16,X$3)))-(MAX($H16,(EDATE(X$3,-12)+1)))+1)/(X$3-(EDATE(X$3,-12)+1)+1)))),MAX(0,W16-$M16)))</f>
        <v/>
      </c>
      <c r="Y16" s="65">
        <f>IF($K16="","",IF(AND($I16&lt;&gt;"",$I16&lt;=X$3),0,W16-X16))</f>
        <v/>
      </c>
      <c r="Z16" s="65">
        <f>IF(OR($K16="",$H16=""),"",MIN(MAX(0,IF($O16="WDV",Y16*$P16*MAX(0,(IF($I16="",Z$3,MIN($I16,Z$3)))-(MAX($H16,(EDATE(Z$3,-12)+1)))+1)/(Z$3-(EDATE(Z$3,-12)+1)+1),IF($N16=0,0,$Q16/$N16*MAX(0,(IF($I16="",Z$3,MIN($I16,Z$3)))-(MAX($H16,(EDATE(Z$3,-12)+1)))+1)/(Z$3-(EDATE(Z$3,-12)+1)+1)))),MAX(0,Y16-$M16)))</f>
        <v/>
      </c>
      <c r="AA16" s="65">
        <f>IF($K16="","",IF(AND($I16&lt;&gt;"",$I16&lt;=Z$3),0,Y16-Z16))</f>
        <v/>
      </c>
      <c r="AB16" s="65">
        <f>IF(OR($K16="",$H16=""),"",MIN(MAX(0,IF($O16="WDV",AA16*$P16*MAX(0,(IF($I16="",AB$3,MIN($I16,AB$3)))-(MAX($H16,(EDATE(AB$3,-12)+1)))+1)/(AB$3-(EDATE(AB$3,-12)+1)+1),IF($N16=0,0,$Q16/$N16*MAX(0,(IF($I16="",AB$3,MIN($I16,AB$3)))-(MAX($H16,(EDATE(AB$3,-12)+1)))+1)/(AB$3-(EDATE(AB$3,-12)+1)+1)))),MAX(0,AA16-$M16)))</f>
        <v/>
      </c>
      <c r="AC16" s="65">
        <f>IF($K16="","",IF(AND($I16&lt;&gt;"",$I16&lt;=AB$3),0,AA16-AB16))</f>
        <v/>
      </c>
      <c r="AD16" s="65">
        <f>IF(OR($K16="",$H16=""),"",MIN(MAX(0,IF($O16="WDV",AC16*$P16*MAX(0,(IF($I16="",AD$3,MIN($I16,AD$3)))-(MAX($H16,(EDATE(AD$3,-12)+1)))+1)/(AD$3-(EDATE(AD$3,-12)+1)+1),IF($N16=0,0,$Q16/$N16*MAX(0,(IF($I16="",AD$3,MIN($I16,AD$3)))-(MAX($H16,(EDATE(AD$3,-12)+1)))+1)/(AD$3-(EDATE(AD$3,-12)+1)+1)))),MAX(0,AC16-$M16)))</f>
        <v/>
      </c>
      <c r="AE16" s="65">
        <f>IF($K16="","",IF(AND($I16&lt;&gt;"",$I16&lt;=AD$3),0,AC16-AD16))</f>
        <v/>
      </c>
      <c r="AF16" s="65">
        <f>IF(OR($K16="",$H16=""),"",MIN(MAX(0,IF($O16="WDV",AE16*$P16*MAX(0,(IF($I16="",AF$3,MIN($I16,AF$3)))-(MAX($H16,(EDATE(AF$3,-12)+1)))+1)/(AF$3-(EDATE(AF$3,-12)+1)+1),IF($N16=0,0,$Q16/$N16*MAX(0,(IF($I16="",AF$3,MIN($I16,AF$3)))-(MAX($H16,(EDATE(AF$3,-12)+1)))+1)/(AF$3-(EDATE(AF$3,-12)+1)+1)))),MAX(0,AE16-$M16)))</f>
        <v/>
      </c>
      <c r="AG16" s="65">
        <f>IF($K16="","",IF(AND($I16&lt;&gt;"",$I16&lt;=AF$3),0,AE16-AF16))</f>
        <v/>
      </c>
      <c r="AH16" s="65">
        <f>IF(OR($K16="",$H16=""),"",MIN(MAX(0,IF($O16="WDV",AG16*$P16*MAX(0,(IF($I16="",AH$3,MIN($I16,AH$3)))-(MAX($H16,(EDATE(AH$3,-12)+1)))+1)/(AH$3-(EDATE(AH$3,-12)+1)+1),IF($N16=0,0,$Q16/$N16*MAX(0,(IF($I16="",AH$3,MIN($I16,AH$3)))-(MAX($H16,(EDATE(AH$3,-12)+1)))+1)/(AH$3-(EDATE(AH$3,-12)+1)+1)))),MAX(0,AG16-$M16)))</f>
        <v/>
      </c>
      <c r="AI16" s="65">
        <f>IF($K16="","",IF(AND($I16&lt;&gt;"",$I16&lt;=AH$3),0,AG16-AH16))</f>
        <v/>
      </c>
      <c r="AJ16" s="65">
        <f>IF(OR($K16="",$H16=""),"",MIN(MAX(0,IF($O16="WDV",AI16*$P16*MAX(0,(IF($I16="",AJ$3,MIN($I16,AJ$3)))-(MAX($H16,(EDATE(AJ$3,-12)+1)))+1)/(AJ$3-(EDATE(AJ$3,-12)+1)+1),IF($N16=0,0,$Q16/$N16*MAX(0,(IF($I16="",AJ$3,MIN($I16,AJ$3)))-(MAX($H16,(EDATE(AJ$3,-12)+1)))+1)/(AJ$3-(EDATE(AJ$3,-12)+1)+1)))),MAX(0,AI16-$M16)))</f>
        <v/>
      </c>
      <c r="AK16" s="65">
        <f>IF($K16="","",IF(AND($I16&lt;&gt;"",$I16&lt;=AJ$3),0,AI16-AJ16))</f>
        <v/>
      </c>
      <c r="AL16" s="65">
        <f>IF(OR($K16="",$H16=""),"",MIN(MAX(0,IF($O16="WDV",AK16*$P16*MAX(0,(IF($I16="",AL$3,MIN($I16,AL$3)))-(MAX($H16,(EDATE(AL$3,-12)+1)))+1)/(AL$3-(EDATE(AL$3,-12)+1)+1),IF($N16=0,0,$Q16/$N16*MAX(0,(IF($I16="",AL$3,MIN($I16,AL$3)))-(MAX($H16,(EDATE(AL$3,-12)+1)))+1)/(AL$3-(EDATE(AL$3,-12)+1)+1)))),MAX(0,AK16-$M16)))</f>
        <v/>
      </c>
      <c r="AM16" s="65">
        <f>IF($K16="","",IF(AND($I16&lt;&gt;"",$I16&lt;=AL$3),0,AK16-AL16))</f>
        <v/>
      </c>
      <c r="AN16" s="65">
        <f>IF(OR($K16="",$H16=""),"",MIN(MAX(0,IF($O16="WDV",AM16*$P16*MAX(0,(IF($I16="",AN$3,MIN($I16,AN$3)))-(MAX($H16,(EDATE(AN$3,-12)+1)))+1)/(AN$3-(EDATE(AN$3,-12)+1)+1),IF($N16=0,0,$Q16/$N16*MAX(0,(IF($I16="",AN$3,MIN($I16,AN$3)))-(MAX($H16,(EDATE(AN$3,-12)+1)))+1)/(AN$3-(EDATE(AN$3,-12)+1)+1)))),MAX(0,AM16-$M16)))</f>
        <v/>
      </c>
      <c r="AO16" s="65">
        <f>IF($K16="","",IF(AND($I16&lt;&gt;"",$I16&lt;=AN$3),0,AM16-AN16))</f>
        <v/>
      </c>
      <c r="AP16" s="65">
        <f>IF(OR($K16="",$H16=""),"",MIN(MAX(0,IF($O16="WDV",AO16*$P16*MAX(0,(IF($I16="",AP$3,MIN($I16,AP$3)))-(MAX($H16,(EDATE(AP$3,-12)+1)))+1)/(AP$3-(EDATE(AP$3,-12)+1)+1),IF($N16=0,0,$Q16/$N16*MAX(0,(IF($I16="",AP$3,MIN($I16,AP$3)))-(MAX($H16,(EDATE(AP$3,-12)+1)))+1)/(AP$3-(EDATE(AP$3,-12)+1)+1)))),MAX(0,AO16-$M16)))</f>
        <v/>
      </c>
      <c r="AQ16" s="65">
        <f>IF($K16="","",IF(AND($I16&lt;&gt;"",$I16&lt;=AP$3),0,AO16-AP16))</f>
        <v/>
      </c>
      <c r="AR16" s="65">
        <f>IF(OR($K16="",$H16=""),"",MIN(MAX(0,IF($O16="WDV",AQ16*$P16*MAX(0,(IF($I16="",AR$3,MIN($I16,AR$3)))-(MAX($H16,(EDATE(AR$3,-12)+1)))+1)/(AR$3-(EDATE(AR$3,-12)+1)+1),IF($N16=0,0,$Q16/$N16*MAX(0,(IF($I16="",AR$3,MIN($I16,AR$3)))-(MAX($H16,(EDATE(AR$3,-12)+1)))+1)/(AR$3-(EDATE(AR$3,-12)+1)+1)))),MAX(0,AQ16-$M16)))</f>
        <v/>
      </c>
      <c r="AS16" s="65">
        <f>IF($K16="","",IF(AND($I16&lt;&gt;"",$I16&lt;=AR$3),0,AQ16-AR16))</f>
        <v/>
      </c>
      <c r="AT16" s="65">
        <f>IF(OR($K16="",$H16=""),"",MIN(MAX(0,IF($O16="WDV",AS16*$P16*MAX(0,(IF($I16="",AT$3,MIN($I16,AT$3)))-(MAX($H16,(EDATE(AT$3,-12)+1)))+1)/(AT$3-(EDATE(AT$3,-12)+1)+1),IF($N16=0,0,$Q16/$N16*MAX(0,(IF($I16="",AT$3,MIN($I16,AT$3)))-(MAX($H16,(EDATE(AT$3,-12)+1)))+1)/(AT$3-(EDATE(AT$3,-12)+1)+1)))),MAX(0,AS16-$M16)))</f>
        <v/>
      </c>
      <c r="AU16" s="65">
        <f>IF($K16="","",IF(AND($I16&lt;&gt;"",$I16&lt;=AT$3),0,AS16-AT16))</f>
        <v/>
      </c>
      <c r="AV16" s="65">
        <f>IF(OR($K16="",$H16=""),"",MIN(MAX(0,IF($O16="WDV",AU16*$P16*MAX(0,(IF($I16="",AV$3,MIN($I16,AV$3)))-(MAX($H16,(EDATE(AV$3,-12)+1)))+1)/(AV$3-(EDATE(AV$3,-12)+1)+1),IF($N16=0,0,$Q16/$N16*MAX(0,(IF($I16="",AV$3,MIN($I16,AV$3)))-(MAX($H16,(EDATE(AV$3,-12)+1)))+1)/(AV$3-(EDATE(AV$3,-12)+1)+1)))),MAX(0,AU16-$M16)))</f>
        <v/>
      </c>
      <c r="AW16" s="65">
        <f>IF($K16="","",IF(AND($I16&lt;&gt;"",$I16&lt;=AV$3),0,AU16-AV16))</f>
        <v/>
      </c>
      <c r="AX16" s="65">
        <f>IF(OR($K16="",$H16=""),"",MIN(MAX(0,IF($O16="WDV",AW16*$P16*MAX(0,(IF($I16="",AX$3,MIN($I16,AX$3)))-(MAX($H16,(EDATE(AX$3,-12)+1)))+1)/(AX$3-(EDATE(AX$3,-12)+1)+1),IF($N16=0,0,$Q16/$N16*MAX(0,(IF($I16="",AX$3,MIN($I16,AX$3)))-(MAX($H16,(EDATE(AX$3,-12)+1)))+1)/(AX$3-(EDATE(AX$3,-12)+1)+1)))),MAX(0,AW16-$M16)))</f>
        <v/>
      </c>
      <c r="AY16" s="65">
        <f>IF($K16="","",IF(AND($I16&lt;&gt;"",$I16&lt;=AX$3),0,AW16-AX16))</f>
        <v/>
      </c>
      <c r="AZ16" s="65">
        <f>IF(OR($K16="",$H16=""),"",MIN(MAX(0,IF($O16="WDV",AY16*$P16*MAX(0,(IF($I16="",AZ$3,MIN($I16,AZ$3)))-(MAX($H16,(EDATE(AZ$3,-12)+1)))+1)/(AZ$3-(EDATE(AZ$3,-12)+1)+1),IF($N16=0,0,$Q16/$N16*MAX(0,(IF($I16="",AZ$3,MIN($I16,AZ$3)))-(MAX($H16,(EDATE(AZ$3,-12)+1)))+1)/(AZ$3-(EDATE(AZ$3,-12)+1)+1)))),MAX(0,AY16-$M16)))</f>
        <v/>
      </c>
      <c r="BA16" s="65">
        <f>IF($K16="","",IF(AND($I16&lt;&gt;"",$I16&lt;=AZ$3),0,AY16-AZ16))</f>
        <v/>
      </c>
    </row>
    <row r="17">
      <c r="A17" s="34" t="n"/>
      <c r="B17" s="35" t="n"/>
      <c r="C17" s="35" t="n"/>
      <c r="D17" s="35" t="n"/>
      <c r="E17" s="36" t="n"/>
      <c r="F17" s="37" t="n"/>
      <c r="G17" s="38" t="n"/>
      <c r="H17" s="38" t="n"/>
      <c r="I17" s="39" t="n"/>
      <c r="J17" s="40" t="n"/>
      <c r="K17" s="41" t="n"/>
      <c r="L17" s="42">
        <f>DefaultResidual</f>
        <v/>
      </c>
      <c r="M17" s="43">
        <f>IF($K17="","",$K17*$L17)</f>
        <v/>
      </c>
      <c r="N17" s="44">
        <f>IF($C17="","",IFERROR(VLOOKUP($C17,ScheduleIITable,3,FALSE),"#N/A"))</f>
        <v/>
      </c>
      <c r="O17" s="45">
        <f>IF($K17="","",GlobalMethod)</f>
        <v/>
      </c>
      <c r="P17" s="46">
        <f>IF(OR($K17="",$N17="",$N17=0,$M17=0),0,1-($M17/$K17)^(1/$N17))</f>
        <v/>
      </c>
      <c r="Q17" s="43">
        <f>IF($K17="","",$K17-$M17)</f>
        <v/>
      </c>
      <c r="R17" s="47">
        <f>IF($K17="","",INDEX($V17:$BA17,1,MATCH(ReportingFYEnd,$V$3:$BA$3,0)))</f>
        <v/>
      </c>
      <c r="S17" s="43">
        <f>IF($K17="","",IF($U17="Disposed",0,$K17-$T17))</f>
        <v/>
      </c>
      <c r="T17" s="48">
        <f>IF($K17="","",INDEX($V17:$BA17,1,MATCH(ReportingFYEnd,$V$3:$BA$3,0)+1))</f>
        <v/>
      </c>
      <c r="U17" s="49">
        <f>IF($K17="","",IF(AND($I17&lt;&gt;"",$I17&lt;=ReportingFYEnd),"Disposed",IF(OR($H17="",$H17&gt;ReportingFYEnd),"Not Yet in Use","Active")))</f>
        <v/>
      </c>
      <c r="V17" s="50">
        <f>IF(OR($K17="",$H17=""),"",MIN(MAX(0,IF($O17="WDV",$K17*$P17*MAX(0,(IF($I17="",V$3,MIN($I17,V$3)))-(MAX($H17,(EDATE(V$3,-12)+1)))+1)/(V$3-(EDATE(V$3,-12)+1)+1),IF($N17=0,0,$Q17/$N17*MAX(0,(IF($I17="",V$3,MIN($I17,V$3)))-(MAX($H17,(EDATE(V$3,-12)+1)))+1)/(V$3-(EDATE(V$3,-12)+1)+1)))),MAX(0,$K17-$M17)))</f>
        <v/>
      </c>
      <c r="W17" s="51">
        <f>IF($K17="","",IF(AND($I17&lt;&gt;"",$I17&lt;=V$3),0,$K17-V17))</f>
        <v/>
      </c>
      <c r="X17" s="50">
        <f>IF(OR($K17="",$H17=""),"",MIN(MAX(0,IF($O17="WDV",W17*$P17*MAX(0,(IF($I17="",X$3,MIN($I17,X$3)))-(MAX($H17,(EDATE(X$3,-12)+1)))+1)/(X$3-(EDATE(X$3,-12)+1)+1),IF($N17=0,0,$Q17/$N17*MAX(0,(IF($I17="",X$3,MIN($I17,X$3)))-(MAX($H17,(EDATE(X$3,-12)+1)))+1)/(X$3-(EDATE(X$3,-12)+1)+1)))),MAX(0,W17-$M17)))</f>
        <v/>
      </c>
      <c r="Y17" s="51">
        <f>IF($K17="","",IF(AND($I17&lt;&gt;"",$I17&lt;=X$3),0,W17-X17))</f>
        <v/>
      </c>
      <c r="Z17" s="50">
        <f>IF(OR($K17="",$H17=""),"",MIN(MAX(0,IF($O17="WDV",Y17*$P17*MAX(0,(IF($I17="",Z$3,MIN($I17,Z$3)))-(MAX($H17,(EDATE(Z$3,-12)+1)))+1)/(Z$3-(EDATE(Z$3,-12)+1)+1),IF($N17=0,0,$Q17/$N17*MAX(0,(IF($I17="",Z$3,MIN($I17,Z$3)))-(MAX($H17,(EDATE(Z$3,-12)+1)))+1)/(Z$3-(EDATE(Z$3,-12)+1)+1)))),MAX(0,Y17-$M17)))</f>
        <v/>
      </c>
      <c r="AA17" s="51">
        <f>IF($K17="","",IF(AND($I17&lt;&gt;"",$I17&lt;=Z$3),0,Y17-Z17))</f>
        <v/>
      </c>
      <c r="AB17" s="50">
        <f>IF(OR($K17="",$H17=""),"",MIN(MAX(0,IF($O17="WDV",AA17*$P17*MAX(0,(IF($I17="",AB$3,MIN($I17,AB$3)))-(MAX($H17,(EDATE(AB$3,-12)+1)))+1)/(AB$3-(EDATE(AB$3,-12)+1)+1),IF($N17=0,0,$Q17/$N17*MAX(0,(IF($I17="",AB$3,MIN($I17,AB$3)))-(MAX($H17,(EDATE(AB$3,-12)+1)))+1)/(AB$3-(EDATE(AB$3,-12)+1)+1)))),MAX(0,AA17-$M17)))</f>
        <v/>
      </c>
      <c r="AC17" s="51">
        <f>IF($K17="","",IF(AND($I17&lt;&gt;"",$I17&lt;=AB$3),0,AA17-AB17))</f>
        <v/>
      </c>
      <c r="AD17" s="50">
        <f>IF(OR($K17="",$H17=""),"",MIN(MAX(0,IF($O17="WDV",AC17*$P17*MAX(0,(IF($I17="",AD$3,MIN($I17,AD$3)))-(MAX($H17,(EDATE(AD$3,-12)+1)))+1)/(AD$3-(EDATE(AD$3,-12)+1)+1),IF($N17=0,0,$Q17/$N17*MAX(0,(IF($I17="",AD$3,MIN($I17,AD$3)))-(MAX($H17,(EDATE(AD$3,-12)+1)))+1)/(AD$3-(EDATE(AD$3,-12)+1)+1)))),MAX(0,AC17-$M17)))</f>
        <v/>
      </c>
      <c r="AE17" s="51">
        <f>IF($K17="","",IF(AND($I17&lt;&gt;"",$I17&lt;=AD$3),0,AC17-AD17))</f>
        <v/>
      </c>
      <c r="AF17" s="50">
        <f>IF(OR($K17="",$H17=""),"",MIN(MAX(0,IF($O17="WDV",AE17*$P17*MAX(0,(IF($I17="",AF$3,MIN($I17,AF$3)))-(MAX($H17,(EDATE(AF$3,-12)+1)))+1)/(AF$3-(EDATE(AF$3,-12)+1)+1),IF($N17=0,0,$Q17/$N17*MAX(0,(IF($I17="",AF$3,MIN($I17,AF$3)))-(MAX($H17,(EDATE(AF$3,-12)+1)))+1)/(AF$3-(EDATE(AF$3,-12)+1)+1)))),MAX(0,AE17-$M17)))</f>
        <v/>
      </c>
      <c r="AG17" s="51">
        <f>IF($K17="","",IF(AND($I17&lt;&gt;"",$I17&lt;=AF$3),0,AE17-AF17))</f>
        <v/>
      </c>
      <c r="AH17" s="50">
        <f>IF(OR($K17="",$H17=""),"",MIN(MAX(0,IF($O17="WDV",AG17*$P17*MAX(0,(IF($I17="",AH$3,MIN($I17,AH$3)))-(MAX($H17,(EDATE(AH$3,-12)+1)))+1)/(AH$3-(EDATE(AH$3,-12)+1)+1),IF($N17=0,0,$Q17/$N17*MAX(0,(IF($I17="",AH$3,MIN($I17,AH$3)))-(MAX($H17,(EDATE(AH$3,-12)+1)))+1)/(AH$3-(EDATE(AH$3,-12)+1)+1)))),MAX(0,AG17-$M17)))</f>
        <v/>
      </c>
      <c r="AI17" s="51">
        <f>IF($K17="","",IF(AND($I17&lt;&gt;"",$I17&lt;=AH$3),0,AG17-AH17))</f>
        <v/>
      </c>
      <c r="AJ17" s="50">
        <f>IF(OR($K17="",$H17=""),"",MIN(MAX(0,IF($O17="WDV",AI17*$P17*MAX(0,(IF($I17="",AJ$3,MIN($I17,AJ$3)))-(MAX($H17,(EDATE(AJ$3,-12)+1)))+1)/(AJ$3-(EDATE(AJ$3,-12)+1)+1),IF($N17=0,0,$Q17/$N17*MAX(0,(IF($I17="",AJ$3,MIN($I17,AJ$3)))-(MAX($H17,(EDATE(AJ$3,-12)+1)))+1)/(AJ$3-(EDATE(AJ$3,-12)+1)+1)))),MAX(0,AI17-$M17)))</f>
        <v/>
      </c>
      <c r="AK17" s="51">
        <f>IF($K17="","",IF(AND($I17&lt;&gt;"",$I17&lt;=AJ$3),0,AI17-AJ17))</f>
        <v/>
      </c>
      <c r="AL17" s="50">
        <f>IF(OR($K17="",$H17=""),"",MIN(MAX(0,IF($O17="WDV",AK17*$P17*MAX(0,(IF($I17="",AL$3,MIN($I17,AL$3)))-(MAX($H17,(EDATE(AL$3,-12)+1)))+1)/(AL$3-(EDATE(AL$3,-12)+1)+1),IF($N17=0,0,$Q17/$N17*MAX(0,(IF($I17="",AL$3,MIN($I17,AL$3)))-(MAX($H17,(EDATE(AL$3,-12)+1)))+1)/(AL$3-(EDATE(AL$3,-12)+1)+1)))),MAX(0,AK17-$M17)))</f>
        <v/>
      </c>
      <c r="AM17" s="51">
        <f>IF($K17="","",IF(AND($I17&lt;&gt;"",$I17&lt;=AL$3),0,AK17-AL17))</f>
        <v/>
      </c>
      <c r="AN17" s="50">
        <f>IF(OR($K17="",$H17=""),"",MIN(MAX(0,IF($O17="WDV",AM17*$P17*MAX(0,(IF($I17="",AN$3,MIN($I17,AN$3)))-(MAX($H17,(EDATE(AN$3,-12)+1)))+1)/(AN$3-(EDATE(AN$3,-12)+1)+1),IF($N17=0,0,$Q17/$N17*MAX(0,(IF($I17="",AN$3,MIN($I17,AN$3)))-(MAX($H17,(EDATE(AN$3,-12)+1)))+1)/(AN$3-(EDATE(AN$3,-12)+1)+1)))),MAX(0,AM17-$M17)))</f>
        <v/>
      </c>
      <c r="AO17" s="51">
        <f>IF($K17="","",IF(AND($I17&lt;&gt;"",$I17&lt;=AN$3),0,AM17-AN17))</f>
        <v/>
      </c>
      <c r="AP17" s="50">
        <f>IF(OR($K17="",$H17=""),"",MIN(MAX(0,IF($O17="WDV",AO17*$P17*MAX(0,(IF($I17="",AP$3,MIN($I17,AP$3)))-(MAX($H17,(EDATE(AP$3,-12)+1)))+1)/(AP$3-(EDATE(AP$3,-12)+1)+1),IF($N17=0,0,$Q17/$N17*MAX(0,(IF($I17="",AP$3,MIN($I17,AP$3)))-(MAX($H17,(EDATE(AP$3,-12)+1)))+1)/(AP$3-(EDATE(AP$3,-12)+1)+1)))),MAX(0,AO17-$M17)))</f>
        <v/>
      </c>
      <c r="AQ17" s="51">
        <f>IF($K17="","",IF(AND($I17&lt;&gt;"",$I17&lt;=AP$3),0,AO17-AP17))</f>
        <v/>
      </c>
      <c r="AR17" s="50">
        <f>IF(OR($K17="",$H17=""),"",MIN(MAX(0,IF($O17="WDV",AQ17*$P17*MAX(0,(IF($I17="",AR$3,MIN($I17,AR$3)))-(MAX($H17,(EDATE(AR$3,-12)+1)))+1)/(AR$3-(EDATE(AR$3,-12)+1)+1),IF($N17=0,0,$Q17/$N17*MAX(0,(IF($I17="",AR$3,MIN($I17,AR$3)))-(MAX($H17,(EDATE(AR$3,-12)+1)))+1)/(AR$3-(EDATE(AR$3,-12)+1)+1)))),MAX(0,AQ17-$M17)))</f>
        <v/>
      </c>
      <c r="AS17" s="51">
        <f>IF($K17="","",IF(AND($I17&lt;&gt;"",$I17&lt;=AR$3),0,AQ17-AR17))</f>
        <v/>
      </c>
      <c r="AT17" s="50">
        <f>IF(OR($K17="",$H17=""),"",MIN(MAX(0,IF($O17="WDV",AS17*$P17*MAX(0,(IF($I17="",AT$3,MIN($I17,AT$3)))-(MAX($H17,(EDATE(AT$3,-12)+1)))+1)/(AT$3-(EDATE(AT$3,-12)+1)+1),IF($N17=0,0,$Q17/$N17*MAX(0,(IF($I17="",AT$3,MIN($I17,AT$3)))-(MAX($H17,(EDATE(AT$3,-12)+1)))+1)/(AT$3-(EDATE(AT$3,-12)+1)+1)))),MAX(0,AS17-$M17)))</f>
        <v/>
      </c>
      <c r="AU17" s="51">
        <f>IF($K17="","",IF(AND($I17&lt;&gt;"",$I17&lt;=AT$3),0,AS17-AT17))</f>
        <v/>
      </c>
      <c r="AV17" s="50">
        <f>IF(OR($K17="",$H17=""),"",MIN(MAX(0,IF($O17="WDV",AU17*$P17*MAX(0,(IF($I17="",AV$3,MIN($I17,AV$3)))-(MAX($H17,(EDATE(AV$3,-12)+1)))+1)/(AV$3-(EDATE(AV$3,-12)+1)+1),IF($N17=0,0,$Q17/$N17*MAX(0,(IF($I17="",AV$3,MIN($I17,AV$3)))-(MAX($H17,(EDATE(AV$3,-12)+1)))+1)/(AV$3-(EDATE(AV$3,-12)+1)+1)))),MAX(0,AU17-$M17)))</f>
        <v/>
      </c>
      <c r="AW17" s="51">
        <f>IF($K17="","",IF(AND($I17&lt;&gt;"",$I17&lt;=AV$3),0,AU17-AV17))</f>
        <v/>
      </c>
      <c r="AX17" s="50">
        <f>IF(OR($K17="",$H17=""),"",MIN(MAX(0,IF($O17="WDV",AW17*$P17*MAX(0,(IF($I17="",AX$3,MIN($I17,AX$3)))-(MAX($H17,(EDATE(AX$3,-12)+1)))+1)/(AX$3-(EDATE(AX$3,-12)+1)+1),IF($N17=0,0,$Q17/$N17*MAX(0,(IF($I17="",AX$3,MIN($I17,AX$3)))-(MAX($H17,(EDATE(AX$3,-12)+1)))+1)/(AX$3-(EDATE(AX$3,-12)+1)+1)))),MAX(0,AW17-$M17)))</f>
        <v/>
      </c>
      <c r="AY17" s="51">
        <f>IF($K17="","",IF(AND($I17&lt;&gt;"",$I17&lt;=AX$3),0,AW17-AX17))</f>
        <v/>
      </c>
      <c r="AZ17" s="50">
        <f>IF(OR($K17="",$H17=""),"",MIN(MAX(0,IF($O17="WDV",AY17*$P17*MAX(0,(IF($I17="",AZ$3,MIN($I17,AZ$3)))-(MAX($H17,(EDATE(AZ$3,-12)+1)))+1)/(AZ$3-(EDATE(AZ$3,-12)+1)+1),IF($N17=0,0,$Q17/$N17*MAX(0,(IF($I17="",AZ$3,MIN($I17,AZ$3)))-(MAX($H17,(EDATE(AZ$3,-12)+1)))+1)/(AZ$3-(EDATE(AZ$3,-12)+1)+1)))),MAX(0,AY17-$M17)))</f>
        <v/>
      </c>
      <c r="BA17" s="51">
        <f>IF($K17="","",IF(AND($I17&lt;&gt;"",$I17&lt;=AZ$3),0,AY17-AZ17))</f>
        <v/>
      </c>
    </row>
    <row r="18">
      <c r="A18" s="52" t="n"/>
      <c r="B18" s="53" t="n"/>
      <c r="C18" s="53" t="n"/>
      <c r="D18" s="53" t="n"/>
      <c r="E18" s="19" t="n"/>
      <c r="F18" s="54" t="n"/>
      <c r="G18" s="55" t="n"/>
      <c r="H18" s="55" t="n"/>
      <c r="I18" s="56" t="n"/>
      <c r="J18" s="57" t="n"/>
      <c r="K18" s="58" t="n"/>
      <c r="L18" s="59">
        <f>DefaultResidual</f>
        <v/>
      </c>
      <c r="M18" s="60">
        <f>IF($K18="","",$K18*$L18)</f>
        <v/>
      </c>
      <c r="N18" s="20">
        <f>IF($C18="","",IFERROR(VLOOKUP($C18,ScheduleIITable,3,FALSE),"#N/A"))</f>
        <v/>
      </c>
      <c r="O18" s="61">
        <f>IF($K18="","",GlobalMethod)</f>
        <v/>
      </c>
      <c r="P18" s="21">
        <f>IF(OR($K18="",$N18="",$N18=0,$M18=0),0,1-($M18/$K18)^(1/$N18))</f>
        <v/>
      </c>
      <c r="Q18" s="60">
        <f>IF($K18="","",$K18-$M18)</f>
        <v/>
      </c>
      <c r="R18" s="62">
        <f>IF($K18="","",INDEX($V18:$BA18,1,MATCH(ReportingFYEnd,$V$3:$BA$3,0)))</f>
        <v/>
      </c>
      <c r="S18" s="60">
        <f>IF($K18="","",IF($U18="Disposed",0,$K18-$T18))</f>
        <v/>
      </c>
      <c r="T18" s="63">
        <f>IF($K18="","",INDEX($V18:$BA18,1,MATCH(ReportingFYEnd,$V$3:$BA$3,0)+1))</f>
        <v/>
      </c>
      <c r="U18" s="64">
        <f>IF($K18="","",IF(AND($I18&lt;&gt;"",$I18&lt;=ReportingFYEnd),"Disposed",IF(OR($H18="",$H18&gt;ReportingFYEnd),"Not Yet in Use","Active")))</f>
        <v/>
      </c>
      <c r="V18" s="65">
        <f>IF(OR($K18="",$H18=""),"",MIN(MAX(0,IF($O18="WDV",$K18*$P18*MAX(0,(IF($I18="",V$3,MIN($I18,V$3)))-(MAX($H18,(EDATE(V$3,-12)+1)))+1)/(V$3-(EDATE(V$3,-12)+1)+1),IF($N18=0,0,$Q18/$N18*MAX(0,(IF($I18="",V$3,MIN($I18,V$3)))-(MAX($H18,(EDATE(V$3,-12)+1)))+1)/(V$3-(EDATE(V$3,-12)+1)+1)))),MAX(0,$K18-$M18)))</f>
        <v/>
      </c>
      <c r="W18" s="65">
        <f>IF($K18="","",IF(AND($I18&lt;&gt;"",$I18&lt;=V$3),0,$K18-V18))</f>
        <v/>
      </c>
      <c r="X18" s="65">
        <f>IF(OR($K18="",$H18=""),"",MIN(MAX(0,IF($O18="WDV",W18*$P18*MAX(0,(IF($I18="",X$3,MIN($I18,X$3)))-(MAX($H18,(EDATE(X$3,-12)+1)))+1)/(X$3-(EDATE(X$3,-12)+1)+1),IF($N18=0,0,$Q18/$N18*MAX(0,(IF($I18="",X$3,MIN($I18,X$3)))-(MAX($H18,(EDATE(X$3,-12)+1)))+1)/(X$3-(EDATE(X$3,-12)+1)+1)))),MAX(0,W18-$M18)))</f>
        <v/>
      </c>
      <c r="Y18" s="65">
        <f>IF($K18="","",IF(AND($I18&lt;&gt;"",$I18&lt;=X$3),0,W18-X18))</f>
        <v/>
      </c>
      <c r="Z18" s="65">
        <f>IF(OR($K18="",$H18=""),"",MIN(MAX(0,IF($O18="WDV",Y18*$P18*MAX(0,(IF($I18="",Z$3,MIN($I18,Z$3)))-(MAX($H18,(EDATE(Z$3,-12)+1)))+1)/(Z$3-(EDATE(Z$3,-12)+1)+1),IF($N18=0,0,$Q18/$N18*MAX(0,(IF($I18="",Z$3,MIN($I18,Z$3)))-(MAX($H18,(EDATE(Z$3,-12)+1)))+1)/(Z$3-(EDATE(Z$3,-12)+1)+1)))),MAX(0,Y18-$M18)))</f>
        <v/>
      </c>
      <c r="AA18" s="65">
        <f>IF($K18="","",IF(AND($I18&lt;&gt;"",$I18&lt;=Z$3),0,Y18-Z18))</f>
        <v/>
      </c>
      <c r="AB18" s="65">
        <f>IF(OR($K18="",$H18=""),"",MIN(MAX(0,IF($O18="WDV",AA18*$P18*MAX(0,(IF($I18="",AB$3,MIN($I18,AB$3)))-(MAX($H18,(EDATE(AB$3,-12)+1)))+1)/(AB$3-(EDATE(AB$3,-12)+1)+1),IF($N18=0,0,$Q18/$N18*MAX(0,(IF($I18="",AB$3,MIN($I18,AB$3)))-(MAX($H18,(EDATE(AB$3,-12)+1)))+1)/(AB$3-(EDATE(AB$3,-12)+1)+1)))),MAX(0,AA18-$M18)))</f>
        <v/>
      </c>
      <c r="AC18" s="65">
        <f>IF($K18="","",IF(AND($I18&lt;&gt;"",$I18&lt;=AB$3),0,AA18-AB18))</f>
        <v/>
      </c>
      <c r="AD18" s="65">
        <f>IF(OR($K18="",$H18=""),"",MIN(MAX(0,IF($O18="WDV",AC18*$P18*MAX(0,(IF($I18="",AD$3,MIN($I18,AD$3)))-(MAX($H18,(EDATE(AD$3,-12)+1)))+1)/(AD$3-(EDATE(AD$3,-12)+1)+1),IF($N18=0,0,$Q18/$N18*MAX(0,(IF($I18="",AD$3,MIN($I18,AD$3)))-(MAX($H18,(EDATE(AD$3,-12)+1)))+1)/(AD$3-(EDATE(AD$3,-12)+1)+1)))),MAX(0,AC18-$M18)))</f>
        <v/>
      </c>
      <c r="AE18" s="65">
        <f>IF($K18="","",IF(AND($I18&lt;&gt;"",$I18&lt;=AD$3),0,AC18-AD18))</f>
        <v/>
      </c>
      <c r="AF18" s="65">
        <f>IF(OR($K18="",$H18=""),"",MIN(MAX(0,IF($O18="WDV",AE18*$P18*MAX(0,(IF($I18="",AF$3,MIN($I18,AF$3)))-(MAX($H18,(EDATE(AF$3,-12)+1)))+1)/(AF$3-(EDATE(AF$3,-12)+1)+1),IF($N18=0,0,$Q18/$N18*MAX(0,(IF($I18="",AF$3,MIN($I18,AF$3)))-(MAX($H18,(EDATE(AF$3,-12)+1)))+1)/(AF$3-(EDATE(AF$3,-12)+1)+1)))),MAX(0,AE18-$M18)))</f>
        <v/>
      </c>
      <c r="AG18" s="65">
        <f>IF($K18="","",IF(AND($I18&lt;&gt;"",$I18&lt;=AF$3),0,AE18-AF18))</f>
        <v/>
      </c>
      <c r="AH18" s="65">
        <f>IF(OR($K18="",$H18=""),"",MIN(MAX(0,IF($O18="WDV",AG18*$P18*MAX(0,(IF($I18="",AH$3,MIN($I18,AH$3)))-(MAX($H18,(EDATE(AH$3,-12)+1)))+1)/(AH$3-(EDATE(AH$3,-12)+1)+1),IF($N18=0,0,$Q18/$N18*MAX(0,(IF($I18="",AH$3,MIN($I18,AH$3)))-(MAX($H18,(EDATE(AH$3,-12)+1)))+1)/(AH$3-(EDATE(AH$3,-12)+1)+1)))),MAX(0,AG18-$M18)))</f>
        <v/>
      </c>
      <c r="AI18" s="65">
        <f>IF($K18="","",IF(AND($I18&lt;&gt;"",$I18&lt;=AH$3),0,AG18-AH18))</f>
        <v/>
      </c>
      <c r="AJ18" s="65">
        <f>IF(OR($K18="",$H18=""),"",MIN(MAX(0,IF($O18="WDV",AI18*$P18*MAX(0,(IF($I18="",AJ$3,MIN($I18,AJ$3)))-(MAX($H18,(EDATE(AJ$3,-12)+1)))+1)/(AJ$3-(EDATE(AJ$3,-12)+1)+1),IF($N18=0,0,$Q18/$N18*MAX(0,(IF($I18="",AJ$3,MIN($I18,AJ$3)))-(MAX($H18,(EDATE(AJ$3,-12)+1)))+1)/(AJ$3-(EDATE(AJ$3,-12)+1)+1)))),MAX(0,AI18-$M18)))</f>
        <v/>
      </c>
      <c r="AK18" s="65">
        <f>IF($K18="","",IF(AND($I18&lt;&gt;"",$I18&lt;=AJ$3),0,AI18-AJ18))</f>
        <v/>
      </c>
      <c r="AL18" s="65">
        <f>IF(OR($K18="",$H18=""),"",MIN(MAX(0,IF($O18="WDV",AK18*$P18*MAX(0,(IF($I18="",AL$3,MIN($I18,AL$3)))-(MAX($H18,(EDATE(AL$3,-12)+1)))+1)/(AL$3-(EDATE(AL$3,-12)+1)+1),IF($N18=0,0,$Q18/$N18*MAX(0,(IF($I18="",AL$3,MIN($I18,AL$3)))-(MAX($H18,(EDATE(AL$3,-12)+1)))+1)/(AL$3-(EDATE(AL$3,-12)+1)+1)))),MAX(0,AK18-$M18)))</f>
        <v/>
      </c>
      <c r="AM18" s="65">
        <f>IF($K18="","",IF(AND($I18&lt;&gt;"",$I18&lt;=AL$3),0,AK18-AL18))</f>
        <v/>
      </c>
      <c r="AN18" s="65">
        <f>IF(OR($K18="",$H18=""),"",MIN(MAX(0,IF($O18="WDV",AM18*$P18*MAX(0,(IF($I18="",AN$3,MIN($I18,AN$3)))-(MAX($H18,(EDATE(AN$3,-12)+1)))+1)/(AN$3-(EDATE(AN$3,-12)+1)+1),IF($N18=0,0,$Q18/$N18*MAX(0,(IF($I18="",AN$3,MIN($I18,AN$3)))-(MAX($H18,(EDATE(AN$3,-12)+1)))+1)/(AN$3-(EDATE(AN$3,-12)+1)+1)))),MAX(0,AM18-$M18)))</f>
        <v/>
      </c>
      <c r="AO18" s="65">
        <f>IF($K18="","",IF(AND($I18&lt;&gt;"",$I18&lt;=AN$3),0,AM18-AN18))</f>
        <v/>
      </c>
      <c r="AP18" s="65">
        <f>IF(OR($K18="",$H18=""),"",MIN(MAX(0,IF($O18="WDV",AO18*$P18*MAX(0,(IF($I18="",AP$3,MIN($I18,AP$3)))-(MAX($H18,(EDATE(AP$3,-12)+1)))+1)/(AP$3-(EDATE(AP$3,-12)+1)+1),IF($N18=0,0,$Q18/$N18*MAX(0,(IF($I18="",AP$3,MIN($I18,AP$3)))-(MAX($H18,(EDATE(AP$3,-12)+1)))+1)/(AP$3-(EDATE(AP$3,-12)+1)+1)))),MAX(0,AO18-$M18)))</f>
        <v/>
      </c>
      <c r="AQ18" s="65">
        <f>IF($K18="","",IF(AND($I18&lt;&gt;"",$I18&lt;=AP$3),0,AO18-AP18))</f>
        <v/>
      </c>
      <c r="AR18" s="65">
        <f>IF(OR($K18="",$H18=""),"",MIN(MAX(0,IF($O18="WDV",AQ18*$P18*MAX(0,(IF($I18="",AR$3,MIN($I18,AR$3)))-(MAX($H18,(EDATE(AR$3,-12)+1)))+1)/(AR$3-(EDATE(AR$3,-12)+1)+1),IF($N18=0,0,$Q18/$N18*MAX(0,(IF($I18="",AR$3,MIN($I18,AR$3)))-(MAX($H18,(EDATE(AR$3,-12)+1)))+1)/(AR$3-(EDATE(AR$3,-12)+1)+1)))),MAX(0,AQ18-$M18)))</f>
        <v/>
      </c>
      <c r="AS18" s="65">
        <f>IF($K18="","",IF(AND($I18&lt;&gt;"",$I18&lt;=AR$3),0,AQ18-AR18))</f>
        <v/>
      </c>
      <c r="AT18" s="65">
        <f>IF(OR($K18="",$H18=""),"",MIN(MAX(0,IF($O18="WDV",AS18*$P18*MAX(0,(IF($I18="",AT$3,MIN($I18,AT$3)))-(MAX($H18,(EDATE(AT$3,-12)+1)))+1)/(AT$3-(EDATE(AT$3,-12)+1)+1),IF($N18=0,0,$Q18/$N18*MAX(0,(IF($I18="",AT$3,MIN($I18,AT$3)))-(MAX($H18,(EDATE(AT$3,-12)+1)))+1)/(AT$3-(EDATE(AT$3,-12)+1)+1)))),MAX(0,AS18-$M18)))</f>
        <v/>
      </c>
      <c r="AU18" s="65">
        <f>IF($K18="","",IF(AND($I18&lt;&gt;"",$I18&lt;=AT$3),0,AS18-AT18))</f>
        <v/>
      </c>
      <c r="AV18" s="65">
        <f>IF(OR($K18="",$H18=""),"",MIN(MAX(0,IF($O18="WDV",AU18*$P18*MAX(0,(IF($I18="",AV$3,MIN($I18,AV$3)))-(MAX($H18,(EDATE(AV$3,-12)+1)))+1)/(AV$3-(EDATE(AV$3,-12)+1)+1),IF($N18=0,0,$Q18/$N18*MAX(0,(IF($I18="",AV$3,MIN($I18,AV$3)))-(MAX($H18,(EDATE(AV$3,-12)+1)))+1)/(AV$3-(EDATE(AV$3,-12)+1)+1)))),MAX(0,AU18-$M18)))</f>
        <v/>
      </c>
      <c r="AW18" s="65">
        <f>IF($K18="","",IF(AND($I18&lt;&gt;"",$I18&lt;=AV$3),0,AU18-AV18))</f>
        <v/>
      </c>
      <c r="AX18" s="65">
        <f>IF(OR($K18="",$H18=""),"",MIN(MAX(0,IF($O18="WDV",AW18*$P18*MAX(0,(IF($I18="",AX$3,MIN($I18,AX$3)))-(MAX($H18,(EDATE(AX$3,-12)+1)))+1)/(AX$3-(EDATE(AX$3,-12)+1)+1),IF($N18=0,0,$Q18/$N18*MAX(0,(IF($I18="",AX$3,MIN($I18,AX$3)))-(MAX($H18,(EDATE(AX$3,-12)+1)))+1)/(AX$3-(EDATE(AX$3,-12)+1)+1)))),MAX(0,AW18-$M18)))</f>
        <v/>
      </c>
      <c r="AY18" s="65">
        <f>IF($K18="","",IF(AND($I18&lt;&gt;"",$I18&lt;=AX$3),0,AW18-AX18))</f>
        <v/>
      </c>
      <c r="AZ18" s="65">
        <f>IF(OR($K18="",$H18=""),"",MIN(MAX(0,IF($O18="WDV",AY18*$P18*MAX(0,(IF($I18="",AZ$3,MIN($I18,AZ$3)))-(MAX($H18,(EDATE(AZ$3,-12)+1)))+1)/(AZ$3-(EDATE(AZ$3,-12)+1)+1),IF($N18=0,0,$Q18/$N18*MAX(0,(IF($I18="",AZ$3,MIN($I18,AZ$3)))-(MAX($H18,(EDATE(AZ$3,-12)+1)))+1)/(AZ$3-(EDATE(AZ$3,-12)+1)+1)))),MAX(0,AY18-$M18)))</f>
        <v/>
      </c>
      <c r="BA18" s="65">
        <f>IF($K18="","",IF(AND($I18&lt;&gt;"",$I18&lt;=AZ$3),0,AY18-AZ18))</f>
        <v/>
      </c>
    </row>
    <row r="19">
      <c r="A19" s="34" t="n"/>
      <c r="B19" s="35" t="n"/>
      <c r="C19" s="35" t="n"/>
      <c r="D19" s="35" t="n"/>
      <c r="E19" s="36" t="n"/>
      <c r="F19" s="37" t="n"/>
      <c r="G19" s="38" t="n"/>
      <c r="H19" s="38" t="n"/>
      <c r="I19" s="39" t="n"/>
      <c r="J19" s="40" t="n"/>
      <c r="K19" s="41" t="n"/>
      <c r="L19" s="42">
        <f>DefaultResidual</f>
        <v/>
      </c>
      <c r="M19" s="43">
        <f>IF($K19="","",$K19*$L19)</f>
        <v/>
      </c>
      <c r="N19" s="44">
        <f>IF($C19="","",IFERROR(VLOOKUP($C19,ScheduleIITable,3,FALSE),"#N/A"))</f>
        <v/>
      </c>
      <c r="O19" s="45">
        <f>IF($K19="","",GlobalMethod)</f>
        <v/>
      </c>
      <c r="P19" s="46">
        <f>IF(OR($K19="",$N19="",$N19=0,$M19=0),0,1-($M19/$K19)^(1/$N19))</f>
        <v/>
      </c>
      <c r="Q19" s="43">
        <f>IF($K19="","",$K19-$M19)</f>
        <v/>
      </c>
      <c r="R19" s="47">
        <f>IF($K19="","",INDEX($V19:$BA19,1,MATCH(ReportingFYEnd,$V$3:$BA$3,0)))</f>
        <v/>
      </c>
      <c r="S19" s="43">
        <f>IF($K19="","",IF($U19="Disposed",0,$K19-$T19))</f>
        <v/>
      </c>
      <c r="T19" s="48">
        <f>IF($K19="","",INDEX($V19:$BA19,1,MATCH(ReportingFYEnd,$V$3:$BA$3,0)+1))</f>
        <v/>
      </c>
      <c r="U19" s="49">
        <f>IF($K19="","",IF(AND($I19&lt;&gt;"",$I19&lt;=ReportingFYEnd),"Disposed",IF(OR($H19="",$H19&gt;ReportingFYEnd),"Not Yet in Use","Active")))</f>
        <v/>
      </c>
      <c r="V19" s="50">
        <f>IF(OR($K19="",$H19=""),"",MIN(MAX(0,IF($O19="WDV",$K19*$P19*MAX(0,(IF($I19="",V$3,MIN($I19,V$3)))-(MAX($H19,(EDATE(V$3,-12)+1)))+1)/(V$3-(EDATE(V$3,-12)+1)+1),IF($N19=0,0,$Q19/$N19*MAX(0,(IF($I19="",V$3,MIN($I19,V$3)))-(MAX($H19,(EDATE(V$3,-12)+1)))+1)/(V$3-(EDATE(V$3,-12)+1)+1)))),MAX(0,$K19-$M19)))</f>
        <v/>
      </c>
      <c r="W19" s="51">
        <f>IF($K19="","",IF(AND($I19&lt;&gt;"",$I19&lt;=V$3),0,$K19-V19))</f>
        <v/>
      </c>
      <c r="X19" s="50">
        <f>IF(OR($K19="",$H19=""),"",MIN(MAX(0,IF($O19="WDV",W19*$P19*MAX(0,(IF($I19="",X$3,MIN($I19,X$3)))-(MAX($H19,(EDATE(X$3,-12)+1)))+1)/(X$3-(EDATE(X$3,-12)+1)+1),IF($N19=0,0,$Q19/$N19*MAX(0,(IF($I19="",X$3,MIN($I19,X$3)))-(MAX($H19,(EDATE(X$3,-12)+1)))+1)/(X$3-(EDATE(X$3,-12)+1)+1)))),MAX(0,W19-$M19)))</f>
        <v/>
      </c>
      <c r="Y19" s="51">
        <f>IF($K19="","",IF(AND($I19&lt;&gt;"",$I19&lt;=X$3),0,W19-X19))</f>
        <v/>
      </c>
      <c r="Z19" s="50">
        <f>IF(OR($K19="",$H19=""),"",MIN(MAX(0,IF($O19="WDV",Y19*$P19*MAX(0,(IF($I19="",Z$3,MIN($I19,Z$3)))-(MAX($H19,(EDATE(Z$3,-12)+1)))+1)/(Z$3-(EDATE(Z$3,-12)+1)+1),IF($N19=0,0,$Q19/$N19*MAX(0,(IF($I19="",Z$3,MIN($I19,Z$3)))-(MAX($H19,(EDATE(Z$3,-12)+1)))+1)/(Z$3-(EDATE(Z$3,-12)+1)+1)))),MAX(0,Y19-$M19)))</f>
        <v/>
      </c>
      <c r="AA19" s="51">
        <f>IF($K19="","",IF(AND($I19&lt;&gt;"",$I19&lt;=Z$3),0,Y19-Z19))</f>
        <v/>
      </c>
      <c r="AB19" s="50">
        <f>IF(OR($K19="",$H19=""),"",MIN(MAX(0,IF($O19="WDV",AA19*$P19*MAX(0,(IF($I19="",AB$3,MIN($I19,AB$3)))-(MAX($H19,(EDATE(AB$3,-12)+1)))+1)/(AB$3-(EDATE(AB$3,-12)+1)+1),IF($N19=0,0,$Q19/$N19*MAX(0,(IF($I19="",AB$3,MIN($I19,AB$3)))-(MAX($H19,(EDATE(AB$3,-12)+1)))+1)/(AB$3-(EDATE(AB$3,-12)+1)+1)))),MAX(0,AA19-$M19)))</f>
        <v/>
      </c>
      <c r="AC19" s="51">
        <f>IF($K19="","",IF(AND($I19&lt;&gt;"",$I19&lt;=AB$3),0,AA19-AB19))</f>
        <v/>
      </c>
      <c r="AD19" s="50">
        <f>IF(OR($K19="",$H19=""),"",MIN(MAX(0,IF($O19="WDV",AC19*$P19*MAX(0,(IF($I19="",AD$3,MIN($I19,AD$3)))-(MAX($H19,(EDATE(AD$3,-12)+1)))+1)/(AD$3-(EDATE(AD$3,-12)+1)+1),IF($N19=0,0,$Q19/$N19*MAX(0,(IF($I19="",AD$3,MIN($I19,AD$3)))-(MAX($H19,(EDATE(AD$3,-12)+1)))+1)/(AD$3-(EDATE(AD$3,-12)+1)+1)))),MAX(0,AC19-$M19)))</f>
        <v/>
      </c>
      <c r="AE19" s="51">
        <f>IF($K19="","",IF(AND($I19&lt;&gt;"",$I19&lt;=AD$3),0,AC19-AD19))</f>
        <v/>
      </c>
      <c r="AF19" s="50">
        <f>IF(OR($K19="",$H19=""),"",MIN(MAX(0,IF($O19="WDV",AE19*$P19*MAX(0,(IF($I19="",AF$3,MIN($I19,AF$3)))-(MAX($H19,(EDATE(AF$3,-12)+1)))+1)/(AF$3-(EDATE(AF$3,-12)+1)+1),IF($N19=0,0,$Q19/$N19*MAX(0,(IF($I19="",AF$3,MIN($I19,AF$3)))-(MAX($H19,(EDATE(AF$3,-12)+1)))+1)/(AF$3-(EDATE(AF$3,-12)+1)+1)))),MAX(0,AE19-$M19)))</f>
        <v/>
      </c>
      <c r="AG19" s="51">
        <f>IF($K19="","",IF(AND($I19&lt;&gt;"",$I19&lt;=AF$3),0,AE19-AF19))</f>
        <v/>
      </c>
      <c r="AH19" s="50">
        <f>IF(OR($K19="",$H19=""),"",MIN(MAX(0,IF($O19="WDV",AG19*$P19*MAX(0,(IF($I19="",AH$3,MIN($I19,AH$3)))-(MAX($H19,(EDATE(AH$3,-12)+1)))+1)/(AH$3-(EDATE(AH$3,-12)+1)+1),IF($N19=0,0,$Q19/$N19*MAX(0,(IF($I19="",AH$3,MIN($I19,AH$3)))-(MAX($H19,(EDATE(AH$3,-12)+1)))+1)/(AH$3-(EDATE(AH$3,-12)+1)+1)))),MAX(0,AG19-$M19)))</f>
        <v/>
      </c>
      <c r="AI19" s="51">
        <f>IF($K19="","",IF(AND($I19&lt;&gt;"",$I19&lt;=AH$3),0,AG19-AH19))</f>
        <v/>
      </c>
      <c r="AJ19" s="50">
        <f>IF(OR($K19="",$H19=""),"",MIN(MAX(0,IF($O19="WDV",AI19*$P19*MAX(0,(IF($I19="",AJ$3,MIN($I19,AJ$3)))-(MAX($H19,(EDATE(AJ$3,-12)+1)))+1)/(AJ$3-(EDATE(AJ$3,-12)+1)+1),IF($N19=0,0,$Q19/$N19*MAX(0,(IF($I19="",AJ$3,MIN($I19,AJ$3)))-(MAX($H19,(EDATE(AJ$3,-12)+1)))+1)/(AJ$3-(EDATE(AJ$3,-12)+1)+1)))),MAX(0,AI19-$M19)))</f>
        <v/>
      </c>
      <c r="AK19" s="51">
        <f>IF($K19="","",IF(AND($I19&lt;&gt;"",$I19&lt;=AJ$3),0,AI19-AJ19))</f>
        <v/>
      </c>
      <c r="AL19" s="50">
        <f>IF(OR($K19="",$H19=""),"",MIN(MAX(0,IF($O19="WDV",AK19*$P19*MAX(0,(IF($I19="",AL$3,MIN($I19,AL$3)))-(MAX($H19,(EDATE(AL$3,-12)+1)))+1)/(AL$3-(EDATE(AL$3,-12)+1)+1),IF($N19=0,0,$Q19/$N19*MAX(0,(IF($I19="",AL$3,MIN($I19,AL$3)))-(MAX($H19,(EDATE(AL$3,-12)+1)))+1)/(AL$3-(EDATE(AL$3,-12)+1)+1)))),MAX(0,AK19-$M19)))</f>
        <v/>
      </c>
      <c r="AM19" s="51">
        <f>IF($K19="","",IF(AND($I19&lt;&gt;"",$I19&lt;=AL$3),0,AK19-AL19))</f>
        <v/>
      </c>
      <c r="AN19" s="50">
        <f>IF(OR($K19="",$H19=""),"",MIN(MAX(0,IF($O19="WDV",AM19*$P19*MAX(0,(IF($I19="",AN$3,MIN($I19,AN$3)))-(MAX($H19,(EDATE(AN$3,-12)+1)))+1)/(AN$3-(EDATE(AN$3,-12)+1)+1),IF($N19=0,0,$Q19/$N19*MAX(0,(IF($I19="",AN$3,MIN($I19,AN$3)))-(MAX($H19,(EDATE(AN$3,-12)+1)))+1)/(AN$3-(EDATE(AN$3,-12)+1)+1)))),MAX(0,AM19-$M19)))</f>
        <v/>
      </c>
      <c r="AO19" s="51">
        <f>IF($K19="","",IF(AND($I19&lt;&gt;"",$I19&lt;=AN$3),0,AM19-AN19))</f>
        <v/>
      </c>
      <c r="AP19" s="50">
        <f>IF(OR($K19="",$H19=""),"",MIN(MAX(0,IF($O19="WDV",AO19*$P19*MAX(0,(IF($I19="",AP$3,MIN($I19,AP$3)))-(MAX($H19,(EDATE(AP$3,-12)+1)))+1)/(AP$3-(EDATE(AP$3,-12)+1)+1),IF($N19=0,0,$Q19/$N19*MAX(0,(IF($I19="",AP$3,MIN($I19,AP$3)))-(MAX($H19,(EDATE(AP$3,-12)+1)))+1)/(AP$3-(EDATE(AP$3,-12)+1)+1)))),MAX(0,AO19-$M19)))</f>
        <v/>
      </c>
      <c r="AQ19" s="51">
        <f>IF($K19="","",IF(AND($I19&lt;&gt;"",$I19&lt;=AP$3),0,AO19-AP19))</f>
        <v/>
      </c>
      <c r="AR19" s="50">
        <f>IF(OR($K19="",$H19=""),"",MIN(MAX(0,IF($O19="WDV",AQ19*$P19*MAX(0,(IF($I19="",AR$3,MIN($I19,AR$3)))-(MAX($H19,(EDATE(AR$3,-12)+1)))+1)/(AR$3-(EDATE(AR$3,-12)+1)+1),IF($N19=0,0,$Q19/$N19*MAX(0,(IF($I19="",AR$3,MIN($I19,AR$3)))-(MAX($H19,(EDATE(AR$3,-12)+1)))+1)/(AR$3-(EDATE(AR$3,-12)+1)+1)))),MAX(0,AQ19-$M19)))</f>
        <v/>
      </c>
      <c r="AS19" s="51">
        <f>IF($K19="","",IF(AND($I19&lt;&gt;"",$I19&lt;=AR$3),0,AQ19-AR19))</f>
        <v/>
      </c>
      <c r="AT19" s="50">
        <f>IF(OR($K19="",$H19=""),"",MIN(MAX(0,IF($O19="WDV",AS19*$P19*MAX(0,(IF($I19="",AT$3,MIN($I19,AT$3)))-(MAX($H19,(EDATE(AT$3,-12)+1)))+1)/(AT$3-(EDATE(AT$3,-12)+1)+1),IF($N19=0,0,$Q19/$N19*MAX(0,(IF($I19="",AT$3,MIN($I19,AT$3)))-(MAX($H19,(EDATE(AT$3,-12)+1)))+1)/(AT$3-(EDATE(AT$3,-12)+1)+1)))),MAX(0,AS19-$M19)))</f>
        <v/>
      </c>
      <c r="AU19" s="51">
        <f>IF($K19="","",IF(AND($I19&lt;&gt;"",$I19&lt;=AT$3),0,AS19-AT19))</f>
        <v/>
      </c>
      <c r="AV19" s="50">
        <f>IF(OR($K19="",$H19=""),"",MIN(MAX(0,IF($O19="WDV",AU19*$P19*MAX(0,(IF($I19="",AV$3,MIN($I19,AV$3)))-(MAX($H19,(EDATE(AV$3,-12)+1)))+1)/(AV$3-(EDATE(AV$3,-12)+1)+1),IF($N19=0,0,$Q19/$N19*MAX(0,(IF($I19="",AV$3,MIN($I19,AV$3)))-(MAX($H19,(EDATE(AV$3,-12)+1)))+1)/(AV$3-(EDATE(AV$3,-12)+1)+1)))),MAX(0,AU19-$M19)))</f>
        <v/>
      </c>
      <c r="AW19" s="51">
        <f>IF($K19="","",IF(AND($I19&lt;&gt;"",$I19&lt;=AV$3),0,AU19-AV19))</f>
        <v/>
      </c>
      <c r="AX19" s="50">
        <f>IF(OR($K19="",$H19=""),"",MIN(MAX(0,IF($O19="WDV",AW19*$P19*MAX(0,(IF($I19="",AX$3,MIN($I19,AX$3)))-(MAX($H19,(EDATE(AX$3,-12)+1)))+1)/(AX$3-(EDATE(AX$3,-12)+1)+1),IF($N19=0,0,$Q19/$N19*MAX(0,(IF($I19="",AX$3,MIN($I19,AX$3)))-(MAX($H19,(EDATE(AX$3,-12)+1)))+1)/(AX$3-(EDATE(AX$3,-12)+1)+1)))),MAX(0,AW19-$M19)))</f>
        <v/>
      </c>
      <c r="AY19" s="51">
        <f>IF($K19="","",IF(AND($I19&lt;&gt;"",$I19&lt;=AX$3),0,AW19-AX19))</f>
        <v/>
      </c>
      <c r="AZ19" s="50">
        <f>IF(OR($K19="",$H19=""),"",MIN(MAX(0,IF($O19="WDV",AY19*$P19*MAX(0,(IF($I19="",AZ$3,MIN($I19,AZ$3)))-(MAX($H19,(EDATE(AZ$3,-12)+1)))+1)/(AZ$3-(EDATE(AZ$3,-12)+1)+1),IF($N19=0,0,$Q19/$N19*MAX(0,(IF($I19="",AZ$3,MIN($I19,AZ$3)))-(MAX($H19,(EDATE(AZ$3,-12)+1)))+1)/(AZ$3-(EDATE(AZ$3,-12)+1)+1)))),MAX(0,AY19-$M19)))</f>
        <v/>
      </c>
      <c r="BA19" s="51">
        <f>IF($K19="","",IF(AND($I19&lt;&gt;"",$I19&lt;=AZ$3),0,AY19-AZ19))</f>
        <v/>
      </c>
    </row>
    <row r="20">
      <c r="A20" s="52" t="n"/>
      <c r="B20" s="53" t="n"/>
      <c r="C20" s="53" t="n"/>
      <c r="D20" s="53" t="n"/>
      <c r="E20" s="19" t="n"/>
      <c r="F20" s="54" t="n"/>
      <c r="G20" s="55" t="n"/>
      <c r="H20" s="55" t="n"/>
      <c r="I20" s="56" t="n"/>
      <c r="J20" s="57" t="n"/>
      <c r="K20" s="58" t="n"/>
      <c r="L20" s="59">
        <f>DefaultResidual</f>
        <v/>
      </c>
      <c r="M20" s="60">
        <f>IF($K20="","",$K20*$L20)</f>
        <v/>
      </c>
      <c r="N20" s="20">
        <f>IF($C20="","",IFERROR(VLOOKUP($C20,ScheduleIITable,3,FALSE),"#N/A"))</f>
        <v/>
      </c>
      <c r="O20" s="61">
        <f>IF($K20="","",GlobalMethod)</f>
        <v/>
      </c>
      <c r="P20" s="21">
        <f>IF(OR($K20="",$N20="",$N20=0,$M20=0),0,1-($M20/$K20)^(1/$N20))</f>
        <v/>
      </c>
      <c r="Q20" s="60">
        <f>IF($K20="","",$K20-$M20)</f>
        <v/>
      </c>
      <c r="R20" s="62">
        <f>IF($K20="","",INDEX($V20:$BA20,1,MATCH(ReportingFYEnd,$V$3:$BA$3,0)))</f>
        <v/>
      </c>
      <c r="S20" s="60">
        <f>IF($K20="","",IF($U20="Disposed",0,$K20-$T20))</f>
        <v/>
      </c>
      <c r="T20" s="63">
        <f>IF($K20="","",INDEX($V20:$BA20,1,MATCH(ReportingFYEnd,$V$3:$BA$3,0)+1))</f>
        <v/>
      </c>
      <c r="U20" s="64">
        <f>IF($K20="","",IF(AND($I20&lt;&gt;"",$I20&lt;=ReportingFYEnd),"Disposed",IF(OR($H20="",$H20&gt;ReportingFYEnd),"Not Yet in Use","Active")))</f>
        <v/>
      </c>
      <c r="V20" s="65">
        <f>IF(OR($K20="",$H20=""),"",MIN(MAX(0,IF($O20="WDV",$K20*$P20*MAX(0,(IF($I20="",V$3,MIN($I20,V$3)))-(MAX($H20,(EDATE(V$3,-12)+1)))+1)/(V$3-(EDATE(V$3,-12)+1)+1),IF($N20=0,0,$Q20/$N20*MAX(0,(IF($I20="",V$3,MIN($I20,V$3)))-(MAX($H20,(EDATE(V$3,-12)+1)))+1)/(V$3-(EDATE(V$3,-12)+1)+1)))),MAX(0,$K20-$M20)))</f>
        <v/>
      </c>
      <c r="W20" s="65">
        <f>IF($K20="","",IF(AND($I20&lt;&gt;"",$I20&lt;=V$3),0,$K20-V20))</f>
        <v/>
      </c>
      <c r="X20" s="65">
        <f>IF(OR($K20="",$H20=""),"",MIN(MAX(0,IF($O20="WDV",W20*$P20*MAX(0,(IF($I20="",X$3,MIN($I20,X$3)))-(MAX($H20,(EDATE(X$3,-12)+1)))+1)/(X$3-(EDATE(X$3,-12)+1)+1),IF($N20=0,0,$Q20/$N20*MAX(0,(IF($I20="",X$3,MIN($I20,X$3)))-(MAX($H20,(EDATE(X$3,-12)+1)))+1)/(X$3-(EDATE(X$3,-12)+1)+1)))),MAX(0,W20-$M20)))</f>
        <v/>
      </c>
      <c r="Y20" s="65">
        <f>IF($K20="","",IF(AND($I20&lt;&gt;"",$I20&lt;=X$3),0,W20-X20))</f>
        <v/>
      </c>
      <c r="Z20" s="65">
        <f>IF(OR($K20="",$H20=""),"",MIN(MAX(0,IF($O20="WDV",Y20*$P20*MAX(0,(IF($I20="",Z$3,MIN($I20,Z$3)))-(MAX($H20,(EDATE(Z$3,-12)+1)))+1)/(Z$3-(EDATE(Z$3,-12)+1)+1),IF($N20=0,0,$Q20/$N20*MAX(0,(IF($I20="",Z$3,MIN($I20,Z$3)))-(MAX($H20,(EDATE(Z$3,-12)+1)))+1)/(Z$3-(EDATE(Z$3,-12)+1)+1)))),MAX(0,Y20-$M20)))</f>
        <v/>
      </c>
      <c r="AA20" s="65">
        <f>IF($K20="","",IF(AND($I20&lt;&gt;"",$I20&lt;=Z$3),0,Y20-Z20))</f>
        <v/>
      </c>
      <c r="AB20" s="65">
        <f>IF(OR($K20="",$H20=""),"",MIN(MAX(0,IF($O20="WDV",AA20*$P20*MAX(0,(IF($I20="",AB$3,MIN($I20,AB$3)))-(MAX($H20,(EDATE(AB$3,-12)+1)))+1)/(AB$3-(EDATE(AB$3,-12)+1)+1),IF($N20=0,0,$Q20/$N20*MAX(0,(IF($I20="",AB$3,MIN($I20,AB$3)))-(MAX($H20,(EDATE(AB$3,-12)+1)))+1)/(AB$3-(EDATE(AB$3,-12)+1)+1)))),MAX(0,AA20-$M20)))</f>
        <v/>
      </c>
      <c r="AC20" s="65">
        <f>IF($K20="","",IF(AND($I20&lt;&gt;"",$I20&lt;=AB$3),0,AA20-AB20))</f>
        <v/>
      </c>
      <c r="AD20" s="65">
        <f>IF(OR($K20="",$H20=""),"",MIN(MAX(0,IF($O20="WDV",AC20*$P20*MAX(0,(IF($I20="",AD$3,MIN($I20,AD$3)))-(MAX($H20,(EDATE(AD$3,-12)+1)))+1)/(AD$3-(EDATE(AD$3,-12)+1)+1),IF($N20=0,0,$Q20/$N20*MAX(0,(IF($I20="",AD$3,MIN($I20,AD$3)))-(MAX($H20,(EDATE(AD$3,-12)+1)))+1)/(AD$3-(EDATE(AD$3,-12)+1)+1)))),MAX(0,AC20-$M20)))</f>
        <v/>
      </c>
      <c r="AE20" s="65">
        <f>IF($K20="","",IF(AND($I20&lt;&gt;"",$I20&lt;=AD$3),0,AC20-AD20))</f>
        <v/>
      </c>
      <c r="AF20" s="65">
        <f>IF(OR($K20="",$H20=""),"",MIN(MAX(0,IF($O20="WDV",AE20*$P20*MAX(0,(IF($I20="",AF$3,MIN($I20,AF$3)))-(MAX($H20,(EDATE(AF$3,-12)+1)))+1)/(AF$3-(EDATE(AF$3,-12)+1)+1),IF($N20=0,0,$Q20/$N20*MAX(0,(IF($I20="",AF$3,MIN($I20,AF$3)))-(MAX($H20,(EDATE(AF$3,-12)+1)))+1)/(AF$3-(EDATE(AF$3,-12)+1)+1)))),MAX(0,AE20-$M20)))</f>
        <v/>
      </c>
      <c r="AG20" s="65">
        <f>IF($K20="","",IF(AND($I20&lt;&gt;"",$I20&lt;=AF$3),0,AE20-AF20))</f>
        <v/>
      </c>
      <c r="AH20" s="65">
        <f>IF(OR($K20="",$H20=""),"",MIN(MAX(0,IF($O20="WDV",AG20*$P20*MAX(0,(IF($I20="",AH$3,MIN($I20,AH$3)))-(MAX($H20,(EDATE(AH$3,-12)+1)))+1)/(AH$3-(EDATE(AH$3,-12)+1)+1),IF($N20=0,0,$Q20/$N20*MAX(0,(IF($I20="",AH$3,MIN($I20,AH$3)))-(MAX($H20,(EDATE(AH$3,-12)+1)))+1)/(AH$3-(EDATE(AH$3,-12)+1)+1)))),MAX(0,AG20-$M20)))</f>
        <v/>
      </c>
      <c r="AI20" s="65">
        <f>IF($K20="","",IF(AND($I20&lt;&gt;"",$I20&lt;=AH$3),0,AG20-AH20))</f>
        <v/>
      </c>
      <c r="AJ20" s="65">
        <f>IF(OR($K20="",$H20=""),"",MIN(MAX(0,IF($O20="WDV",AI20*$P20*MAX(0,(IF($I20="",AJ$3,MIN($I20,AJ$3)))-(MAX($H20,(EDATE(AJ$3,-12)+1)))+1)/(AJ$3-(EDATE(AJ$3,-12)+1)+1),IF($N20=0,0,$Q20/$N20*MAX(0,(IF($I20="",AJ$3,MIN($I20,AJ$3)))-(MAX($H20,(EDATE(AJ$3,-12)+1)))+1)/(AJ$3-(EDATE(AJ$3,-12)+1)+1)))),MAX(0,AI20-$M20)))</f>
        <v/>
      </c>
      <c r="AK20" s="65">
        <f>IF($K20="","",IF(AND($I20&lt;&gt;"",$I20&lt;=AJ$3),0,AI20-AJ20))</f>
        <v/>
      </c>
      <c r="AL20" s="65">
        <f>IF(OR($K20="",$H20=""),"",MIN(MAX(0,IF($O20="WDV",AK20*$P20*MAX(0,(IF($I20="",AL$3,MIN($I20,AL$3)))-(MAX($H20,(EDATE(AL$3,-12)+1)))+1)/(AL$3-(EDATE(AL$3,-12)+1)+1),IF($N20=0,0,$Q20/$N20*MAX(0,(IF($I20="",AL$3,MIN($I20,AL$3)))-(MAX($H20,(EDATE(AL$3,-12)+1)))+1)/(AL$3-(EDATE(AL$3,-12)+1)+1)))),MAX(0,AK20-$M20)))</f>
        <v/>
      </c>
      <c r="AM20" s="65">
        <f>IF($K20="","",IF(AND($I20&lt;&gt;"",$I20&lt;=AL$3),0,AK20-AL20))</f>
        <v/>
      </c>
      <c r="AN20" s="65">
        <f>IF(OR($K20="",$H20=""),"",MIN(MAX(0,IF($O20="WDV",AM20*$P20*MAX(0,(IF($I20="",AN$3,MIN($I20,AN$3)))-(MAX($H20,(EDATE(AN$3,-12)+1)))+1)/(AN$3-(EDATE(AN$3,-12)+1)+1),IF($N20=0,0,$Q20/$N20*MAX(0,(IF($I20="",AN$3,MIN($I20,AN$3)))-(MAX($H20,(EDATE(AN$3,-12)+1)))+1)/(AN$3-(EDATE(AN$3,-12)+1)+1)))),MAX(0,AM20-$M20)))</f>
        <v/>
      </c>
      <c r="AO20" s="65">
        <f>IF($K20="","",IF(AND($I20&lt;&gt;"",$I20&lt;=AN$3),0,AM20-AN20))</f>
        <v/>
      </c>
      <c r="AP20" s="65">
        <f>IF(OR($K20="",$H20=""),"",MIN(MAX(0,IF($O20="WDV",AO20*$P20*MAX(0,(IF($I20="",AP$3,MIN($I20,AP$3)))-(MAX($H20,(EDATE(AP$3,-12)+1)))+1)/(AP$3-(EDATE(AP$3,-12)+1)+1),IF($N20=0,0,$Q20/$N20*MAX(0,(IF($I20="",AP$3,MIN($I20,AP$3)))-(MAX($H20,(EDATE(AP$3,-12)+1)))+1)/(AP$3-(EDATE(AP$3,-12)+1)+1)))),MAX(0,AO20-$M20)))</f>
        <v/>
      </c>
      <c r="AQ20" s="65">
        <f>IF($K20="","",IF(AND($I20&lt;&gt;"",$I20&lt;=AP$3),0,AO20-AP20))</f>
        <v/>
      </c>
      <c r="AR20" s="65">
        <f>IF(OR($K20="",$H20=""),"",MIN(MAX(0,IF($O20="WDV",AQ20*$P20*MAX(0,(IF($I20="",AR$3,MIN($I20,AR$3)))-(MAX($H20,(EDATE(AR$3,-12)+1)))+1)/(AR$3-(EDATE(AR$3,-12)+1)+1),IF($N20=0,0,$Q20/$N20*MAX(0,(IF($I20="",AR$3,MIN($I20,AR$3)))-(MAX($H20,(EDATE(AR$3,-12)+1)))+1)/(AR$3-(EDATE(AR$3,-12)+1)+1)))),MAX(0,AQ20-$M20)))</f>
        <v/>
      </c>
      <c r="AS20" s="65">
        <f>IF($K20="","",IF(AND($I20&lt;&gt;"",$I20&lt;=AR$3),0,AQ20-AR20))</f>
        <v/>
      </c>
      <c r="AT20" s="65">
        <f>IF(OR($K20="",$H20=""),"",MIN(MAX(0,IF($O20="WDV",AS20*$P20*MAX(0,(IF($I20="",AT$3,MIN($I20,AT$3)))-(MAX($H20,(EDATE(AT$3,-12)+1)))+1)/(AT$3-(EDATE(AT$3,-12)+1)+1),IF($N20=0,0,$Q20/$N20*MAX(0,(IF($I20="",AT$3,MIN($I20,AT$3)))-(MAX($H20,(EDATE(AT$3,-12)+1)))+1)/(AT$3-(EDATE(AT$3,-12)+1)+1)))),MAX(0,AS20-$M20)))</f>
        <v/>
      </c>
      <c r="AU20" s="65">
        <f>IF($K20="","",IF(AND($I20&lt;&gt;"",$I20&lt;=AT$3),0,AS20-AT20))</f>
        <v/>
      </c>
      <c r="AV20" s="65">
        <f>IF(OR($K20="",$H20=""),"",MIN(MAX(0,IF($O20="WDV",AU20*$P20*MAX(0,(IF($I20="",AV$3,MIN($I20,AV$3)))-(MAX($H20,(EDATE(AV$3,-12)+1)))+1)/(AV$3-(EDATE(AV$3,-12)+1)+1),IF($N20=0,0,$Q20/$N20*MAX(0,(IF($I20="",AV$3,MIN($I20,AV$3)))-(MAX($H20,(EDATE(AV$3,-12)+1)))+1)/(AV$3-(EDATE(AV$3,-12)+1)+1)))),MAX(0,AU20-$M20)))</f>
        <v/>
      </c>
      <c r="AW20" s="65">
        <f>IF($K20="","",IF(AND($I20&lt;&gt;"",$I20&lt;=AV$3),0,AU20-AV20))</f>
        <v/>
      </c>
      <c r="AX20" s="65">
        <f>IF(OR($K20="",$H20=""),"",MIN(MAX(0,IF($O20="WDV",AW20*$P20*MAX(0,(IF($I20="",AX$3,MIN($I20,AX$3)))-(MAX($H20,(EDATE(AX$3,-12)+1)))+1)/(AX$3-(EDATE(AX$3,-12)+1)+1),IF($N20=0,0,$Q20/$N20*MAX(0,(IF($I20="",AX$3,MIN($I20,AX$3)))-(MAX($H20,(EDATE(AX$3,-12)+1)))+1)/(AX$3-(EDATE(AX$3,-12)+1)+1)))),MAX(0,AW20-$M20)))</f>
        <v/>
      </c>
      <c r="AY20" s="65">
        <f>IF($K20="","",IF(AND($I20&lt;&gt;"",$I20&lt;=AX$3),0,AW20-AX20))</f>
        <v/>
      </c>
      <c r="AZ20" s="65">
        <f>IF(OR($K20="",$H20=""),"",MIN(MAX(0,IF($O20="WDV",AY20*$P20*MAX(0,(IF($I20="",AZ$3,MIN($I20,AZ$3)))-(MAX($H20,(EDATE(AZ$3,-12)+1)))+1)/(AZ$3-(EDATE(AZ$3,-12)+1)+1),IF($N20=0,0,$Q20/$N20*MAX(0,(IF($I20="",AZ$3,MIN($I20,AZ$3)))-(MAX($H20,(EDATE(AZ$3,-12)+1)))+1)/(AZ$3-(EDATE(AZ$3,-12)+1)+1)))),MAX(0,AY20-$M20)))</f>
        <v/>
      </c>
      <c r="BA20" s="65">
        <f>IF($K20="","",IF(AND($I20&lt;&gt;"",$I20&lt;=AZ$3),0,AY20-AZ20))</f>
        <v/>
      </c>
    </row>
    <row r="21">
      <c r="A21" s="34" t="n"/>
      <c r="B21" s="35" t="n"/>
      <c r="C21" s="35" t="n"/>
      <c r="D21" s="35" t="n"/>
      <c r="E21" s="36" t="n"/>
      <c r="F21" s="37" t="n"/>
      <c r="G21" s="38" t="n"/>
      <c r="H21" s="38" t="n"/>
      <c r="I21" s="39" t="n"/>
      <c r="J21" s="40" t="n"/>
      <c r="K21" s="41" t="n"/>
      <c r="L21" s="42">
        <f>DefaultResidual</f>
        <v/>
      </c>
      <c r="M21" s="43">
        <f>IF($K21="","",$K21*$L21)</f>
        <v/>
      </c>
      <c r="N21" s="44">
        <f>IF($C21="","",IFERROR(VLOOKUP($C21,ScheduleIITable,3,FALSE),"#N/A"))</f>
        <v/>
      </c>
      <c r="O21" s="45">
        <f>IF($K21="","",GlobalMethod)</f>
        <v/>
      </c>
      <c r="P21" s="46">
        <f>IF(OR($K21="",$N21="",$N21=0,$M21=0),0,1-($M21/$K21)^(1/$N21))</f>
        <v/>
      </c>
      <c r="Q21" s="43">
        <f>IF($K21="","",$K21-$M21)</f>
        <v/>
      </c>
      <c r="R21" s="47">
        <f>IF($K21="","",INDEX($V21:$BA21,1,MATCH(ReportingFYEnd,$V$3:$BA$3,0)))</f>
        <v/>
      </c>
      <c r="S21" s="43">
        <f>IF($K21="","",IF($U21="Disposed",0,$K21-$T21))</f>
        <v/>
      </c>
      <c r="T21" s="48">
        <f>IF($K21="","",INDEX($V21:$BA21,1,MATCH(ReportingFYEnd,$V$3:$BA$3,0)+1))</f>
        <v/>
      </c>
      <c r="U21" s="49">
        <f>IF($K21="","",IF(AND($I21&lt;&gt;"",$I21&lt;=ReportingFYEnd),"Disposed",IF(OR($H21="",$H21&gt;ReportingFYEnd),"Not Yet in Use","Active")))</f>
        <v/>
      </c>
      <c r="V21" s="50">
        <f>IF(OR($K21="",$H21=""),"",MIN(MAX(0,IF($O21="WDV",$K21*$P21*MAX(0,(IF($I21="",V$3,MIN($I21,V$3)))-(MAX($H21,(EDATE(V$3,-12)+1)))+1)/(V$3-(EDATE(V$3,-12)+1)+1),IF($N21=0,0,$Q21/$N21*MAX(0,(IF($I21="",V$3,MIN($I21,V$3)))-(MAX($H21,(EDATE(V$3,-12)+1)))+1)/(V$3-(EDATE(V$3,-12)+1)+1)))),MAX(0,$K21-$M21)))</f>
        <v/>
      </c>
      <c r="W21" s="51">
        <f>IF($K21="","",IF(AND($I21&lt;&gt;"",$I21&lt;=V$3),0,$K21-V21))</f>
        <v/>
      </c>
      <c r="X21" s="50">
        <f>IF(OR($K21="",$H21=""),"",MIN(MAX(0,IF($O21="WDV",W21*$P21*MAX(0,(IF($I21="",X$3,MIN($I21,X$3)))-(MAX($H21,(EDATE(X$3,-12)+1)))+1)/(X$3-(EDATE(X$3,-12)+1)+1),IF($N21=0,0,$Q21/$N21*MAX(0,(IF($I21="",X$3,MIN($I21,X$3)))-(MAX($H21,(EDATE(X$3,-12)+1)))+1)/(X$3-(EDATE(X$3,-12)+1)+1)))),MAX(0,W21-$M21)))</f>
        <v/>
      </c>
      <c r="Y21" s="51">
        <f>IF($K21="","",IF(AND($I21&lt;&gt;"",$I21&lt;=X$3),0,W21-X21))</f>
        <v/>
      </c>
      <c r="Z21" s="50">
        <f>IF(OR($K21="",$H21=""),"",MIN(MAX(0,IF($O21="WDV",Y21*$P21*MAX(0,(IF($I21="",Z$3,MIN($I21,Z$3)))-(MAX($H21,(EDATE(Z$3,-12)+1)))+1)/(Z$3-(EDATE(Z$3,-12)+1)+1),IF($N21=0,0,$Q21/$N21*MAX(0,(IF($I21="",Z$3,MIN($I21,Z$3)))-(MAX($H21,(EDATE(Z$3,-12)+1)))+1)/(Z$3-(EDATE(Z$3,-12)+1)+1)))),MAX(0,Y21-$M21)))</f>
        <v/>
      </c>
      <c r="AA21" s="51">
        <f>IF($K21="","",IF(AND($I21&lt;&gt;"",$I21&lt;=Z$3),0,Y21-Z21))</f>
        <v/>
      </c>
      <c r="AB21" s="50">
        <f>IF(OR($K21="",$H21=""),"",MIN(MAX(0,IF($O21="WDV",AA21*$P21*MAX(0,(IF($I21="",AB$3,MIN($I21,AB$3)))-(MAX($H21,(EDATE(AB$3,-12)+1)))+1)/(AB$3-(EDATE(AB$3,-12)+1)+1),IF($N21=0,0,$Q21/$N21*MAX(0,(IF($I21="",AB$3,MIN($I21,AB$3)))-(MAX($H21,(EDATE(AB$3,-12)+1)))+1)/(AB$3-(EDATE(AB$3,-12)+1)+1)))),MAX(0,AA21-$M21)))</f>
        <v/>
      </c>
      <c r="AC21" s="51">
        <f>IF($K21="","",IF(AND($I21&lt;&gt;"",$I21&lt;=AB$3),0,AA21-AB21))</f>
        <v/>
      </c>
      <c r="AD21" s="50">
        <f>IF(OR($K21="",$H21=""),"",MIN(MAX(0,IF($O21="WDV",AC21*$P21*MAX(0,(IF($I21="",AD$3,MIN($I21,AD$3)))-(MAX($H21,(EDATE(AD$3,-12)+1)))+1)/(AD$3-(EDATE(AD$3,-12)+1)+1),IF($N21=0,0,$Q21/$N21*MAX(0,(IF($I21="",AD$3,MIN($I21,AD$3)))-(MAX($H21,(EDATE(AD$3,-12)+1)))+1)/(AD$3-(EDATE(AD$3,-12)+1)+1)))),MAX(0,AC21-$M21)))</f>
        <v/>
      </c>
      <c r="AE21" s="51">
        <f>IF($K21="","",IF(AND($I21&lt;&gt;"",$I21&lt;=AD$3),0,AC21-AD21))</f>
        <v/>
      </c>
      <c r="AF21" s="50">
        <f>IF(OR($K21="",$H21=""),"",MIN(MAX(0,IF($O21="WDV",AE21*$P21*MAX(0,(IF($I21="",AF$3,MIN($I21,AF$3)))-(MAX($H21,(EDATE(AF$3,-12)+1)))+1)/(AF$3-(EDATE(AF$3,-12)+1)+1),IF($N21=0,0,$Q21/$N21*MAX(0,(IF($I21="",AF$3,MIN($I21,AF$3)))-(MAX($H21,(EDATE(AF$3,-12)+1)))+1)/(AF$3-(EDATE(AF$3,-12)+1)+1)))),MAX(0,AE21-$M21)))</f>
        <v/>
      </c>
      <c r="AG21" s="51">
        <f>IF($K21="","",IF(AND($I21&lt;&gt;"",$I21&lt;=AF$3),0,AE21-AF21))</f>
        <v/>
      </c>
      <c r="AH21" s="50">
        <f>IF(OR($K21="",$H21=""),"",MIN(MAX(0,IF($O21="WDV",AG21*$P21*MAX(0,(IF($I21="",AH$3,MIN($I21,AH$3)))-(MAX($H21,(EDATE(AH$3,-12)+1)))+1)/(AH$3-(EDATE(AH$3,-12)+1)+1),IF($N21=0,0,$Q21/$N21*MAX(0,(IF($I21="",AH$3,MIN($I21,AH$3)))-(MAX($H21,(EDATE(AH$3,-12)+1)))+1)/(AH$3-(EDATE(AH$3,-12)+1)+1)))),MAX(0,AG21-$M21)))</f>
        <v/>
      </c>
      <c r="AI21" s="51">
        <f>IF($K21="","",IF(AND($I21&lt;&gt;"",$I21&lt;=AH$3),0,AG21-AH21))</f>
        <v/>
      </c>
      <c r="AJ21" s="50">
        <f>IF(OR($K21="",$H21=""),"",MIN(MAX(0,IF($O21="WDV",AI21*$P21*MAX(0,(IF($I21="",AJ$3,MIN($I21,AJ$3)))-(MAX($H21,(EDATE(AJ$3,-12)+1)))+1)/(AJ$3-(EDATE(AJ$3,-12)+1)+1),IF($N21=0,0,$Q21/$N21*MAX(0,(IF($I21="",AJ$3,MIN($I21,AJ$3)))-(MAX($H21,(EDATE(AJ$3,-12)+1)))+1)/(AJ$3-(EDATE(AJ$3,-12)+1)+1)))),MAX(0,AI21-$M21)))</f>
        <v/>
      </c>
      <c r="AK21" s="51">
        <f>IF($K21="","",IF(AND($I21&lt;&gt;"",$I21&lt;=AJ$3),0,AI21-AJ21))</f>
        <v/>
      </c>
      <c r="AL21" s="50">
        <f>IF(OR($K21="",$H21=""),"",MIN(MAX(0,IF($O21="WDV",AK21*$P21*MAX(0,(IF($I21="",AL$3,MIN($I21,AL$3)))-(MAX($H21,(EDATE(AL$3,-12)+1)))+1)/(AL$3-(EDATE(AL$3,-12)+1)+1),IF($N21=0,0,$Q21/$N21*MAX(0,(IF($I21="",AL$3,MIN($I21,AL$3)))-(MAX($H21,(EDATE(AL$3,-12)+1)))+1)/(AL$3-(EDATE(AL$3,-12)+1)+1)))),MAX(0,AK21-$M21)))</f>
        <v/>
      </c>
      <c r="AM21" s="51">
        <f>IF($K21="","",IF(AND($I21&lt;&gt;"",$I21&lt;=AL$3),0,AK21-AL21))</f>
        <v/>
      </c>
      <c r="AN21" s="50">
        <f>IF(OR($K21="",$H21=""),"",MIN(MAX(0,IF($O21="WDV",AM21*$P21*MAX(0,(IF($I21="",AN$3,MIN($I21,AN$3)))-(MAX($H21,(EDATE(AN$3,-12)+1)))+1)/(AN$3-(EDATE(AN$3,-12)+1)+1),IF($N21=0,0,$Q21/$N21*MAX(0,(IF($I21="",AN$3,MIN($I21,AN$3)))-(MAX($H21,(EDATE(AN$3,-12)+1)))+1)/(AN$3-(EDATE(AN$3,-12)+1)+1)))),MAX(0,AM21-$M21)))</f>
        <v/>
      </c>
      <c r="AO21" s="51">
        <f>IF($K21="","",IF(AND($I21&lt;&gt;"",$I21&lt;=AN$3),0,AM21-AN21))</f>
        <v/>
      </c>
      <c r="AP21" s="50">
        <f>IF(OR($K21="",$H21=""),"",MIN(MAX(0,IF($O21="WDV",AO21*$P21*MAX(0,(IF($I21="",AP$3,MIN($I21,AP$3)))-(MAX($H21,(EDATE(AP$3,-12)+1)))+1)/(AP$3-(EDATE(AP$3,-12)+1)+1),IF($N21=0,0,$Q21/$N21*MAX(0,(IF($I21="",AP$3,MIN($I21,AP$3)))-(MAX($H21,(EDATE(AP$3,-12)+1)))+1)/(AP$3-(EDATE(AP$3,-12)+1)+1)))),MAX(0,AO21-$M21)))</f>
        <v/>
      </c>
      <c r="AQ21" s="51">
        <f>IF($K21="","",IF(AND($I21&lt;&gt;"",$I21&lt;=AP$3),0,AO21-AP21))</f>
        <v/>
      </c>
      <c r="AR21" s="50">
        <f>IF(OR($K21="",$H21=""),"",MIN(MAX(0,IF($O21="WDV",AQ21*$P21*MAX(0,(IF($I21="",AR$3,MIN($I21,AR$3)))-(MAX($H21,(EDATE(AR$3,-12)+1)))+1)/(AR$3-(EDATE(AR$3,-12)+1)+1),IF($N21=0,0,$Q21/$N21*MAX(0,(IF($I21="",AR$3,MIN($I21,AR$3)))-(MAX($H21,(EDATE(AR$3,-12)+1)))+1)/(AR$3-(EDATE(AR$3,-12)+1)+1)))),MAX(0,AQ21-$M21)))</f>
        <v/>
      </c>
      <c r="AS21" s="51">
        <f>IF($K21="","",IF(AND($I21&lt;&gt;"",$I21&lt;=AR$3),0,AQ21-AR21))</f>
        <v/>
      </c>
      <c r="AT21" s="50">
        <f>IF(OR($K21="",$H21=""),"",MIN(MAX(0,IF($O21="WDV",AS21*$P21*MAX(0,(IF($I21="",AT$3,MIN($I21,AT$3)))-(MAX($H21,(EDATE(AT$3,-12)+1)))+1)/(AT$3-(EDATE(AT$3,-12)+1)+1),IF($N21=0,0,$Q21/$N21*MAX(0,(IF($I21="",AT$3,MIN($I21,AT$3)))-(MAX($H21,(EDATE(AT$3,-12)+1)))+1)/(AT$3-(EDATE(AT$3,-12)+1)+1)))),MAX(0,AS21-$M21)))</f>
        <v/>
      </c>
      <c r="AU21" s="51">
        <f>IF($K21="","",IF(AND($I21&lt;&gt;"",$I21&lt;=AT$3),0,AS21-AT21))</f>
        <v/>
      </c>
      <c r="AV21" s="50">
        <f>IF(OR($K21="",$H21=""),"",MIN(MAX(0,IF($O21="WDV",AU21*$P21*MAX(0,(IF($I21="",AV$3,MIN($I21,AV$3)))-(MAX($H21,(EDATE(AV$3,-12)+1)))+1)/(AV$3-(EDATE(AV$3,-12)+1)+1),IF($N21=0,0,$Q21/$N21*MAX(0,(IF($I21="",AV$3,MIN($I21,AV$3)))-(MAX($H21,(EDATE(AV$3,-12)+1)))+1)/(AV$3-(EDATE(AV$3,-12)+1)+1)))),MAX(0,AU21-$M21)))</f>
        <v/>
      </c>
      <c r="AW21" s="51">
        <f>IF($K21="","",IF(AND($I21&lt;&gt;"",$I21&lt;=AV$3),0,AU21-AV21))</f>
        <v/>
      </c>
      <c r="AX21" s="50">
        <f>IF(OR($K21="",$H21=""),"",MIN(MAX(0,IF($O21="WDV",AW21*$P21*MAX(0,(IF($I21="",AX$3,MIN($I21,AX$3)))-(MAX($H21,(EDATE(AX$3,-12)+1)))+1)/(AX$3-(EDATE(AX$3,-12)+1)+1),IF($N21=0,0,$Q21/$N21*MAX(0,(IF($I21="",AX$3,MIN($I21,AX$3)))-(MAX($H21,(EDATE(AX$3,-12)+1)))+1)/(AX$3-(EDATE(AX$3,-12)+1)+1)))),MAX(0,AW21-$M21)))</f>
        <v/>
      </c>
      <c r="AY21" s="51">
        <f>IF($K21="","",IF(AND($I21&lt;&gt;"",$I21&lt;=AX$3),0,AW21-AX21))</f>
        <v/>
      </c>
      <c r="AZ21" s="50">
        <f>IF(OR($K21="",$H21=""),"",MIN(MAX(0,IF($O21="WDV",AY21*$P21*MAX(0,(IF($I21="",AZ$3,MIN($I21,AZ$3)))-(MAX($H21,(EDATE(AZ$3,-12)+1)))+1)/(AZ$3-(EDATE(AZ$3,-12)+1)+1),IF($N21=0,0,$Q21/$N21*MAX(0,(IF($I21="",AZ$3,MIN($I21,AZ$3)))-(MAX($H21,(EDATE(AZ$3,-12)+1)))+1)/(AZ$3-(EDATE(AZ$3,-12)+1)+1)))),MAX(0,AY21-$M21)))</f>
        <v/>
      </c>
      <c r="BA21" s="51">
        <f>IF($K21="","",IF(AND($I21&lt;&gt;"",$I21&lt;=AZ$3),0,AY21-AZ21))</f>
        <v/>
      </c>
    </row>
    <row r="22">
      <c r="A22" s="52" t="n"/>
      <c r="B22" s="53" t="n"/>
      <c r="C22" s="53" t="n"/>
      <c r="D22" s="53" t="n"/>
      <c r="E22" s="19" t="n"/>
      <c r="F22" s="54" t="n"/>
      <c r="G22" s="55" t="n"/>
      <c r="H22" s="55" t="n"/>
      <c r="I22" s="56" t="n"/>
      <c r="J22" s="57" t="n"/>
      <c r="K22" s="58" t="n"/>
      <c r="L22" s="59">
        <f>DefaultResidual</f>
        <v/>
      </c>
      <c r="M22" s="60">
        <f>IF($K22="","",$K22*$L22)</f>
        <v/>
      </c>
      <c r="N22" s="20">
        <f>IF($C22="","",IFERROR(VLOOKUP($C22,ScheduleIITable,3,FALSE),"#N/A"))</f>
        <v/>
      </c>
      <c r="O22" s="61">
        <f>IF($K22="","",GlobalMethod)</f>
        <v/>
      </c>
      <c r="P22" s="21">
        <f>IF(OR($K22="",$N22="",$N22=0,$M22=0),0,1-($M22/$K22)^(1/$N22))</f>
        <v/>
      </c>
      <c r="Q22" s="60">
        <f>IF($K22="","",$K22-$M22)</f>
        <v/>
      </c>
      <c r="R22" s="62">
        <f>IF($K22="","",INDEX($V22:$BA22,1,MATCH(ReportingFYEnd,$V$3:$BA$3,0)))</f>
        <v/>
      </c>
      <c r="S22" s="60">
        <f>IF($K22="","",IF($U22="Disposed",0,$K22-$T22))</f>
        <v/>
      </c>
      <c r="T22" s="63">
        <f>IF($K22="","",INDEX($V22:$BA22,1,MATCH(ReportingFYEnd,$V$3:$BA$3,0)+1))</f>
        <v/>
      </c>
      <c r="U22" s="64">
        <f>IF($K22="","",IF(AND($I22&lt;&gt;"",$I22&lt;=ReportingFYEnd),"Disposed",IF(OR($H22="",$H22&gt;ReportingFYEnd),"Not Yet in Use","Active")))</f>
        <v/>
      </c>
      <c r="V22" s="65">
        <f>IF(OR($K22="",$H22=""),"",MIN(MAX(0,IF($O22="WDV",$K22*$P22*MAX(0,(IF($I22="",V$3,MIN($I22,V$3)))-(MAX($H22,(EDATE(V$3,-12)+1)))+1)/(V$3-(EDATE(V$3,-12)+1)+1),IF($N22=0,0,$Q22/$N22*MAX(0,(IF($I22="",V$3,MIN($I22,V$3)))-(MAX($H22,(EDATE(V$3,-12)+1)))+1)/(V$3-(EDATE(V$3,-12)+1)+1)))),MAX(0,$K22-$M22)))</f>
        <v/>
      </c>
      <c r="W22" s="65">
        <f>IF($K22="","",IF(AND($I22&lt;&gt;"",$I22&lt;=V$3),0,$K22-V22))</f>
        <v/>
      </c>
      <c r="X22" s="65">
        <f>IF(OR($K22="",$H22=""),"",MIN(MAX(0,IF($O22="WDV",W22*$P22*MAX(0,(IF($I22="",X$3,MIN($I22,X$3)))-(MAX($H22,(EDATE(X$3,-12)+1)))+1)/(X$3-(EDATE(X$3,-12)+1)+1),IF($N22=0,0,$Q22/$N22*MAX(0,(IF($I22="",X$3,MIN($I22,X$3)))-(MAX($H22,(EDATE(X$3,-12)+1)))+1)/(X$3-(EDATE(X$3,-12)+1)+1)))),MAX(0,W22-$M22)))</f>
        <v/>
      </c>
      <c r="Y22" s="65">
        <f>IF($K22="","",IF(AND($I22&lt;&gt;"",$I22&lt;=X$3),0,W22-X22))</f>
        <v/>
      </c>
      <c r="Z22" s="65">
        <f>IF(OR($K22="",$H22=""),"",MIN(MAX(0,IF($O22="WDV",Y22*$P22*MAX(0,(IF($I22="",Z$3,MIN($I22,Z$3)))-(MAX($H22,(EDATE(Z$3,-12)+1)))+1)/(Z$3-(EDATE(Z$3,-12)+1)+1),IF($N22=0,0,$Q22/$N22*MAX(0,(IF($I22="",Z$3,MIN($I22,Z$3)))-(MAX($H22,(EDATE(Z$3,-12)+1)))+1)/(Z$3-(EDATE(Z$3,-12)+1)+1)))),MAX(0,Y22-$M22)))</f>
        <v/>
      </c>
      <c r="AA22" s="65">
        <f>IF($K22="","",IF(AND($I22&lt;&gt;"",$I22&lt;=Z$3),0,Y22-Z22))</f>
        <v/>
      </c>
      <c r="AB22" s="65">
        <f>IF(OR($K22="",$H22=""),"",MIN(MAX(0,IF($O22="WDV",AA22*$P22*MAX(0,(IF($I22="",AB$3,MIN($I22,AB$3)))-(MAX($H22,(EDATE(AB$3,-12)+1)))+1)/(AB$3-(EDATE(AB$3,-12)+1)+1),IF($N22=0,0,$Q22/$N22*MAX(0,(IF($I22="",AB$3,MIN($I22,AB$3)))-(MAX($H22,(EDATE(AB$3,-12)+1)))+1)/(AB$3-(EDATE(AB$3,-12)+1)+1)))),MAX(0,AA22-$M22)))</f>
        <v/>
      </c>
      <c r="AC22" s="65">
        <f>IF($K22="","",IF(AND($I22&lt;&gt;"",$I22&lt;=AB$3),0,AA22-AB22))</f>
        <v/>
      </c>
      <c r="AD22" s="65">
        <f>IF(OR($K22="",$H22=""),"",MIN(MAX(0,IF($O22="WDV",AC22*$P22*MAX(0,(IF($I22="",AD$3,MIN($I22,AD$3)))-(MAX($H22,(EDATE(AD$3,-12)+1)))+1)/(AD$3-(EDATE(AD$3,-12)+1)+1),IF($N22=0,0,$Q22/$N22*MAX(0,(IF($I22="",AD$3,MIN($I22,AD$3)))-(MAX($H22,(EDATE(AD$3,-12)+1)))+1)/(AD$3-(EDATE(AD$3,-12)+1)+1)))),MAX(0,AC22-$M22)))</f>
        <v/>
      </c>
      <c r="AE22" s="65">
        <f>IF($K22="","",IF(AND($I22&lt;&gt;"",$I22&lt;=AD$3),0,AC22-AD22))</f>
        <v/>
      </c>
      <c r="AF22" s="65">
        <f>IF(OR($K22="",$H22=""),"",MIN(MAX(0,IF($O22="WDV",AE22*$P22*MAX(0,(IF($I22="",AF$3,MIN($I22,AF$3)))-(MAX($H22,(EDATE(AF$3,-12)+1)))+1)/(AF$3-(EDATE(AF$3,-12)+1)+1),IF($N22=0,0,$Q22/$N22*MAX(0,(IF($I22="",AF$3,MIN($I22,AF$3)))-(MAX($H22,(EDATE(AF$3,-12)+1)))+1)/(AF$3-(EDATE(AF$3,-12)+1)+1)))),MAX(0,AE22-$M22)))</f>
        <v/>
      </c>
      <c r="AG22" s="65">
        <f>IF($K22="","",IF(AND($I22&lt;&gt;"",$I22&lt;=AF$3),0,AE22-AF22))</f>
        <v/>
      </c>
      <c r="AH22" s="65">
        <f>IF(OR($K22="",$H22=""),"",MIN(MAX(0,IF($O22="WDV",AG22*$P22*MAX(0,(IF($I22="",AH$3,MIN($I22,AH$3)))-(MAX($H22,(EDATE(AH$3,-12)+1)))+1)/(AH$3-(EDATE(AH$3,-12)+1)+1),IF($N22=0,0,$Q22/$N22*MAX(0,(IF($I22="",AH$3,MIN($I22,AH$3)))-(MAX($H22,(EDATE(AH$3,-12)+1)))+1)/(AH$3-(EDATE(AH$3,-12)+1)+1)))),MAX(0,AG22-$M22)))</f>
        <v/>
      </c>
      <c r="AI22" s="65">
        <f>IF($K22="","",IF(AND($I22&lt;&gt;"",$I22&lt;=AH$3),0,AG22-AH22))</f>
        <v/>
      </c>
      <c r="AJ22" s="65">
        <f>IF(OR($K22="",$H22=""),"",MIN(MAX(0,IF($O22="WDV",AI22*$P22*MAX(0,(IF($I22="",AJ$3,MIN($I22,AJ$3)))-(MAX($H22,(EDATE(AJ$3,-12)+1)))+1)/(AJ$3-(EDATE(AJ$3,-12)+1)+1),IF($N22=0,0,$Q22/$N22*MAX(0,(IF($I22="",AJ$3,MIN($I22,AJ$3)))-(MAX($H22,(EDATE(AJ$3,-12)+1)))+1)/(AJ$3-(EDATE(AJ$3,-12)+1)+1)))),MAX(0,AI22-$M22)))</f>
        <v/>
      </c>
      <c r="AK22" s="65">
        <f>IF($K22="","",IF(AND($I22&lt;&gt;"",$I22&lt;=AJ$3),0,AI22-AJ22))</f>
        <v/>
      </c>
      <c r="AL22" s="65">
        <f>IF(OR($K22="",$H22=""),"",MIN(MAX(0,IF($O22="WDV",AK22*$P22*MAX(0,(IF($I22="",AL$3,MIN($I22,AL$3)))-(MAX($H22,(EDATE(AL$3,-12)+1)))+1)/(AL$3-(EDATE(AL$3,-12)+1)+1),IF($N22=0,0,$Q22/$N22*MAX(0,(IF($I22="",AL$3,MIN($I22,AL$3)))-(MAX($H22,(EDATE(AL$3,-12)+1)))+1)/(AL$3-(EDATE(AL$3,-12)+1)+1)))),MAX(0,AK22-$M22)))</f>
        <v/>
      </c>
      <c r="AM22" s="65">
        <f>IF($K22="","",IF(AND($I22&lt;&gt;"",$I22&lt;=AL$3),0,AK22-AL22))</f>
        <v/>
      </c>
      <c r="AN22" s="65">
        <f>IF(OR($K22="",$H22=""),"",MIN(MAX(0,IF($O22="WDV",AM22*$P22*MAX(0,(IF($I22="",AN$3,MIN($I22,AN$3)))-(MAX($H22,(EDATE(AN$3,-12)+1)))+1)/(AN$3-(EDATE(AN$3,-12)+1)+1),IF($N22=0,0,$Q22/$N22*MAX(0,(IF($I22="",AN$3,MIN($I22,AN$3)))-(MAX($H22,(EDATE(AN$3,-12)+1)))+1)/(AN$3-(EDATE(AN$3,-12)+1)+1)))),MAX(0,AM22-$M22)))</f>
        <v/>
      </c>
      <c r="AO22" s="65">
        <f>IF($K22="","",IF(AND($I22&lt;&gt;"",$I22&lt;=AN$3),0,AM22-AN22))</f>
        <v/>
      </c>
      <c r="AP22" s="65">
        <f>IF(OR($K22="",$H22=""),"",MIN(MAX(0,IF($O22="WDV",AO22*$P22*MAX(0,(IF($I22="",AP$3,MIN($I22,AP$3)))-(MAX($H22,(EDATE(AP$3,-12)+1)))+1)/(AP$3-(EDATE(AP$3,-12)+1)+1),IF($N22=0,0,$Q22/$N22*MAX(0,(IF($I22="",AP$3,MIN($I22,AP$3)))-(MAX($H22,(EDATE(AP$3,-12)+1)))+1)/(AP$3-(EDATE(AP$3,-12)+1)+1)))),MAX(0,AO22-$M22)))</f>
        <v/>
      </c>
      <c r="AQ22" s="65">
        <f>IF($K22="","",IF(AND($I22&lt;&gt;"",$I22&lt;=AP$3),0,AO22-AP22))</f>
        <v/>
      </c>
      <c r="AR22" s="65">
        <f>IF(OR($K22="",$H22=""),"",MIN(MAX(0,IF($O22="WDV",AQ22*$P22*MAX(0,(IF($I22="",AR$3,MIN($I22,AR$3)))-(MAX($H22,(EDATE(AR$3,-12)+1)))+1)/(AR$3-(EDATE(AR$3,-12)+1)+1),IF($N22=0,0,$Q22/$N22*MAX(0,(IF($I22="",AR$3,MIN($I22,AR$3)))-(MAX($H22,(EDATE(AR$3,-12)+1)))+1)/(AR$3-(EDATE(AR$3,-12)+1)+1)))),MAX(0,AQ22-$M22)))</f>
        <v/>
      </c>
      <c r="AS22" s="65">
        <f>IF($K22="","",IF(AND($I22&lt;&gt;"",$I22&lt;=AR$3),0,AQ22-AR22))</f>
        <v/>
      </c>
      <c r="AT22" s="65">
        <f>IF(OR($K22="",$H22=""),"",MIN(MAX(0,IF($O22="WDV",AS22*$P22*MAX(0,(IF($I22="",AT$3,MIN($I22,AT$3)))-(MAX($H22,(EDATE(AT$3,-12)+1)))+1)/(AT$3-(EDATE(AT$3,-12)+1)+1),IF($N22=0,0,$Q22/$N22*MAX(0,(IF($I22="",AT$3,MIN($I22,AT$3)))-(MAX($H22,(EDATE(AT$3,-12)+1)))+1)/(AT$3-(EDATE(AT$3,-12)+1)+1)))),MAX(0,AS22-$M22)))</f>
        <v/>
      </c>
      <c r="AU22" s="65">
        <f>IF($K22="","",IF(AND($I22&lt;&gt;"",$I22&lt;=AT$3),0,AS22-AT22))</f>
        <v/>
      </c>
      <c r="AV22" s="65">
        <f>IF(OR($K22="",$H22=""),"",MIN(MAX(0,IF($O22="WDV",AU22*$P22*MAX(0,(IF($I22="",AV$3,MIN($I22,AV$3)))-(MAX($H22,(EDATE(AV$3,-12)+1)))+1)/(AV$3-(EDATE(AV$3,-12)+1)+1),IF($N22=0,0,$Q22/$N22*MAX(0,(IF($I22="",AV$3,MIN($I22,AV$3)))-(MAX($H22,(EDATE(AV$3,-12)+1)))+1)/(AV$3-(EDATE(AV$3,-12)+1)+1)))),MAX(0,AU22-$M22)))</f>
        <v/>
      </c>
      <c r="AW22" s="65">
        <f>IF($K22="","",IF(AND($I22&lt;&gt;"",$I22&lt;=AV$3),0,AU22-AV22))</f>
        <v/>
      </c>
      <c r="AX22" s="65">
        <f>IF(OR($K22="",$H22=""),"",MIN(MAX(0,IF($O22="WDV",AW22*$P22*MAX(0,(IF($I22="",AX$3,MIN($I22,AX$3)))-(MAX($H22,(EDATE(AX$3,-12)+1)))+1)/(AX$3-(EDATE(AX$3,-12)+1)+1),IF($N22=0,0,$Q22/$N22*MAX(0,(IF($I22="",AX$3,MIN($I22,AX$3)))-(MAX($H22,(EDATE(AX$3,-12)+1)))+1)/(AX$3-(EDATE(AX$3,-12)+1)+1)))),MAX(0,AW22-$M22)))</f>
        <v/>
      </c>
      <c r="AY22" s="65">
        <f>IF($K22="","",IF(AND($I22&lt;&gt;"",$I22&lt;=AX$3),0,AW22-AX22))</f>
        <v/>
      </c>
      <c r="AZ22" s="65">
        <f>IF(OR($K22="",$H22=""),"",MIN(MAX(0,IF($O22="WDV",AY22*$P22*MAX(0,(IF($I22="",AZ$3,MIN($I22,AZ$3)))-(MAX($H22,(EDATE(AZ$3,-12)+1)))+1)/(AZ$3-(EDATE(AZ$3,-12)+1)+1),IF($N22=0,0,$Q22/$N22*MAX(0,(IF($I22="",AZ$3,MIN($I22,AZ$3)))-(MAX($H22,(EDATE(AZ$3,-12)+1)))+1)/(AZ$3-(EDATE(AZ$3,-12)+1)+1)))),MAX(0,AY22-$M22)))</f>
        <v/>
      </c>
      <c r="BA22" s="65">
        <f>IF($K22="","",IF(AND($I22&lt;&gt;"",$I22&lt;=AZ$3),0,AY22-AZ22))</f>
        <v/>
      </c>
    </row>
    <row r="23">
      <c r="A23" s="34" t="n"/>
      <c r="B23" s="35" t="n"/>
      <c r="C23" s="35" t="n"/>
      <c r="D23" s="35" t="n"/>
      <c r="E23" s="36" t="n"/>
      <c r="F23" s="37" t="n"/>
      <c r="G23" s="38" t="n"/>
      <c r="H23" s="38" t="n"/>
      <c r="I23" s="39" t="n"/>
      <c r="J23" s="40" t="n"/>
      <c r="K23" s="41" t="n"/>
      <c r="L23" s="42">
        <f>DefaultResidual</f>
        <v/>
      </c>
      <c r="M23" s="43">
        <f>IF($K23="","",$K23*$L23)</f>
        <v/>
      </c>
      <c r="N23" s="44">
        <f>IF($C23="","",IFERROR(VLOOKUP($C23,ScheduleIITable,3,FALSE),"#N/A"))</f>
        <v/>
      </c>
      <c r="O23" s="45">
        <f>IF($K23="","",GlobalMethod)</f>
        <v/>
      </c>
      <c r="P23" s="46">
        <f>IF(OR($K23="",$N23="",$N23=0,$M23=0),0,1-($M23/$K23)^(1/$N23))</f>
        <v/>
      </c>
      <c r="Q23" s="43">
        <f>IF($K23="","",$K23-$M23)</f>
        <v/>
      </c>
      <c r="R23" s="47">
        <f>IF($K23="","",INDEX($V23:$BA23,1,MATCH(ReportingFYEnd,$V$3:$BA$3,0)))</f>
        <v/>
      </c>
      <c r="S23" s="43">
        <f>IF($K23="","",IF($U23="Disposed",0,$K23-$T23))</f>
        <v/>
      </c>
      <c r="T23" s="48">
        <f>IF($K23="","",INDEX($V23:$BA23,1,MATCH(ReportingFYEnd,$V$3:$BA$3,0)+1))</f>
        <v/>
      </c>
      <c r="U23" s="49">
        <f>IF($K23="","",IF(AND($I23&lt;&gt;"",$I23&lt;=ReportingFYEnd),"Disposed",IF(OR($H23="",$H23&gt;ReportingFYEnd),"Not Yet in Use","Active")))</f>
        <v/>
      </c>
      <c r="V23" s="50">
        <f>IF(OR($K23="",$H23=""),"",MIN(MAX(0,IF($O23="WDV",$K23*$P23*MAX(0,(IF($I23="",V$3,MIN($I23,V$3)))-(MAX($H23,(EDATE(V$3,-12)+1)))+1)/(V$3-(EDATE(V$3,-12)+1)+1),IF($N23=0,0,$Q23/$N23*MAX(0,(IF($I23="",V$3,MIN($I23,V$3)))-(MAX($H23,(EDATE(V$3,-12)+1)))+1)/(V$3-(EDATE(V$3,-12)+1)+1)))),MAX(0,$K23-$M23)))</f>
        <v/>
      </c>
      <c r="W23" s="51">
        <f>IF($K23="","",IF(AND($I23&lt;&gt;"",$I23&lt;=V$3),0,$K23-V23))</f>
        <v/>
      </c>
      <c r="X23" s="50">
        <f>IF(OR($K23="",$H23=""),"",MIN(MAX(0,IF($O23="WDV",W23*$P23*MAX(0,(IF($I23="",X$3,MIN($I23,X$3)))-(MAX($H23,(EDATE(X$3,-12)+1)))+1)/(X$3-(EDATE(X$3,-12)+1)+1),IF($N23=0,0,$Q23/$N23*MAX(0,(IF($I23="",X$3,MIN($I23,X$3)))-(MAX($H23,(EDATE(X$3,-12)+1)))+1)/(X$3-(EDATE(X$3,-12)+1)+1)))),MAX(0,W23-$M23)))</f>
        <v/>
      </c>
      <c r="Y23" s="51">
        <f>IF($K23="","",IF(AND($I23&lt;&gt;"",$I23&lt;=X$3),0,W23-X23))</f>
        <v/>
      </c>
      <c r="Z23" s="50">
        <f>IF(OR($K23="",$H23=""),"",MIN(MAX(0,IF($O23="WDV",Y23*$P23*MAX(0,(IF($I23="",Z$3,MIN($I23,Z$3)))-(MAX($H23,(EDATE(Z$3,-12)+1)))+1)/(Z$3-(EDATE(Z$3,-12)+1)+1),IF($N23=0,0,$Q23/$N23*MAX(0,(IF($I23="",Z$3,MIN($I23,Z$3)))-(MAX($H23,(EDATE(Z$3,-12)+1)))+1)/(Z$3-(EDATE(Z$3,-12)+1)+1)))),MAX(0,Y23-$M23)))</f>
        <v/>
      </c>
      <c r="AA23" s="51">
        <f>IF($K23="","",IF(AND($I23&lt;&gt;"",$I23&lt;=Z$3),0,Y23-Z23))</f>
        <v/>
      </c>
      <c r="AB23" s="50">
        <f>IF(OR($K23="",$H23=""),"",MIN(MAX(0,IF($O23="WDV",AA23*$P23*MAX(0,(IF($I23="",AB$3,MIN($I23,AB$3)))-(MAX($H23,(EDATE(AB$3,-12)+1)))+1)/(AB$3-(EDATE(AB$3,-12)+1)+1),IF($N23=0,0,$Q23/$N23*MAX(0,(IF($I23="",AB$3,MIN($I23,AB$3)))-(MAX($H23,(EDATE(AB$3,-12)+1)))+1)/(AB$3-(EDATE(AB$3,-12)+1)+1)))),MAX(0,AA23-$M23)))</f>
        <v/>
      </c>
      <c r="AC23" s="51">
        <f>IF($K23="","",IF(AND($I23&lt;&gt;"",$I23&lt;=AB$3),0,AA23-AB23))</f>
        <v/>
      </c>
      <c r="AD23" s="50">
        <f>IF(OR($K23="",$H23=""),"",MIN(MAX(0,IF($O23="WDV",AC23*$P23*MAX(0,(IF($I23="",AD$3,MIN($I23,AD$3)))-(MAX($H23,(EDATE(AD$3,-12)+1)))+1)/(AD$3-(EDATE(AD$3,-12)+1)+1),IF($N23=0,0,$Q23/$N23*MAX(0,(IF($I23="",AD$3,MIN($I23,AD$3)))-(MAX($H23,(EDATE(AD$3,-12)+1)))+1)/(AD$3-(EDATE(AD$3,-12)+1)+1)))),MAX(0,AC23-$M23)))</f>
        <v/>
      </c>
      <c r="AE23" s="51">
        <f>IF($K23="","",IF(AND($I23&lt;&gt;"",$I23&lt;=AD$3),0,AC23-AD23))</f>
        <v/>
      </c>
      <c r="AF23" s="50">
        <f>IF(OR($K23="",$H23=""),"",MIN(MAX(0,IF($O23="WDV",AE23*$P23*MAX(0,(IF($I23="",AF$3,MIN($I23,AF$3)))-(MAX($H23,(EDATE(AF$3,-12)+1)))+1)/(AF$3-(EDATE(AF$3,-12)+1)+1),IF($N23=0,0,$Q23/$N23*MAX(0,(IF($I23="",AF$3,MIN($I23,AF$3)))-(MAX($H23,(EDATE(AF$3,-12)+1)))+1)/(AF$3-(EDATE(AF$3,-12)+1)+1)))),MAX(0,AE23-$M23)))</f>
        <v/>
      </c>
      <c r="AG23" s="51">
        <f>IF($K23="","",IF(AND($I23&lt;&gt;"",$I23&lt;=AF$3),0,AE23-AF23))</f>
        <v/>
      </c>
      <c r="AH23" s="50">
        <f>IF(OR($K23="",$H23=""),"",MIN(MAX(0,IF($O23="WDV",AG23*$P23*MAX(0,(IF($I23="",AH$3,MIN($I23,AH$3)))-(MAX($H23,(EDATE(AH$3,-12)+1)))+1)/(AH$3-(EDATE(AH$3,-12)+1)+1),IF($N23=0,0,$Q23/$N23*MAX(0,(IF($I23="",AH$3,MIN($I23,AH$3)))-(MAX($H23,(EDATE(AH$3,-12)+1)))+1)/(AH$3-(EDATE(AH$3,-12)+1)+1)))),MAX(0,AG23-$M23)))</f>
        <v/>
      </c>
      <c r="AI23" s="51">
        <f>IF($K23="","",IF(AND($I23&lt;&gt;"",$I23&lt;=AH$3),0,AG23-AH23))</f>
        <v/>
      </c>
      <c r="AJ23" s="50">
        <f>IF(OR($K23="",$H23=""),"",MIN(MAX(0,IF($O23="WDV",AI23*$P23*MAX(0,(IF($I23="",AJ$3,MIN($I23,AJ$3)))-(MAX($H23,(EDATE(AJ$3,-12)+1)))+1)/(AJ$3-(EDATE(AJ$3,-12)+1)+1),IF($N23=0,0,$Q23/$N23*MAX(0,(IF($I23="",AJ$3,MIN($I23,AJ$3)))-(MAX($H23,(EDATE(AJ$3,-12)+1)))+1)/(AJ$3-(EDATE(AJ$3,-12)+1)+1)))),MAX(0,AI23-$M23)))</f>
        <v/>
      </c>
      <c r="AK23" s="51">
        <f>IF($K23="","",IF(AND($I23&lt;&gt;"",$I23&lt;=AJ$3),0,AI23-AJ23))</f>
        <v/>
      </c>
      <c r="AL23" s="50">
        <f>IF(OR($K23="",$H23=""),"",MIN(MAX(0,IF($O23="WDV",AK23*$P23*MAX(0,(IF($I23="",AL$3,MIN($I23,AL$3)))-(MAX($H23,(EDATE(AL$3,-12)+1)))+1)/(AL$3-(EDATE(AL$3,-12)+1)+1),IF($N23=0,0,$Q23/$N23*MAX(0,(IF($I23="",AL$3,MIN($I23,AL$3)))-(MAX($H23,(EDATE(AL$3,-12)+1)))+1)/(AL$3-(EDATE(AL$3,-12)+1)+1)))),MAX(0,AK23-$M23)))</f>
        <v/>
      </c>
      <c r="AM23" s="51">
        <f>IF($K23="","",IF(AND($I23&lt;&gt;"",$I23&lt;=AL$3),0,AK23-AL23))</f>
        <v/>
      </c>
      <c r="AN23" s="50">
        <f>IF(OR($K23="",$H23=""),"",MIN(MAX(0,IF($O23="WDV",AM23*$P23*MAX(0,(IF($I23="",AN$3,MIN($I23,AN$3)))-(MAX($H23,(EDATE(AN$3,-12)+1)))+1)/(AN$3-(EDATE(AN$3,-12)+1)+1),IF($N23=0,0,$Q23/$N23*MAX(0,(IF($I23="",AN$3,MIN($I23,AN$3)))-(MAX($H23,(EDATE(AN$3,-12)+1)))+1)/(AN$3-(EDATE(AN$3,-12)+1)+1)))),MAX(0,AM23-$M23)))</f>
        <v/>
      </c>
      <c r="AO23" s="51">
        <f>IF($K23="","",IF(AND($I23&lt;&gt;"",$I23&lt;=AN$3),0,AM23-AN23))</f>
        <v/>
      </c>
      <c r="AP23" s="50">
        <f>IF(OR($K23="",$H23=""),"",MIN(MAX(0,IF($O23="WDV",AO23*$P23*MAX(0,(IF($I23="",AP$3,MIN($I23,AP$3)))-(MAX($H23,(EDATE(AP$3,-12)+1)))+1)/(AP$3-(EDATE(AP$3,-12)+1)+1),IF($N23=0,0,$Q23/$N23*MAX(0,(IF($I23="",AP$3,MIN($I23,AP$3)))-(MAX($H23,(EDATE(AP$3,-12)+1)))+1)/(AP$3-(EDATE(AP$3,-12)+1)+1)))),MAX(0,AO23-$M23)))</f>
        <v/>
      </c>
      <c r="AQ23" s="51">
        <f>IF($K23="","",IF(AND($I23&lt;&gt;"",$I23&lt;=AP$3),0,AO23-AP23))</f>
        <v/>
      </c>
      <c r="AR23" s="50">
        <f>IF(OR($K23="",$H23=""),"",MIN(MAX(0,IF($O23="WDV",AQ23*$P23*MAX(0,(IF($I23="",AR$3,MIN($I23,AR$3)))-(MAX($H23,(EDATE(AR$3,-12)+1)))+1)/(AR$3-(EDATE(AR$3,-12)+1)+1),IF($N23=0,0,$Q23/$N23*MAX(0,(IF($I23="",AR$3,MIN($I23,AR$3)))-(MAX($H23,(EDATE(AR$3,-12)+1)))+1)/(AR$3-(EDATE(AR$3,-12)+1)+1)))),MAX(0,AQ23-$M23)))</f>
        <v/>
      </c>
      <c r="AS23" s="51">
        <f>IF($K23="","",IF(AND($I23&lt;&gt;"",$I23&lt;=AR$3),0,AQ23-AR23))</f>
        <v/>
      </c>
      <c r="AT23" s="50">
        <f>IF(OR($K23="",$H23=""),"",MIN(MAX(0,IF($O23="WDV",AS23*$P23*MAX(0,(IF($I23="",AT$3,MIN($I23,AT$3)))-(MAX($H23,(EDATE(AT$3,-12)+1)))+1)/(AT$3-(EDATE(AT$3,-12)+1)+1),IF($N23=0,0,$Q23/$N23*MAX(0,(IF($I23="",AT$3,MIN($I23,AT$3)))-(MAX($H23,(EDATE(AT$3,-12)+1)))+1)/(AT$3-(EDATE(AT$3,-12)+1)+1)))),MAX(0,AS23-$M23)))</f>
        <v/>
      </c>
      <c r="AU23" s="51">
        <f>IF($K23="","",IF(AND($I23&lt;&gt;"",$I23&lt;=AT$3),0,AS23-AT23))</f>
        <v/>
      </c>
      <c r="AV23" s="50">
        <f>IF(OR($K23="",$H23=""),"",MIN(MAX(0,IF($O23="WDV",AU23*$P23*MAX(0,(IF($I23="",AV$3,MIN($I23,AV$3)))-(MAX($H23,(EDATE(AV$3,-12)+1)))+1)/(AV$3-(EDATE(AV$3,-12)+1)+1),IF($N23=0,0,$Q23/$N23*MAX(0,(IF($I23="",AV$3,MIN($I23,AV$3)))-(MAX($H23,(EDATE(AV$3,-12)+1)))+1)/(AV$3-(EDATE(AV$3,-12)+1)+1)))),MAX(0,AU23-$M23)))</f>
        <v/>
      </c>
      <c r="AW23" s="51">
        <f>IF($K23="","",IF(AND($I23&lt;&gt;"",$I23&lt;=AV$3),0,AU23-AV23))</f>
        <v/>
      </c>
      <c r="AX23" s="50">
        <f>IF(OR($K23="",$H23=""),"",MIN(MAX(0,IF($O23="WDV",AW23*$P23*MAX(0,(IF($I23="",AX$3,MIN($I23,AX$3)))-(MAX($H23,(EDATE(AX$3,-12)+1)))+1)/(AX$3-(EDATE(AX$3,-12)+1)+1),IF($N23=0,0,$Q23/$N23*MAX(0,(IF($I23="",AX$3,MIN($I23,AX$3)))-(MAX($H23,(EDATE(AX$3,-12)+1)))+1)/(AX$3-(EDATE(AX$3,-12)+1)+1)))),MAX(0,AW23-$M23)))</f>
        <v/>
      </c>
      <c r="AY23" s="51">
        <f>IF($K23="","",IF(AND($I23&lt;&gt;"",$I23&lt;=AX$3),0,AW23-AX23))</f>
        <v/>
      </c>
      <c r="AZ23" s="50">
        <f>IF(OR($K23="",$H23=""),"",MIN(MAX(0,IF($O23="WDV",AY23*$P23*MAX(0,(IF($I23="",AZ$3,MIN($I23,AZ$3)))-(MAX($H23,(EDATE(AZ$3,-12)+1)))+1)/(AZ$3-(EDATE(AZ$3,-12)+1)+1),IF($N23=0,0,$Q23/$N23*MAX(0,(IF($I23="",AZ$3,MIN($I23,AZ$3)))-(MAX($H23,(EDATE(AZ$3,-12)+1)))+1)/(AZ$3-(EDATE(AZ$3,-12)+1)+1)))),MAX(0,AY23-$M23)))</f>
        <v/>
      </c>
      <c r="BA23" s="51">
        <f>IF($K23="","",IF(AND($I23&lt;&gt;"",$I23&lt;=AZ$3),0,AY23-AZ23))</f>
        <v/>
      </c>
    </row>
    <row r="24">
      <c r="A24" s="52" t="n"/>
      <c r="B24" s="53" t="n"/>
      <c r="C24" s="53" t="n"/>
      <c r="D24" s="53" t="n"/>
      <c r="E24" s="19" t="n"/>
      <c r="F24" s="54" t="n"/>
      <c r="G24" s="55" t="n"/>
      <c r="H24" s="55" t="n"/>
      <c r="I24" s="56" t="n"/>
      <c r="J24" s="57" t="n"/>
      <c r="K24" s="58" t="n"/>
      <c r="L24" s="59">
        <f>DefaultResidual</f>
        <v/>
      </c>
      <c r="M24" s="60">
        <f>IF($K24="","",$K24*$L24)</f>
        <v/>
      </c>
      <c r="N24" s="20">
        <f>IF($C24="","",IFERROR(VLOOKUP($C24,ScheduleIITable,3,FALSE),"#N/A"))</f>
        <v/>
      </c>
      <c r="O24" s="61">
        <f>IF($K24="","",GlobalMethod)</f>
        <v/>
      </c>
      <c r="P24" s="21">
        <f>IF(OR($K24="",$N24="",$N24=0,$M24=0),0,1-($M24/$K24)^(1/$N24))</f>
        <v/>
      </c>
      <c r="Q24" s="60">
        <f>IF($K24="","",$K24-$M24)</f>
        <v/>
      </c>
      <c r="R24" s="62">
        <f>IF($K24="","",INDEX($V24:$BA24,1,MATCH(ReportingFYEnd,$V$3:$BA$3,0)))</f>
        <v/>
      </c>
      <c r="S24" s="60">
        <f>IF($K24="","",IF($U24="Disposed",0,$K24-$T24))</f>
        <v/>
      </c>
      <c r="T24" s="63">
        <f>IF($K24="","",INDEX($V24:$BA24,1,MATCH(ReportingFYEnd,$V$3:$BA$3,0)+1))</f>
        <v/>
      </c>
      <c r="U24" s="64">
        <f>IF($K24="","",IF(AND($I24&lt;&gt;"",$I24&lt;=ReportingFYEnd),"Disposed",IF(OR($H24="",$H24&gt;ReportingFYEnd),"Not Yet in Use","Active")))</f>
        <v/>
      </c>
      <c r="V24" s="65">
        <f>IF(OR($K24="",$H24=""),"",MIN(MAX(0,IF($O24="WDV",$K24*$P24*MAX(0,(IF($I24="",V$3,MIN($I24,V$3)))-(MAX($H24,(EDATE(V$3,-12)+1)))+1)/(V$3-(EDATE(V$3,-12)+1)+1),IF($N24=0,0,$Q24/$N24*MAX(0,(IF($I24="",V$3,MIN($I24,V$3)))-(MAX($H24,(EDATE(V$3,-12)+1)))+1)/(V$3-(EDATE(V$3,-12)+1)+1)))),MAX(0,$K24-$M24)))</f>
        <v/>
      </c>
      <c r="W24" s="65">
        <f>IF($K24="","",IF(AND($I24&lt;&gt;"",$I24&lt;=V$3),0,$K24-V24))</f>
        <v/>
      </c>
      <c r="X24" s="65">
        <f>IF(OR($K24="",$H24=""),"",MIN(MAX(0,IF($O24="WDV",W24*$P24*MAX(0,(IF($I24="",X$3,MIN($I24,X$3)))-(MAX($H24,(EDATE(X$3,-12)+1)))+1)/(X$3-(EDATE(X$3,-12)+1)+1),IF($N24=0,0,$Q24/$N24*MAX(0,(IF($I24="",X$3,MIN($I24,X$3)))-(MAX($H24,(EDATE(X$3,-12)+1)))+1)/(X$3-(EDATE(X$3,-12)+1)+1)))),MAX(0,W24-$M24)))</f>
        <v/>
      </c>
      <c r="Y24" s="65">
        <f>IF($K24="","",IF(AND($I24&lt;&gt;"",$I24&lt;=X$3),0,W24-X24))</f>
        <v/>
      </c>
      <c r="Z24" s="65">
        <f>IF(OR($K24="",$H24=""),"",MIN(MAX(0,IF($O24="WDV",Y24*$P24*MAX(0,(IF($I24="",Z$3,MIN($I24,Z$3)))-(MAX($H24,(EDATE(Z$3,-12)+1)))+1)/(Z$3-(EDATE(Z$3,-12)+1)+1),IF($N24=0,0,$Q24/$N24*MAX(0,(IF($I24="",Z$3,MIN($I24,Z$3)))-(MAX($H24,(EDATE(Z$3,-12)+1)))+1)/(Z$3-(EDATE(Z$3,-12)+1)+1)))),MAX(0,Y24-$M24)))</f>
        <v/>
      </c>
      <c r="AA24" s="65">
        <f>IF($K24="","",IF(AND($I24&lt;&gt;"",$I24&lt;=Z$3),0,Y24-Z24))</f>
        <v/>
      </c>
      <c r="AB24" s="65">
        <f>IF(OR($K24="",$H24=""),"",MIN(MAX(0,IF($O24="WDV",AA24*$P24*MAX(0,(IF($I24="",AB$3,MIN($I24,AB$3)))-(MAX($H24,(EDATE(AB$3,-12)+1)))+1)/(AB$3-(EDATE(AB$3,-12)+1)+1),IF($N24=0,0,$Q24/$N24*MAX(0,(IF($I24="",AB$3,MIN($I24,AB$3)))-(MAX($H24,(EDATE(AB$3,-12)+1)))+1)/(AB$3-(EDATE(AB$3,-12)+1)+1)))),MAX(0,AA24-$M24)))</f>
        <v/>
      </c>
      <c r="AC24" s="65">
        <f>IF($K24="","",IF(AND($I24&lt;&gt;"",$I24&lt;=AB$3),0,AA24-AB24))</f>
        <v/>
      </c>
      <c r="AD24" s="65">
        <f>IF(OR($K24="",$H24=""),"",MIN(MAX(0,IF($O24="WDV",AC24*$P24*MAX(0,(IF($I24="",AD$3,MIN($I24,AD$3)))-(MAX($H24,(EDATE(AD$3,-12)+1)))+1)/(AD$3-(EDATE(AD$3,-12)+1)+1),IF($N24=0,0,$Q24/$N24*MAX(0,(IF($I24="",AD$3,MIN($I24,AD$3)))-(MAX($H24,(EDATE(AD$3,-12)+1)))+1)/(AD$3-(EDATE(AD$3,-12)+1)+1)))),MAX(0,AC24-$M24)))</f>
        <v/>
      </c>
      <c r="AE24" s="65">
        <f>IF($K24="","",IF(AND($I24&lt;&gt;"",$I24&lt;=AD$3),0,AC24-AD24))</f>
        <v/>
      </c>
      <c r="AF24" s="65">
        <f>IF(OR($K24="",$H24=""),"",MIN(MAX(0,IF($O24="WDV",AE24*$P24*MAX(0,(IF($I24="",AF$3,MIN($I24,AF$3)))-(MAX($H24,(EDATE(AF$3,-12)+1)))+1)/(AF$3-(EDATE(AF$3,-12)+1)+1),IF($N24=0,0,$Q24/$N24*MAX(0,(IF($I24="",AF$3,MIN($I24,AF$3)))-(MAX($H24,(EDATE(AF$3,-12)+1)))+1)/(AF$3-(EDATE(AF$3,-12)+1)+1)))),MAX(0,AE24-$M24)))</f>
        <v/>
      </c>
      <c r="AG24" s="65">
        <f>IF($K24="","",IF(AND($I24&lt;&gt;"",$I24&lt;=AF$3),0,AE24-AF24))</f>
        <v/>
      </c>
      <c r="AH24" s="65">
        <f>IF(OR($K24="",$H24=""),"",MIN(MAX(0,IF($O24="WDV",AG24*$P24*MAX(0,(IF($I24="",AH$3,MIN($I24,AH$3)))-(MAX($H24,(EDATE(AH$3,-12)+1)))+1)/(AH$3-(EDATE(AH$3,-12)+1)+1),IF($N24=0,0,$Q24/$N24*MAX(0,(IF($I24="",AH$3,MIN($I24,AH$3)))-(MAX($H24,(EDATE(AH$3,-12)+1)))+1)/(AH$3-(EDATE(AH$3,-12)+1)+1)))),MAX(0,AG24-$M24)))</f>
        <v/>
      </c>
      <c r="AI24" s="65">
        <f>IF($K24="","",IF(AND($I24&lt;&gt;"",$I24&lt;=AH$3),0,AG24-AH24))</f>
        <v/>
      </c>
      <c r="AJ24" s="65">
        <f>IF(OR($K24="",$H24=""),"",MIN(MAX(0,IF($O24="WDV",AI24*$P24*MAX(0,(IF($I24="",AJ$3,MIN($I24,AJ$3)))-(MAX($H24,(EDATE(AJ$3,-12)+1)))+1)/(AJ$3-(EDATE(AJ$3,-12)+1)+1),IF($N24=0,0,$Q24/$N24*MAX(0,(IF($I24="",AJ$3,MIN($I24,AJ$3)))-(MAX($H24,(EDATE(AJ$3,-12)+1)))+1)/(AJ$3-(EDATE(AJ$3,-12)+1)+1)))),MAX(0,AI24-$M24)))</f>
        <v/>
      </c>
      <c r="AK24" s="65">
        <f>IF($K24="","",IF(AND($I24&lt;&gt;"",$I24&lt;=AJ$3),0,AI24-AJ24))</f>
        <v/>
      </c>
      <c r="AL24" s="65">
        <f>IF(OR($K24="",$H24=""),"",MIN(MAX(0,IF($O24="WDV",AK24*$P24*MAX(0,(IF($I24="",AL$3,MIN($I24,AL$3)))-(MAX($H24,(EDATE(AL$3,-12)+1)))+1)/(AL$3-(EDATE(AL$3,-12)+1)+1),IF($N24=0,0,$Q24/$N24*MAX(0,(IF($I24="",AL$3,MIN($I24,AL$3)))-(MAX($H24,(EDATE(AL$3,-12)+1)))+1)/(AL$3-(EDATE(AL$3,-12)+1)+1)))),MAX(0,AK24-$M24)))</f>
        <v/>
      </c>
      <c r="AM24" s="65">
        <f>IF($K24="","",IF(AND($I24&lt;&gt;"",$I24&lt;=AL$3),0,AK24-AL24))</f>
        <v/>
      </c>
      <c r="AN24" s="65">
        <f>IF(OR($K24="",$H24=""),"",MIN(MAX(0,IF($O24="WDV",AM24*$P24*MAX(0,(IF($I24="",AN$3,MIN($I24,AN$3)))-(MAX($H24,(EDATE(AN$3,-12)+1)))+1)/(AN$3-(EDATE(AN$3,-12)+1)+1),IF($N24=0,0,$Q24/$N24*MAX(0,(IF($I24="",AN$3,MIN($I24,AN$3)))-(MAX($H24,(EDATE(AN$3,-12)+1)))+1)/(AN$3-(EDATE(AN$3,-12)+1)+1)))),MAX(0,AM24-$M24)))</f>
        <v/>
      </c>
      <c r="AO24" s="65">
        <f>IF($K24="","",IF(AND($I24&lt;&gt;"",$I24&lt;=AN$3),0,AM24-AN24))</f>
        <v/>
      </c>
      <c r="AP24" s="65">
        <f>IF(OR($K24="",$H24=""),"",MIN(MAX(0,IF($O24="WDV",AO24*$P24*MAX(0,(IF($I24="",AP$3,MIN($I24,AP$3)))-(MAX($H24,(EDATE(AP$3,-12)+1)))+1)/(AP$3-(EDATE(AP$3,-12)+1)+1),IF($N24=0,0,$Q24/$N24*MAX(0,(IF($I24="",AP$3,MIN($I24,AP$3)))-(MAX($H24,(EDATE(AP$3,-12)+1)))+1)/(AP$3-(EDATE(AP$3,-12)+1)+1)))),MAX(0,AO24-$M24)))</f>
        <v/>
      </c>
      <c r="AQ24" s="65">
        <f>IF($K24="","",IF(AND($I24&lt;&gt;"",$I24&lt;=AP$3),0,AO24-AP24))</f>
        <v/>
      </c>
      <c r="AR24" s="65">
        <f>IF(OR($K24="",$H24=""),"",MIN(MAX(0,IF($O24="WDV",AQ24*$P24*MAX(0,(IF($I24="",AR$3,MIN($I24,AR$3)))-(MAX($H24,(EDATE(AR$3,-12)+1)))+1)/(AR$3-(EDATE(AR$3,-12)+1)+1),IF($N24=0,0,$Q24/$N24*MAX(0,(IF($I24="",AR$3,MIN($I24,AR$3)))-(MAX($H24,(EDATE(AR$3,-12)+1)))+1)/(AR$3-(EDATE(AR$3,-12)+1)+1)))),MAX(0,AQ24-$M24)))</f>
        <v/>
      </c>
      <c r="AS24" s="65">
        <f>IF($K24="","",IF(AND($I24&lt;&gt;"",$I24&lt;=AR$3),0,AQ24-AR24))</f>
        <v/>
      </c>
      <c r="AT24" s="65">
        <f>IF(OR($K24="",$H24=""),"",MIN(MAX(0,IF($O24="WDV",AS24*$P24*MAX(0,(IF($I24="",AT$3,MIN($I24,AT$3)))-(MAX($H24,(EDATE(AT$3,-12)+1)))+1)/(AT$3-(EDATE(AT$3,-12)+1)+1),IF($N24=0,0,$Q24/$N24*MAX(0,(IF($I24="",AT$3,MIN($I24,AT$3)))-(MAX($H24,(EDATE(AT$3,-12)+1)))+1)/(AT$3-(EDATE(AT$3,-12)+1)+1)))),MAX(0,AS24-$M24)))</f>
        <v/>
      </c>
      <c r="AU24" s="65">
        <f>IF($K24="","",IF(AND($I24&lt;&gt;"",$I24&lt;=AT$3),0,AS24-AT24))</f>
        <v/>
      </c>
      <c r="AV24" s="65">
        <f>IF(OR($K24="",$H24=""),"",MIN(MAX(0,IF($O24="WDV",AU24*$P24*MAX(0,(IF($I24="",AV$3,MIN($I24,AV$3)))-(MAX($H24,(EDATE(AV$3,-12)+1)))+1)/(AV$3-(EDATE(AV$3,-12)+1)+1),IF($N24=0,0,$Q24/$N24*MAX(0,(IF($I24="",AV$3,MIN($I24,AV$3)))-(MAX($H24,(EDATE(AV$3,-12)+1)))+1)/(AV$3-(EDATE(AV$3,-12)+1)+1)))),MAX(0,AU24-$M24)))</f>
        <v/>
      </c>
      <c r="AW24" s="65">
        <f>IF($K24="","",IF(AND($I24&lt;&gt;"",$I24&lt;=AV$3),0,AU24-AV24))</f>
        <v/>
      </c>
      <c r="AX24" s="65">
        <f>IF(OR($K24="",$H24=""),"",MIN(MAX(0,IF($O24="WDV",AW24*$P24*MAX(0,(IF($I24="",AX$3,MIN($I24,AX$3)))-(MAX($H24,(EDATE(AX$3,-12)+1)))+1)/(AX$3-(EDATE(AX$3,-12)+1)+1),IF($N24=0,0,$Q24/$N24*MAX(0,(IF($I24="",AX$3,MIN($I24,AX$3)))-(MAX($H24,(EDATE(AX$3,-12)+1)))+1)/(AX$3-(EDATE(AX$3,-12)+1)+1)))),MAX(0,AW24-$M24)))</f>
        <v/>
      </c>
      <c r="AY24" s="65">
        <f>IF($K24="","",IF(AND($I24&lt;&gt;"",$I24&lt;=AX$3),0,AW24-AX24))</f>
        <v/>
      </c>
      <c r="AZ24" s="65">
        <f>IF(OR($K24="",$H24=""),"",MIN(MAX(0,IF($O24="WDV",AY24*$P24*MAX(0,(IF($I24="",AZ$3,MIN($I24,AZ$3)))-(MAX($H24,(EDATE(AZ$3,-12)+1)))+1)/(AZ$3-(EDATE(AZ$3,-12)+1)+1),IF($N24=0,0,$Q24/$N24*MAX(0,(IF($I24="",AZ$3,MIN($I24,AZ$3)))-(MAX($H24,(EDATE(AZ$3,-12)+1)))+1)/(AZ$3-(EDATE(AZ$3,-12)+1)+1)))),MAX(0,AY24-$M24)))</f>
        <v/>
      </c>
      <c r="BA24" s="65">
        <f>IF($K24="","",IF(AND($I24&lt;&gt;"",$I24&lt;=AZ$3),0,AY24-AZ24))</f>
        <v/>
      </c>
    </row>
    <row r="25">
      <c r="A25" s="34" t="n"/>
      <c r="B25" s="35" t="n"/>
      <c r="C25" s="35" t="n"/>
      <c r="D25" s="35" t="n"/>
      <c r="E25" s="36" t="n"/>
      <c r="F25" s="37" t="n"/>
      <c r="G25" s="38" t="n"/>
      <c r="H25" s="38" t="n"/>
      <c r="I25" s="39" t="n"/>
      <c r="J25" s="40" t="n"/>
      <c r="K25" s="41" t="n"/>
      <c r="L25" s="42">
        <f>DefaultResidual</f>
        <v/>
      </c>
      <c r="M25" s="43">
        <f>IF($K25="","",$K25*$L25)</f>
        <v/>
      </c>
      <c r="N25" s="44">
        <f>IF($C25="","",IFERROR(VLOOKUP($C25,ScheduleIITable,3,FALSE),"#N/A"))</f>
        <v/>
      </c>
      <c r="O25" s="45">
        <f>IF($K25="","",GlobalMethod)</f>
        <v/>
      </c>
      <c r="P25" s="46">
        <f>IF(OR($K25="",$N25="",$N25=0,$M25=0),0,1-($M25/$K25)^(1/$N25))</f>
        <v/>
      </c>
      <c r="Q25" s="43">
        <f>IF($K25="","",$K25-$M25)</f>
        <v/>
      </c>
      <c r="R25" s="47">
        <f>IF($K25="","",INDEX($V25:$BA25,1,MATCH(ReportingFYEnd,$V$3:$BA$3,0)))</f>
        <v/>
      </c>
      <c r="S25" s="43">
        <f>IF($K25="","",IF($U25="Disposed",0,$K25-$T25))</f>
        <v/>
      </c>
      <c r="T25" s="48">
        <f>IF($K25="","",INDEX($V25:$BA25,1,MATCH(ReportingFYEnd,$V$3:$BA$3,0)+1))</f>
        <v/>
      </c>
      <c r="U25" s="49">
        <f>IF($K25="","",IF(AND($I25&lt;&gt;"",$I25&lt;=ReportingFYEnd),"Disposed",IF(OR($H25="",$H25&gt;ReportingFYEnd),"Not Yet in Use","Active")))</f>
        <v/>
      </c>
      <c r="V25" s="50">
        <f>IF(OR($K25="",$H25=""),"",MIN(MAX(0,IF($O25="WDV",$K25*$P25*MAX(0,(IF($I25="",V$3,MIN($I25,V$3)))-(MAX($H25,(EDATE(V$3,-12)+1)))+1)/(V$3-(EDATE(V$3,-12)+1)+1),IF($N25=0,0,$Q25/$N25*MAX(0,(IF($I25="",V$3,MIN($I25,V$3)))-(MAX($H25,(EDATE(V$3,-12)+1)))+1)/(V$3-(EDATE(V$3,-12)+1)+1)))),MAX(0,$K25-$M25)))</f>
        <v/>
      </c>
      <c r="W25" s="51">
        <f>IF($K25="","",IF(AND($I25&lt;&gt;"",$I25&lt;=V$3),0,$K25-V25))</f>
        <v/>
      </c>
      <c r="X25" s="50">
        <f>IF(OR($K25="",$H25=""),"",MIN(MAX(0,IF($O25="WDV",W25*$P25*MAX(0,(IF($I25="",X$3,MIN($I25,X$3)))-(MAX($H25,(EDATE(X$3,-12)+1)))+1)/(X$3-(EDATE(X$3,-12)+1)+1),IF($N25=0,0,$Q25/$N25*MAX(0,(IF($I25="",X$3,MIN($I25,X$3)))-(MAX($H25,(EDATE(X$3,-12)+1)))+1)/(X$3-(EDATE(X$3,-12)+1)+1)))),MAX(0,W25-$M25)))</f>
        <v/>
      </c>
      <c r="Y25" s="51">
        <f>IF($K25="","",IF(AND($I25&lt;&gt;"",$I25&lt;=X$3),0,W25-X25))</f>
        <v/>
      </c>
      <c r="Z25" s="50">
        <f>IF(OR($K25="",$H25=""),"",MIN(MAX(0,IF($O25="WDV",Y25*$P25*MAX(0,(IF($I25="",Z$3,MIN($I25,Z$3)))-(MAX($H25,(EDATE(Z$3,-12)+1)))+1)/(Z$3-(EDATE(Z$3,-12)+1)+1),IF($N25=0,0,$Q25/$N25*MAX(0,(IF($I25="",Z$3,MIN($I25,Z$3)))-(MAX($H25,(EDATE(Z$3,-12)+1)))+1)/(Z$3-(EDATE(Z$3,-12)+1)+1)))),MAX(0,Y25-$M25)))</f>
        <v/>
      </c>
      <c r="AA25" s="51">
        <f>IF($K25="","",IF(AND($I25&lt;&gt;"",$I25&lt;=Z$3),0,Y25-Z25))</f>
        <v/>
      </c>
      <c r="AB25" s="50">
        <f>IF(OR($K25="",$H25=""),"",MIN(MAX(0,IF($O25="WDV",AA25*$P25*MAX(0,(IF($I25="",AB$3,MIN($I25,AB$3)))-(MAX($H25,(EDATE(AB$3,-12)+1)))+1)/(AB$3-(EDATE(AB$3,-12)+1)+1),IF($N25=0,0,$Q25/$N25*MAX(0,(IF($I25="",AB$3,MIN($I25,AB$3)))-(MAX($H25,(EDATE(AB$3,-12)+1)))+1)/(AB$3-(EDATE(AB$3,-12)+1)+1)))),MAX(0,AA25-$M25)))</f>
        <v/>
      </c>
      <c r="AC25" s="51">
        <f>IF($K25="","",IF(AND($I25&lt;&gt;"",$I25&lt;=AB$3),0,AA25-AB25))</f>
        <v/>
      </c>
      <c r="AD25" s="50">
        <f>IF(OR($K25="",$H25=""),"",MIN(MAX(0,IF($O25="WDV",AC25*$P25*MAX(0,(IF($I25="",AD$3,MIN($I25,AD$3)))-(MAX($H25,(EDATE(AD$3,-12)+1)))+1)/(AD$3-(EDATE(AD$3,-12)+1)+1),IF($N25=0,0,$Q25/$N25*MAX(0,(IF($I25="",AD$3,MIN($I25,AD$3)))-(MAX($H25,(EDATE(AD$3,-12)+1)))+1)/(AD$3-(EDATE(AD$3,-12)+1)+1)))),MAX(0,AC25-$M25)))</f>
        <v/>
      </c>
      <c r="AE25" s="51">
        <f>IF($K25="","",IF(AND($I25&lt;&gt;"",$I25&lt;=AD$3),0,AC25-AD25))</f>
        <v/>
      </c>
      <c r="AF25" s="50">
        <f>IF(OR($K25="",$H25=""),"",MIN(MAX(0,IF($O25="WDV",AE25*$P25*MAX(0,(IF($I25="",AF$3,MIN($I25,AF$3)))-(MAX($H25,(EDATE(AF$3,-12)+1)))+1)/(AF$3-(EDATE(AF$3,-12)+1)+1),IF($N25=0,0,$Q25/$N25*MAX(0,(IF($I25="",AF$3,MIN($I25,AF$3)))-(MAX($H25,(EDATE(AF$3,-12)+1)))+1)/(AF$3-(EDATE(AF$3,-12)+1)+1)))),MAX(0,AE25-$M25)))</f>
        <v/>
      </c>
      <c r="AG25" s="51">
        <f>IF($K25="","",IF(AND($I25&lt;&gt;"",$I25&lt;=AF$3),0,AE25-AF25))</f>
        <v/>
      </c>
      <c r="AH25" s="50">
        <f>IF(OR($K25="",$H25=""),"",MIN(MAX(0,IF($O25="WDV",AG25*$P25*MAX(0,(IF($I25="",AH$3,MIN($I25,AH$3)))-(MAX($H25,(EDATE(AH$3,-12)+1)))+1)/(AH$3-(EDATE(AH$3,-12)+1)+1),IF($N25=0,0,$Q25/$N25*MAX(0,(IF($I25="",AH$3,MIN($I25,AH$3)))-(MAX($H25,(EDATE(AH$3,-12)+1)))+1)/(AH$3-(EDATE(AH$3,-12)+1)+1)))),MAX(0,AG25-$M25)))</f>
        <v/>
      </c>
      <c r="AI25" s="51">
        <f>IF($K25="","",IF(AND($I25&lt;&gt;"",$I25&lt;=AH$3),0,AG25-AH25))</f>
        <v/>
      </c>
      <c r="AJ25" s="50">
        <f>IF(OR($K25="",$H25=""),"",MIN(MAX(0,IF($O25="WDV",AI25*$P25*MAX(0,(IF($I25="",AJ$3,MIN($I25,AJ$3)))-(MAX($H25,(EDATE(AJ$3,-12)+1)))+1)/(AJ$3-(EDATE(AJ$3,-12)+1)+1),IF($N25=0,0,$Q25/$N25*MAX(0,(IF($I25="",AJ$3,MIN($I25,AJ$3)))-(MAX($H25,(EDATE(AJ$3,-12)+1)))+1)/(AJ$3-(EDATE(AJ$3,-12)+1)+1)))),MAX(0,AI25-$M25)))</f>
        <v/>
      </c>
      <c r="AK25" s="51">
        <f>IF($K25="","",IF(AND($I25&lt;&gt;"",$I25&lt;=AJ$3),0,AI25-AJ25))</f>
        <v/>
      </c>
      <c r="AL25" s="50">
        <f>IF(OR($K25="",$H25=""),"",MIN(MAX(0,IF($O25="WDV",AK25*$P25*MAX(0,(IF($I25="",AL$3,MIN($I25,AL$3)))-(MAX($H25,(EDATE(AL$3,-12)+1)))+1)/(AL$3-(EDATE(AL$3,-12)+1)+1),IF($N25=0,0,$Q25/$N25*MAX(0,(IF($I25="",AL$3,MIN($I25,AL$3)))-(MAX($H25,(EDATE(AL$3,-12)+1)))+1)/(AL$3-(EDATE(AL$3,-12)+1)+1)))),MAX(0,AK25-$M25)))</f>
        <v/>
      </c>
      <c r="AM25" s="51">
        <f>IF($K25="","",IF(AND($I25&lt;&gt;"",$I25&lt;=AL$3),0,AK25-AL25))</f>
        <v/>
      </c>
      <c r="AN25" s="50">
        <f>IF(OR($K25="",$H25=""),"",MIN(MAX(0,IF($O25="WDV",AM25*$P25*MAX(0,(IF($I25="",AN$3,MIN($I25,AN$3)))-(MAX($H25,(EDATE(AN$3,-12)+1)))+1)/(AN$3-(EDATE(AN$3,-12)+1)+1),IF($N25=0,0,$Q25/$N25*MAX(0,(IF($I25="",AN$3,MIN($I25,AN$3)))-(MAX($H25,(EDATE(AN$3,-12)+1)))+1)/(AN$3-(EDATE(AN$3,-12)+1)+1)))),MAX(0,AM25-$M25)))</f>
        <v/>
      </c>
      <c r="AO25" s="51">
        <f>IF($K25="","",IF(AND($I25&lt;&gt;"",$I25&lt;=AN$3),0,AM25-AN25))</f>
        <v/>
      </c>
      <c r="AP25" s="50">
        <f>IF(OR($K25="",$H25=""),"",MIN(MAX(0,IF($O25="WDV",AO25*$P25*MAX(0,(IF($I25="",AP$3,MIN($I25,AP$3)))-(MAX($H25,(EDATE(AP$3,-12)+1)))+1)/(AP$3-(EDATE(AP$3,-12)+1)+1),IF($N25=0,0,$Q25/$N25*MAX(0,(IF($I25="",AP$3,MIN($I25,AP$3)))-(MAX($H25,(EDATE(AP$3,-12)+1)))+1)/(AP$3-(EDATE(AP$3,-12)+1)+1)))),MAX(0,AO25-$M25)))</f>
        <v/>
      </c>
      <c r="AQ25" s="51">
        <f>IF($K25="","",IF(AND($I25&lt;&gt;"",$I25&lt;=AP$3),0,AO25-AP25))</f>
        <v/>
      </c>
      <c r="AR25" s="50">
        <f>IF(OR($K25="",$H25=""),"",MIN(MAX(0,IF($O25="WDV",AQ25*$P25*MAX(0,(IF($I25="",AR$3,MIN($I25,AR$3)))-(MAX($H25,(EDATE(AR$3,-12)+1)))+1)/(AR$3-(EDATE(AR$3,-12)+1)+1),IF($N25=0,0,$Q25/$N25*MAX(0,(IF($I25="",AR$3,MIN($I25,AR$3)))-(MAX($H25,(EDATE(AR$3,-12)+1)))+1)/(AR$3-(EDATE(AR$3,-12)+1)+1)))),MAX(0,AQ25-$M25)))</f>
        <v/>
      </c>
      <c r="AS25" s="51">
        <f>IF($K25="","",IF(AND($I25&lt;&gt;"",$I25&lt;=AR$3),0,AQ25-AR25))</f>
        <v/>
      </c>
      <c r="AT25" s="50">
        <f>IF(OR($K25="",$H25=""),"",MIN(MAX(0,IF($O25="WDV",AS25*$P25*MAX(0,(IF($I25="",AT$3,MIN($I25,AT$3)))-(MAX($H25,(EDATE(AT$3,-12)+1)))+1)/(AT$3-(EDATE(AT$3,-12)+1)+1),IF($N25=0,0,$Q25/$N25*MAX(0,(IF($I25="",AT$3,MIN($I25,AT$3)))-(MAX($H25,(EDATE(AT$3,-12)+1)))+1)/(AT$3-(EDATE(AT$3,-12)+1)+1)))),MAX(0,AS25-$M25)))</f>
        <v/>
      </c>
      <c r="AU25" s="51">
        <f>IF($K25="","",IF(AND($I25&lt;&gt;"",$I25&lt;=AT$3),0,AS25-AT25))</f>
        <v/>
      </c>
      <c r="AV25" s="50">
        <f>IF(OR($K25="",$H25=""),"",MIN(MAX(0,IF($O25="WDV",AU25*$P25*MAX(0,(IF($I25="",AV$3,MIN($I25,AV$3)))-(MAX($H25,(EDATE(AV$3,-12)+1)))+1)/(AV$3-(EDATE(AV$3,-12)+1)+1),IF($N25=0,0,$Q25/$N25*MAX(0,(IF($I25="",AV$3,MIN($I25,AV$3)))-(MAX($H25,(EDATE(AV$3,-12)+1)))+1)/(AV$3-(EDATE(AV$3,-12)+1)+1)))),MAX(0,AU25-$M25)))</f>
        <v/>
      </c>
      <c r="AW25" s="51">
        <f>IF($K25="","",IF(AND($I25&lt;&gt;"",$I25&lt;=AV$3),0,AU25-AV25))</f>
        <v/>
      </c>
      <c r="AX25" s="50">
        <f>IF(OR($K25="",$H25=""),"",MIN(MAX(0,IF($O25="WDV",AW25*$P25*MAX(0,(IF($I25="",AX$3,MIN($I25,AX$3)))-(MAX($H25,(EDATE(AX$3,-12)+1)))+1)/(AX$3-(EDATE(AX$3,-12)+1)+1),IF($N25=0,0,$Q25/$N25*MAX(0,(IF($I25="",AX$3,MIN($I25,AX$3)))-(MAX($H25,(EDATE(AX$3,-12)+1)))+1)/(AX$3-(EDATE(AX$3,-12)+1)+1)))),MAX(0,AW25-$M25)))</f>
        <v/>
      </c>
      <c r="AY25" s="51">
        <f>IF($K25="","",IF(AND($I25&lt;&gt;"",$I25&lt;=AX$3),0,AW25-AX25))</f>
        <v/>
      </c>
      <c r="AZ25" s="50">
        <f>IF(OR($K25="",$H25=""),"",MIN(MAX(0,IF($O25="WDV",AY25*$P25*MAX(0,(IF($I25="",AZ$3,MIN($I25,AZ$3)))-(MAX($H25,(EDATE(AZ$3,-12)+1)))+1)/(AZ$3-(EDATE(AZ$3,-12)+1)+1),IF($N25=0,0,$Q25/$N25*MAX(0,(IF($I25="",AZ$3,MIN($I25,AZ$3)))-(MAX($H25,(EDATE(AZ$3,-12)+1)))+1)/(AZ$3-(EDATE(AZ$3,-12)+1)+1)))),MAX(0,AY25-$M25)))</f>
        <v/>
      </c>
      <c r="BA25" s="51">
        <f>IF($K25="","",IF(AND($I25&lt;&gt;"",$I25&lt;=AZ$3),0,AY25-AZ25))</f>
        <v/>
      </c>
    </row>
    <row r="26">
      <c r="A26" s="52" t="n"/>
      <c r="B26" s="53" t="n"/>
      <c r="C26" s="53" t="n"/>
      <c r="D26" s="53" t="n"/>
      <c r="E26" s="19" t="n"/>
      <c r="F26" s="54" t="n"/>
      <c r="G26" s="55" t="n"/>
      <c r="H26" s="55" t="n"/>
      <c r="I26" s="56" t="n"/>
      <c r="J26" s="57" t="n"/>
      <c r="K26" s="58" t="n"/>
      <c r="L26" s="59">
        <f>DefaultResidual</f>
        <v/>
      </c>
      <c r="M26" s="60">
        <f>IF($K26="","",$K26*$L26)</f>
        <v/>
      </c>
      <c r="N26" s="20">
        <f>IF($C26="","",IFERROR(VLOOKUP($C26,ScheduleIITable,3,FALSE),"#N/A"))</f>
        <v/>
      </c>
      <c r="O26" s="61">
        <f>IF($K26="","",GlobalMethod)</f>
        <v/>
      </c>
      <c r="P26" s="21">
        <f>IF(OR($K26="",$N26="",$N26=0,$M26=0),0,1-($M26/$K26)^(1/$N26))</f>
        <v/>
      </c>
      <c r="Q26" s="60">
        <f>IF($K26="","",$K26-$M26)</f>
        <v/>
      </c>
      <c r="R26" s="62">
        <f>IF($K26="","",INDEX($V26:$BA26,1,MATCH(ReportingFYEnd,$V$3:$BA$3,0)))</f>
        <v/>
      </c>
      <c r="S26" s="60">
        <f>IF($K26="","",IF($U26="Disposed",0,$K26-$T26))</f>
        <v/>
      </c>
      <c r="T26" s="63">
        <f>IF($K26="","",INDEX($V26:$BA26,1,MATCH(ReportingFYEnd,$V$3:$BA$3,0)+1))</f>
        <v/>
      </c>
      <c r="U26" s="64">
        <f>IF($K26="","",IF(AND($I26&lt;&gt;"",$I26&lt;=ReportingFYEnd),"Disposed",IF(OR($H26="",$H26&gt;ReportingFYEnd),"Not Yet in Use","Active")))</f>
        <v/>
      </c>
      <c r="V26" s="65">
        <f>IF(OR($K26="",$H26=""),"",MIN(MAX(0,IF($O26="WDV",$K26*$P26*MAX(0,(IF($I26="",V$3,MIN($I26,V$3)))-(MAX($H26,(EDATE(V$3,-12)+1)))+1)/(V$3-(EDATE(V$3,-12)+1)+1),IF($N26=0,0,$Q26/$N26*MAX(0,(IF($I26="",V$3,MIN($I26,V$3)))-(MAX($H26,(EDATE(V$3,-12)+1)))+1)/(V$3-(EDATE(V$3,-12)+1)+1)))),MAX(0,$K26-$M26)))</f>
        <v/>
      </c>
      <c r="W26" s="65">
        <f>IF($K26="","",IF(AND($I26&lt;&gt;"",$I26&lt;=V$3),0,$K26-V26))</f>
        <v/>
      </c>
      <c r="X26" s="65">
        <f>IF(OR($K26="",$H26=""),"",MIN(MAX(0,IF($O26="WDV",W26*$P26*MAX(0,(IF($I26="",X$3,MIN($I26,X$3)))-(MAX($H26,(EDATE(X$3,-12)+1)))+1)/(X$3-(EDATE(X$3,-12)+1)+1),IF($N26=0,0,$Q26/$N26*MAX(0,(IF($I26="",X$3,MIN($I26,X$3)))-(MAX($H26,(EDATE(X$3,-12)+1)))+1)/(X$3-(EDATE(X$3,-12)+1)+1)))),MAX(0,W26-$M26)))</f>
        <v/>
      </c>
      <c r="Y26" s="65">
        <f>IF($K26="","",IF(AND($I26&lt;&gt;"",$I26&lt;=X$3),0,W26-X26))</f>
        <v/>
      </c>
      <c r="Z26" s="65">
        <f>IF(OR($K26="",$H26=""),"",MIN(MAX(0,IF($O26="WDV",Y26*$P26*MAX(0,(IF($I26="",Z$3,MIN($I26,Z$3)))-(MAX($H26,(EDATE(Z$3,-12)+1)))+1)/(Z$3-(EDATE(Z$3,-12)+1)+1),IF($N26=0,0,$Q26/$N26*MAX(0,(IF($I26="",Z$3,MIN($I26,Z$3)))-(MAX($H26,(EDATE(Z$3,-12)+1)))+1)/(Z$3-(EDATE(Z$3,-12)+1)+1)))),MAX(0,Y26-$M26)))</f>
        <v/>
      </c>
      <c r="AA26" s="65">
        <f>IF($K26="","",IF(AND($I26&lt;&gt;"",$I26&lt;=Z$3),0,Y26-Z26))</f>
        <v/>
      </c>
      <c r="AB26" s="65">
        <f>IF(OR($K26="",$H26=""),"",MIN(MAX(0,IF($O26="WDV",AA26*$P26*MAX(0,(IF($I26="",AB$3,MIN($I26,AB$3)))-(MAX($H26,(EDATE(AB$3,-12)+1)))+1)/(AB$3-(EDATE(AB$3,-12)+1)+1),IF($N26=0,0,$Q26/$N26*MAX(0,(IF($I26="",AB$3,MIN($I26,AB$3)))-(MAX($H26,(EDATE(AB$3,-12)+1)))+1)/(AB$3-(EDATE(AB$3,-12)+1)+1)))),MAX(0,AA26-$M26)))</f>
        <v/>
      </c>
      <c r="AC26" s="65">
        <f>IF($K26="","",IF(AND($I26&lt;&gt;"",$I26&lt;=AB$3),0,AA26-AB26))</f>
        <v/>
      </c>
      <c r="AD26" s="65">
        <f>IF(OR($K26="",$H26=""),"",MIN(MAX(0,IF($O26="WDV",AC26*$P26*MAX(0,(IF($I26="",AD$3,MIN($I26,AD$3)))-(MAX($H26,(EDATE(AD$3,-12)+1)))+1)/(AD$3-(EDATE(AD$3,-12)+1)+1),IF($N26=0,0,$Q26/$N26*MAX(0,(IF($I26="",AD$3,MIN($I26,AD$3)))-(MAX($H26,(EDATE(AD$3,-12)+1)))+1)/(AD$3-(EDATE(AD$3,-12)+1)+1)))),MAX(0,AC26-$M26)))</f>
        <v/>
      </c>
      <c r="AE26" s="65">
        <f>IF($K26="","",IF(AND($I26&lt;&gt;"",$I26&lt;=AD$3),0,AC26-AD26))</f>
        <v/>
      </c>
      <c r="AF26" s="65">
        <f>IF(OR($K26="",$H26=""),"",MIN(MAX(0,IF($O26="WDV",AE26*$P26*MAX(0,(IF($I26="",AF$3,MIN($I26,AF$3)))-(MAX($H26,(EDATE(AF$3,-12)+1)))+1)/(AF$3-(EDATE(AF$3,-12)+1)+1),IF($N26=0,0,$Q26/$N26*MAX(0,(IF($I26="",AF$3,MIN($I26,AF$3)))-(MAX($H26,(EDATE(AF$3,-12)+1)))+1)/(AF$3-(EDATE(AF$3,-12)+1)+1)))),MAX(0,AE26-$M26)))</f>
        <v/>
      </c>
      <c r="AG26" s="65">
        <f>IF($K26="","",IF(AND($I26&lt;&gt;"",$I26&lt;=AF$3),0,AE26-AF26))</f>
        <v/>
      </c>
      <c r="AH26" s="65">
        <f>IF(OR($K26="",$H26=""),"",MIN(MAX(0,IF($O26="WDV",AG26*$P26*MAX(0,(IF($I26="",AH$3,MIN($I26,AH$3)))-(MAX($H26,(EDATE(AH$3,-12)+1)))+1)/(AH$3-(EDATE(AH$3,-12)+1)+1),IF($N26=0,0,$Q26/$N26*MAX(0,(IF($I26="",AH$3,MIN($I26,AH$3)))-(MAX($H26,(EDATE(AH$3,-12)+1)))+1)/(AH$3-(EDATE(AH$3,-12)+1)+1)))),MAX(0,AG26-$M26)))</f>
        <v/>
      </c>
      <c r="AI26" s="65">
        <f>IF($K26="","",IF(AND($I26&lt;&gt;"",$I26&lt;=AH$3),0,AG26-AH26))</f>
        <v/>
      </c>
      <c r="AJ26" s="65">
        <f>IF(OR($K26="",$H26=""),"",MIN(MAX(0,IF($O26="WDV",AI26*$P26*MAX(0,(IF($I26="",AJ$3,MIN($I26,AJ$3)))-(MAX($H26,(EDATE(AJ$3,-12)+1)))+1)/(AJ$3-(EDATE(AJ$3,-12)+1)+1),IF($N26=0,0,$Q26/$N26*MAX(0,(IF($I26="",AJ$3,MIN($I26,AJ$3)))-(MAX($H26,(EDATE(AJ$3,-12)+1)))+1)/(AJ$3-(EDATE(AJ$3,-12)+1)+1)))),MAX(0,AI26-$M26)))</f>
        <v/>
      </c>
      <c r="AK26" s="65">
        <f>IF($K26="","",IF(AND($I26&lt;&gt;"",$I26&lt;=AJ$3),0,AI26-AJ26))</f>
        <v/>
      </c>
      <c r="AL26" s="65">
        <f>IF(OR($K26="",$H26=""),"",MIN(MAX(0,IF($O26="WDV",AK26*$P26*MAX(0,(IF($I26="",AL$3,MIN($I26,AL$3)))-(MAX($H26,(EDATE(AL$3,-12)+1)))+1)/(AL$3-(EDATE(AL$3,-12)+1)+1),IF($N26=0,0,$Q26/$N26*MAX(0,(IF($I26="",AL$3,MIN($I26,AL$3)))-(MAX($H26,(EDATE(AL$3,-12)+1)))+1)/(AL$3-(EDATE(AL$3,-12)+1)+1)))),MAX(0,AK26-$M26)))</f>
        <v/>
      </c>
      <c r="AM26" s="65">
        <f>IF($K26="","",IF(AND($I26&lt;&gt;"",$I26&lt;=AL$3),0,AK26-AL26))</f>
        <v/>
      </c>
      <c r="AN26" s="65">
        <f>IF(OR($K26="",$H26=""),"",MIN(MAX(0,IF($O26="WDV",AM26*$P26*MAX(0,(IF($I26="",AN$3,MIN($I26,AN$3)))-(MAX($H26,(EDATE(AN$3,-12)+1)))+1)/(AN$3-(EDATE(AN$3,-12)+1)+1),IF($N26=0,0,$Q26/$N26*MAX(0,(IF($I26="",AN$3,MIN($I26,AN$3)))-(MAX($H26,(EDATE(AN$3,-12)+1)))+1)/(AN$3-(EDATE(AN$3,-12)+1)+1)))),MAX(0,AM26-$M26)))</f>
        <v/>
      </c>
      <c r="AO26" s="65">
        <f>IF($K26="","",IF(AND($I26&lt;&gt;"",$I26&lt;=AN$3),0,AM26-AN26))</f>
        <v/>
      </c>
      <c r="AP26" s="65">
        <f>IF(OR($K26="",$H26=""),"",MIN(MAX(0,IF($O26="WDV",AO26*$P26*MAX(0,(IF($I26="",AP$3,MIN($I26,AP$3)))-(MAX($H26,(EDATE(AP$3,-12)+1)))+1)/(AP$3-(EDATE(AP$3,-12)+1)+1),IF($N26=0,0,$Q26/$N26*MAX(0,(IF($I26="",AP$3,MIN($I26,AP$3)))-(MAX($H26,(EDATE(AP$3,-12)+1)))+1)/(AP$3-(EDATE(AP$3,-12)+1)+1)))),MAX(0,AO26-$M26)))</f>
        <v/>
      </c>
      <c r="AQ26" s="65">
        <f>IF($K26="","",IF(AND($I26&lt;&gt;"",$I26&lt;=AP$3),0,AO26-AP26))</f>
        <v/>
      </c>
      <c r="AR26" s="65">
        <f>IF(OR($K26="",$H26=""),"",MIN(MAX(0,IF($O26="WDV",AQ26*$P26*MAX(0,(IF($I26="",AR$3,MIN($I26,AR$3)))-(MAX($H26,(EDATE(AR$3,-12)+1)))+1)/(AR$3-(EDATE(AR$3,-12)+1)+1),IF($N26=0,0,$Q26/$N26*MAX(0,(IF($I26="",AR$3,MIN($I26,AR$3)))-(MAX($H26,(EDATE(AR$3,-12)+1)))+1)/(AR$3-(EDATE(AR$3,-12)+1)+1)))),MAX(0,AQ26-$M26)))</f>
        <v/>
      </c>
      <c r="AS26" s="65">
        <f>IF($K26="","",IF(AND($I26&lt;&gt;"",$I26&lt;=AR$3),0,AQ26-AR26))</f>
        <v/>
      </c>
      <c r="AT26" s="65">
        <f>IF(OR($K26="",$H26=""),"",MIN(MAX(0,IF($O26="WDV",AS26*$P26*MAX(0,(IF($I26="",AT$3,MIN($I26,AT$3)))-(MAX($H26,(EDATE(AT$3,-12)+1)))+1)/(AT$3-(EDATE(AT$3,-12)+1)+1),IF($N26=0,0,$Q26/$N26*MAX(0,(IF($I26="",AT$3,MIN($I26,AT$3)))-(MAX($H26,(EDATE(AT$3,-12)+1)))+1)/(AT$3-(EDATE(AT$3,-12)+1)+1)))),MAX(0,AS26-$M26)))</f>
        <v/>
      </c>
      <c r="AU26" s="65">
        <f>IF($K26="","",IF(AND($I26&lt;&gt;"",$I26&lt;=AT$3),0,AS26-AT26))</f>
        <v/>
      </c>
      <c r="AV26" s="65">
        <f>IF(OR($K26="",$H26=""),"",MIN(MAX(0,IF($O26="WDV",AU26*$P26*MAX(0,(IF($I26="",AV$3,MIN($I26,AV$3)))-(MAX($H26,(EDATE(AV$3,-12)+1)))+1)/(AV$3-(EDATE(AV$3,-12)+1)+1),IF($N26=0,0,$Q26/$N26*MAX(0,(IF($I26="",AV$3,MIN($I26,AV$3)))-(MAX($H26,(EDATE(AV$3,-12)+1)))+1)/(AV$3-(EDATE(AV$3,-12)+1)+1)))),MAX(0,AU26-$M26)))</f>
        <v/>
      </c>
      <c r="AW26" s="65">
        <f>IF($K26="","",IF(AND($I26&lt;&gt;"",$I26&lt;=AV$3),0,AU26-AV26))</f>
        <v/>
      </c>
      <c r="AX26" s="65">
        <f>IF(OR($K26="",$H26=""),"",MIN(MAX(0,IF($O26="WDV",AW26*$P26*MAX(0,(IF($I26="",AX$3,MIN($I26,AX$3)))-(MAX($H26,(EDATE(AX$3,-12)+1)))+1)/(AX$3-(EDATE(AX$3,-12)+1)+1),IF($N26=0,0,$Q26/$N26*MAX(0,(IF($I26="",AX$3,MIN($I26,AX$3)))-(MAX($H26,(EDATE(AX$3,-12)+1)))+1)/(AX$3-(EDATE(AX$3,-12)+1)+1)))),MAX(0,AW26-$M26)))</f>
        <v/>
      </c>
      <c r="AY26" s="65">
        <f>IF($K26="","",IF(AND($I26&lt;&gt;"",$I26&lt;=AX$3),0,AW26-AX26))</f>
        <v/>
      </c>
      <c r="AZ26" s="65">
        <f>IF(OR($K26="",$H26=""),"",MIN(MAX(0,IF($O26="WDV",AY26*$P26*MAX(0,(IF($I26="",AZ$3,MIN($I26,AZ$3)))-(MAX($H26,(EDATE(AZ$3,-12)+1)))+1)/(AZ$3-(EDATE(AZ$3,-12)+1)+1),IF($N26=0,0,$Q26/$N26*MAX(0,(IF($I26="",AZ$3,MIN($I26,AZ$3)))-(MAX($H26,(EDATE(AZ$3,-12)+1)))+1)/(AZ$3-(EDATE(AZ$3,-12)+1)+1)))),MAX(0,AY26-$M26)))</f>
        <v/>
      </c>
      <c r="BA26" s="65">
        <f>IF($K26="","",IF(AND($I26&lt;&gt;"",$I26&lt;=AZ$3),0,AY26-AZ26))</f>
        <v/>
      </c>
    </row>
    <row r="27">
      <c r="A27" s="34" t="n"/>
      <c r="B27" s="35" t="n"/>
      <c r="C27" s="35" t="n"/>
      <c r="D27" s="35" t="n"/>
      <c r="E27" s="36" t="n"/>
      <c r="F27" s="37" t="n"/>
      <c r="G27" s="38" t="n"/>
      <c r="H27" s="38" t="n"/>
      <c r="I27" s="39" t="n"/>
      <c r="J27" s="40" t="n"/>
      <c r="K27" s="41" t="n"/>
      <c r="L27" s="42">
        <f>DefaultResidual</f>
        <v/>
      </c>
      <c r="M27" s="43">
        <f>IF($K27="","",$K27*$L27)</f>
        <v/>
      </c>
      <c r="N27" s="44">
        <f>IF($C27="","",IFERROR(VLOOKUP($C27,ScheduleIITable,3,FALSE),"#N/A"))</f>
        <v/>
      </c>
      <c r="O27" s="45">
        <f>IF($K27="","",GlobalMethod)</f>
        <v/>
      </c>
      <c r="P27" s="46">
        <f>IF(OR($K27="",$N27="",$N27=0,$M27=0),0,1-($M27/$K27)^(1/$N27))</f>
        <v/>
      </c>
      <c r="Q27" s="43">
        <f>IF($K27="","",$K27-$M27)</f>
        <v/>
      </c>
      <c r="R27" s="47">
        <f>IF($K27="","",INDEX($V27:$BA27,1,MATCH(ReportingFYEnd,$V$3:$BA$3,0)))</f>
        <v/>
      </c>
      <c r="S27" s="43">
        <f>IF($K27="","",IF($U27="Disposed",0,$K27-$T27))</f>
        <v/>
      </c>
      <c r="T27" s="48">
        <f>IF($K27="","",INDEX($V27:$BA27,1,MATCH(ReportingFYEnd,$V$3:$BA$3,0)+1))</f>
        <v/>
      </c>
      <c r="U27" s="49">
        <f>IF($K27="","",IF(AND($I27&lt;&gt;"",$I27&lt;=ReportingFYEnd),"Disposed",IF(OR($H27="",$H27&gt;ReportingFYEnd),"Not Yet in Use","Active")))</f>
        <v/>
      </c>
      <c r="V27" s="50">
        <f>IF(OR($K27="",$H27=""),"",MIN(MAX(0,IF($O27="WDV",$K27*$P27*MAX(0,(IF($I27="",V$3,MIN($I27,V$3)))-(MAX($H27,(EDATE(V$3,-12)+1)))+1)/(V$3-(EDATE(V$3,-12)+1)+1),IF($N27=0,0,$Q27/$N27*MAX(0,(IF($I27="",V$3,MIN($I27,V$3)))-(MAX($H27,(EDATE(V$3,-12)+1)))+1)/(V$3-(EDATE(V$3,-12)+1)+1)))),MAX(0,$K27-$M27)))</f>
        <v/>
      </c>
      <c r="W27" s="51">
        <f>IF($K27="","",IF(AND($I27&lt;&gt;"",$I27&lt;=V$3),0,$K27-V27))</f>
        <v/>
      </c>
      <c r="X27" s="50">
        <f>IF(OR($K27="",$H27=""),"",MIN(MAX(0,IF($O27="WDV",W27*$P27*MAX(0,(IF($I27="",X$3,MIN($I27,X$3)))-(MAX($H27,(EDATE(X$3,-12)+1)))+1)/(X$3-(EDATE(X$3,-12)+1)+1),IF($N27=0,0,$Q27/$N27*MAX(0,(IF($I27="",X$3,MIN($I27,X$3)))-(MAX($H27,(EDATE(X$3,-12)+1)))+1)/(X$3-(EDATE(X$3,-12)+1)+1)))),MAX(0,W27-$M27)))</f>
        <v/>
      </c>
      <c r="Y27" s="51">
        <f>IF($K27="","",IF(AND($I27&lt;&gt;"",$I27&lt;=X$3),0,W27-X27))</f>
        <v/>
      </c>
      <c r="Z27" s="50">
        <f>IF(OR($K27="",$H27=""),"",MIN(MAX(0,IF($O27="WDV",Y27*$P27*MAX(0,(IF($I27="",Z$3,MIN($I27,Z$3)))-(MAX($H27,(EDATE(Z$3,-12)+1)))+1)/(Z$3-(EDATE(Z$3,-12)+1)+1),IF($N27=0,0,$Q27/$N27*MAX(0,(IF($I27="",Z$3,MIN($I27,Z$3)))-(MAX($H27,(EDATE(Z$3,-12)+1)))+1)/(Z$3-(EDATE(Z$3,-12)+1)+1)))),MAX(0,Y27-$M27)))</f>
        <v/>
      </c>
      <c r="AA27" s="51">
        <f>IF($K27="","",IF(AND($I27&lt;&gt;"",$I27&lt;=Z$3),0,Y27-Z27))</f>
        <v/>
      </c>
      <c r="AB27" s="50">
        <f>IF(OR($K27="",$H27=""),"",MIN(MAX(0,IF($O27="WDV",AA27*$P27*MAX(0,(IF($I27="",AB$3,MIN($I27,AB$3)))-(MAX($H27,(EDATE(AB$3,-12)+1)))+1)/(AB$3-(EDATE(AB$3,-12)+1)+1),IF($N27=0,0,$Q27/$N27*MAX(0,(IF($I27="",AB$3,MIN($I27,AB$3)))-(MAX($H27,(EDATE(AB$3,-12)+1)))+1)/(AB$3-(EDATE(AB$3,-12)+1)+1)))),MAX(0,AA27-$M27)))</f>
        <v/>
      </c>
      <c r="AC27" s="51">
        <f>IF($K27="","",IF(AND($I27&lt;&gt;"",$I27&lt;=AB$3),0,AA27-AB27))</f>
        <v/>
      </c>
      <c r="AD27" s="50">
        <f>IF(OR($K27="",$H27=""),"",MIN(MAX(0,IF($O27="WDV",AC27*$P27*MAX(0,(IF($I27="",AD$3,MIN($I27,AD$3)))-(MAX($H27,(EDATE(AD$3,-12)+1)))+1)/(AD$3-(EDATE(AD$3,-12)+1)+1),IF($N27=0,0,$Q27/$N27*MAX(0,(IF($I27="",AD$3,MIN($I27,AD$3)))-(MAX($H27,(EDATE(AD$3,-12)+1)))+1)/(AD$3-(EDATE(AD$3,-12)+1)+1)))),MAX(0,AC27-$M27)))</f>
        <v/>
      </c>
      <c r="AE27" s="51">
        <f>IF($K27="","",IF(AND($I27&lt;&gt;"",$I27&lt;=AD$3),0,AC27-AD27))</f>
        <v/>
      </c>
      <c r="AF27" s="50">
        <f>IF(OR($K27="",$H27=""),"",MIN(MAX(0,IF($O27="WDV",AE27*$P27*MAX(0,(IF($I27="",AF$3,MIN($I27,AF$3)))-(MAX($H27,(EDATE(AF$3,-12)+1)))+1)/(AF$3-(EDATE(AF$3,-12)+1)+1),IF($N27=0,0,$Q27/$N27*MAX(0,(IF($I27="",AF$3,MIN($I27,AF$3)))-(MAX($H27,(EDATE(AF$3,-12)+1)))+1)/(AF$3-(EDATE(AF$3,-12)+1)+1)))),MAX(0,AE27-$M27)))</f>
        <v/>
      </c>
      <c r="AG27" s="51">
        <f>IF($K27="","",IF(AND($I27&lt;&gt;"",$I27&lt;=AF$3),0,AE27-AF27))</f>
        <v/>
      </c>
      <c r="AH27" s="50">
        <f>IF(OR($K27="",$H27=""),"",MIN(MAX(0,IF($O27="WDV",AG27*$P27*MAX(0,(IF($I27="",AH$3,MIN($I27,AH$3)))-(MAX($H27,(EDATE(AH$3,-12)+1)))+1)/(AH$3-(EDATE(AH$3,-12)+1)+1),IF($N27=0,0,$Q27/$N27*MAX(0,(IF($I27="",AH$3,MIN($I27,AH$3)))-(MAX($H27,(EDATE(AH$3,-12)+1)))+1)/(AH$3-(EDATE(AH$3,-12)+1)+1)))),MAX(0,AG27-$M27)))</f>
        <v/>
      </c>
      <c r="AI27" s="51">
        <f>IF($K27="","",IF(AND($I27&lt;&gt;"",$I27&lt;=AH$3),0,AG27-AH27))</f>
        <v/>
      </c>
      <c r="AJ27" s="50">
        <f>IF(OR($K27="",$H27=""),"",MIN(MAX(0,IF($O27="WDV",AI27*$P27*MAX(0,(IF($I27="",AJ$3,MIN($I27,AJ$3)))-(MAX($H27,(EDATE(AJ$3,-12)+1)))+1)/(AJ$3-(EDATE(AJ$3,-12)+1)+1),IF($N27=0,0,$Q27/$N27*MAX(0,(IF($I27="",AJ$3,MIN($I27,AJ$3)))-(MAX($H27,(EDATE(AJ$3,-12)+1)))+1)/(AJ$3-(EDATE(AJ$3,-12)+1)+1)))),MAX(0,AI27-$M27)))</f>
        <v/>
      </c>
      <c r="AK27" s="51">
        <f>IF($K27="","",IF(AND($I27&lt;&gt;"",$I27&lt;=AJ$3),0,AI27-AJ27))</f>
        <v/>
      </c>
      <c r="AL27" s="50">
        <f>IF(OR($K27="",$H27=""),"",MIN(MAX(0,IF($O27="WDV",AK27*$P27*MAX(0,(IF($I27="",AL$3,MIN($I27,AL$3)))-(MAX($H27,(EDATE(AL$3,-12)+1)))+1)/(AL$3-(EDATE(AL$3,-12)+1)+1),IF($N27=0,0,$Q27/$N27*MAX(0,(IF($I27="",AL$3,MIN($I27,AL$3)))-(MAX($H27,(EDATE(AL$3,-12)+1)))+1)/(AL$3-(EDATE(AL$3,-12)+1)+1)))),MAX(0,AK27-$M27)))</f>
        <v/>
      </c>
      <c r="AM27" s="51">
        <f>IF($K27="","",IF(AND($I27&lt;&gt;"",$I27&lt;=AL$3),0,AK27-AL27))</f>
        <v/>
      </c>
      <c r="AN27" s="50">
        <f>IF(OR($K27="",$H27=""),"",MIN(MAX(0,IF($O27="WDV",AM27*$P27*MAX(0,(IF($I27="",AN$3,MIN($I27,AN$3)))-(MAX($H27,(EDATE(AN$3,-12)+1)))+1)/(AN$3-(EDATE(AN$3,-12)+1)+1),IF($N27=0,0,$Q27/$N27*MAX(0,(IF($I27="",AN$3,MIN($I27,AN$3)))-(MAX($H27,(EDATE(AN$3,-12)+1)))+1)/(AN$3-(EDATE(AN$3,-12)+1)+1)))),MAX(0,AM27-$M27)))</f>
        <v/>
      </c>
      <c r="AO27" s="51">
        <f>IF($K27="","",IF(AND($I27&lt;&gt;"",$I27&lt;=AN$3),0,AM27-AN27))</f>
        <v/>
      </c>
      <c r="AP27" s="50">
        <f>IF(OR($K27="",$H27=""),"",MIN(MAX(0,IF($O27="WDV",AO27*$P27*MAX(0,(IF($I27="",AP$3,MIN($I27,AP$3)))-(MAX($H27,(EDATE(AP$3,-12)+1)))+1)/(AP$3-(EDATE(AP$3,-12)+1)+1),IF($N27=0,0,$Q27/$N27*MAX(0,(IF($I27="",AP$3,MIN($I27,AP$3)))-(MAX($H27,(EDATE(AP$3,-12)+1)))+1)/(AP$3-(EDATE(AP$3,-12)+1)+1)))),MAX(0,AO27-$M27)))</f>
        <v/>
      </c>
      <c r="AQ27" s="51">
        <f>IF($K27="","",IF(AND($I27&lt;&gt;"",$I27&lt;=AP$3),0,AO27-AP27))</f>
        <v/>
      </c>
      <c r="AR27" s="50">
        <f>IF(OR($K27="",$H27=""),"",MIN(MAX(0,IF($O27="WDV",AQ27*$P27*MAX(0,(IF($I27="",AR$3,MIN($I27,AR$3)))-(MAX($H27,(EDATE(AR$3,-12)+1)))+1)/(AR$3-(EDATE(AR$3,-12)+1)+1),IF($N27=0,0,$Q27/$N27*MAX(0,(IF($I27="",AR$3,MIN($I27,AR$3)))-(MAX($H27,(EDATE(AR$3,-12)+1)))+1)/(AR$3-(EDATE(AR$3,-12)+1)+1)))),MAX(0,AQ27-$M27)))</f>
        <v/>
      </c>
      <c r="AS27" s="51">
        <f>IF($K27="","",IF(AND($I27&lt;&gt;"",$I27&lt;=AR$3),0,AQ27-AR27))</f>
        <v/>
      </c>
      <c r="AT27" s="50">
        <f>IF(OR($K27="",$H27=""),"",MIN(MAX(0,IF($O27="WDV",AS27*$P27*MAX(0,(IF($I27="",AT$3,MIN($I27,AT$3)))-(MAX($H27,(EDATE(AT$3,-12)+1)))+1)/(AT$3-(EDATE(AT$3,-12)+1)+1),IF($N27=0,0,$Q27/$N27*MAX(0,(IF($I27="",AT$3,MIN($I27,AT$3)))-(MAX($H27,(EDATE(AT$3,-12)+1)))+1)/(AT$3-(EDATE(AT$3,-12)+1)+1)))),MAX(0,AS27-$M27)))</f>
        <v/>
      </c>
      <c r="AU27" s="51">
        <f>IF($K27="","",IF(AND($I27&lt;&gt;"",$I27&lt;=AT$3),0,AS27-AT27))</f>
        <v/>
      </c>
      <c r="AV27" s="50">
        <f>IF(OR($K27="",$H27=""),"",MIN(MAX(0,IF($O27="WDV",AU27*$P27*MAX(0,(IF($I27="",AV$3,MIN($I27,AV$3)))-(MAX($H27,(EDATE(AV$3,-12)+1)))+1)/(AV$3-(EDATE(AV$3,-12)+1)+1),IF($N27=0,0,$Q27/$N27*MAX(0,(IF($I27="",AV$3,MIN($I27,AV$3)))-(MAX($H27,(EDATE(AV$3,-12)+1)))+1)/(AV$3-(EDATE(AV$3,-12)+1)+1)))),MAX(0,AU27-$M27)))</f>
        <v/>
      </c>
      <c r="AW27" s="51">
        <f>IF($K27="","",IF(AND($I27&lt;&gt;"",$I27&lt;=AV$3),0,AU27-AV27))</f>
        <v/>
      </c>
      <c r="AX27" s="50">
        <f>IF(OR($K27="",$H27=""),"",MIN(MAX(0,IF($O27="WDV",AW27*$P27*MAX(0,(IF($I27="",AX$3,MIN($I27,AX$3)))-(MAX($H27,(EDATE(AX$3,-12)+1)))+1)/(AX$3-(EDATE(AX$3,-12)+1)+1),IF($N27=0,0,$Q27/$N27*MAX(0,(IF($I27="",AX$3,MIN($I27,AX$3)))-(MAX($H27,(EDATE(AX$3,-12)+1)))+1)/(AX$3-(EDATE(AX$3,-12)+1)+1)))),MAX(0,AW27-$M27)))</f>
        <v/>
      </c>
      <c r="AY27" s="51">
        <f>IF($K27="","",IF(AND($I27&lt;&gt;"",$I27&lt;=AX$3),0,AW27-AX27))</f>
        <v/>
      </c>
      <c r="AZ27" s="50">
        <f>IF(OR($K27="",$H27=""),"",MIN(MAX(0,IF($O27="WDV",AY27*$P27*MAX(0,(IF($I27="",AZ$3,MIN($I27,AZ$3)))-(MAX($H27,(EDATE(AZ$3,-12)+1)))+1)/(AZ$3-(EDATE(AZ$3,-12)+1)+1),IF($N27=0,0,$Q27/$N27*MAX(0,(IF($I27="",AZ$3,MIN($I27,AZ$3)))-(MAX($H27,(EDATE(AZ$3,-12)+1)))+1)/(AZ$3-(EDATE(AZ$3,-12)+1)+1)))),MAX(0,AY27-$M27)))</f>
        <v/>
      </c>
      <c r="BA27" s="51">
        <f>IF($K27="","",IF(AND($I27&lt;&gt;"",$I27&lt;=AZ$3),0,AY27-AZ27))</f>
        <v/>
      </c>
    </row>
    <row r="28">
      <c r="A28" s="52" t="n"/>
      <c r="B28" s="53" t="n"/>
      <c r="C28" s="53" t="n"/>
      <c r="D28" s="53" t="n"/>
      <c r="E28" s="19" t="n"/>
      <c r="F28" s="54" t="n"/>
      <c r="G28" s="55" t="n"/>
      <c r="H28" s="55" t="n"/>
      <c r="I28" s="56" t="n"/>
      <c r="J28" s="57" t="n"/>
      <c r="K28" s="58" t="n"/>
      <c r="L28" s="59">
        <f>DefaultResidual</f>
        <v/>
      </c>
      <c r="M28" s="60">
        <f>IF($K28="","",$K28*$L28)</f>
        <v/>
      </c>
      <c r="N28" s="20">
        <f>IF($C28="","",IFERROR(VLOOKUP($C28,ScheduleIITable,3,FALSE),"#N/A"))</f>
        <v/>
      </c>
      <c r="O28" s="61">
        <f>IF($K28="","",GlobalMethod)</f>
        <v/>
      </c>
      <c r="P28" s="21">
        <f>IF(OR($K28="",$N28="",$N28=0,$M28=0),0,1-($M28/$K28)^(1/$N28))</f>
        <v/>
      </c>
      <c r="Q28" s="60">
        <f>IF($K28="","",$K28-$M28)</f>
        <v/>
      </c>
      <c r="R28" s="62">
        <f>IF($K28="","",INDEX($V28:$BA28,1,MATCH(ReportingFYEnd,$V$3:$BA$3,0)))</f>
        <v/>
      </c>
      <c r="S28" s="60">
        <f>IF($K28="","",IF($U28="Disposed",0,$K28-$T28))</f>
        <v/>
      </c>
      <c r="T28" s="63">
        <f>IF($K28="","",INDEX($V28:$BA28,1,MATCH(ReportingFYEnd,$V$3:$BA$3,0)+1))</f>
        <v/>
      </c>
      <c r="U28" s="64">
        <f>IF($K28="","",IF(AND($I28&lt;&gt;"",$I28&lt;=ReportingFYEnd),"Disposed",IF(OR($H28="",$H28&gt;ReportingFYEnd),"Not Yet in Use","Active")))</f>
        <v/>
      </c>
      <c r="V28" s="65">
        <f>IF(OR($K28="",$H28=""),"",MIN(MAX(0,IF($O28="WDV",$K28*$P28*MAX(0,(IF($I28="",V$3,MIN($I28,V$3)))-(MAX($H28,(EDATE(V$3,-12)+1)))+1)/(V$3-(EDATE(V$3,-12)+1)+1),IF($N28=0,0,$Q28/$N28*MAX(0,(IF($I28="",V$3,MIN($I28,V$3)))-(MAX($H28,(EDATE(V$3,-12)+1)))+1)/(V$3-(EDATE(V$3,-12)+1)+1)))),MAX(0,$K28-$M28)))</f>
        <v/>
      </c>
      <c r="W28" s="65">
        <f>IF($K28="","",IF(AND($I28&lt;&gt;"",$I28&lt;=V$3),0,$K28-V28))</f>
        <v/>
      </c>
      <c r="X28" s="65">
        <f>IF(OR($K28="",$H28=""),"",MIN(MAX(0,IF($O28="WDV",W28*$P28*MAX(0,(IF($I28="",X$3,MIN($I28,X$3)))-(MAX($H28,(EDATE(X$3,-12)+1)))+1)/(X$3-(EDATE(X$3,-12)+1)+1),IF($N28=0,0,$Q28/$N28*MAX(0,(IF($I28="",X$3,MIN($I28,X$3)))-(MAX($H28,(EDATE(X$3,-12)+1)))+1)/(X$3-(EDATE(X$3,-12)+1)+1)))),MAX(0,W28-$M28)))</f>
        <v/>
      </c>
      <c r="Y28" s="65">
        <f>IF($K28="","",IF(AND($I28&lt;&gt;"",$I28&lt;=X$3),0,W28-X28))</f>
        <v/>
      </c>
      <c r="Z28" s="65">
        <f>IF(OR($K28="",$H28=""),"",MIN(MAX(0,IF($O28="WDV",Y28*$P28*MAX(0,(IF($I28="",Z$3,MIN($I28,Z$3)))-(MAX($H28,(EDATE(Z$3,-12)+1)))+1)/(Z$3-(EDATE(Z$3,-12)+1)+1),IF($N28=0,0,$Q28/$N28*MAX(0,(IF($I28="",Z$3,MIN($I28,Z$3)))-(MAX($H28,(EDATE(Z$3,-12)+1)))+1)/(Z$3-(EDATE(Z$3,-12)+1)+1)))),MAX(0,Y28-$M28)))</f>
        <v/>
      </c>
      <c r="AA28" s="65">
        <f>IF($K28="","",IF(AND($I28&lt;&gt;"",$I28&lt;=Z$3),0,Y28-Z28))</f>
        <v/>
      </c>
      <c r="AB28" s="65">
        <f>IF(OR($K28="",$H28=""),"",MIN(MAX(0,IF($O28="WDV",AA28*$P28*MAX(0,(IF($I28="",AB$3,MIN($I28,AB$3)))-(MAX($H28,(EDATE(AB$3,-12)+1)))+1)/(AB$3-(EDATE(AB$3,-12)+1)+1),IF($N28=0,0,$Q28/$N28*MAX(0,(IF($I28="",AB$3,MIN($I28,AB$3)))-(MAX($H28,(EDATE(AB$3,-12)+1)))+1)/(AB$3-(EDATE(AB$3,-12)+1)+1)))),MAX(0,AA28-$M28)))</f>
        <v/>
      </c>
      <c r="AC28" s="65">
        <f>IF($K28="","",IF(AND($I28&lt;&gt;"",$I28&lt;=AB$3),0,AA28-AB28))</f>
        <v/>
      </c>
      <c r="AD28" s="65">
        <f>IF(OR($K28="",$H28=""),"",MIN(MAX(0,IF($O28="WDV",AC28*$P28*MAX(0,(IF($I28="",AD$3,MIN($I28,AD$3)))-(MAX($H28,(EDATE(AD$3,-12)+1)))+1)/(AD$3-(EDATE(AD$3,-12)+1)+1),IF($N28=0,0,$Q28/$N28*MAX(0,(IF($I28="",AD$3,MIN($I28,AD$3)))-(MAX($H28,(EDATE(AD$3,-12)+1)))+1)/(AD$3-(EDATE(AD$3,-12)+1)+1)))),MAX(0,AC28-$M28)))</f>
        <v/>
      </c>
      <c r="AE28" s="65">
        <f>IF($K28="","",IF(AND($I28&lt;&gt;"",$I28&lt;=AD$3),0,AC28-AD28))</f>
        <v/>
      </c>
      <c r="AF28" s="65">
        <f>IF(OR($K28="",$H28=""),"",MIN(MAX(0,IF($O28="WDV",AE28*$P28*MAX(0,(IF($I28="",AF$3,MIN($I28,AF$3)))-(MAX($H28,(EDATE(AF$3,-12)+1)))+1)/(AF$3-(EDATE(AF$3,-12)+1)+1),IF($N28=0,0,$Q28/$N28*MAX(0,(IF($I28="",AF$3,MIN($I28,AF$3)))-(MAX($H28,(EDATE(AF$3,-12)+1)))+1)/(AF$3-(EDATE(AF$3,-12)+1)+1)))),MAX(0,AE28-$M28)))</f>
        <v/>
      </c>
      <c r="AG28" s="65">
        <f>IF($K28="","",IF(AND($I28&lt;&gt;"",$I28&lt;=AF$3),0,AE28-AF28))</f>
        <v/>
      </c>
      <c r="AH28" s="65">
        <f>IF(OR($K28="",$H28=""),"",MIN(MAX(0,IF($O28="WDV",AG28*$P28*MAX(0,(IF($I28="",AH$3,MIN($I28,AH$3)))-(MAX($H28,(EDATE(AH$3,-12)+1)))+1)/(AH$3-(EDATE(AH$3,-12)+1)+1),IF($N28=0,0,$Q28/$N28*MAX(0,(IF($I28="",AH$3,MIN($I28,AH$3)))-(MAX($H28,(EDATE(AH$3,-12)+1)))+1)/(AH$3-(EDATE(AH$3,-12)+1)+1)))),MAX(0,AG28-$M28)))</f>
        <v/>
      </c>
      <c r="AI28" s="65">
        <f>IF($K28="","",IF(AND($I28&lt;&gt;"",$I28&lt;=AH$3),0,AG28-AH28))</f>
        <v/>
      </c>
      <c r="AJ28" s="65">
        <f>IF(OR($K28="",$H28=""),"",MIN(MAX(0,IF($O28="WDV",AI28*$P28*MAX(0,(IF($I28="",AJ$3,MIN($I28,AJ$3)))-(MAX($H28,(EDATE(AJ$3,-12)+1)))+1)/(AJ$3-(EDATE(AJ$3,-12)+1)+1),IF($N28=0,0,$Q28/$N28*MAX(0,(IF($I28="",AJ$3,MIN($I28,AJ$3)))-(MAX($H28,(EDATE(AJ$3,-12)+1)))+1)/(AJ$3-(EDATE(AJ$3,-12)+1)+1)))),MAX(0,AI28-$M28)))</f>
        <v/>
      </c>
      <c r="AK28" s="65">
        <f>IF($K28="","",IF(AND($I28&lt;&gt;"",$I28&lt;=AJ$3),0,AI28-AJ28))</f>
        <v/>
      </c>
      <c r="AL28" s="65">
        <f>IF(OR($K28="",$H28=""),"",MIN(MAX(0,IF($O28="WDV",AK28*$P28*MAX(0,(IF($I28="",AL$3,MIN($I28,AL$3)))-(MAX($H28,(EDATE(AL$3,-12)+1)))+1)/(AL$3-(EDATE(AL$3,-12)+1)+1),IF($N28=0,0,$Q28/$N28*MAX(0,(IF($I28="",AL$3,MIN($I28,AL$3)))-(MAX($H28,(EDATE(AL$3,-12)+1)))+1)/(AL$3-(EDATE(AL$3,-12)+1)+1)))),MAX(0,AK28-$M28)))</f>
        <v/>
      </c>
      <c r="AM28" s="65">
        <f>IF($K28="","",IF(AND($I28&lt;&gt;"",$I28&lt;=AL$3),0,AK28-AL28))</f>
        <v/>
      </c>
      <c r="AN28" s="65">
        <f>IF(OR($K28="",$H28=""),"",MIN(MAX(0,IF($O28="WDV",AM28*$P28*MAX(0,(IF($I28="",AN$3,MIN($I28,AN$3)))-(MAX($H28,(EDATE(AN$3,-12)+1)))+1)/(AN$3-(EDATE(AN$3,-12)+1)+1),IF($N28=0,0,$Q28/$N28*MAX(0,(IF($I28="",AN$3,MIN($I28,AN$3)))-(MAX($H28,(EDATE(AN$3,-12)+1)))+1)/(AN$3-(EDATE(AN$3,-12)+1)+1)))),MAX(0,AM28-$M28)))</f>
        <v/>
      </c>
      <c r="AO28" s="65">
        <f>IF($K28="","",IF(AND($I28&lt;&gt;"",$I28&lt;=AN$3),0,AM28-AN28))</f>
        <v/>
      </c>
      <c r="AP28" s="65">
        <f>IF(OR($K28="",$H28=""),"",MIN(MAX(0,IF($O28="WDV",AO28*$P28*MAX(0,(IF($I28="",AP$3,MIN($I28,AP$3)))-(MAX($H28,(EDATE(AP$3,-12)+1)))+1)/(AP$3-(EDATE(AP$3,-12)+1)+1),IF($N28=0,0,$Q28/$N28*MAX(0,(IF($I28="",AP$3,MIN($I28,AP$3)))-(MAX($H28,(EDATE(AP$3,-12)+1)))+1)/(AP$3-(EDATE(AP$3,-12)+1)+1)))),MAX(0,AO28-$M28)))</f>
        <v/>
      </c>
      <c r="AQ28" s="65">
        <f>IF($K28="","",IF(AND($I28&lt;&gt;"",$I28&lt;=AP$3),0,AO28-AP28))</f>
        <v/>
      </c>
      <c r="AR28" s="65">
        <f>IF(OR($K28="",$H28=""),"",MIN(MAX(0,IF($O28="WDV",AQ28*$P28*MAX(0,(IF($I28="",AR$3,MIN($I28,AR$3)))-(MAX($H28,(EDATE(AR$3,-12)+1)))+1)/(AR$3-(EDATE(AR$3,-12)+1)+1),IF($N28=0,0,$Q28/$N28*MAX(0,(IF($I28="",AR$3,MIN($I28,AR$3)))-(MAX($H28,(EDATE(AR$3,-12)+1)))+1)/(AR$3-(EDATE(AR$3,-12)+1)+1)))),MAX(0,AQ28-$M28)))</f>
        <v/>
      </c>
      <c r="AS28" s="65">
        <f>IF($K28="","",IF(AND($I28&lt;&gt;"",$I28&lt;=AR$3),0,AQ28-AR28))</f>
        <v/>
      </c>
      <c r="AT28" s="65">
        <f>IF(OR($K28="",$H28=""),"",MIN(MAX(0,IF($O28="WDV",AS28*$P28*MAX(0,(IF($I28="",AT$3,MIN($I28,AT$3)))-(MAX($H28,(EDATE(AT$3,-12)+1)))+1)/(AT$3-(EDATE(AT$3,-12)+1)+1),IF($N28=0,0,$Q28/$N28*MAX(0,(IF($I28="",AT$3,MIN($I28,AT$3)))-(MAX($H28,(EDATE(AT$3,-12)+1)))+1)/(AT$3-(EDATE(AT$3,-12)+1)+1)))),MAX(0,AS28-$M28)))</f>
        <v/>
      </c>
      <c r="AU28" s="65">
        <f>IF($K28="","",IF(AND($I28&lt;&gt;"",$I28&lt;=AT$3),0,AS28-AT28))</f>
        <v/>
      </c>
      <c r="AV28" s="65">
        <f>IF(OR($K28="",$H28=""),"",MIN(MAX(0,IF($O28="WDV",AU28*$P28*MAX(0,(IF($I28="",AV$3,MIN($I28,AV$3)))-(MAX($H28,(EDATE(AV$3,-12)+1)))+1)/(AV$3-(EDATE(AV$3,-12)+1)+1),IF($N28=0,0,$Q28/$N28*MAX(0,(IF($I28="",AV$3,MIN($I28,AV$3)))-(MAX($H28,(EDATE(AV$3,-12)+1)))+1)/(AV$3-(EDATE(AV$3,-12)+1)+1)))),MAX(0,AU28-$M28)))</f>
        <v/>
      </c>
      <c r="AW28" s="65">
        <f>IF($K28="","",IF(AND($I28&lt;&gt;"",$I28&lt;=AV$3),0,AU28-AV28))</f>
        <v/>
      </c>
      <c r="AX28" s="65">
        <f>IF(OR($K28="",$H28=""),"",MIN(MAX(0,IF($O28="WDV",AW28*$P28*MAX(0,(IF($I28="",AX$3,MIN($I28,AX$3)))-(MAX($H28,(EDATE(AX$3,-12)+1)))+1)/(AX$3-(EDATE(AX$3,-12)+1)+1),IF($N28=0,0,$Q28/$N28*MAX(0,(IF($I28="",AX$3,MIN($I28,AX$3)))-(MAX($H28,(EDATE(AX$3,-12)+1)))+1)/(AX$3-(EDATE(AX$3,-12)+1)+1)))),MAX(0,AW28-$M28)))</f>
        <v/>
      </c>
      <c r="AY28" s="65">
        <f>IF($K28="","",IF(AND($I28&lt;&gt;"",$I28&lt;=AX$3),0,AW28-AX28))</f>
        <v/>
      </c>
      <c r="AZ28" s="65">
        <f>IF(OR($K28="",$H28=""),"",MIN(MAX(0,IF($O28="WDV",AY28*$P28*MAX(0,(IF($I28="",AZ$3,MIN($I28,AZ$3)))-(MAX($H28,(EDATE(AZ$3,-12)+1)))+1)/(AZ$3-(EDATE(AZ$3,-12)+1)+1),IF($N28=0,0,$Q28/$N28*MAX(0,(IF($I28="",AZ$3,MIN($I28,AZ$3)))-(MAX($H28,(EDATE(AZ$3,-12)+1)))+1)/(AZ$3-(EDATE(AZ$3,-12)+1)+1)))),MAX(0,AY28-$M28)))</f>
        <v/>
      </c>
      <c r="BA28" s="65">
        <f>IF($K28="","",IF(AND($I28&lt;&gt;"",$I28&lt;=AZ$3),0,AY28-AZ28))</f>
        <v/>
      </c>
    </row>
    <row r="29">
      <c r="A29" s="34" t="n"/>
      <c r="B29" s="35" t="n"/>
      <c r="C29" s="35" t="n"/>
      <c r="D29" s="35" t="n"/>
      <c r="E29" s="36" t="n"/>
      <c r="F29" s="37" t="n"/>
      <c r="G29" s="38" t="n"/>
      <c r="H29" s="38" t="n"/>
      <c r="I29" s="39" t="n"/>
      <c r="J29" s="40" t="n"/>
      <c r="K29" s="41" t="n"/>
      <c r="L29" s="42">
        <f>DefaultResidual</f>
        <v/>
      </c>
      <c r="M29" s="43">
        <f>IF($K29="","",$K29*$L29)</f>
        <v/>
      </c>
      <c r="N29" s="44">
        <f>IF($C29="","",IFERROR(VLOOKUP($C29,ScheduleIITable,3,FALSE),"#N/A"))</f>
        <v/>
      </c>
      <c r="O29" s="45">
        <f>IF($K29="","",GlobalMethod)</f>
        <v/>
      </c>
      <c r="P29" s="46">
        <f>IF(OR($K29="",$N29="",$N29=0,$M29=0),0,1-($M29/$K29)^(1/$N29))</f>
        <v/>
      </c>
      <c r="Q29" s="43">
        <f>IF($K29="","",$K29-$M29)</f>
        <v/>
      </c>
      <c r="R29" s="47">
        <f>IF($K29="","",INDEX($V29:$BA29,1,MATCH(ReportingFYEnd,$V$3:$BA$3,0)))</f>
        <v/>
      </c>
      <c r="S29" s="43">
        <f>IF($K29="","",IF($U29="Disposed",0,$K29-$T29))</f>
        <v/>
      </c>
      <c r="T29" s="48">
        <f>IF($K29="","",INDEX($V29:$BA29,1,MATCH(ReportingFYEnd,$V$3:$BA$3,0)+1))</f>
        <v/>
      </c>
      <c r="U29" s="49">
        <f>IF($K29="","",IF(AND($I29&lt;&gt;"",$I29&lt;=ReportingFYEnd),"Disposed",IF(OR($H29="",$H29&gt;ReportingFYEnd),"Not Yet in Use","Active")))</f>
        <v/>
      </c>
      <c r="V29" s="50">
        <f>IF(OR($K29="",$H29=""),"",MIN(MAX(0,IF($O29="WDV",$K29*$P29*MAX(0,(IF($I29="",V$3,MIN($I29,V$3)))-(MAX($H29,(EDATE(V$3,-12)+1)))+1)/(V$3-(EDATE(V$3,-12)+1)+1),IF($N29=0,0,$Q29/$N29*MAX(0,(IF($I29="",V$3,MIN($I29,V$3)))-(MAX($H29,(EDATE(V$3,-12)+1)))+1)/(V$3-(EDATE(V$3,-12)+1)+1)))),MAX(0,$K29-$M29)))</f>
        <v/>
      </c>
      <c r="W29" s="51">
        <f>IF($K29="","",IF(AND($I29&lt;&gt;"",$I29&lt;=V$3),0,$K29-V29))</f>
        <v/>
      </c>
      <c r="X29" s="50">
        <f>IF(OR($K29="",$H29=""),"",MIN(MAX(0,IF($O29="WDV",W29*$P29*MAX(0,(IF($I29="",X$3,MIN($I29,X$3)))-(MAX($H29,(EDATE(X$3,-12)+1)))+1)/(X$3-(EDATE(X$3,-12)+1)+1),IF($N29=0,0,$Q29/$N29*MAX(0,(IF($I29="",X$3,MIN($I29,X$3)))-(MAX($H29,(EDATE(X$3,-12)+1)))+1)/(X$3-(EDATE(X$3,-12)+1)+1)))),MAX(0,W29-$M29)))</f>
        <v/>
      </c>
      <c r="Y29" s="51">
        <f>IF($K29="","",IF(AND($I29&lt;&gt;"",$I29&lt;=X$3),0,W29-X29))</f>
        <v/>
      </c>
      <c r="Z29" s="50">
        <f>IF(OR($K29="",$H29=""),"",MIN(MAX(0,IF($O29="WDV",Y29*$P29*MAX(0,(IF($I29="",Z$3,MIN($I29,Z$3)))-(MAX($H29,(EDATE(Z$3,-12)+1)))+1)/(Z$3-(EDATE(Z$3,-12)+1)+1),IF($N29=0,0,$Q29/$N29*MAX(0,(IF($I29="",Z$3,MIN($I29,Z$3)))-(MAX($H29,(EDATE(Z$3,-12)+1)))+1)/(Z$3-(EDATE(Z$3,-12)+1)+1)))),MAX(0,Y29-$M29)))</f>
        <v/>
      </c>
      <c r="AA29" s="51">
        <f>IF($K29="","",IF(AND($I29&lt;&gt;"",$I29&lt;=Z$3),0,Y29-Z29))</f>
        <v/>
      </c>
      <c r="AB29" s="50">
        <f>IF(OR($K29="",$H29=""),"",MIN(MAX(0,IF($O29="WDV",AA29*$P29*MAX(0,(IF($I29="",AB$3,MIN($I29,AB$3)))-(MAX($H29,(EDATE(AB$3,-12)+1)))+1)/(AB$3-(EDATE(AB$3,-12)+1)+1),IF($N29=0,0,$Q29/$N29*MAX(0,(IF($I29="",AB$3,MIN($I29,AB$3)))-(MAX($H29,(EDATE(AB$3,-12)+1)))+1)/(AB$3-(EDATE(AB$3,-12)+1)+1)))),MAX(0,AA29-$M29)))</f>
        <v/>
      </c>
      <c r="AC29" s="51">
        <f>IF($K29="","",IF(AND($I29&lt;&gt;"",$I29&lt;=AB$3),0,AA29-AB29))</f>
        <v/>
      </c>
      <c r="AD29" s="50">
        <f>IF(OR($K29="",$H29=""),"",MIN(MAX(0,IF($O29="WDV",AC29*$P29*MAX(0,(IF($I29="",AD$3,MIN($I29,AD$3)))-(MAX($H29,(EDATE(AD$3,-12)+1)))+1)/(AD$3-(EDATE(AD$3,-12)+1)+1),IF($N29=0,0,$Q29/$N29*MAX(0,(IF($I29="",AD$3,MIN($I29,AD$3)))-(MAX($H29,(EDATE(AD$3,-12)+1)))+1)/(AD$3-(EDATE(AD$3,-12)+1)+1)))),MAX(0,AC29-$M29)))</f>
        <v/>
      </c>
      <c r="AE29" s="51">
        <f>IF($K29="","",IF(AND($I29&lt;&gt;"",$I29&lt;=AD$3),0,AC29-AD29))</f>
        <v/>
      </c>
      <c r="AF29" s="50">
        <f>IF(OR($K29="",$H29=""),"",MIN(MAX(0,IF($O29="WDV",AE29*$P29*MAX(0,(IF($I29="",AF$3,MIN($I29,AF$3)))-(MAX($H29,(EDATE(AF$3,-12)+1)))+1)/(AF$3-(EDATE(AF$3,-12)+1)+1),IF($N29=0,0,$Q29/$N29*MAX(0,(IF($I29="",AF$3,MIN($I29,AF$3)))-(MAX($H29,(EDATE(AF$3,-12)+1)))+1)/(AF$3-(EDATE(AF$3,-12)+1)+1)))),MAX(0,AE29-$M29)))</f>
        <v/>
      </c>
      <c r="AG29" s="51">
        <f>IF($K29="","",IF(AND($I29&lt;&gt;"",$I29&lt;=AF$3),0,AE29-AF29))</f>
        <v/>
      </c>
      <c r="AH29" s="50">
        <f>IF(OR($K29="",$H29=""),"",MIN(MAX(0,IF($O29="WDV",AG29*$P29*MAX(0,(IF($I29="",AH$3,MIN($I29,AH$3)))-(MAX($H29,(EDATE(AH$3,-12)+1)))+1)/(AH$3-(EDATE(AH$3,-12)+1)+1),IF($N29=0,0,$Q29/$N29*MAX(0,(IF($I29="",AH$3,MIN($I29,AH$3)))-(MAX($H29,(EDATE(AH$3,-12)+1)))+1)/(AH$3-(EDATE(AH$3,-12)+1)+1)))),MAX(0,AG29-$M29)))</f>
        <v/>
      </c>
      <c r="AI29" s="51">
        <f>IF($K29="","",IF(AND($I29&lt;&gt;"",$I29&lt;=AH$3),0,AG29-AH29))</f>
        <v/>
      </c>
      <c r="AJ29" s="50">
        <f>IF(OR($K29="",$H29=""),"",MIN(MAX(0,IF($O29="WDV",AI29*$P29*MAX(0,(IF($I29="",AJ$3,MIN($I29,AJ$3)))-(MAX($H29,(EDATE(AJ$3,-12)+1)))+1)/(AJ$3-(EDATE(AJ$3,-12)+1)+1),IF($N29=0,0,$Q29/$N29*MAX(0,(IF($I29="",AJ$3,MIN($I29,AJ$3)))-(MAX($H29,(EDATE(AJ$3,-12)+1)))+1)/(AJ$3-(EDATE(AJ$3,-12)+1)+1)))),MAX(0,AI29-$M29)))</f>
        <v/>
      </c>
      <c r="AK29" s="51">
        <f>IF($K29="","",IF(AND($I29&lt;&gt;"",$I29&lt;=AJ$3),0,AI29-AJ29))</f>
        <v/>
      </c>
      <c r="AL29" s="50">
        <f>IF(OR($K29="",$H29=""),"",MIN(MAX(0,IF($O29="WDV",AK29*$P29*MAX(0,(IF($I29="",AL$3,MIN($I29,AL$3)))-(MAX($H29,(EDATE(AL$3,-12)+1)))+1)/(AL$3-(EDATE(AL$3,-12)+1)+1),IF($N29=0,0,$Q29/$N29*MAX(0,(IF($I29="",AL$3,MIN($I29,AL$3)))-(MAX($H29,(EDATE(AL$3,-12)+1)))+1)/(AL$3-(EDATE(AL$3,-12)+1)+1)))),MAX(0,AK29-$M29)))</f>
        <v/>
      </c>
      <c r="AM29" s="51">
        <f>IF($K29="","",IF(AND($I29&lt;&gt;"",$I29&lt;=AL$3),0,AK29-AL29))</f>
        <v/>
      </c>
      <c r="AN29" s="50">
        <f>IF(OR($K29="",$H29=""),"",MIN(MAX(0,IF($O29="WDV",AM29*$P29*MAX(0,(IF($I29="",AN$3,MIN($I29,AN$3)))-(MAX($H29,(EDATE(AN$3,-12)+1)))+1)/(AN$3-(EDATE(AN$3,-12)+1)+1),IF($N29=0,0,$Q29/$N29*MAX(0,(IF($I29="",AN$3,MIN($I29,AN$3)))-(MAX($H29,(EDATE(AN$3,-12)+1)))+1)/(AN$3-(EDATE(AN$3,-12)+1)+1)))),MAX(0,AM29-$M29)))</f>
        <v/>
      </c>
      <c r="AO29" s="51">
        <f>IF($K29="","",IF(AND($I29&lt;&gt;"",$I29&lt;=AN$3),0,AM29-AN29))</f>
        <v/>
      </c>
      <c r="AP29" s="50">
        <f>IF(OR($K29="",$H29=""),"",MIN(MAX(0,IF($O29="WDV",AO29*$P29*MAX(0,(IF($I29="",AP$3,MIN($I29,AP$3)))-(MAX($H29,(EDATE(AP$3,-12)+1)))+1)/(AP$3-(EDATE(AP$3,-12)+1)+1),IF($N29=0,0,$Q29/$N29*MAX(0,(IF($I29="",AP$3,MIN($I29,AP$3)))-(MAX($H29,(EDATE(AP$3,-12)+1)))+1)/(AP$3-(EDATE(AP$3,-12)+1)+1)))),MAX(0,AO29-$M29)))</f>
        <v/>
      </c>
      <c r="AQ29" s="51">
        <f>IF($K29="","",IF(AND($I29&lt;&gt;"",$I29&lt;=AP$3),0,AO29-AP29))</f>
        <v/>
      </c>
      <c r="AR29" s="50">
        <f>IF(OR($K29="",$H29=""),"",MIN(MAX(0,IF($O29="WDV",AQ29*$P29*MAX(0,(IF($I29="",AR$3,MIN($I29,AR$3)))-(MAX($H29,(EDATE(AR$3,-12)+1)))+1)/(AR$3-(EDATE(AR$3,-12)+1)+1),IF($N29=0,0,$Q29/$N29*MAX(0,(IF($I29="",AR$3,MIN($I29,AR$3)))-(MAX($H29,(EDATE(AR$3,-12)+1)))+1)/(AR$3-(EDATE(AR$3,-12)+1)+1)))),MAX(0,AQ29-$M29)))</f>
        <v/>
      </c>
      <c r="AS29" s="51">
        <f>IF($K29="","",IF(AND($I29&lt;&gt;"",$I29&lt;=AR$3),0,AQ29-AR29))</f>
        <v/>
      </c>
      <c r="AT29" s="50">
        <f>IF(OR($K29="",$H29=""),"",MIN(MAX(0,IF($O29="WDV",AS29*$P29*MAX(0,(IF($I29="",AT$3,MIN($I29,AT$3)))-(MAX($H29,(EDATE(AT$3,-12)+1)))+1)/(AT$3-(EDATE(AT$3,-12)+1)+1),IF($N29=0,0,$Q29/$N29*MAX(0,(IF($I29="",AT$3,MIN($I29,AT$3)))-(MAX($H29,(EDATE(AT$3,-12)+1)))+1)/(AT$3-(EDATE(AT$3,-12)+1)+1)))),MAX(0,AS29-$M29)))</f>
        <v/>
      </c>
      <c r="AU29" s="51">
        <f>IF($K29="","",IF(AND($I29&lt;&gt;"",$I29&lt;=AT$3),0,AS29-AT29))</f>
        <v/>
      </c>
      <c r="AV29" s="50">
        <f>IF(OR($K29="",$H29=""),"",MIN(MAX(0,IF($O29="WDV",AU29*$P29*MAX(0,(IF($I29="",AV$3,MIN($I29,AV$3)))-(MAX($H29,(EDATE(AV$3,-12)+1)))+1)/(AV$3-(EDATE(AV$3,-12)+1)+1),IF($N29=0,0,$Q29/$N29*MAX(0,(IF($I29="",AV$3,MIN($I29,AV$3)))-(MAX($H29,(EDATE(AV$3,-12)+1)))+1)/(AV$3-(EDATE(AV$3,-12)+1)+1)))),MAX(0,AU29-$M29)))</f>
        <v/>
      </c>
      <c r="AW29" s="51">
        <f>IF($K29="","",IF(AND($I29&lt;&gt;"",$I29&lt;=AV$3),0,AU29-AV29))</f>
        <v/>
      </c>
      <c r="AX29" s="50">
        <f>IF(OR($K29="",$H29=""),"",MIN(MAX(0,IF($O29="WDV",AW29*$P29*MAX(0,(IF($I29="",AX$3,MIN($I29,AX$3)))-(MAX($H29,(EDATE(AX$3,-12)+1)))+1)/(AX$3-(EDATE(AX$3,-12)+1)+1),IF($N29=0,0,$Q29/$N29*MAX(0,(IF($I29="",AX$3,MIN($I29,AX$3)))-(MAX($H29,(EDATE(AX$3,-12)+1)))+1)/(AX$3-(EDATE(AX$3,-12)+1)+1)))),MAX(0,AW29-$M29)))</f>
        <v/>
      </c>
      <c r="AY29" s="51">
        <f>IF($K29="","",IF(AND($I29&lt;&gt;"",$I29&lt;=AX$3),0,AW29-AX29))</f>
        <v/>
      </c>
      <c r="AZ29" s="50">
        <f>IF(OR($K29="",$H29=""),"",MIN(MAX(0,IF($O29="WDV",AY29*$P29*MAX(0,(IF($I29="",AZ$3,MIN($I29,AZ$3)))-(MAX($H29,(EDATE(AZ$3,-12)+1)))+1)/(AZ$3-(EDATE(AZ$3,-12)+1)+1),IF($N29=0,0,$Q29/$N29*MAX(0,(IF($I29="",AZ$3,MIN($I29,AZ$3)))-(MAX($H29,(EDATE(AZ$3,-12)+1)))+1)/(AZ$3-(EDATE(AZ$3,-12)+1)+1)))),MAX(0,AY29-$M29)))</f>
        <v/>
      </c>
      <c r="BA29" s="51">
        <f>IF($K29="","",IF(AND($I29&lt;&gt;"",$I29&lt;=AZ$3),0,AY29-AZ29))</f>
        <v/>
      </c>
    </row>
    <row r="30">
      <c r="A30" s="52" t="n"/>
      <c r="B30" s="53" t="n"/>
      <c r="C30" s="53" t="n"/>
      <c r="D30" s="53" t="n"/>
      <c r="E30" s="19" t="n"/>
      <c r="F30" s="54" t="n"/>
      <c r="G30" s="55" t="n"/>
      <c r="H30" s="55" t="n"/>
      <c r="I30" s="56" t="n"/>
      <c r="J30" s="57" t="n"/>
      <c r="K30" s="58" t="n"/>
      <c r="L30" s="59">
        <f>DefaultResidual</f>
        <v/>
      </c>
      <c r="M30" s="60">
        <f>IF($K30="","",$K30*$L30)</f>
        <v/>
      </c>
      <c r="N30" s="20">
        <f>IF($C30="","",IFERROR(VLOOKUP($C30,ScheduleIITable,3,FALSE),"#N/A"))</f>
        <v/>
      </c>
      <c r="O30" s="61">
        <f>IF($K30="","",GlobalMethod)</f>
        <v/>
      </c>
      <c r="P30" s="21">
        <f>IF(OR($K30="",$N30="",$N30=0,$M30=0),0,1-($M30/$K30)^(1/$N30))</f>
        <v/>
      </c>
      <c r="Q30" s="60">
        <f>IF($K30="","",$K30-$M30)</f>
        <v/>
      </c>
      <c r="R30" s="62">
        <f>IF($K30="","",INDEX($V30:$BA30,1,MATCH(ReportingFYEnd,$V$3:$BA$3,0)))</f>
        <v/>
      </c>
      <c r="S30" s="60">
        <f>IF($K30="","",IF($U30="Disposed",0,$K30-$T30))</f>
        <v/>
      </c>
      <c r="T30" s="63">
        <f>IF($K30="","",INDEX($V30:$BA30,1,MATCH(ReportingFYEnd,$V$3:$BA$3,0)+1))</f>
        <v/>
      </c>
      <c r="U30" s="64">
        <f>IF($K30="","",IF(AND($I30&lt;&gt;"",$I30&lt;=ReportingFYEnd),"Disposed",IF(OR($H30="",$H30&gt;ReportingFYEnd),"Not Yet in Use","Active")))</f>
        <v/>
      </c>
      <c r="V30" s="65">
        <f>IF(OR($K30="",$H30=""),"",MIN(MAX(0,IF($O30="WDV",$K30*$P30*MAX(0,(IF($I30="",V$3,MIN($I30,V$3)))-(MAX($H30,(EDATE(V$3,-12)+1)))+1)/(V$3-(EDATE(V$3,-12)+1)+1),IF($N30=0,0,$Q30/$N30*MAX(0,(IF($I30="",V$3,MIN($I30,V$3)))-(MAX($H30,(EDATE(V$3,-12)+1)))+1)/(V$3-(EDATE(V$3,-12)+1)+1)))),MAX(0,$K30-$M30)))</f>
        <v/>
      </c>
      <c r="W30" s="65">
        <f>IF($K30="","",IF(AND($I30&lt;&gt;"",$I30&lt;=V$3),0,$K30-V30))</f>
        <v/>
      </c>
      <c r="X30" s="65">
        <f>IF(OR($K30="",$H30=""),"",MIN(MAX(0,IF($O30="WDV",W30*$P30*MAX(0,(IF($I30="",X$3,MIN($I30,X$3)))-(MAX($H30,(EDATE(X$3,-12)+1)))+1)/(X$3-(EDATE(X$3,-12)+1)+1),IF($N30=0,0,$Q30/$N30*MAX(0,(IF($I30="",X$3,MIN($I30,X$3)))-(MAX($H30,(EDATE(X$3,-12)+1)))+1)/(X$3-(EDATE(X$3,-12)+1)+1)))),MAX(0,W30-$M30)))</f>
        <v/>
      </c>
      <c r="Y30" s="65">
        <f>IF($K30="","",IF(AND($I30&lt;&gt;"",$I30&lt;=X$3),0,W30-X30))</f>
        <v/>
      </c>
      <c r="Z30" s="65">
        <f>IF(OR($K30="",$H30=""),"",MIN(MAX(0,IF($O30="WDV",Y30*$P30*MAX(0,(IF($I30="",Z$3,MIN($I30,Z$3)))-(MAX($H30,(EDATE(Z$3,-12)+1)))+1)/(Z$3-(EDATE(Z$3,-12)+1)+1),IF($N30=0,0,$Q30/$N30*MAX(0,(IF($I30="",Z$3,MIN($I30,Z$3)))-(MAX($H30,(EDATE(Z$3,-12)+1)))+1)/(Z$3-(EDATE(Z$3,-12)+1)+1)))),MAX(0,Y30-$M30)))</f>
        <v/>
      </c>
      <c r="AA30" s="65">
        <f>IF($K30="","",IF(AND($I30&lt;&gt;"",$I30&lt;=Z$3),0,Y30-Z30))</f>
        <v/>
      </c>
      <c r="AB30" s="65">
        <f>IF(OR($K30="",$H30=""),"",MIN(MAX(0,IF($O30="WDV",AA30*$P30*MAX(0,(IF($I30="",AB$3,MIN($I30,AB$3)))-(MAX($H30,(EDATE(AB$3,-12)+1)))+1)/(AB$3-(EDATE(AB$3,-12)+1)+1),IF($N30=0,0,$Q30/$N30*MAX(0,(IF($I30="",AB$3,MIN($I30,AB$3)))-(MAX($H30,(EDATE(AB$3,-12)+1)))+1)/(AB$3-(EDATE(AB$3,-12)+1)+1)))),MAX(0,AA30-$M30)))</f>
        <v/>
      </c>
      <c r="AC30" s="65">
        <f>IF($K30="","",IF(AND($I30&lt;&gt;"",$I30&lt;=AB$3),0,AA30-AB30))</f>
        <v/>
      </c>
      <c r="AD30" s="65">
        <f>IF(OR($K30="",$H30=""),"",MIN(MAX(0,IF($O30="WDV",AC30*$P30*MAX(0,(IF($I30="",AD$3,MIN($I30,AD$3)))-(MAX($H30,(EDATE(AD$3,-12)+1)))+1)/(AD$3-(EDATE(AD$3,-12)+1)+1),IF($N30=0,0,$Q30/$N30*MAX(0,(IF($I30="",AD$3,MIN($I30,AD$3)))-(MAX($H30,(EDATE(AD$3,-12)+1)))+1)/(AD$3-(EDATE(AD$3,-12)+1)+1)))),MAX(0,AC30-$M30)))</f>
        <v/>
      </c>
      <c r="AE30" s="65">
        <f>IF($K30="","",IF(AND($I30&lt;&gt;"",$I30&lt;=AD$3),0,AC30-AD30))</f>
        <v/>
      </c>
      <c r="AF30" s="65">
        <f>IF(OR($K30="",$H30=""),"",MIN(MAX(0,IF($O30="WDV",AE30*$P30*MAX(0,(IF($I30="",AF$3,MIN($I30,AF$3)))-(MAX($H30,(EDATE(AF$3,-12)+1)))+1)/(AF$3-(EDATE(AF$3,-12)+1)+1),IF($N30=0,0,$Q30/$N30*MAX(0,(IF($I30="",AF$3,MIN($I30,AF$3)))-(MAX($H30,(EDATE(AF$3,-12)+1)))+1)/(AF$3-(EDATE(AF$3,-12)+1)+1)))),MAX(0,AE30-$M30)))</f>
        <v/>
      </c>
      <c r="AG30" s="65">
        <f>IF($K30="","",IF(AND($I30&lt;&gt;"",$I30&lt;=AF$3),0,AE30-AF30))</f>
        <v/>
      </c>
      <c r="AH30" s="65">
        <f>IF(OR($K30="",$H30=""),"",MIN(MAX(0,IF($O30="WDV",AG30*$P30*MAX(0,(IF($I30="",AH$3,MIN($I30,AH$3)))-(MAX($H30,(EDATE(AH$3,-12)+1)))+1)/(AH$3-(EDATE(AH$3,-12)+1)+1),IF($N30=0,0,$Q30/$N30*MAX(0,(IF($I30="",AH$3,MIN($I30,AH$3)))-(MAX($H30,(EDATE(AH$3,-12)+1)))+1)/(AH$3-(EDATE(AH$3,-12)+1)+1)))),MAX(0,AG30-$M30)))</f>
        <v/>
      </c>
      <c r="AI30" s="65">
        <f>IF($K30="","",IF(AND($I30&lt;&gt;"",$I30&lt;=AH$3),0,AG30-AH30))</f>
        <v/>
      </c>
      <c r="AJ30" s="65">
        <f>IF(OR($K30="",$H30=""),"",MIN(MAX(0,IF($O30="WDV",AI30*$P30*MAX(0,(IF($I30="",AJ$3,MIN($I30,AJ$3)))-(MAX($H30,(EDATE(AJ$3,-12)+1)))+1)/(AJ$3-(EDATE(AJ$3,-12)+1)+1),IF($N30=0,0,$Q30/$N30*MAX(0,(IF($I30="",AJ$3,MIN($I30,AJ$3)))-(MAX($H30,(EDATE(AJ$3,-12)+1)))+1)/(AJ$3-(EDATE(AJ$3,-12)+1)+1)))),MAX(0,AI30-$M30)))</f>
        <v/>
      </c>
      <c r="AK30" s="65">
        <f>IF($K30="","",IF(AND($I30&lt;&gt;"",$I30&lt;=AJ$3),0,AI30-AJ30))</f>
        <v/>
      </c>
      <c r="AL30" s="65">
        <f>IF(OR($K30="",$H30=""),"",MIN(MAX(0,IF($O30="WDV",AK30*$P30*MAX(0,(IF($I30="",AL$3,MIN($I30,AL$3)))-(MAX($H30,(EDATE(AL$3,-12)+1)))+1)/(AL$3-(EDATE(AL$3,-12)+1)+1),IF($N30=0,0,$Q30/$N30*MAX(0,(IF($I30="",AL$3,MIN($I30,AL$3)))-(MAX($H30,(EDATE(AL$3,-12)+1)))+1)/(AL$3-(EDATE(AL$3,-12)+1)+1)))),MAX(0,AK30-$M30)))</f>
        <v/>
      </c>
      <c r="AM30" s="65">
        <f>IF($K30="","",IF(AND($I30&lt;&gt;"",$I30&lt;=AL$3),0,AK30-AL30))</f>
        <v/>
      </c>
      <c r="AN30" s="65">
        <f>IF(OR($K30="",$H30=""),"",MIN(MAX(0,IF($O30="WDV",AM30*$P30*MAX(0,(IF($I30="",AN$3,MIN($I30,AN$3)))-(MAX($H30,(EDATE(AN$3,-12)+1)))+1)/(AN$3-(EDATE(AN$3,-12)+1)+1),IF($N30=0,0,$Q30/$N30*MAX(0,(IF($I30="",AN$3,MIN($I30,AN$3)))-(MAX($H30,(EDATE(AN$3,-12)+1)))+1)/(AN$3-(EDATE(AN$3,-12)+1)+1)))),MAX(0,AM30-$M30)))</f>
        <v/>
      </c>
      <c r="AO30" s="65">
        <f>IF($K30="","",IF(AND($I30&lt;&gt;"",$I30&lt;=AN$3),0,AM30-AN30))</f>
        <v/>
      </c>
      <c r="AP30" s="65">
        <f>IF(OR($K30="",$H30=""),"",MIN(MAX(0,IF($O30="WDV",AO30*$P30*MAX(0,(IF($I30="",AP$3,MIN($I30,AP$3)))-(MAX($H30,(EDATE(AP$3,-12)+1)))+1)/(AP$3-(EDATE(AP$3,-12)+1)+1),IF($N30=0,0,$Q30/$N30*MAX(0,(IF($I30="",AP$3,MIN($I30,AP$3)))-(MAX($H30,(EDATE(AP$3,-12)+1)))+1)/(AP$3-(EDATE(AP$3,-12)+1)+1)))),MAX(0,AO30-$M30)))</f>
        <v/>
      </c>
      <c r="AQ30" s="65">
        <f>IF($K30="","",IF(AND($I30&lt;&gt;"",$I30&lt;=AP$3),0,AO30-AP30))</f>
        <v/>
      </c>
      <c r="AR30" s="65">
        <f>IF(OR($K30="",$H30=""),"",MIN(MAX(0,IF($O30="WDV",AQ30*$P30*MAX(0,(IF($I30="",AR$3,MIN($I30,AR$3)))-(MAX($H30,(EDATE(AR$3,-12)+1)))+1)/(AR$3-(EDATE(AR$3,-12)+1)+1),IF($N30=0,0,$Q30/$N30*MAX(0,(IF($I30="",AR$3,MIN($I30,AR$3)))-(MAX($H30,(EDATE(AR$3,-12)+1)))+1)/(AR$3-(EDATE(AR$3,-12)+1)+1)))),MAX(0,AQ30-$M30)))</f>
        <v/>
      </c>
      <c r="AS30" s="65">
        <f>IF($K30="","",IF(AND($I30&lt;&gt;"",$I30&lt;=AR$3),0,AQ30-AR30))</f>
        <v/>
      </c>
      <c r="AT30" s="65">
        <f>IF(OR($K30="",$H30=""),"",MIN(MAX(0,IF($O30="WDV",AS30*$P30*MAX(0,(IF($I30="",AT$3,MIN($I30,AT$3)))-(MAX($H30,(EDATE(AT$3,-12)+1)))+1)/(AT$3-(EDATE(AT$3,-12)+1)+1),IF($N30=0,0,$Q30/$N30*MAX(0,(IF($I30="",AT$3,MIN($I30,AT$3)))-(MAX($H30,(EDATE(AT$3,-12)+1)))+1)/(AT$3-(EDATE(AT$3,-12)+1)+1)))),MAX(0,AS30-$M30)))</f>
        <v/>
      </c>
      <c r="AU30" s="65">
        <f>IF($K30="","",IF(AND($I30&lt;&gt;"",$I30&lt;=AT$3),0,AS30-AT30))</f>
        <v/>
      </c>
      <c r="AV30" s="65">
        <f>IF(OR($K30="",$H30=""),"",MIN(MAX(0,IF($O30="WDV",AU30*$P30*MAX(0,(IF($I30="",AV$3,MIN($I30,AV$3)))-(MAX($H30,(EDATE(AV$3,-12)+1)))+1)/(AV$3-(EDATE(AV$3,-12)+1)+1),IF($N30=0,0,$Q30/$N30*MAX(0,(IF($I30="",AV$3,MIN($I30,AV$3)))-(MAX($H30,(EDATE(AV$3,-12)+1)))+1)/(AV$3-(EDATE(AV$3,-12)+1)+1)))),MAX(0,AU30-$M30)))</f>
        <v/>
      </c>
      <c r="AW30" s="65">
        <f>IF($K30="","",IF(AND($I30&lt;&gt;"",$I30&lt;=AV$3),0,AU30-AV30))</f>
        <v/>
      </c>
      <c r="AX30" s="65">
        <f>IF(OR($K30="",$H30=""),"",MIN(MAX(0,IF($O30="WDV",AW30*$P30*MAX(0,(IF($I30="",AX$3,MIN($I30,AX$3)))-(MAX($H30,(EDATE(AX$3,-12)+1)))+1)/(AX$3-(EDATE(AX$3,-12)+1)+1),IF($N30=0,0,$Q30/$N30*MAX(0,(IF($I30="",AX$3,MIN($I30,AX$3)))-(MAX($H30,(EDATE(AX$3,-12)+1)))+1)/(AX$3-(EDATE(AX$3,-12)+1)+1)))),MAX(0,AW30-$M30)))</f>
        <v/>
      </c>
      <c r="AY30" s="65">
        <f>IF($K30="","",IF(AND($I30&lt;&gt;"",$I30&lt;=AX$3),0,AW30-AX30))</f>
        <v/>
      </c>
      <c r="AZ30" s="65">
        <f>IF(OR($K30="",$H30=""),"",MIN(MAX(0,IF($O30="WDV",AY30*$P30*MAX(0,(IF($I30="",AZ$3,MIN($I30,AZ$3)))-(MAX($H30,(EDATE(AZ$3,-12)+1)))+1)/(AZ$3-(EDATE(AZ$3,-12)+1)+1),IF($N30=0,0,$Q30/$N30*MAX(0,(IF($I30="",AZ$3,MIN($I30,AZ$3)))-(MAX($H30,(EDATE(AZ$3,-12)+1)))+1)/(AZ$3-(EDATE(AZ$3,-12)+1)+1)))),MAX(0,AY30-$M30)))</f>
        <v/>
      </c>
      <c r="BA30" s="65">
        <f>IF($K30="","",IF(AND($I30&lt;&gt;"",$I30&lt;=AZ$3),0,AY30-AZ30))</f>
        <v/>
      </c>
    </row>
    <row r="31">
      <c r="A31" s="34" t="n"/>
      <c r="B31" s="35" t="n"/>
      <c r="C31" s="35" t="n"/>
      <c r="D31" s="35" t="n"/>
      <c r="E31" s="36" t="n"/>
      <c r="F31" s="37" t="n"/>
      <c r="G31" s="38" t="n"/>
      <c r="H31" s="38" t="n"/>
      <c r="I31" s="39" t="n"/>
      <c r="J31" s="40" t="n"/>
      <c r="K31" s="41" t="n"/>
      <c r="L31" s="42">
        <f>DefaultResidual</f>
        <v/>
      </c>
      <c r="M31" s="43">
        <f>IF($K31="","",$K31*$L31)</f>
        <v/>
      </c>
      <c r="N31" s="44">
        <f>IF($C31="","",IFERROR(VLOOKUP($C31,ScheduleIITable,3,FALSE),"#N/A"))</f>
        <v/>
      </c>
      <c r="O31" s="45">
        <f>IF($K31="","",GlobalMethod)</f>
        <v/>
      </c>
      <c r="P31" s="46">
        <f>IF(OR($K31="",$N31="",$N31=0,$M31=0),0,1-($M31/$K31)^(1/$N31))</f>
        <v/>
      </c>
      <c r="Q31" s="43">
        <f>IF($K31="","",$K31-$M31)</f>
        <v/>
      </c>
      <c r="R31" s="47">
        <f>IF($K31="","",INDEX($V31:$BA31,1,MATCH(ReportingFYEnd,$V$3:$BA$3,0)))</f>
        <v/>
      </c>
      <c r="S31" s="43">
        <f>IF($K31="","",IF($U31="Disposed",0,$K31-$T31))</f>
        <v/>
      </c>
      <c r="T31" s="48">
        <f>IF($K31="","",INDEX($V31:$BA31,1,MATCH(ReportingFYEnd,$V$3:$BA$3,0)+1))</f>
        <v/>
      </c>
      <c r="U31" s="49">
        <f>IF($K31="","",IF(AND($I31&lt;&gt;"",$I31&lt;=ReportingFYEnd),"Disposed",IF(OR($H31="",$H31&gt;ReportingFYEnd),"Not Yet in Use","Active")))</f>
        <v/>
      </c>
      <c r="V31" s="50">
        <f>IF(OR($K31="",$H31=""),"",MIN(MAX(0,IF($O31="WDV",$K31*$P31*MAX(0,(IF($I31="",V$3,MIN($I31,V$3)))-(MAX($H31,(EDATE(V$3,-12)+1)))+1)/(V$3-(EDATE(V$3,-12)+1)+1),IF($N31=0,0,$Q31/$N31*MAX(0,(IF($I31="",V$3,MIN($I31,V$3)))-(MAX($H31,(EDATE(V$3,-12)+1)))+1)/(V$3-(EDATE(V$3,-12)+1)+1)))),MAX(0,$K31-$M31)))</f>
        <v/>
      </c>
      <c r="W31" s="51">
        <f>IF($K31="","",IF(AND($I31&lt;&gt;"",$I31&lt;=V$3),0,$K31-V31))</f>
        <v/>
      </c>
      <c r="X31" s="50">
        <f>IF(OR($K31="",$H31=""),"",MIN(MAX(0,IF($O31="WDV",W31*$P31*MAX(0,(IF($I31="",X$3,MIN($I31,X$3)))-(MAX($H31,(EDATE(X$3,-12)+1)))+1)/(X$3-(EDATE(X$3,-12)+1)+1),IF($N31=0,0,$Q31/$N31*MAX(0,(IF($I31="",X$3,MIN($I31,X$3)))-(MAX($H31,(EDATE(X$3,-12)+1)))+1)/(X$3-(EDATE(X$3,-12)+1)+1)))),MAX(0,W31-$M31)))</f>
        <v/>
      </c>
      <c r="Y31" s="51">
        <f>IF($K31="","",IF(AND($I31&lt;&gt;"",$I31&lt;=X$3),0,W31-X31))</f>
        <v/>
      </c>
      <c r="Z31" s="50">
        <f>IF(OR($K31="",$H31=""),"",MIN(MAX(0,IF($O31="WDV",Y31*$P31*MAX(0,(IF($I31="",Z$3,MIN($I31,Z$3)))-(MAX($H31,(EDATE(Z$3,-12)+1)))+1)/(Z$3-(EDATE(Z$3,-12)+1)+1),IF($N31=0,0,$Q31/$N31*MAX(0,(IF($I31="",Z$3,MIN($I31,Z$3)))-(MAX($H31,(EDATE(Z$3,-12)+1)))+1)/(Z$3-(EDATE(Z$3,-12)+1)+1)))),MAX(0,Y31-$M31)))</f>
        <v/>
      </c>
      <c r="AA31" s="51">
        <f>IF($K31="","",IF(AND($I31&lt;&gt;"",$I31&lt;=Z$3),0,Y31-Z31))</f>
        <v/>
      </c>
      <c r="AB31" s="50">
        <f>IF(OR($K31="",$H31=""),"",MIN(MAX(0,IF($O31="WDV",AA31*$P31*MAX(0,(IF($I31="",AB$3,MIN($I31,AB$3)))-(MAX($H31,(EDATE(AB$3,-12)+1)))+1)/(AB$3-(EDATE(AB$3,-12)+1)+1),IF($N31=0,0,$Q31/$N31*MAX(0,(IF($I31="",AB$3,MIN($I31,AB$3)))-(MAX($H31,(EDATE(AB$3,-12)+1)))+1)/(AB$3-(EDATE(AB$3,-12)+1)+1)))),MAX(0,AA31-$M31)))</f>
        <v/>
      </c>
      <c r="AC31" s="51">
        <f>IF($K31="","",IF(AND($I31&lt;&gt;"",$I31&lt;=AB$3),0,AA31-AB31))</f>
        <v/>
      </c>
      <c r="AD31" s="50">
        <f>IF(OR($K31="",$H31=""),"",MIN(MAX(0,IF($O31="WDV",AC31*$P31*MAX(0,(IF($I31="",AD$3,MIN($I31,AD$3)))-(MAX($H31,(EDATE(AD$3,-12)+1)))+1)/(AD$3-(EDATE(AD$3,-12)+1)+1),IF($N31=0,0,$Q31/$N31*MAX(0,(IF($I31="",AD$3,MIN($I31,AD$3)))-(MAX($H31,(EDATE(AD$3,-12)+1)))+1)/(AD$3-(EDATE(AD$3,-12)+1)+1)))),MAX(0,AC31-$M31)))</f>
        <v/>
      </c>
      <c r="AE31" s="51">
        <f>IF($K31="","",IF(AND($I31&lt;&gt;"",$I31&lt;=AD$3),0,AC31-AD31))</f>
        <v/>
      </c>
      <c r="AF31" s="50">
        <f>IF(OR($K31="",$H31=""),"",MIN(MAX(0,IF($O31="WDV",AE31*$P31*MAX(0,(IF($I31="",AF$3,MIN($I31,AF$3)))-(MAX($H31,(EDATE(AF$3,-12)+1)))+1)/(AF$3-(EDATE(AF$3,-12)+1)+1),IF($N31=0,0,$Q31/$N31*MAX(0,(IF($I31="",AF$3,MIN($I31,AF$3)))-(MAX($H31,(EDATE(AF$3,-12)+1)))+1)/(AF$3-(EDATE(AF$3,-12)+1)+1)))),MAX(0,AE31-$M31)))</f>
        <v/>
      </c>
      <c r="AG31" s="51">
        <f>IF($K31="","",IF(AND($I31&lt;&gt;"",$I31&lt;=AF$3),0,AE31-AF31))</f>
        <v/>
      </c>
      <c r="AH31" s="50">
        <f>IF(OR($K31="",$H31=""),"",MIN(MAX(0,IF($O31="WDV",AG31*$P31*MAX(0,(IF($I31="",AH$3,MIN($I31,AH$3)))-(MAX($H31,(EDATE(AH$3,-12)+1)))+1)/(AH$3-(EDATE(AH$3,-12)+1)+1),IF($N31=0,0,$Q31/$N31*MAX(0,(IF($I31="",AH$3,MIN($I31,AH$3)))-(MAX($H31,(EDATE(AH$3,-12)+1)))+1)/(AH$3-(EDATE(AH$3,-12)+1)+1)))),MAX(0,AG31-$M31)))</f>
        <v/>
      </c>
      <c r="AI31" s="51">
        <f>IF($K31="","",IF(AND($I31&lt;&gt;"",$I31&lt;=AH$3),0,AG31-AH31))</f>
        <v/>
      </c>
      <c r="AJ31" s="50">
        <f>IF(OR($K31="",$H31=""),"",MIN(MAX(0,IF($O31="WDV",AI31*$P31*MAX(0,(IF($I31="",AJ$3,MIN($I31,AJ$3)))-(MAX($H31,(EDATE(AJ$3,-12)+1)))+1)/(AJ$3-(EDATE(AJ$3,-12)+1)+1),IF($N31=0,0,$Q31/$N31*MAX(0,(IF($I31="",AJ$3,MIN($I31,AJ$3)))-(MAX($H31,(EDATE(AJ$3,-12)+1)))+1)/(AJ$3-(EDATE(AJ$3,-12)+1)+1)))),MAX(0,AI31-$M31)))</f>
        <v/>
      </c>
      <c r="AK31" s="51">
        <f>IF($K31="","",IF(AND($I31&lt;&gt;"",$I31&lt;=AJ$3),0,AI31-AJ31))</f>
        <v/>
      </c>
      <c r="AL31" s="50">
        <f>IF(OR($K31="",$H31=""),"",MIN(MAX(0,IF($O31="WDV",AK31*$P31*MAX(0,(IF($I31="",AL$3,MIN($I31,AL$3)))-(MAX($H31,(EDATE(AL$3,-12)+1)))+1)/(AL$3-(EDATE(AL$3,-12)+1)+1),IF($N31=0,0,$Q31/$N31*MAX(0,(IF($I31="",AL$3,MIN($I31,AL$3)))-(MAX($H31,(EDATE(AL$3,-12)+1)))+1)/(AL$3-(EDATE(AL$3,-12)+1)+1)))),MAX(0,AK31-$M31)))</f>
        <v/>
      </c>
      <c r="AM31" s="51">
        <f>IF($K31="","",IF(AND($I31&lt;&gt;"",$I31&lt;=AL$3),0,AK31-AL31))</f>
        <v/>
      </c>
      <c r="AN31" s="50">
        <f>IF(OR($K31="",$H31=""),"",MIN(MAX(0,IF($O31="WDV",AM31*$P31*MAX(0,(IF($I31="",AN$3,MIN($I31,AN$3)))-(MAX($H31,(EDATE(AN$3,-12)+1)))+1)/(AN$3-(EDATE(AN$3,-12)+1)+1),IF($N31=0,0,$Q31/$N31*MAX(0,(IF($I31="",AN$3,MIN($I31,AN$3)))-(MAX($H31,(EDATE(AN$3,-12)+1)))+1)/(AN$3-(EDATE(AN$3,-12)+1)+1)))),MAX(0,AM31-$M31)))</f>
        <v/>
      </c>
      <c r="AO31" s="51">
        <f>IF($K31="","",IF(AND($I31&lt;&gt;"",$I31&lt;=AN$3),0,AM31-AN31))</f>
        <v/>
      </c>
      <c r="AP31" s="50">
        <f>IF(OR($K31="",$H31=""),"",MIN(MAX(0,IF($O31="WDV",AO31*$P31*MAX(0,(IF($I31="",AP$3,MIN($I31,AP$3)))-(MAX($H31,(EDATE(AP$3,-12)+1)))+1)/(AP$3-(EDATE(AP$3,-12)+1)+1),IF($N31=0,0,$Q31/$N31*MAX(0,(IF($I31="",AP$3,MIN($I31,AP$3)))-(MAX($H31,(EDATE(AP$3,-12)+1)))+1)/(AP$3-(EDATE(AP$3,-12)+1)+1)))),MAX(0,AO31-$M31)))</f>
        <v/>
      </c>
      <c r="AQ31" s="51">
        <f>IF($K31="","",IF(AND($I31&lt;&gt;"",$I31&lt;=AP$3),0,AO31-AP31))</f>
        <v/>
      </c>
      <c r="AR31" s="50">
        <f>IF(OR($K31="",$H31=""),"",MIN(MAX(0,IF($O31="WDV",AQ31*$P31*MAX(0,(IF($I31="",AR$3,MIN($I31,AR$3)))-(MAX($H31,(EDATE(AR$3,-12)+1)))+1)/(AR$3-(EDATE(AR$3,-12)+1)+1),IF($N31=0,0,$Q31/$N31*MAX(0,(IF($I31="",AR$3,MIN($I31,AR$3)))-(MAX($H31,(EDATE(AR$3,-12)+1)))+1)/(AR$3-(EDATE(AR$3,-12)+1)+1)))),MAX(0,AQ31-$M31)))</f>
        <v/>
      </c>
      <c r="AS31" s="51">
        <f>IF($K31="","",IF(AND($I31&lt;&gt;"",$I31&lt;=AR$3),0,AQ31-AR31))</f>
        <v/>
      </c>
      <c r="AT31" s="50">
        <f>IF(OR($K31="",$H31=""),"",MIN(MAX(0,IF($O31="WDV",AS31*$P31*MAX(0,(IF($I31="",AT$3,MIN($I31,AT$3)))-(MAX($H31,(EDATE(AT$3,-12)+1)))+1)/(AT$3-(EDATE(AT$3,-12)+1)+1),IF($N31=0,0,$Q31/$N31*MAX(0,(IF($I31="",AT$3,MIN($I31,AT$3)))-(MAX($H31,(EDATE(AT$3,-12)+1)))+1)/(AT$3-(EDATE(AT$3,-12)+1)+1)))),MAX(0,AS31-$M31)))</f>
        <v/>
      </c>
      <c r="AU31" s="51">
        <f>IF($K31="","",IF(AND($I31&lt;&gt;"",$I31&lt;=AT$3),0,AS31-AT31))</f>
        <v/>
      </c>
      <c r="AV31" s="50">
        <f>IF(OR($K31="",$H31=""),"",MIN(MAX(0,IF($O31="WDV",AU31*$P31*MAX(0,(IF($I31="",AV$3,MIN($I31,AV$3)))-(MAX($H31,(EDATE(AV$3,-12)+1)))+1)/(AV$3-(EDATE(AV$3,-12)+1)+1),IF($N31=0,0,$Q31/$N31*MAX(0,(IF($I31="",AV$3,MIN($I31,AV$3)))-(MAX($H31,(EDATE(AV$3,-12)+1)))+1)/(AV$3-(EDATE(AV$3,-12)+1)+1)))),MAX(0,AU31-$M31)))</f>
        <v/>
      </c>
      <c r="AW31" s="51">
        <f>IF($K31="","",IF(AND($I31&lt;&gt;"",$I31&lt;=AV$3),0,AU31-AV31))</f>
        <v/>
      </c>
      <c r="AX31" s="50">
        <f>IF(OR($K31="",$H31=""),"",MIN(MAX(0,IF($O31="WDV",AW31*$P31*MAX(0,(IF($I31="",AX$3,MIN($I31,AX$3)))-(MAX($H31,(EDATE(AX$3,-12)+1)))+1)/(AX$3-(EDATE(AX$3,-12)+1)+1),IF($N31=0,0,$Q31/$N31*MAX(0,(IF($I31="",AX$3,MIN($I31,AX$3)))-(MAX($H31,(EDATE(AX$3,-12)+1)))+1)/(AX$3-(EDATE(AX$3,-12)+1)+1)))),MAX(0,AW31-$M31)))</f>
        <v/>
      </c>
      <c r="AY31" s="51">
        <f>IF($K31="","",IF(AND($I31&lt;&gt;"",$I31&lt;=AX$3),0,AW31-AX31))</f>
        <v/>
      </c>
      <c r="AZ31" s="50">
        <f>IF(OR($K31="",$H31=""),"",MIN(MAX(0,IF($O31="WDV",AY31*$P31*MAX(0,(IF($I31="",AZ$3,MIN($I31,AZ$3)))-(MAX($H31,(EDATE(AZ$3,-12)+1)))+1)/(AZ$3-(EDATE(AZ$3,-12)+1)+1),IF($N31=0,0,$Q31/$N31*MAX(0,(IF($I31="",AZ$3,MIN($I31,AZ$3)))-(MAX($H31,(EDATE(AZ$3,-12)+1)))+1)/(AZ$3-(EDATE(AZ$3,-12)+1)+1)))),MAX(0,AY31-$M31)))</f>
        <v/>
      </c>
      <c r="BA31" s="51">
        <f>IF($K31="","",IF(AND($I31&lt;&gt;"",$I31&lt;=AZ$3),0,AY31-AZ31))</f>
        <v/>
      </c>
    </row>
    <row r="32">
      <c r="A32" s="52" t="n"/>
      <c r="B32" s="53" t="n"/>
      <c r="C32" s="53" t="n"/>
      <c r="D32" s="53" t="n"/>
      <c r="E32" s="19" t="n"/>
      <c r="F32" s="54" t="n"/>
      <c r="G32" s="55" t="n"/>
      <c r="H32" s="55" t="n"/>
      <c r="I32" s="56" t="n"/>
      <c r="J32" s="57" t="n"/>
      <c r="K32" s="58" t="n"/>
      <c r="L32" s="59">
        <f>DefaultResidual</f>
        <v/>
      </c>
      <c r="M32" s="60">
        <f>IF($K32="","",$K32*$L32)</f>
        <v/>
      </c>
      <c r="N32" s="20">
        <f>IF($C32="","",IFERROR(VLOOKUP($C32,ScheduleIITable,3,FALSE),"#N/A"))</f>
        <v/>
      </c>
      <c r="O32" s="61">
        <f>IF($K32="","",GlobalMethod)</f>
        <v/>
      </c>
      <c r="P32" s="21">
        <f>IF(OR($K32="",$N32="",$N32=0,$M32=0),0,1-($M32/$K32)^(1/$N32))</f>
        <v/>
      </c>
      <c r="Q32" s="60">
        <f>IF($K32="","",$K32-$M32)</f>
        <v/>
      </c>
      <c r="R32" s="62">
        <f>IF($K32="","",INDEX($V32:$BA32,1,MATCH(ReportingFYEnd,$V$3:$BA$3,0)))</f>
        <v/>
      </c>
      <c r="S32" s="60">
        <f>IF($K32="","",IF($U32="Disposed",0,$K32-$T32))</f>
        <v/>
      </c>
      <c r="T32" s="63">
        <f>IF($K32="","",INDEX($V32:$BA32,1,MATCH(ReportingFYEnd,$V$3:$BA$3,0)+1))</f>
        <v/>
      </c>
      <c r="U32" s="64">
        <f>IF($K32="","",IF(AND($I32&lt;&gt;"",$I32&lt;=ReportingFYEnd),"Disposed",IF(OR($H32="",$H32&gt;ReportingFYEnd),"Not Yet in Use","Active")))</f>
        <v/>
      </c>
      <c r="V32" s="65">
        <f>IF(OR($K32="",$H32=""),"",MIN(MAX(0,IF($O32="WDV",$K32*$P32*MAX(0,(IF($I32="",V$3,MIN($I32,V$3)))-(MAX($H32,(EDATE(V$3,-12)+1)))+1)/(V$3-(EDATE(V$3,-12)+1)+1),IF($N32=0,0,$Q32/$N32*MAX(0,(IF($I32="",V$3,MIN($I32,V$3)))-(MAX($H32,(EDATE(V$3,-12)+1)))+1)/(V$3-(EDATE(V$3,-12)+1)+1)))),MAX(0,$K32-$M32)))</f>
        <v/>
      </c>
      <c r="W32" s="65">
        <f>IF($K32="","",IF(AND($I32&lt;&gt;"",$I32&lt;=V$3),0,$K32-V32))</f>
        <v/>
      </c>
      <c r="X32" s="65">
        <f>IF(OR($K32="",$H32=""),"",MIN(MAX(0,IF($O32="WDV",W32*$P32*MAX(0,(IF($I32="",X$3,MIN($I32,X$3)))-(MAX($H32,(EDATE(X$3,-12)+1)))+1)/(X$3-(EDATE(X$3,-12)+1)+1),IF($N32=0,0,$Q32/$N32*MAX(0,(IF($I32="",X$3,MIN($I32,X$3)))-(MAX($H32,(EDATE(X$3,-12)+1)))+1)/(X$3-(EDATE(X$3,-12)+1)+1)))),MAX(0,W32-$M32)))</f>
        <v/>
      </c>
      <c r="Y32" s="65">
        <f>IF($K32="","",IF(AND($I32&lt;&gt;"",$I32&lt;=X$3),0,W32-X32))</f>
        <v/>
      </c>
      <c r="Z32" s="65">
        <f>IF(OR($K32="",$H32=""),"",MIN(MAX(0,IF($O32="WDV",Y32*$P32*MAX(0,(IF($I32="",Z$3,MIN($I32,Z$3)))-(MAX($H32,(EDATE(Z$3,-12)+1)))+1)/(Z$3-(EDATE(Z$3,-12)+1)+1),IF($N32=0,0,$Q32/$N32*MAX(0,(IF($I32="",Z$3,MIN($I32,Z$3)))-(MAX($H32,(EDATE(Z$3,-12)+1)))+1)/(Z$3-(EDATE(Z$3,-12)+1)+1)))),MAX(0,Y32-$M32)))</f>
        <v/>
      </c>
      <c r="AA32" s="65">
        <f>IF($K32="","",IF(AND($I32&lt;&gt;"",$I32&lt;=Z$3),0,Y32-Z32))</f>
        <v/>
      </c>
      <c r="AB32" s="65">
        <f>IF(OR($K32="",$H32=""),"",MIN(MAX(0,IF($O32="WDV",AA32*$P32*MAX(0,(IF($I32="",AB$3,MIN($I32,AB$3)))-(MAX($H32,(EDATE(AB$3,-12)+1)))+1)/(AB$3-(EDATE(AB$3,-12)+1)+1),IF($N32=0,0,$Q32/$N32*MAX(0,(IF($I32="",AB$3,MIN($I32,AB$3)))-(MAX($H32,(EDATE(AB$3,-12)+1)))+1)/(AB$3-(EDATE(AB$3,-12)+1)+1)))),MAX(0,AA32-$M32)))</f>
        <v/>
      </c>
      <c r="AC32" s="65">
        <f>IF($K32="","",IF(AND($I32&lt;&gt;"",$I32&lt;=AB$3),0,AA32-AB32))</f>
        <v/>
      </c>
      <c r="AD32" s="65">
        <f>IF(OR($K32="",$H32=""),"",MIN(MAX(0,IF($O32="WDV",AC32*$P32*MAX(0,(IF($I32="",AD$3,MIN($I32,AD$3)))-(MAX($H32,(EDATE(AD$3,-12)+1)))+1)/(AD$3-(EDATE(AD$3,-12)+1)+1),IF($N32=0,0,$Q32/$N32*MAX(0,(IF($I32="",AD$3,MIN($I32,AD$3)))-(MAX($H32,(EDATE(AD$3,-12)+1)))+1)/(AD$3-(EDATE(AD$3,-12)+1)+1)))),MAX(0,AC32-$M32)))</f>
        <v/>
      </c>
      <c r="AE32" s="65">
        <f>IF($K32="","",IF(AND($I32&lt;&gt;"",$I32&lt;=AD$3),0,AC32-AD32))</f>
        <v/>
      </c>
      <c r="AF32" s="65">
        <f>IF(OR($K32="",$H32=""),"",MIN(MAX(0,IF($O32="WDV",AE32*$P32*MAX(0,(IF($I32="",AF$3,MIN($I32,AF$3)))-(MAX($H32,(EDATE(AF$3,-12)+1)))+1)/(AF$3-(EDATE(AF$3,-12)+1)+1),IF($N32=0,0,$Q32/$N32*MAX(0,(IF($I32="",AF$3,MIN($I32,AF$3)))-(MAX($H32,(EDATE(AF$3,-12)+1)))+1)/(AF$3-(EDATE(AF$3,-12)+1)+1)))),MAX(0,AE32-$M32)))</f>
        <v/>
      </c>
      <c r="AG32" s="65">
        <f>IF($K32="","",IF(AND($I32&lt;&gt;"",$I32&lt;=AF$3),0,AE32-AF32))</f>
        <v/>
      </c>
      <c r="AH32" s="65">
        <f>IF(OR($K32="",$H32=""),"",MIN(MAX(0,IF($O32="WDV",AG32*$P32*MAX(0,(IF($I32="",AH$3,MIN($I32,AH$3)))-(MAX($H32,(EDATE(AH$3,-12)+1)))+1)/(AH$3-(EDATE(AH$3,-12)+1)+1),IF($N32=0,0,$Q32/$N32*MAX(0,(IF($I32="",AH$3,MIN($I32,AH$3)))-(MAX($H32,(EDATE(AH$3,-12)+1)))+1)/(AH$3-(EDATE(AH$3,-12)+1)+1)))),MAX(0,AG32-$M32)))</f>
        <v/>
      </c>
      <c r="AI32" s="65">
        <f>IF($K32="","",IF(AND($I32&lt;&gt;"",$I32&lt;=AH$3),0,AG32-AH32))</f>
        <v/>
      </c>
      <c r="AJ32" s="65">
        <f>IF(OR($K32="",$H32=""),"",MIN(MAX(0,IF($O32="WDV",AI32*$P32*MAX(0,(IF($I32="",AJ$3,MIN($I32,AJ$3)))-(MAX($H32,(EDATE(AJ$3,-12)+1)))+1)/(AJ$3-(EDATE(AJ$3,-12)+1)+1),IF($N32=0,0,$Q32/$N32*MAX(0,(IF($I32="",AJ$3,MIN($I32,AJ$3)))-(MAX($H32,(EDATE(AJ$3,-12)+1)))+1)/(AJ$3-(EDATE(AJ$3,-12)+1)+1)))),MAX(0,AI32-$M32)))</f>
        <v/>
      </c>
      <c r="AK32" s="65">
        <f>IF($K32="","",IF(AND($I32&lt;&gt;"",$I32&lt;=AJ$3),0,AI32-AJ32))</f>
        <v/>
      </c>
      <c r="AL32" s="65">
        <f>IF(OR($K32="",$H32=""),"",MIN(MAX(0,IF($O32="WDV",AK32*$P32*MAX(0,(IF($I32="",AL$3,MIN($I32,AL$3)))-(MAX($H32,(EDATE(AL$3,-12)+1)))+1)/(AL$3-(EDATE(AL$3,-12)+1)+1),IF($N32=0,0,$Q32/$N32*MAX(0,(IF($I32="",AL$3,MIN($I32,AL$3)))-(MAX($H32,(EDATE(AL$3,-12)+1)))+1)/(AL$3-(EDATE(AL$3,-12)+1)+1)))),MAX(0,AK32-$M32)))</f>
        <v/>
      </c>
      <c r="AM32" s="65">
        <f>IF($K32="","",IF(AND($I32&lt;&gt;"",$I32&lt;=AL$3),0,AK32-AL32))</f>
        <v/>
      </c>
      <c r="AN32" s="65">
        <f>IF(OR($K32="",$H32=""),"",MIN(MAX(0,IF($O32="WDV",AM32*$P32*MAX(0,(IF($I32="",AN$3,MIN($I32,AN$3)))-(MAX($H32,(EDATE(AN$3,-12)+1)))+1)/(AN$3-(EDATE(AN$3,-12)+1)+1),IF($N32=0,0,$Q32/$N32*MAX(0,(IF($I32="",AN$3,MIN($I32,AN$3)))-(MAX($H32,(EDATE(AN$3,-12)+1)))+1)/(AN$3-(EDATE(AN$3,-12)+1)+1)))),MAX(0,AM32-$M32)))</f>
        <v/>
      </c>
      <c r="AO32" s="65">
        <f>IF($K32="","",IF(AND($I32&lt;&gt;"",$I32&lt;=AN$3),0,AM32-AN32))</f>
        <v/>
      </c>
      <c r="AP32" s="65">
        <f>IF(OR($K32="",$H32=""),"",MIN(MAX(0,IF($O32="WDV",AO32*$P32*MAX(0,(IF($I32="",AP$3,MIN($I32,AP$3)))-(MAX($H32,(EDATE(AP$3,-12)+1)))+1)/(AP$3-(EDATE(AP$3,-12)+1)+1),IF($N32=0,0,$Q32/$N32*MAX(0,(IF($I32="",AP$3,MIN($I32,AP$3)))-(MAX($H32,(EDATE(AP$3,-12)+1)))+1)/(AP$3-(EDATE(AP$3,-12)+1)+1)))),MAX(0,AO32-$M32)))</f>
        <v/>
      </c>
      <c r="AQ32" s="65">
        <f>IF($K32="","",IF(AND($I32&lt;&gt;"",$I32&lt;=AP$3),0,AO32-AP32))</f>
        <v/>
      </c>
      <c r="AR32" s="65">
        <f>IF(OR($K32="",$H32=""),"",MIN(MAX(0,IF($O32="WDV",AQ32*$P32*MAX(0,(IF($I32="",AR$3,MIN($I32,AR$3)))-(MAX($H32,(EDATE(AR$3,-12)+1)))+1)/(AR$3-(EDATE(AR$3,-12)+1)+1),IF($N32=0,0,$Q32/$N32*MAX(0,(IF($I32="",AR$3,MIN($I32,AR$3)))-(MAX($H32,(EDATE(AR$3,-12)+1)))+1)/(AR$3-(EDATE(AR$3,-12)+1)+1)))),MAX(0,AQ32-$M32)))</f>
        <v/>
      </c>
      <c r="AS32" s="65">
        <f>IF($K32="","",IF(AND($I32&lt;&gt;"",$I32&lt;=AR$3),0,AQ32-AR32))</f>
        <v/>
      </c>
      <c r="AT32" s="65">
        <f>IF(OR($K32="",$H32=""),"",MIN(MAX(0,IF($O32="WDV",AS32*$P32*MAX(0,(IF($I32="",AT$3,MIN($I32,AT$3)))-(MAX($H32,(EDATE(AT$3,-12)+1)))+1)/(AT$3-(EDATE(AT$3,-12)+1)+1),IF($N32=0,0,$Q32/$N32*MAX(0,(IF($I32="",AT$3,MIN($I32,AT$3)))-(MAX($H32,(EDATE(AT$3,-12)+1)))+1)/(AT$3-(EDATE(AT$3,-12)+1)+1)))),MAX(0,AS32-$M32)))</f>
        <v/>
      </c>
      <c r="AU32" s="65">
        <f>IF($K32="","",IF(AND($I32&lt;&gt;"",$I32&lt;=AT$3),0,AS32-AT32))</f>
        <v/>
      </c>
      <c r="AV32" s="65">
        <f>IF(OR($K32="",$H32=""),"",MIN(MAX(0,IF($O32="WDV",AU32*$P32*MAX(0,(IF($I32="",AV$3,MIN($I32,AV$3)))-(MAX($H32,(EDATE(AV$3,-12)+1)))+1)/(AV$3-(EDATE(AV$3,-12)+1)+1),IF($N32=0,0,$Q32/$N32*MAX(0,(IF($I32="",AV$3,MIN($I32,AV$3)))-(MAX($H32,(EDATE(AV$3,-12)+1)))+1)/(AV$3-(EDATE(AV$3,-12)+1)+1)))),MAX(0,AU32-$M32)))</f>
        <v/>
      </c>
      <c r="AW32" s="65">
        <f>IF($K32="","",IF(AND($I32&lt;&gt;"",$I32&lt;=AV$3),0,AU32-AV32))</f>
        <v/>
      </c>
      <c r="AX32" s="65">
        <f>IF(OR($K32="",$H32=""),"",MIN(MAX(0,IF($O32="WDV",AW32*$P32*MAX(0,(IF($I32="",AX$3,MIN($I32,AX$3)))-(MAX($H32,(EDATE(AX$3,-12)+1)))+1)/(AX$3-(EDATE(AX$3,-12)+1)+1),IF($N32=0,0,$Q32/$N32*MAX(0,(IF($I32="",AX$3,MIN($I32,AX$3)))-(MAX($H32,(EDATE(AX$3,-12)+1)))+1)/(AX$3-(EDATE(AX$3,-12)+1)+1)))),MAX(0,AW32-$M32)))</f>
        <v/>
      </c>
      <c r="AY32" s="65">
        <f>IF($K32="","",IF(AND($I32&lt;&gt;"",$I32&lt;=AX$3),0,AW32-AX32))</f>
        <v/>
      </c>
      <c r="AZ32" s="65">
        <f>IF(OR($K32="",$H32=""),"",MIN(MAX(0,IF($O32="WDV",AY32*$P32*MAX(0,(IF($I32="",AZ$3,MIN($I32,AZ$3)))-(MAX($H32,(EDATE(AZ$3,-12)+1)))+1)/(AZ$3-(EDATE(AZ$3,-12)+1)+1),IF($N32=0,0,$Q32/$N32*MAX(0,(IF($I32="",AZ$3,MIN($I32,AZ$3)))-(MAX($H32,(EDATE(AZ$3,-12)+1)))+1)/(AZ$3-(EDATE(AZ$3,-12)+1)+1)))),MAX(0,AY32-$M32)))</f>
        <v/>
      </c>
      <c r="BA32" s="65">
        <f>IF($K32="","",IF(AND($I32&lt;&gt;"",$I32&lt;=AZ$3),0,AY32-AZ32))</f>
        <v/>
      </c>
    </row>
    <row r="33">
      <c r="A33" s="34" t="n"/>
      <c r="B33" s="35" t="n"/>
      <c r="C33" s="35" t="n"/>
      <c r="D33" s="35" t="n"/>
      <c r="E33" s="36" t="n"/>
      <c r="F33" s="37" t="n"/>
      <c r="G33" s="38" t="n"/>
      <c r="H33" s="38" t="n"/>
      <c r="I33" s="39" t="n"/>
      <c r="J33" s="40" t="n"/>
      <c r="K33" s="41" t="n"/>
      <c r="L33" s="42">
        <f>DefaultResidual</f>
        <v/>
      </c>
      <c r="M33" s="43">
        <f>IF($K33="","",$K33*$L33)</f>
        <v/>
      </c>
      <c r="N33" s="44">
        <f>IF($C33="","",IFERROR(VLOOKUP($C33,ScheduleIITable,3,FALSE),"#N/A"))</f>
        <v/>
      </c>
      <c r="O33" s="45">
        <f>IF($K33="","",GlobalMethod)</f>
        <v/>
      </c>
      <c r="P33" s="46">
        <f>IF(OR($K33="",$N33="",$N33=0,$M33=0),0,1-($M33/$K33)^(1/$N33))</f>
        <v/>
      </c>
      <c r="Q33" s="43">
        <f>IF($K33="","",$K33-$M33)</f>
        <v/>
      </c>
      <c r="R33" s="47">
        <f>IF($K33="","",INDEX($V33:$BA33,1,MATCH(ReportingFYEnd,$V$3:$BA$3,0)))</f>
        <v/>
      </c>
      <c r="S33" s="43">
        <f>IF($K33="","",IF($U33="Disposed",0,$K33-$T33))</f>
        <v/>
      </c>
      <c r="T33" s="48">
        <f>IF($K33="","",INDEX($V33:$BA33,1,MATCH(ReportingFYEnd,$V$3:$BA$3,0)+1))</f>
        <v/>
      </c>
      <c r="U33" s="49">
        <f>IF($K33="","",IF(AND($I33&lt;&gt;"",$I33&lt;=ReportingFYEnd),"Disposed",IF(OR($H33="",$H33&gt;ReportingFYEnd),"Not Yet in Use","Active")))</f>
        <v/>
      </c>
      <c r="V33" s="50">
        <f>IF(OR($K33="",$H33=""),"",MIN(MAX(0,IF($O33="WDV",$K33*$P33*MAX(0,(IF($I33="",V$3,MIN($I33,V$3)))-(MAX($H33,(EDATE(V$3,-12)+1)))+1)/(V$3-(EDATE(V$3,-12)+1)+1),IF($N33=0,0,$Q33/$N33*MAX(0,(IF($I33="",V$3,MIN($I33,V$3)))-(MAX($H33,(EDATE(V$3,-12)+1)))+1)/(V$3-(EDATE(V$3,-12)+1)+1)))),MAX(0,$K33-$M33)))</f>
        <v/>
      </c>
      <c r="W33" s="51">
        <f>IF($K33="","",IF(AND($I33&lt;&gt;"",$I33&lt;=V$3),0,$K33-V33))</f>
        <v/>
      </c>
      <c r="X33" s="50">
        <f>IF(OR($K33="",$H33=""),"",MIN(MAX(0,IF($O33="WDV",W33*$P33*MAX(0,(IF($I33="",X$3,MIN($I33,X$3)))-(MAX($H33,(EDATE(X$3,-12)+1)))+1)/(X$3-(EDATE(X$3,-12)+1)+1),IF($N33=0,0,$Q33/$N33*MAX(0,(IF($I33="",X$3,MIN($I33,X$3)))-(MAX($H33,(EDATE(X$3,-12)+1)))+1)/(X$3-(EDATE(X$3,-12)+1)+1)))),MAX(0,W33-$M33)))</f>
        <v/>
      </c>
      <c r="Y33" s="51">
        <f>IF($K33="","",IF(AND($I33&lt;&gt;"",$I33&lt;=X$3),0,W33-X33))</f>
        <v/>
      </c>
      <c r="Z33" s="50">
        <f>IF(OR($K33="",$H33=""),"",MIN(MAX(0,IF($O33="WDV",Y33*$P33*MAX(0,(IF($I33="",Z$3,MIN($I33,Z$3)))-(MAX($H33,(EDATE(Z$3,-12)+1)))+1)/(Z$3-(EDATE(Z$3,-12)+1)+1),IF($N33=0,0,$Q33/$N33*MAX(0,(IF($I33="",Z$3,MIN($I33,Z$3)))-(MAX($H33,(EDATE(Z$3,-12)+1)))+1)/(Z$3-(EDATE(Z$3,-12)+1)+1)))),MAX(0,Y33-$M33)))</f>
        <v/>
      </c>
      <c r="AA33" s="51">
        <f>IF($K33="","",IF(AND($I33&lt;&gt;"",$I33&lt;=Z$3),0,Y33-Z33))</f>
        <v/>
      </c>
      <c r="AB33" s="50">
        <f>IF(OR($K33="",$H33=""),"",MIN(MAX(0,IF($O33="WDV",AA33*$P33*MAX(0,(IF($I33="",AB$3,MIN($I33,AB$3)))-(MAX($H33,(EDATE(AB$3,-12)+1)))+1)/(AB$3-(EDATE(AB$3,-12)+1)+1),IF($N33=0,0,$Q33/$N33*MAX(0,(IF($I33="",AB$3,MIN($I33,AB$3)))-(MAX($H33,(EDATE(AB$3,-12)+1)))+1)/(AB$3-(EDATE(AB$3,-12)+1)+1)))),MAX(0,AA33-$M33)))</f>
        <v/>
      </c>
      <c r="AC33" s="51">
        <f>IF($K33="","",IF(AND($I33&lt;&gt;"",$I33&lt;=AB$3),0,AA33-AB33))</f>
        <v/>
      </c>
      <c r="AD33" s="50">
        <f>IF(OR($K33="",$H33=""),"",MIN(MAX(0,IF($O33="WDV",AC33*$P33*MAX(0,(IF($I33="",AD$3,MIN($I33,AD$3)))-(MAX($H33,(EDATE(AD$3,-12)+1)))+1)/(AD$3-(EDATE(AD$3,-12)+1)+1),IF($N33=0,0,$Q33/$N33*MAX(0,(IF($I33="",AD$3,MIN($I33,AD$3)))-(MAX($H33,(EDATE(AD$3,-12)+1)))+1)/(AD$3-(EDATE(AD$3,-12)+1)+1)))),MAX(0,AC33-$M33)))</f>
        <v/>
      </c>
      <c r="AE33" s="51">
        <f>IF($K33="","",IF(AND($I33&lt;&gt;"",$I33&lt;=AD$3),0,AC33-AD33))</f>
        <v/>
      </c>
      <c r="AF33" s="50">
        <f>IF(OR($K33="",$H33=""),"",MIN(MAX(0,IF($O33="WDV",AE33*$P33*MAX(0,(IF($I33="",AF$3,MIN($I33,AF$3)))-(MAX($H33,(EDATE(AF$3,-12)+1)))+1)/(AF$3-(EDATE(AF$3,-12)+1)+1),IF($N33=0,0,$Q33/$N33*MAX(0,(IF($I33="",AF$3,MIN($I33,AF$3)))-(MAX($H33,(EDATE(AF$3,-12)+1)))+1)/(AF$3-(EDATE(AF$3,-12)+1)+1)))),MAX(0,AE33-$M33)))</f>
        <v/>
      </c>
      <c r="AG33" s="51">
        <f>IF($K33="","",IF(AND($I33&lt;&gt;"",$I33&lt;=AF$3),0,AE33-AF33))</f>
        <v/>
      </c>
      <c r="AH33" s="50">
        <f>IF(OR($K33="",$H33=""),"",MIN(MAX(0,IF($O33="WDV",AG33*$P33*MAX(0,(IF($I33="",AH$3,MIN($I33,AH$3)))-(MAX($H33,(EDATE(AH$3,-12)+1)))+1)/(AH$3-(EDATE(AH$3,-12)+1)+1),IF($N33=0,0,$Q33/$N33*MAX(0,(IF($I33="",AH$3,MIN($I33,AH$3)))-(MAX($H33,(EDATE(AH$3,-12)+1)))+1)/(AH$3-(EDATE(AH$3,-12)+1)+1)))),MAX(0,AG33-$M33)))</f>
        <v/>
      </c>
      <c r="AI33" s="51">
        <f>IF($K33="","",IF(AND($I33&lt;&gt;"",$I33&lt;=AH$3),0,AG33-AH33))</f>
        <v/>
      </c>
      <c r="AJ33" s="50">
        <f>IF(OR($K33="",$H33=""),"",MIN(MAX(0,IF($O33="WDV",AI33*$P33*MAX(0,(IF($I33="",AJ$3,MIN($I33,AJ$3)))-(MAX($H33,(EDATE(AJ$3,-12)+1)))+1)/(AJ$3-(EDATE(AJ$3,-12)+1)+1),IF($N33=0,0,$Q33/$N33*MAX(0,(IF($I33="",AJ$3,MIN($I33,AJ$3)))-(MAX($H33,(EDATE(AJ$3,-12)+1)))+1)/(AJ$3-(EDATE(AJ$3,-12)+1)+1)))),MAX(0,AI33-$M33)))</f>
        <v/>
      </c>
      <c r="AK33" s="51">
        <f>IF($K33="","",IF(AND($I33&lt;&gt;"",$I33&lt;=AJ$3),0,AI33-AJ33))</f>
        <v/>
      </c>
      <c r="AL33" s="50">
        <f>IF(OR($K33="",$H33=""),"",MIN(MAX(0,IF($O33="WDV",AK33*$P33*MAX(0,(IF($I33="",AL$3,MIN($I33,AL$3)))-(MAX($H33,(EDATE(AL$3,-12)+1)))+1)/(AL$3-(EDATE(AL$3,-12)+1)+1),IF($N33=0,0,$Q33/$N33*MAX(0,(IF($I33="",AL$3,MIN($I33,AL$3)))-(MAX($H33,(EDATE(AL$3,-12)+1)))+1)/(AL$3-(EDATE(AL$3,-12)+1)+1)))),MAX(0,AK33-$M33)))</f>
        <v/>
      </c>
      <c r="AM33" s="51">
        <f>IF($K33="","",IF(AND($I33&lt;&gt;"",$I33&lt;=AL$3),0,AK33-AL33))</f>
        <v/>
      </c>
      <c r="AN33" s="50">
        <f>IF(OR($K33="",$H33=""),"",MIN(MAX(0,IF($O33="WDV",AM33*$P33*MAX(0,(IF($I33="",AN$3,MIN($I33,AN$3)))-(MAX($H33,(EDATE(AN$3,-12)+1)))+1)/(AN$3-(EDATE(AN$3,-12)+1)+1),IF($N33=0,0,$Q33/$N33*MAX(0,(IF($I33="",AN$3,MIN($I33,AN$3)))-(MAX($H33,(EDATE(AN$3,-12)+1)))+1)/(AN$3-(EDATE(AN$3,-12)+1)+1)))),MAX(0,AM33-$M33)))</f>
        <v/>
      </c>
      <c r="AO33" s="51">
        <f>IF($K33="","",IF(AND($I33&lt;&gt;"",$I33&lt;=AN$3),0,AM33-AN33))</f>
        <v/>
      </c>
      <c r="AP33" s="50">
        <f>IF(OR($K33="",$H33=""),"",MIN(MAX(0,IF($O33="WDV",AO33*$P33*MAX(0,(IF($I33="",AP$3,MIN($I33,AP$3)))-(MAX($H33,(EDATE(AP$3,-12)+1)))+1)/(AP$3-(EDATE(AP$3,-12)+1)+1),IF($N33=0,0,$Q33/$N33*MAX(0,(IF($I33="",AP$3,MIN($I33,AP$3)))-(MAX($H33,(EDATE(AP$3,-12)+1)))+1)/(AP$3-(EDATE(AP$3,-12)+1)+1)))),MAX(0,AO33-$M33)))</f>
        <v/>
      </c>
      <c r="AQ33" s="51">
        <f>IF($K33="","",IF(AND($I33&lt;&gt;"",$I33&lt;=AP$3),0,AO33-AP33))</f>
        <v/>
      </c>
      <c r="AR33" s="50">
        <f>IF(OR($K33="",$H33=""),"",MIN(MAX(0,IF($O33="WDV",AQ33*$P33*MAX(0,(IF($I33="",AR$3,MIN($I33,AR$3)))-(MAX($H33,(EDATE(AR$3,-12)+1)))+1)/(AR$3-(EDATE(AR$3,-12)+1)+1),IF($N33=0,0,$Q33/$N33*MAX(0,(IF($I33="",AR$3,MIN($I33,AR$3)))-(MAX($H33,(EDATE(AR$3,-12)+1)))+1)/(AR$3-(EDATE(AR$3,-12)+1)+1)))),MAX(0,AQ33-$M33)))</f>
        <v/>
      </c>
      <c r="AS33" s="51">
        <f>IF($K33="","",IF(AND($I33&lt;&gt;"",$I33&lt;=AR$3),0,AQ33-AR33))</f>
        <v/>
      </c>
      <c r="AT33" s="50">
        <f>IF(OR($K33="",$H33=""),"",MIN(MAX(0,IF($O33="WDV",AS33*$P33*MAX(0,(IF($I33="",AT$3,MIN($I33,AT$3)))-(MAX($H33,(EDATE(AT$3,-12)+1)))+1)/(AT$3-(EDATE(AT$3,-12)+1)+1),IF($N33=0,0,$Q33/$N33*MAX(0,(IF($I33="",AT$3,MIN($I33,AT$3)))-(MAX($H33,(EDATE(AT$3,-12)+1)))+1)/(AT$3-(EDATE(AT$3,-12)+1)+1)))),MAX(0,AS33-$M33)))</f>
        <v/>
      </c>
      <c r="AU33" s="51">
        <f>IF($K33="","",IF(AND($I33&lt;&gt;"",$I33&lt;=AT$3),0,AS33-AT33))</f>
        <v/>
      </c>
      <c r="AV33" s="50">
        <f>IF(OR($K33="",$H33=""),"",MIN(MAX(0,IF($O33="WDV",AU33*$P33*MAX(0,(IF($I33="",AV$3,MIN($I33,AV$3)))-(MAX($H33,(EDATE(AV$3,-12)+1)))+1)/(AV$3-(EDATE(AV$3,-12)+1)+1),IF($N33=0,0,$Q33/$N33*MAX(0,(IF($I33="",AV$3,MIN($I33,AV$3)))-(MAX($H33,(EDATE(AV$3,-12)+1)))+1)/(AV$3-(EDATE(AV$3,-12)+1)+1)))),MAX(0,AU33-$M33)))</f>
        <v/>
      </c>
      <c r="AW33" s="51">
        <f>IF($K33="","",IF(AND($I33&lt;&gt;"",$I33&lt;=AV$3),0,AU33-AV33))</f>
        <v/>
      </c>
      <c r="AX33" s="50">
        <f>IF(OR($K33="",$H33=""),"",MIN(MAX(0,IF($O33="WDV",AW33*$P33*MAX(0,(IF($I33="",AX$3,MIN($I33,AX$3)))-(MAX($H33,(EDATE(AX$3,-12)+1)))+1)/(AX$3-(EDATE(AX$3,-12)+1)+1),IF($N33=0,0,$Q33/$N33*MAX(0,(IF($I33="",AX$3,MIN($I33,AX$3)))-(MAX($H33,(EDATE(AX$3,-12)+1)))+1)/(AX$3-(EDATE(AX$3,-12)+1)+1)))),MAX(0,AW33-$M33)))</f>
        <v/>
      </c>
      <c r="AY33" s="51">
        <f>IF($K33="","",IF(AND($I33&lt;&gt;"",$I33&lt;=AX$3),0,AW33-AX33))</f>
        <v/>
      </c>
      <c r="AZ33" s="50">
        <f>IF(OR($K33="",$H33=""),"",MIN(MAX(0,IF($O33="WDV",AY33*$P33*MAX(0,(IF($I33="",AZ$3,MIN($I33,AZ$3)))-(MAX($H33,(EDATE(AZ$3,-12)+1)))+1)/(AZ$3-(EDATE(AZ$3,-12)+1)+1),IF($N33=0,0,$Q33/$N33*MAX(0,(IF($I33="",AZ$3,MIN($I33,AZ$3)))-(MAX($H33,(EDATE(AZ$3,-12)+1)))+1)/(AZ$3-(EDATE(AZ$3,-12)+1)+1)))),MAX(0,AY33-$M33)))</f>
        <v/>
      </c>
      <c r="BA33" s="51">
        <f>IF($K33="","",IF(AND($I33&lt;&gt;"",$I33&lt;=AZ$3),0,AY33-AZ33))</f>
        <v/>
      </c>
    </row>
    <row r="34">
      <c r="A34" s="52" t="n"/>
      <c r="B34" s="53" t="n"/>
      <c r="C34" s="53" t="n"/>
      <c r="D34" s="53" t="n"/>
      <c r="E34" s="19" t="n"/>
      <c r="F34" s="54" t="n"/>
      <c r="G34" s="55" t="n"/>
      <c r="H34" s="55" t="n"/>
      <c r="I34" s="56" t="n"/>
      <c r="J34" s="57" t="n"/>
      <c r="K34" s="58" t="n"/>
      <c r="L34" s="59">
        <f>DefaultResidual</f>
        <v/>
      </c>
      <c r="M34" s="60">
        <f>IF($K34="","",$K34*$L34)</f>
        <v/>
      </c>
      <c r="N34" s="20">
        <f>IF($C34="","",IFERROR(VLOOKUP($C34,ScheduleIITable,3,FALSE),"#N/A"))</f>
        <v/>
      </c>
      <c r="O34" s="61">
        <f>IF($K34="","",GlobalMethod)</f>
        <v/>
      </c>
      <c r="P34" s="21">
        <f>IF(OR($K34="",$N34="",$N34=0,$M34=0),0,1-($M34/$K34)^(1/$N34))</f>
        <v/>
      </c>
      <c r="Q34" s="60">
        <f>IF($K34="","",$K34-$M34)</f>
        <v/>
      </c>
      <c r="R34" s="62">
        <f>IF($K34="","",INDEX($V34:$BA34,1,MATCH(ReportingFYEnd,$V$3:$BA$3,0)))</f>
        <v/>
      </c>
      <c r="S34" s="60">
        <f>IF($K34="","",IF($U34="Disposed",0,$K34-$T34))</f>
        <v/>
      </c>
      <c r="T34" s="63">
        <f>IF($K34="","",INDEX($V34:$BA34,1,MATCH(ReportingFYEnd,$V$3:$BA$3,0)+1))</f>
        <v/>
      </c>
      <c r="U34" s="64">
        <f>IF($K34="","",IF(AND($I34&lt;&gt;"",$I34&lt;=ReportingFYEnd),"Disposed",IF(OR($H34="",$H34&gt;ReportingFYEnd),"Not Yet in Use","Active")))</f>
        <v/>
      </c>
      <c r="V34" s="65">
        <f>IF(OR($K34="",$H34=""),"",MIN(MAX(0,IF($O34="WDV",$K34*$P34*MAX(0,(IF($I34="",V$3,MIN($I34,V$3)))-(MAX($H34,(EDATE(V$3,-12)+1)))+1)/(V$3-(EDATE(V$3,-12)+1)+1),IF($N34=0,0,$Q34/$N34*MAX(0,(IF($I34="",V$3,MIN($I34,V$3)))-(MAX($H34,(EDATE(V$3,-12)+1)))+1)/(V$3-(EDATE(V$3,-12)+1)+1)))),MAX(0,$K34-$M34)))</f>
        <v/>
      </c>
      <c r="W34" s="65">
        <f>IF($K34="","",IF(AND($I34&lt;&gt;"",$I34&lt;=V$3),0,$K34-V34))</f>
        <v/>
      </c>
      <c r="X34" s="65">
        <f>IF(OR($K34="",$H34=""),"",MIN(MAX(0,IF($O34="WDV",W34*$P34*MAX(0,(IF($I34="",X$3,MIN($I34,X$3)))-(MAX($H34,(EDATE(X$3,-12)+1)))+1)/(X$3-(EDATE(X$3,-12)+1)+1),IF($N34=0,0,$Q34/$N34*MAX(0,(IF($I34="",X$3,MIN($I34,X$3)))-(MAX($H34,(EDATE(X$3,-12)+1)))+1)/(X$3-(EDATE(X$3,-12)+1)+1)))),MAX(0,W34-$M34)))</f>
        <v/>
      </c>
      <c r="Y34" s="65">
        <f>IF($K34="","",IF(AND($I34&lt;&gt;"",$I34&lt;=X$3),0,W34-X34))</f>
        <v/>
      </c>
      <c r="Z34" s="65">
        <f>IF(OR($K34="",$H34=""),"",MIN(MAX(0,IF($O34="WDV",Y34*$P34*MAX(0,(IF($I34="",Z$3,MIN($I34,Z$3)))-(MAX($H34,(EDATE(Z$3,-12)+1)))+1)/(Z$3-(EDATE(Z$3,-12)+1)+1),IF($N34=0,0,$Q34/$N34*MAX(0,(IF($I34="",Z$3,MIN($I34,Z$3)))-(MAX($H34,(EDATE(Z$3,-12)+1)))+1)/(Z$3-(EDATE(Z$3,-12)+1)+1)))),MAX(0,Y34-$M34)))</f>
        <v/>
      </c>
      <c r="AA34" s="65">
        <f>IF($K34="","",IF(AND($I34&lt;&gt;"",$I34&lt;=Z$3),0,Y34-Z34))</f>
        <v/>
      </c>
      <c r="AB34" s="65">
        <f>IF(OR($K34="",$H34=""),"",MIN(MAX(0,IF($O34="WDV",AA34*$P34*MAX(0,(IF($I34="",AB$3,MIN($I34,AB$3)))-(MAX($H34,(EDATE(AB$3,-12)+1)))+1)/(AB$3-(EDATE(AB$3,-12)+1)+1),IF($N34=0,0,$Q34/$N34*MAX(0,(IF($I34="",AB$3,MIN($I34,AB$3)))-(MAX($H34,(EDATE(AB$3,-12)+1)))+1)/(AB$3-(EDATE(AB$3,-12)+1)+1)))),MAX(0,AA34-$M34)))</f>
        <v/>
      </c>
      <c r="AC34" s="65">
        <f>IF($K34="","",IF(AND($I34&lt;&gt;"",$I34&lt;=AB$3),0,AA34-AB34))</f>
        <v/>
      </c>
      <c r="AD34" s="65">
        <f>IF(OR($K34="",$H34=""),"",MIN(MAX(0,IF($O34="WDV",AC34*$P34*MAX(0,(IF($I34="",AD$3,MIN($I34,AD$3)))-(MAX($H34,(EDATE(AD$3,-12)+1)))+1)/(AD$3-(EDATE(AD$3,-12)+1)+1),IF($N34=0,0,$Q34/$N34*MAX(0,(IF($I34="",AD$3,MIN($I34,AD$3)))-(MAX($H34,(EDATE(AD$3,-12)+1)))+1)/(AD$3-(EDATE(AD$3,-12)+1)+1)))),MAX(0,AC34-$M34)))</f>
        <v/>
      </c>
      <c r="AE34" s="65">
        <f>IF($K34="","",IF(AND($I34&lt;&gt;"",$I34&lt;=AD$3),0,AC34-AD34))</f>
        <v/>
      </c>
      <c r="AF34" s="65">
        <f>IF(OR($K34="",$H34=""),"",MIN(MAX(0,IF($O34="WDV",AE34*$P34*MAX(0,(IF($I34="",AF$3,MIN($I34,AF$3)))-(MAX($H34,(EDATE(AF$3,-12)+1)))+1)/(AF$3-(EDATE(AF$3,-12)+1)+1),IF($N34=0,0,$Q34/$N34*MAX(0,(IF($I34="",AF$3,MIN($I34,AF$3)))-(MAX($H34,(EDATE(AF$3,-12)+1)))+1)/(AF$3-(EDATE(AF$3,-12)+1)+1)))),MAX(0,AE34-$M34)))</f>
        <v/>
      </c>
      <c r="AG34" s="65">
        <f>IF($K34="","",IF(AND($I34&lt;&gt;"",$I34&lt;=AF$3),0,AE34-AF34))</f>
        <v/>
      </c>
      <c r="AH34" s="65">
        <f>IF(OR($K34="",$H34=""),"",MIN(MAX(0,IF($O34="WDV",AG34*$P34*MAX(0,(IF($I34="",AH$3,MIN($I34,AH$3)))-(MAX($H34,(EDATE(AH$3,-12)+1)))+1)/(AH$3-(EDATE(AH$3,-12)+1)+1),IF($N34=0,0,$Q34/$N34*MAX(0,(IF($I34="",AH$3,MIN($I34,AH$3)))-(MAX($H34,(EDATE(AH$3,-12)+1)))+1)/(AH$3-(EDATE(AH$3,-12)+1)+1)))),MAX(0,AG34-$M34)))</f>
        <v/>
      </c>
      <c r="AI34" s="65">
        <f>IF($K34="","",IF(AND($I34&lt;&gt;"",$I34&lt;=AH$3),0,AG34-AH34))</f>
        <v/>
      </c>
      <c r="AJ34" s="65">
        <f>IF(OR($K34="",$H34=""),"",MIN(MAX(0,IF($O34="WDV",AI34*$P34*MAX(0,(IF($I34="",AJ$3,MIN($I34,AJ$3)))-(MAX($H34,(EDATE(AJ$3,-12)+1)))+1)/(AJ$3-(EDATE(AJ$3,-12)+1)+1),IF($N34=0,0,$Q34/$N34*MAX(0,(IF($I34="",AJ$3,MIN($I34,AJ$3)))-(MAX($H34,(EDATE(AJ$3,-12)+1)))+1)/(AJ$3-(EDATE(AJ$3,-12)+1)+1)))),MAX(0,AI34-$M34)))</f>
        <v/>
      </c>
      <c r="AK34" s="65">
        <f>IF($K34="","",IF(AND($I34&lt;&gt;"",$I34&lt;=AJ$3),0,AI34-AJ34))</f>
        <v/>
      </c>
      <c r="AL34" s="65">
        <f>IF(OR($K34="",$H34=""),"",MIN(MAX(0,IF($O34="WDV",AK34*$P34*MAX(0,(IF($I34="",AL$3,MIN($I34,AL$3)))-(MAX($H34,(EDATE(AL$3,-12)+1)))+1)/(AL$3-(EDATE(AL$3,-12)+1)+1),IF($N34=0,0,$Q34/$N34*MAX(0,(IF($I34="",AL$3,MIN($I34,AL$3)))-(MAX($H34,(EDATE(AL$3,-12)+1)))+1)/(AL$3-(EDATE(AL$3,-12)+1)+1)))),MAX(0,AK34-$M34)))</f>
        <v/>
      </c>
      <c r="AM34" s="65">
        <f>IF($K34="","",IF(AND($I34&lt;&gt;"",$I34&lt;=AL$3),0,AK34-AL34))</f>
        <v/>
      </c>
      <c r="AN34" s="65">
        <f>IF(OR($K34="",$H34=""),"",MIN(MAX(0,IF($O34="WDV",AM34*$P34*MAX(0,(IF($I34="",AN$3,MIN($I34,AN$3)))-(MAX($H34,(EDATE(AN$3,-12)+1)))+1)/(AN$3-(EDATE(AN$3,-12)+1)+1),IF($N34=0,0,$Q34/$N34*MAX(0,(IF($I34="",AN$3,MIN($I34,AN$3)))-(MAX($H34,(EDATE(AN$3,-12)+1)))+1)/(AN$3-(EDATE(AN$3,-12)+1)+1)))),MAX(0,AM34-$M34)))</f>
        <v/>
      </c>
      <c r="AO34" s="65">
        <f>IF($K34="","",IF(AND($I34&lt;&gt;"",$I34&lt;=AN$3),0,AM34-AN34))</f>
        <v/>
      </c>
      <c r="AP34" s="65">
        <f>IF(OR($K34="",$H34=""),"",MIN(MAX(0,IF($O34="WDV",AO34*$P34*MAX(0,(IF($I34="",AP$3,MIN($I34,AP$3)))-(MAX($H34,(EDATE(AP$3,-12)+1)))+1)/(AP$3-(EDATE(AP$3,-12)+1)+1),IF($N34=0,0,$Q34/$N34*MAX(0,(IF($I34="",AP$3,MIN($I34,AP$3)))-(MAX($H34,(EDATE(AP$3,-12)+1)))+1)/(AP$3-(EDATE(AP$3,-12)+1)+1)))),MAX(0,AO34-$M34)))</f>
        <v/>
      </c>
      <c r="AQ34" s="65">
        <f>IF($K34="","",IF(AND($I34&lt;&gt;"",$I34&lt;=AP$3),0,AO34-AP34))</f>
        <v/>
      </c>
      <c r="AR34" s="65">
        <f>IF(OR($K34="",$H34=""),"",MIN(MAX(0,IF($O34="WDV",AQ34*$P34*MAX(0,(IF($I34="",AR$3,MIN($I34,AR$3)))-(MAX($H34,(EDATE(AR$3,-12)+1)))+1)/(AR$3-(EDATE(AR$3,-12)+1)+1),IF($N34=0,0,$Q34/$N34*MAX(0,(IF($I34="",AR$3,MIN($I34,AR$3)))-(MAX($H34,(EDATE(AR$3,-12)+1)))+1)/(AR$3-(EDATE(AR$3,-12)+1)+1)))),MAX(0,AQ34-$M34)))</f>
        <v/>
      </c>
      <c r="AS34" s="65">
        <f>IF($K34="","",IF(AND($I34&lt;&gt;"",$I34&lt;=AR$3),0,AQ34-AR34))</f>
        <v/>
      </c>
      <c r="AT34" s="65">
        <f>IF(OR($K34="",$H34=""),"",MIN(MAX(0,IF($O34="WDV",AS34*$P34*MAX(0,(IF($I34="",AT$3,MIN($I34,AT$3)))-(MAX($H34,(EDATE(AT$3,-12)+1)))+1)/(AT$3-(EDATE(AT$3,-12)+1)+1),IF($N34=0,0,$Q34/$N34*MAX(0,(IF($I34="",AT$3,MIN($I34,AT$3)))-(MAX($H34,(EDATE(AT$3,-12)+1)))+1)/(AT$3-(EDATE(AT$3,-12)+1)+1)))),MAX(0,AS34-$M34)))</f>
        <v/>
      </c>
      <c r="AU34" s="65">
        <f>IF($K34="","",IF(AND($I34&lt;&gt;"",$I34&lt;=AT$3),0,AS34-AT34))</f>
        <v/>
      </c>
      <c r="AV34" s="65">
        <f>IF(OR($K34="",$H34=""),"",MIN(MAX(0,IF($O34="WDV",AU34*$P34*MAX(0,(IF($I34="",AV$3,MIN($I34,AV$3)))-(MAX($H34,(EDATE(AV$3,-12)+1)))+1)/(AV$3-(EDATE(AV$3,-12)+1)+1),IF($N34=0,0,$Q34/$N34*MAX(0,(IF($I34="",AV$3,MIN($I34,AV$3)))-(MAX($H34,(EDATE(AV$3,-12)+1)))+1)/(AV$3-(EDATE(AV$3,-12)+1)+1)))),MAX(0,AU34-$M34)))</f>
        <v/>
      </c>
      <c r="AW34" s="65">
        <f>IF($K34="","",IF(AND($I34&lt;&gt;"",$I34&lt;=AV$3),0,AU34-AV34))</f>
        <v/>
      </c>
      <c r="AX34" s="65">
        <f>IF(OR($K34="",$H34=""),"",MIN(MAX(0,IF($O34="WDV",AW34*$P34*MAX(0,(IF($I34="",AX$3,MIN($I34,AX$3)))-(MAX($H34,(EDATE(AX$3,-12)+1)))+1)/(AX$3-(EDATE(AX$3,-12)+1)+1),IF($N34=0,0,$Q34/$N34*MAX(0,(IF($I34="",AX$3,MIN($I34,AX$3)))-(MAX($H34,(EDATE(AX$3,-12)+1)))+1)/(AX$3-(EDATE(AX$3,-12)+1)+1)))),MAX(0,AW34-$M34)))</f>
        <v/>
      </c>
      <c r="AY34" s="65">
        <f>IF($K34="","",IF(AND($I34&lt;&gt;"",$I34&lt;=AX$3),0,AW34-AX34))</f>
        <v/>
      </c>
      <c r="AZ34" s="65">
        <f>IF(OR($K34="",$H34=""),"",MIN(MAX(0,IF($O34="WDV",AY34*$P34*MAX(0,(IF($I34="",AZ$3,MIN($I34,AZ$3)))-(MAX($H34,(EDATE(AZ$3,-12)+1)))+1)/(AZ$3-(EDATE(AZ$3,-12)+1)+1),IF($N34=0,0,$Q34/$N34*MAX(0,(IF($I34="",AZ$3,MIN($I34,AZ$3)))-(MAX($H34,(EDATE(AZ$3,-12)+1)))+1)/(AZ$3-(EDATE(AZ$3,-12)+1)+1)))),MAX(0,AY34-$M34)))</f>
        <v/>
      </c>
      <c r="BA34" s="65">
        <f>IF($K34="","",IF(AND($I34&lt;&gt;"",$I34&lt;=AZ$3),0,AY34-AZ34))</f>
        <v/>
      </c>
    </row>
    <row r="35">
      <c r="A35" s="34" t="n"/>
      <c r="B35" s="35" t="n"/>
      <c r="C35" s="35" t="n"/>
      <c r="D35" s="35" t="n"/>
      <c r="E35" s="36" t="n"/>
      <c r="F35" s="37" t="n"/>
      <c r="G35" s="38" t="n"/>
      <c r="H35" s="38" t="n"/>
      <c r="I35" s="39" t="n"/>
      <c r="J35" s="40" t="n"/>
      <c r="K35" s="41" t="n"/>
      <c r="L35" s="42">
        <f>DefaultResidual</f>
        <v/>
      </c>
      <c r="M35" s="43">
        <f>IF($K35="","",$K35*$L35)</f>
        <v/>
      </c>
      <c r="N35" s="44">
        <f>IF($C35="","",IFERROR(VLOOKUP($C35,ScheduleIITable,3,FALSE),"#N/A"))</f>
        <v/>
      </c>
      <c r="O35" s="45">
        <f>IF($K35="","",GlobalMethod)</f>
        <v/>
      </c>
      <c r="P35" s="46">
        <f>IF(OR($K35="",$N35="",$N35=0,$M35=0),0,1-($M35/$K35)^(1/$N35))</f>
        <v/>
      </c>
      <c r="Q35" s="43">
        <f>IF($K35="","",$K35-$M35)</f>
        <v/>
      </c>
      <c r="R35" s="47">
        <f>IF($K35="","",INDEX($V35:$BA35,1,MATCH(ReportingFYEnd,$V$3:$BA$3,0)))</f>
        <v/>
      </c>
      <c r="S35" s="43">
        <f>IF($K35="","",IF($U35="Disposed",0,$K35-$T35))</f>
        <v/>
      </c>
      <c r="T35" s="48">
        <f>IF($K35="","",INDEX($V35:$BA35,1,MATCH(ReportingFYEnd,$V$3:$BA$3,0)+1))</f>
        <v/>
      </c>
      <c r="U35" s="49">
        <f>IF($K35="","",IF(AND($I35&lt;&gt;"",$I35&lt;=ReportingFYEnd),"Disposed",IF(OR($H35="",$H35&gt;ReportingFYEnd),"Not Yet in Use","Active")))</f>
        <v/>
      </c>
      <c r="V35" s="50">
        <f>IF(OR($K35="",$H35=""),"",MIN(MAX(0,IF($O35="WDV",$K35*$P35*MAX(0,(IF($I35="",V$3,MIN($I35,V$3)))-(MAX($H35,(EDATE(V$3,-12)+1)))+1)/(V$3-(EDATE(V$3,-12)+1)+1),IF($N35=0,0,$Q35/$N35*MAX(0,(IF($I35="",V$3,MIN($I35,V$3)))-(MAX($H35,(EDATE(V$3,-12)+1)))+1)/(V$3-(EDATE(V$3,-12)+1)+1)))),MAX(0,$K35-$M35)))</f>
        <v/>
      </c>
      <c r="W35" s="51">
        <f>IF($K35="","",IF(AND($I35&lt;&gt;"",$I35&lt;=V$3),0,$K35-V35))</f>
        <v/>
      </c>
      <c r="X35" s="50">
        <f>IF(OR($K35="",$H35=""),"",MIN(MAX(0,IF($O35="WDV",W35*$P35*MAX(0,(IF($I35="",X$3,MIN($I35,X$3)))-(MAX($H35,(EDATE(X$3,-12)+1)))+1)/(X$3-(EDATE(X$3,-12)+1)+1),IF($N35=0,0,$Q35/$N35*MAX(0,(IF($I35="",X$3,MIN($I35,X$3)))-(MAX($H35,(EDATE(X$3,-12)+1)))+1)/(X$3-(EDATE(X$3,-12)+1)+1)))),MAX(0,W35-$M35)))</f>
        <v/>
      </c>
      <c r="Y35" s="51">
        <f>IF($K35="","",IF(AND($I35&lt;&gt;"",$I35&lt;=X$3),0,W35-X35))</f>
        <v/>
      </c>
      <c r="Z35" s="50">
        <f>IF(OR($K35="",$H35=""),"",MIN(MAX(0,IF($O35="WDV",Y35*$P35*MAX(0,(IF($I35="",Z$3,MIN($I35,Z$3)))-(MAX($H35,(EDATE(Z$3,-12)+1)))+1)/(Z$3-(EDATE(Z$3,-12)+1)+1),IF($N35=0,0,$Q35/$N35*MAX(0,(IF($I35="",Z$3,MIN($I35,Z$3)))-(MAX($H35,(EDATE(Z$3,-12)+1)))+1)/(Z$3-(EDATE(Z$3,-12)+1)+1)))),MAX(0,Y35-$M35)))</f>
        <v/>
      </c>
      <c r="AA35" s="51">
        <f>IF($K35="","",IF(AND($I35&lt;&gt;"",$I35&lt;=Z$3),0,Y35-Z35))</f>
        <v/>
      </c>
      <c r="AB35" s="50">
        <f>IF(OR($K35="",$H35=""),"",MIN(MAX(0,IF($O35="WDV",AA35*$P35*MAX(0,(IF($I35="",AB$3,MIN($I35,AB$3)))-(MAX($H35,(EDATE(AB$3,-12)+1)))+1)/(AB$3-(EDATE(AB$3,-12)+1)+1),IF($N35=0,0,$Q35/$N35*MAX(0,(IF($I35="",AB$3,MIN($I35,AB$3)))-(MAX($H35,(EDATE(AB$3,-12)+1)))+1)/(AB$3-(EDATE(AB$3,-12)+1)+1)))),MAX(0,AA35-$M35)))</f>
        <v/>
      </c>
      <c r="AC35" s="51">
        <f>IF($K35="","",IF(AND($I35&lt;&gt;"",$I35&lt;=AB$3),0,AA35-AB35))</f>
        <v/>
      </c>
      <c r="AD35" s="50">
        <f>IF(OR($K35="",$H35=""),"",MIN(MAX(0,IF($O35="WDV",AC35*$P35*MAX(0,(IF($I35="",AD$3,MIN($I35,AD$3)))-(MAX($H35,(EDATE(AD$3,-12)+1)))+1)/(AD$3-(EDATE(AD$3,-12)+1)+1),IF($N35=0,0,$Q35/$N35*MAX(0,(IF($I35="",AD$3,MIN($I35,AD$3)))-(MAX($H35,(EDATE(AD$3,-12)+1)))+1)/(AD$3-(EDATE(AD$3,-12)+1)+1)))),MAX(0,AC35-$M35)))</f>
        <v/>
      </c>
      <c r="AE35" s="51">
        <f>IF($K35="","",IF(AND($I35&lt;&gt;"",$I35&lt;=AD$3),0,AC35-AD35))</f>
        <v/>
      </c>
      <c r="AF35" s="50">
        <f>IF(OR($K35="",$H35=""),"",MIN(MAX(0,IF($O35="WDV",AE35*$P35*MAX(0,(IF($I35="",AF$3,MIN($I35,AF$3)))-(MAX($H35,(EDATE(AF$3,-12)+1)))+1)/(AF$3-(EDATE(AF$3,-12)+1)+1),IF($N35=0,0,$Q35/$N35*MAX(0,(IF($I35="",AF$3,MIN($I35,AF$3)))-(MAX($H35,(EDATE(AF$3,-12)+1)))+1)/(AF$3-(EDATE(AF$3,-12)+1)+1)))),MAX(0,AE35-$M35)))</f>
        <v/>
      </c>
      <c r="AG35" s="51">
        <f>IF($K35="","",IF(AND($I35&lt;&gt;"",$I35&lt;=AF$3),0,AE35-AF35))</f>
        <v/>
      </c>
      <c r="AH35" s="50">
        <f>IF(OR($K35="",$H35=""),"",MIN(MAX(0,IF($O35="WDV",AG35*$P35*MAX(0,(IF($I35="",AH$3,MIN($I35,AH$3)))-(MAX($H35,(EDATE(AH$3,-12)+1)))+1)/(AH$3-(EDATE(AH$3,-12)+1)+1),IF($N35=0,0,$Q35/$N35*MAX(0,(IF($I35="",AH$3,MIN($I35,AH$3)))-(MAX($H35,(EDATE(AH$3,-12)+1)))+1)/(AH$3-(EDATE(AH$3,-12)+1)+1)))),MAX(0,AG35-$M35)))</f>
        <v/>
      </c>
      <c r="AI35" s="51">
        <f>IF($K35="","",IF(AND($I35&lt;&gt;"",$I35&lt;=AH$3),0,AG35-AH35))</f>
        <v/>
      </c>
      <c r="AJ35" s="50">
        <f>IF(OR($K35="",$H35=""),"",MIN(MAX(0,IF($O35="WDV",AI35*$P35*MAX(0,(IF($I35="",AJ$3,MIN($I35,AJ$3)))-(MAX($H35,(EDATE(AJ$3,-12)+1)))+1)/(AJ$3-(EDATE(AJ$3,-12)+1)+1),IF($N35=0,0,$Q35/$N35*MAX(0,(IF($I35="",AJ$3,MIN($I35,AJ$3)))-(MAX($H35,(EDATE(AJ$3,-12)+1)))+1)/(AJ$3-(EDATE(AJ$3,-12)+1)+1)))),MAX(0,AI35-$M35)))</f>
        <v/>
      </c>
      <c r="AK35" s="51">
        <f>IF($K35="","",IF(AND($I35&lt;&gt;"",$I35&lt;=AJ$3),0,AI35-AJ35))</f>
        <v/>
      </c>
      <c r="AL35" s="50">
        <f>IF(OR($K35="",$H35=""),"",MIN(MAX(0,IF($O35="WDV",AK35*$P35*MAX(0,(IF($I35="",AL$3,MIN($I35,AL$3)))-(MAX($H35,(EDATE(AL$3,-12)+1)))+1)/(AL$3-(EDATE(AL$3,-12)+1)+1),IF($N35=0,0,$Q35/$N35*MAX(0,(IF($I35="",AL$3,MIN($I35,AL$3)))-(MAX($H35,(EDATE(AL$3,-12)+1)))+1)/(AL$3-(EDATE(AL$3,-12)+1)+1)))),MAX(0,AK35-$M35)))</f>
        <v/>
      </c>
      <c r="AM35" s="51">
        <f>IF($K35="","",IF(AND($I35&lt;&gt;"",$I35&lt;=AL$3),0,AK35-AL35))</f>
        <v/>
      </c>
      <c r="AN35" s="50">
        <f>IF(OR($K35="",$H35=""),"",MIN(MAX(0,IF($O35="WDV",AM35*$P35*MAX(0,(IF($I35="",AN$3,MIN($I35,AN$3)))-(MAX($H35,(EDATE(AN$3,-12)+1)))+1)/(AN$3-(EDATE(AN$3,-12)+1)+1),IF($N35=0,0,$Q35/$N35*MAX(0,(IF($I35="",AN$3,MIN($I35,AN$3)))-(MAX($H35,(EDATE(AN$3,-12)+1)))+1)/(AN$3-(EDATE(AN$3,-12)+1)+1)))),MAX(0,AM35-$M35)))</f>
        <v/>
      </c>
      <c r="AO35" s="51">
        <f>IF($K35="","",IF(AND($I35&lt;&gt;"",$I35&lt;=AN$3),0,AM35-AN35))</f>
        <v/>
      </c>
      <c r="AP35" s="50">
        <f>IF(OR($K35="",$H35=""),"",MIN(MAX(0,IF($O35="WDV",AO35*$P35*MAX(0,(IF($I35="",AP$3,MIN($I35,AP$3)))-(MAX($H35,(EDATE(AP$3,-12)+1)))+1)/(AP$3-(EDATE(AP$3,-12)+1)+1),IF($N35=0,0,$Q35/$N35*MAX(0,(IF($I35="",AP$3,MIN($I35,AP$3)))-(MAX($H35,(EDATE(AP$3,-12)+1)))+1)/(AP$3-(EDATE(AP$3,-12)+1)+1)))),MAX(0,AO35-$M35)))</f>
        <v/>
      </c>
      <c r="AQ35" s="51">
        <f>IF($K35="","",IF(AND($I35&lt;&gt;"",$I35&lt;=AP$3),0,AO35-AP35))</f>
        <v/>
      </c>
      <c r="AR35" s="50">
        <f>IF(OR($K35="",$H35=""),"",MIN(MAX(0,IF($O35="WDV",AQ35*$P35*MAX(0,(IF($I35="",AR$3,MIN($I35,AR$3)))-(MAX($H35,(EDATE(AR$3,-12)+1)))+1)/(AR$3-(EDATE(AR$3,-12)+1)+1),IF($N35=0,0,$Q35/$N35*MAX(0,(IF($I35="",AR$3,MIN($I35,AR$3)))-(MAX($H35,(EDATE(AR$3,-12)+1)))+1)/(AR$3-(EDATE(AR$3,-12)+1)+1)))),MAX(0,AQ35-$M35)))</f>
        <v/>
      </c>
      <c r="AS35" s="51">
        <f>IF($K35="","",IF(AND($I35&lt;&gt;"",$I35&lt;=AR$3),0,AQ35-AR35))</f>
        <v/>
      </c>
      <c r="AT35" s="50">
        <f>IF(OR($K35="",$H35=""),"",MIN(MAX(0,IF($O35="WDV",AS35*$P35*MAX(0,(IF($I35="",AT$3,MIN($I35,AT$3)))-(MAX($H35,(EDATE(AT$3,-12)+1)))+1)/(AT$3-(EDATE(AT$3,-12)+1)+1),IF($N35=0,0,$Q35/$N35*MAX(0,(IF($I35="",AT$3,MIN($I35,AT$3)))-(MAX($H35,(EDATE(AT$3,-12)+1)))+1)/(AT$3-(EDATE(AT$3,-12)+1)+1)))),MAX(0,AS35-$M35)))</f>
        <v/>
      </c>
      <c r="AU35" s="51">
        <f>IF($K35="","",IF(AND($I35&lt;&gt;"",$I35&lt;=AT$3),0,AS35-AT35))</f>
        <v/>
      </c>
      <c r="AV35" s="50">
        <f>IF(OR($K35="",$H35=""),"",MIN(MAX(0,IF($O35="WDV",AU35*$P35*MAX(0,(IF($I35="",AV$3,MIN($I35,AV$3)))-(MAX($H35,(EDATE(AV$3,-12)+1)))+1)/(AV$3-(EDATE(AV$3,-12)+1)+1),IF($N35=0,0,$Q35/$N35*MAX(0,(IF($I35="",AV$3,MIN($I35,AV$3)))-(MAX($H35,(EDATE(AV$3,-12)+1)))+1)/(AV$3-(EDATE(AV$3,-12)+1)+1)))),MAX(0,AU35-$M35)))</f>
        <v/>
      </c>
      <c r="AW35" s="51">
        <f>IF($K35="","",IF(AND($I35&lt;&gt;"",$I35&lt;=AV$3),0,AU35-AV35))</f>
        <v/>
      </c>
      <c r="AX35" s="50">
        <f>IF(OR($K35="",$H35=""),"",MIN(MAX(0,IF($O35="WDV",AW35*$P35*MAX(0,(IF($I35="",AX$3,MIN($I35,AX$3)))-(MAX($H35,(EDATE(AX$3,-12)+1)))+1)/(AX$3-(EDATE(AX$3,-12)+1)+1),IF($N35=0,0,$Q35/$N35*MAX(0,(IF($I35="",AX$3,MIN($I35,AX$3)))-(MAX($H35,(EDATE(AX$3,-12)+1)))+1)/(AX$3-(EDATE(AX$3,-12)+1)+1)))),MAX(0,AW35-$M35)))</f>
        <v/>
      </c>
      <c r="AY35" s="51">
        <f>IF($K35="","",IF(AND($I35&lt;&gt;"",$I35&lt;=AX$3),0,AW35-AX35))</f>
        <v/>
      </c>
      <c r="AZ35" s="50">
        <f>IF(OR($K35="",$H35=""),"",MIN(MAX(0,IF($O35="WDV",AY35*$P35*MAX(0,(IF($I35="",AZ$3,MIN($I35,AZ$3)))-(MAX($H35,(EDATE(AZ$3,-12)+1)))+1)/(AZ$3-(EDATE(AZ$3,-12)+1)+1),IF($N35=0,0,$Q35/$N35*MAX(0,(IF($I35="",AZ$3,MIN($I35,AZ$3)))-(MAX($H35,(EDATE(AZ$3,-12)+1)))+1)/(AZ$3-(EDATE(AZ$3,-12)+1)+1)))),MAX(0,AY35-$M35)))</f>
        <v/>
      </c>
      <c r="BA35" s="51">
        <f>IF($K35="","",IF(AND($I35&lt;&gt;"",$I35&lt;=AZ$3),0,AY35-AZ35))</f>
        <v/>
      </c>
    </row>
    <row r="36">
      <c r="A36" s="52" t="n"/>
      <c r="B36" s="53" t="n"/>
      <c r="C36" s="53" t="n"/>
      <c r="D36" s="53" t="n"/>
      <c r="E36" s="19" t="n"/>
      <c r="F36" s="54" t="n"/>
      <c r="G36" s="55" t="n"/>
      <c r="H36" s="55" t="n"/>
      <c r="I36" s="56" t="n"/>
      <c r="J36" s="57" t="n"/>
      <c r="K36" s="58" t="n"/>
      <c r="L36" s="59">
        <f>DefaultResidual</f>
        <v/>
      </c>
      <c r="M36" s="60">
        <f>IF($K36="","",$K36*$L36)</f>
        <v/>
      </c>
      <c r="N36" s="20">
        <f>IF($C36="","",IFERROR(VLOOKUP($C36,ScheduleIITable,3,FALSE),"#N/A"))</f>
        <v/>
      </c>
      <c r="O36" s="61">
        <f>IF($K36="","",GlobalMethod)</f>
        <v/>
      </c>
      <c r="P36" s="21">
        <f>IF(OR($K36="",$N36="",$N36=0,$M36=0),0,1-($M36/$K36)^(1/$N36))</f>
        <v/>
      </c>
      <c r="Q36" s="60">
        <f>IF($K36="","",$K36-$M36)</f>
        <v/>
      </c>
      <c r="R36" s="62">
        <f>IF($K36="","",INDEX($V36:$BA36,1,MATCH(ReportingFYEnd,$V$3:$BA$3,0)))</f>
        <v/>
      </c>
      <c r="S36" s="60">
        <f>IF($K36="","",IF($U36="Disposed",0,$K36-$T36))</f>
        <v/>
      </c>
      <c r="T36" s="63">
        <f>IF($K36="","",INDEX($V36:$BA36,1,MATCH(ReportingFYEnd,$V$3:$BA$3,0)+1))</f>
        <v/>
      </c>
      <c r="U36" s="64">
        <f>IF($K36="","",IF(AND($I36&lt;&gt;"",$I36&lt;=ReportingFYEnd),"Disposed",IF(OR($H36="",$H36&gt;ReportingFYEnd),"Not Yet in Use","Active")))</f>
        <v/>
      </c>
      <c r="V36" s="65">
        <f>IF(OR($K36="",$H36=""),"",MIN(MAX(0,IF($O36="WDV",$K36*$P36*MAX(0,(IF($I36="",V$3,MIN($I36,V$3)))-(MAX($H36,(EDATE(V$3,-12)+1)))+1)/(V$3-(EDATE(V$3,-12)+1)+1),IF($N36=0,0,$Q36/$N36*MAX(0,(IF($I36="",V$3,MIN($I36,V$3)))-(MAX($H36,(EDATE(V$3,-12)+1)))+1)/(V$3-(EDATE(V$3,-12)+1)+1)))),MAX(0,$K36-$M36)))</f>
        <v/>
      </c>
      <c r="W36" s="65">
        <f>IF($K36="","",IF(AND($I36&lt;&gt;"",$I36&lt;=V$3),0,$K36-V36))</f>
        <v/>
      </c>
      <c r="X36" s="65">
        <f>IF(OR($K36="",$H36=""),"",MIN(MAX(0,IF($O36="WDV",W36*$P36*MAX(0,(IF($I36="",X$3,MIN($I36,X$3)))-(MAX($H36,(EDATE(X$3,-12)+1)))+1)/(X$3-(EDATE(X$3,-12)+1)+1),IF($N36=0,0,$Q36/$N36*MAX(0,(IF($I36="",X$3,MIN($I36,X$3)))-(MAX($H36,(EDATE(X$3,-12)+1)))+1)/(X$3-(EDATE(X$3,-12)+1)+1)))),MAX(0,W36-$M36)))</f>
        <v/>
      </c>
      <c r="Y36" s="65">
        <f>IF($K36="","",IF(AND($I36&lt;&gt;"",$I36&lt;=X$3),0,W36-X36))</f>
        <v/>
      </c>
      <c r="Z36" s="65">
        <f>IF(OR($K36="",$H36=""),"",MIN(MAX(0,IF($O36="WDV",Y36*$P36*MAX(0,(IF($I36="",Z$3,MIN($I36,Z$3)))-(MAX($H36,(EDATE(Z$3,-12)+1)))+1)/(Z$3-(EDATE(Z$3,-12)+1)+1),IF($N36=0,0,$Q36/$N36*MAX(0,(IF($I36="",Z$3,MIN($I36,Z$3)))-(MAX($H36,(EDATE(Z$3,-12)+1)))+1)/(Z$3-(EDATE(Z$3,-12)+1)+1)))),MAX(0,Y36-$M36)))</f>
        <v/>
      </c>
      <c r="AA36" s="65">
        <f>IF($K36="","",IF(AND($I36&lt;&gt;"",$I36&lt;=Z$3),0,Y36-Z36))</f>
        <v/>
      </c>
      <c r="AB36" s="65">
        <f>IF(OR($K36="",$H36=""),"",MIN(MAX(0,IF($O36="WDV",AA36*$P36*MAX(0,(IF($I36="",AB$3,MIN($I36,AB$3)))-(MAX($H36,(EDATE(AB$3,-12)+1)))+1)/(AB$3-(EDATE(AB$3,-12)+1)+1),IF($N36=0,0,$Q36/$N36*MAX(0,(IF($I36="",AB$3,MIN($I36,AB$3)))-(MAX($H36,(EDATE(AB$3,-12)+1)))+1)/(AB$3-(EDATE(AB$3,-12)+1)+1)))),MAX(0,AA36-$M36)))</f>
        <v/>
      </c>
      <c r="AC36" s="65">
        <f>IF($K36="","",IF(AND($I36&lt;&gt;"",$I36&lt;=AB$3),0,AA36-AB36))</f>
        <v/>
      </c>
      <c r="AD36" s="65">
        <f>IF(OR($K36="",$H36=""),"",MIN(MAX(0,IF($O36="WDV",AC36*$P36*MAX(0,(IF($I36="",AD$3,MIN($I36,AD$3)))-(MAX($H36,(EDATE(AD$3,-12)+1)))+1)/(AD$3-(EDATE(AD$3,-12)+1)+1),IF($N36=0,0,$Q36/$N36*MAX(0,(IF($I36="",AD$3,MIN($I36,AD$3)))-(MAX($H36,(EDATE(AD$3,-12)+1)))+1)/(AD$3-(EDATE(AD$3,-12)+1)+1)))),MAX(0,AC36-$M36)))</f>
        <v/>
      </c>
      <c r="AE36" s="65">
        <f>IF($K36="","",IF(AND($I36&lt;&gt;"",$I36&lt;=AD$3),0,AC36-AD36))</f>
        <v/>
      </c>
      <c r="AF36" s="65">
        <f>IF(OR($K36="",$H36=""),"",MIN(MAX(0,IF($O36="WDV",AE36*$P36*MAX(0,(IF($I36="",AF$3,MIN($I36,AF$3)))-(MAX($H36,(EDATE(AF$3,-12)+1)))+1)/(AF$3-(EDATE(AF$3,-12)+1)+1),IF($N36=0,0,$Q36/$N36*MAX(0,(IF($I36="",AF$3,MIN($I36,AF$3)))-(MAX($H36,(EDATE(AF$3,-12)+1)))+1)/(AF$3-(EDATE(AF$3,-12)+1)+1)))),MAX(0,AE36-$M36)))</f>
        <v/>
      </c>
      <c r="AG36" s="65">
        <f>IF($K36="","",IF(AND($I36&lt;&gt;"",$I36&lt;=AF$3),0,AE36-AF36))</f>
        <v/>
      </c>
      <c r="AH36" s="65">
        <f>IF(OR($K36="",$H36=""),"",MIN(MAX(0,IF($O36="WDV",AG36*$P36*MAX(0,(IF($I36="",AH$3,MIN($I36,AH$3)))-(MAX($H36,(EDATE(AH$3,-12)+1)))+1)/(AH$3-(EDATE(AH$3,-12)+1)+1),IF($N36=0,0,$Q36/$N36*MAX(0,(IF($I36="",AH$3,MIN($I36,AH$3)))-(MAX($H36,(EDATE(AH$3,-12)+1)))+1)/(AH$3-(EDATE(AH$3,-12)+1)+1)))),MAX(0,AG36-$M36)))</f>
        <v/>
      </c>
      <c r="AI36" s="65">
        <f>IF($K36="","",IF(AND($I36&lt;&gt;"",$I36&lt;=AH$3),0,AG36-AH36))</f>
        <v/>
      </c>
      <c r="AJ36" s="65">
        <f>IF(OR($K36="",$H36=""),"",MIN(MAX(0,IF($O36="WDV",AI36*$P36*MAX(0,(IF($I36="",AJ$3,MIN($I36,AJ$3)))-(MAX($H36,(EDATE(AJ$3,-12)+1)))+1)/(AJ$3-(EDATE(AJ$3,-12)+1)+1),IF($N36=0,0,$Q36/$N36*MAX(0,(IF($I36="",AJ$3,MIN($I36,AJ$3)))-(MAX($H36,(EDATE(AJ$3,-12)+1)))+1)/(AJ$3-(EDATE(AJ$3,-12)+1)+1)))),MAX(0,AI36-$M36)))</f>
        <v/>
      </c>
      <c r="AK36" s="65">
        <f>IF($K36="","",IF(AND($I36&lt;&gt;"",$I36&lt;=AJ$3),0,AI36-AJ36))</f>
        <v/>
      </c>
      <c r="AL36" s="65">
        <f>IF(OR($K36="",$H36=""),"",MIN(MAX(0,IF($O36="WDV",AK36*$P36*MAX(0,(IF($I36="",AL$3,MIN($I36,AL$3)))-(MAX($H36,(EDATE(AL$3,-12)+1)))+1)/(AL$3-(EDATE(AL$3,-12)+1)+1),IF($N36=0,0,$Q36/$N36*MAX(0,(IF($I36="",AL$3,MIN($I36,AL$3)))-(MAX($H36,(EDATE(AL$3,-12)+1)))+1)/(AL$3-(EDATE(AL$3,-12)+1)+1)))),MAX(0,AK36-$M36)))</f>
        <v/>
      </c>
      <c r="AM36" s="65">
        <f>IF($K36="","",IF(AND($I36&lt;&gt;"",$I36&lt;=AL$3),0,AK36-AL36))</f>
        <v/>
      </c>
      <c r="AN36" s="65">
        <f>IF(OR($K36="",$H36=""),"",MIN(MAX(0,IF($O36="WDV",AM36*$P36*MAX(0,(IF($I36="",AN$3,MIN($I36,AN$3)))-(MAX($H36,(EDATE(AN$3,-12)+1)))+1)/(AN$3-(EDATE(AN$3,-12)+1)+1),IF($N36=0,0,$Q36/$N36*MAX(0,(IF($I36="",AN$3,MIN($I36,AN$3)))-(MAX($H36,(EDATE(AN$3,-12)+1)))+1)/(AN$3-(EDATE(AN$3,-12)+1)+1)))),MAX(0,AM36-$M36)))</f>
        <v/>
      </c>
      <c r="AO36" s="65">
        <f>IF($K36="","",IF(AND($I36&lt;&gt;"",$I36&lt;=AN$3),0,AM36-AN36))</f>
        <v/>
      </c>
      <c r="AP36" s="65">
        <f>IF(OR($K36="",$H36=""),"",MIN(MAX(0,IF($O36="WDV",AO36*$P36*MAX(0,(IF($I36="",AP$3,MIN($I36,AP$3)))-(MAX($H36,(EDATE(AP$3,-12)+1)))+1)/(AP$3-(EDATE(AP$3,-12)+1)+1),IF($N36=0,0,$Q36/$N36*MAX(0,(IF($I36="",AP$3,MIN($I36,AP$3)))-(MAX($H36,(EDATE(AP$3,-12)+1)))+1)/(AP$3-(EDATE(AP$3,-12)+1)+1)))),MAX(0,AO36-$M36)))</f>
        <v/>
      </c>
      <c r="AQ36" s="65">
        <f>IF($K36="","",IF(AND($I36&lt;&gt;"",$I36&lt;=AP$3),0,AO36-AP36))</f>
        <v/>
      </c>
      <c r="AR36" s="65">
        <f>IF(OR($K36="",$H36=""),"",MIN(MAX(0,IF($O36="WDV",AQ36*$P36*MAX(0,(IF($I36="",AR$3,MIN($I36,AR$3)))-(MAX($H36,(EDATE(AR$3,-12)+1)))+1)/(AR$3-(EDATE(AR$3,-12)+1)+1),IF($N36=0,0,$Q36/$N36*MAX(0,(IF($I36="",AR$3,MIN($I36,AR$3)))-(MAX($H36,(EDATE(AR$3,-12)+1)))+1)/(AR$3-(EDATE(AR$3,-12)+1)+1)))),MAX(0,AQ36-$M36)))</f>
        <v/>
      </c>
      <c r="AS36" s="65">
        <f>IF($K36="","",IF(AND($I36&lt;&gt;"",$I36&lt;=AR$3),0,AQ36-AR36))</f>
        <v/>
      </c>
      <c r="AT36" s="65">
        <f>IF(OR($K36="",$H36=""),"",MIN(MAX(0,IF($O36="WDV",AS36*$P36*MAX(0,(IF($I36="",AT$3,MIN($I36,AT$3)))-(MAX($H36,(EDATE(AT$3,-12)+1)))+1)/(AT$3-(EDATE(AT$3,-12)+1)+1),IF($N36=0,0,$Q36/$N36*MAX(0,(IF($I36="",AT$3,MIN($I36,AT$3)))-(MAX($H36,(EDATE(AT$3,-12)+1)))+1)/(AT$3-(EDATE(AT$3,-12)+1)+1)))),MAX(0,AS36-$M36)))</f>
        <v/>
      </c>
      <c r="AU36" s="65">
        <f>IF($K36="","",IF(AND($I36&lt;&gt;"",$I36&lt;=AT$3),0,AS36-AT36))</f>
        <v/>
      </c>
      <c r="AV36" s="65">
        <f>IF(OR($K36="",$H36=""),"",MIN(MAX(0,IF($O36="WDV",AU36*$P36*MAX(0,(IF($I36="",AV$3,MIN($I36,AV$3)))-(MAX($H36,(EDATE(AV$3,-12)+1)))+1)/(AV$3-(EDATE(AV$3,-12)+1)+1),IF($N36=0,0,$Q36/$N36*MAX(0,(IF($I36="",AV$3,MIN($I36,AV$3)))-(MAX($H36,(EDATE(AV$3,-12)+1)))+1)/(AV$3-(EDATE(AV$3,-12)+1)+1)))),MAX(0,AU36-$M36)))</f>
        <v/>
      </c>
      <c r="AW36" s="65">
        <f>IF($K36="","",IF(AND($I36&lt;&gt;"",$I36&lt;=AV$3),0,AU36-AV36))</f>
        <v/>
      </c>
      <c r="AX36" s="65">
        <f>IF(OR($K36="",$H36=""),"",MIN(MAX(0,IF($O36="WDV",AW36*$P36*MAX(0,(IF($I36="",AX$3,MIN($I36,AX$3)))-(MAX($H36,(EDATE(AX$3,-12)+1)))+1)/(AX$3-(EDATE(AX$3,-12)+1)+1),IF($N36=0,0,$Q36/$N36*MAX(0,(IF($I36="",AX$3,MIN($I36,AX$3)))-(MAX($H36,(EDATE(AX$3,-12)+1)))+1)/(AX$3-(EDATE(AX$3,-12)+1)+1)))),MAX(0,AW36-$M36)))</f>
        <v/>
      </c>
      <c r="AY36" s="65">
        <f>IF($K36="","",IF(AND($I36&lt;&gt;"",$I36&lt;=AX$3),0,AW36-AX36))</f>
        <v/>
      </c>
      <c r="AZ36" s="65">
        <f>IF(OR($K36="",$H36=""),"",MIN(MAX(0,IF($O36="WDV",AY36*$P36*MAX(0,(IF($I36="",AZ$3,MIN($I36,AZ$3)))-(MAX($H36,(EDATE(AZ$3,-12)+1)))+1)/(AZ$3-(EDATE(AZ$3,-12)+1)+1),IF($N36=0,0,$Q36/$N36*MAX(0,(IF($I36="",AZ$3,MIN($I36,AZ$3)))-(MAX($H36,(EDATE(AZ$3,-12)+1)))+1)/(AZ$3-(EDATE(AZ$3,-12)+1)+1)))),MAX(0,AY36-$M36)))</f>
        <v/>
      </c>
      <c r="BA36" s="65">
        <f>IF($K36="","",IF(AND($I36&lt;&gt;"",$I36&lt;=AZ$3),0,AY36-AZ36))</f>
        <v/>
      </c>
    </row>
    <row r="37">
      <c r="A37" s="34" t="n"/>
      <c r="B37" s="35" t="n"/>
      <c r="C37" s="35" t="n"/>
      <c r="D37" s="35" t="n"/>
      <c r="E37" s="36" t="n"/>
      <c r="F37" s="37" t="n"/>
      <c r="G37" s="38" t="n"/>
      <c r="H37" s="38" t="n"/>
      <c r="I37" s="39" t="n"/>
      <c r="J37" s="40" t="n"/>
      <c r="K37" s="41" t="n"/>
      <c r="L37" s="42">
        <f>DefaultResidual</f>
        <v/>
      </c>
      <c r="M37" s="43">
        <f>IF($K37="","",$K37*$L37)</f>
        <v/>
      </c>
      <c r="N37" s="44">
        <f>IF($C37="","",IFERROR(VLOOKUP($C37,ScheduleIITable,3,FALSE),"#N/A"))</f>
        <v/>
      </c>
      <c r="O37" s="45">
        <f>IF($K37="","",GlobalMethod)</f>
        <v/>
      </c>
      <c r="P37" s="46">
        <f>IF(OR($K37="",$N37="",$N37=0,$M37=0),0,1-($M37/$K37)^(1/$N37))</f>
        <v/>
      </c>
      <c r="Q37" s="43">
        <f>IF($K37="","",$K37-$M37)</f>
        <v/>
      </c>
      <c r="R37" s="47">
        <f>IF($K37="","",INDEX($V37:$BA37,1,MATCH(ReportingFYEnd,$V$3:$BA$3,0)))</f>
        <v/>
      </c>
      <c r="S37" s="43">
        <f>IF($K37="","",IF($U37="Disposed",0,$K37-$T37))</f>
        <v/>
      </c>
      <c r="T37" s="48">
        <f>IF($K37="","",INDEX($V37:$BA37,1,MATCH(ReportingFYEnd,$V$3:$BA$3,0)+1))</f>
        <v/>
      </c>
      <c r="U37" s="49">
        <f>IF($K37="","",IF(AND($I37&lt;&gt;"",$I37&lt;=ReportingFYEnd),"Disposed",IF(OR($H37="",$H37&gt;ReportingFYEnd),"Not Yet in Use","Active")))</f>
        <v/>
      </c>
      <c r="V37" s="50">
        <f>IF(OR($K37="",$H37=""),"",MIN(MAX(0,IF($O37="WDV",$K37*$P37*MAX(0,(IF($I37="",V$3,MIN($I37,V$3)))-(MAX($H37,(EDATE(V$3,-12)+1)))+1)/(V$3-(EDATE(V$3,-12)+1)+1),IF($N37=0,0,$Q37/$N37*MAX(0,(IF($I37="",V$3,MIN($I37,V$3)))-(MAX($H37,(EDATE(V$3,-12)+1)))+1)/(V$3-(EDATE(V$3,-12)+1)+1)))),MAX(0,$K37-$M37)))</f>
        <v/>
      </c>
      <c r="W37" s="51">
        <f>IF($K37="","",IF(AND($I37&lt;&gt;"",$I37&lt;=V$3),0,$K37-V37))</f>
        <v/>
      </c>
      <c r="X37" s="50">
        <f>IF(OR($K37="",$H37=""),"",MIN(MAX(0,IF($O37="WDV",W37*$P37*MAX(0,(IF($I37="",X$3,MIN($I37,X$3)))-(MAX($H37,(EDATE(X$3,-12)+1)))+1)/(X$3-(EDATE(X$3,-12)+1)+1),IF($N37=0,0,$Q37/$N37*MAX(0,(IF($I37="",X$3,MIN($I37,X$3)))-(MAX($H37,(EDATE(X$3,-12)+1)))+1)/(X$3-(EDATE(X$3,-12)+1)+1)))),MAX(0,W37-$M37)))</f>
        <v/>
      </c>
      <c r="Y37" s="51">
        <f>IF($K37="","",IF(AND($I37&lt;&gt;"",$I37&lt;=X$3),0,W37-X37))</f>
        <v/>
      </c>
      <c r="Z37" s="50">
        <f>IF(OR($K37="",$H37=""),"",MIN(MAX(0,IF($O37="WDV",Y37*$P37*MAX(0,(IF($I37="",Z$3,MIN($I37,Z$3)))-(MAX($H37,(EDATE(Z$3,-12)+1)))+1)/(Z$3-(EDATE(Z$3,-12)+1)+1),IF($N37=0,0,$Q37/$N37*MAX(0,(IF($I37="",Z$3,MIN($I37,Z$3)))-(MAX($H37,(EDATE(Z$3,-12)+1)))+1)/(Z$3-(EDATE(Z$3,-12)+1)+1)))),MAX(0,Y37-$M37)))</f>
        <v/>
      </c>
      <c r="AA37" s="51">
        <f>IF($K37="","",IF(AND($I37&lt;&gt;"",$I37&lt;=Z$3),0,Y37-Z37))</f>
        <v/>
      </c>
      <c r="AB37" s="50">
        <f>IF(OR($K37="",$H37=""),"",MIN(MAX(0,IF($O37="WDV",AA37*$P37*MAX(0,(IF($I37="",AB$3,MIN($I37,AB$3)))-(MAX($H37,(EDATE(AB$3,-12)+1)))+1)/(AB$3-(EDATE(AB$3,-12)+1)+1),IF($N37=0,0,$Q37/$N37*MAX(0,(IF($I37="",AB$3,MIN($I37,AB$3)))-(MAX($H37,(EDATE(AB$3,-12)+1)))+1)/(AB$3-(EDATE(AB$3,-12)+1)+1)))),MAX(0,AA37-$M37)))</f>
        <v/>
      </c>
      <c r="AC37" s="51">
        <f>IF($K37="","",IF(AND($I37&lt;&gt;"",$I37&lt;=AB$3),0,AA37-AB37))</f>
        <v/>
      </c>
      <c r="AD37" s="50">
        <f>IF(OR($K37="",$H37=""),"",MIN(MAX(0,IF($O37="WDV",AC37*$P37*MAX(0,(IF($I37="",AD$3,MIN($I37,AD$3)))-(MAX($H37,(EDATE(AD$3,-12)+1)))+1)/(AD$3-(EDATE(AD$3,-12)+1)+1),IF($N37=0,0,$Q37/$N37*MAX(0,(IF($I37="",AD$3,MIN($I37,AD$3)))-(MAX($H37,(EDATE(AD$3,-12)+1)))+1)/(AD$3-(EDATE(AD$3,-12)+1)+1)))),MAX(0,AC37-$M37)))</f>
        <v/>
      </c>
      <c r="AE37" s="51">
        <f>IF($K37="","",IF(AND($I37&lt;&gt;"",$I37&lt;=AD$3),0,AC37-AD37))</f>
        <v/>
      </c>
      <c r="AF37" s="50">
        <f>IF(OR($K37="",$H37=""),"",MIN(MAX(0,IF($O37="WDV",AE37*$P37*MAX(0,(IF($I37="",AF$3,MIN($I37,AF$3)))-(MAX($H37,(EDATE(AF$3,-12)+1)))+1)/(AF$3-(EDATE(AF$3,-12)+1)+1),IF($N37=0,0,$Q37/$N37*MAX(0,(IF($I37="",AF$3,MIN($I37,AF$3)))-(MAX($H37,(EDATE(AF$3,-12)+1)))+1)/(AF$3-(EDATE(AF$3,-12)+1)+1)))),MAX(0,AE37-$M37)))</f>
        <v/>
      </c>
      <c r="AG37" s="51">
        <f>IF($K37="","",IF(AND($I37&lt;&gt;"",$I37&lt;=AF$3),0,AE37-AF37))</f>
        <v/>
      </c>
      <c r="AH37" s="50">
        <f>IF(OR($K37="",$H37=""),"",MIN(MAX(0,IF($O37="WDV",AG37*$P37*MAX(0,(IF($I37="",AH$3,MIN($I37,AH$3)))-(MAX($H37,(EDATE(AH$3,-12)+1)))+1)/(AH$3-(EDATE(AH$3,-12)+1)+1),IF($N37=0,0,$Q37/$N37*MAX(0,(IF($I37="",AH$3,MIN($I37,AH$3)))-(MAX($H37,(EDATE(AH$3,-12)+1)))+1)/(AH$3-(EDATE(AH$3,-12)+1)+1)))),MAX(0,AG37-$M37)))</f>
        <v/>
      </c>
      <c r="AI37" s="51">
        <f>IF($K37="","",IF(AND($I37&lt;&gt;"",$I37&lt;=AH$3),0,AG37-AH37))</f>
        <v/>
      </c>
      <c r="AJ37" s="50">
        <f>IF(OR($K37="",$H37=""),"",MIN(MAX(0,IF($O37="WDV",AI37*$P37*MAX(0,(IF($I37="",AJ$3,MIN($I37,AJ$3)))-(MAX($H37,(EDATE(AJ$3,-12)+1)))+1)/(AJ$3-(EDATE(AJ$3,-12)+1)+1),IF($N37=0,0,$Q37/$N37*MAX(0,(IF($I37="",AJ$3,MIN($I37,AJ$3)))-(MAX($H37,(EDATE(AJ$3,-12)+1)))+1)/(AJ$3-(EDATE(AJ$3,-12)+1)+1)))),MAX(0,AI37-$M37)))</f>
        <v/>
      </c>
      <c r="AK37" s="51">
        <f>IF($K37="","",IF(AND($I37&lt;&gt;"",$I37&lt;=AJ$3),0,AI37-AJ37))</f>
        <v/>
      </c>
      <c r="AL37" s="50">
        <f>IF(OR($K37="",$H37=""),"",MIN(MAX(0,IF($O37="WDV",AK37*$P37*MAX(0,(IF($I37="",AL$3,MIN($I37,AL$3)))-(MAX($H37,(EDATE(AL$3,-12)+1)))+1)/(AL$3-(EDATE(AL$3,-12)+1)+1),IF($N37=0,0,$Q37/$N37*MAX(0,(IF($I37="",AL$3,MIN($I37,AL$3)))-(MAX($H37,(EDATE(AL$3,-12)+1)))+1)/(AL$3-(EDATE(AL$3,-12)+1)+1)))),MAX(0,AK37-$M37)))</f>
        <v/>
      </c>
      <c r="AM37" s="51">
        <f>IF($K37="","",IF(AND($I37&lt;&gt;"",$I37&lt;=AL$3),0,AK37-AL37))</f>
        <v/>
      </c>
      <c r="AN37" s="50">
        <f>IF(OR($K37="",$H37=""),"",MIN(MAX(0,IF($O37="WDV",AM37*$P37*MAX(0,(IF($I37="",AN$3,MIN($I37,AN$3)))-(MAX($H37,(EDATE(AN$3,-12)+1)))+1)/(AN$3-(EDATE(AN$3,-12)+1)+1),IF($N37=0,0,$Q37/$N37*MAX(0,(IF($I37="",AN$3,MIN($I37,AN$3)))-(MAX($H37,(EDATE(AN$3,-12)+1)))+1)/(AN$3-(EDATE(AN$3,-12)+1)+1)))),MAX(0,AM37-$M37)))</f>
        <v/>
      </c>
      <c r="AO37" s="51">
        <f>IF($K37="","",IF(AND($I37&lt;&gt;"",$I37&lt;=AN$3),0,AM37-AN37))</f>
        <v/>
      </c>
      <c r="AP37" s="50">
        <f>IF(OR($K37="",$H37=""),"",MIN(MAX(0,IF($O37="WDV",AO37*$P37*MAX(0,(IF($I37="",AP$3,MIN($I37,AP$3)))-(MAX($H37,(EDATE(AP$3,-12)+1)))+1)/(AP$3-(EDATE(AP$3,-12)+1)+1),IF($N37=0,0,$Q37/$N37*MAX(0,(IF($I37="",AP$3,MIN($I37,AP$3)))-(MAX($H37,(EDATE(AP$3,-12)+1)))+1)/(AP$3-(EDATE(AP$3,-12)+1)+1)))),MAX(0,AO37-$M37)))</f>
        <v/>
      </c>
      <c r="AQ37" s="51">
        <f>IF($K37="","",IF(AND($I37&lt;&gt;"",$I37&lt;=AP$3),0,AO37-AP37))</f>
        <v/>
      </c>
      <c r="AR37" s="50">
        <f>IF(OR($K37="",$H37=""),"",MIN(MAX(0,IF($O37="WDV",AQ37*$P37*MAX(0,(IF($I37="",AR$3,MIN($I37,AR$3)))-(MAX($H37,(EDATE(AR$3,-12)+1)))+1)/(AR$3-(EDATE(AR$3,-12)+1)+1),IF($N37=0,0,$Q37/$N37*MAX(0,(IF($I37="",AR$3,MIN($I37,AR$3)))-(MAX($H37,(EDATE(AR$3,-12)+1)))+1)/(AR$3-(EDATE(AR$3,-12)+1)+1)))),MAX(0,AQ37-$M37)))</f>
        <v/>
      </c>
      <c r="AS37" s="51">
        <f>IF($K37="","",IF(AND($I37&lt;&gt;"",$I37&lt;=AR$3),0,AQ37-AR37))</f>
        <v/>
      </c>
      <c r="AT37" s="50">
        <f>IF(OR($K37="",$H37=""),"",MIN(MAX(0,IF($O37="WDV",AS37*$P37*MAX(0,(IF($I37="",AT$3,MIN($I37,AT$3)))-(MAX($H37,(EDATE(AT$3,-12)+1)))+1)/(AT$3-(EDATE(AT$3,-12)+1)+1),IF($N37=0,0,$Q37/$N37*MAX(0,(IF($I37="",AT$3,MIN($I37,AT$3)))-(MAX($H37,(EDATE(AT$3,-12)+1)))+1)/(AT$3-(EDATE(AT$3,-12)+1)+1)))),MAX(0,AS37-$M37)))</f>
        <v/>
      </c>
      <c r="AU37" s="51">
        <f>IF($K37="","",IF(AND($I37&lt;&gt;"",$I37&lt;=AT$3),0,AS37-AT37))</f>
        <v/>
      </c>
      <c r="AV37" s="50">
        <f>IF(OR($K37="",$H37=""),"",MIN(MAX(0,IF($O37="WDV",AU37*$P37*MAX(0,(IF($I37="",AV$3,MIN($I37,AV$3)))-(MAX($H37,(EDATE(AV$3,-12)+1)))+1)/(AV$3-(EDATE(AV$3,-12)+1)+1),IF($N37=0,0,$Q37/$N37*MAX(0,(IF($I37="",AV$3,MIN($I37,AV$3)))-(MAX($H37,(EDATE(AV$3,-12)+1)))+1)/(AV$3-(EDATE(AV$3,-12)+1)+1)))),MAX(0,AU37-$M37)))</f>
        <v/>
      </c>
      <c r="AW37" s="51">
        <f>IF($K37="","",IF(AND($I37&lt;&gt;"",$I37&lt;=AV$3),0,AU37-AV37))</f>
        <v/>
      </c>
      <c r="AX37" s="50">
        <f>IF(OR($K37="",$H37=""),"",MIN(MAX(0,IF($O37="WDV",AW37*$P37*MAX(0,(IF($I37="",AX$3,MIN($I37,AX$3)))-(MAX($H37,(EDATE(AX$3,-12)+1)))+1)/(AX$3-(EDATE(AX$3,-12)+1)+1),IF($N37=0,0,$Q37/$N37*MAX(0,(IF($I37="",AX$3,MIN($I37,AX$3)))-(MAX($H37,(EDATE(AX$3,-12)+1)))+1)/(AX$3-(EDATE(AX$3,-12)+1)+1)))),MAX(0,AW37-$M37)))</f>
        <v/>
      </c>
      <c r="AY37" s="51">
        <f>IF($K37="","",IF(AND($I37&lt;&gt;"",$I37&lt;=AX$3),0,AW37-AX37))</f>
        <v/>
      </c>
      <c r="AZ37" s="50">
        <f>IF(OR($K37="",$H37=""),"",MIN(MAX(0,IF($O37="WDV",AY37*$P37*MAX(0,(IF($I37="",AZ$3,MIN($I37,AZ$3)))-(MAX($H37,(EDATE(AZ$3,-12)+1)))+1)/(AZ$3-(EDATE(AZ$3,-12)+1)+1),IF($N37=0,0,$Q37/$N37*MAX(0,(IF($I37="",AZ$3,MIN($I37,AZ$3)))-(MAX($H37,(EDATE(AZ$3,-12)+1)))+1)/(AZ$3-(EDATE(AZ$3,-12)+1)+1)))),MAX(0,AY37-$M37)))</f>
        <v/>
      </c>
      <c r="BA37" s="51">
        <f>IF($K37="","",IF(AND($I37&lt;&gt;"",$I37&lt;=AZ$3),0,AY37-AZ37))</f>
        <v/>
      </c>
    </row>
    <row r="38">
      <c r="A38" s="52" t="n"/>
      <c r="B38" s="53" t="n"/>
      <c r="C38" s="53" t="n"/>
      <c r="D38" s="53" t="n"/>
      <c r="E38" s="19" t="n"/>
      <c r="F38" s="54" t="n"/>
      <c r="G38" s="55" t="n"/>
      <c r="H38" s="55" t="n"/>
      <c r="I38" s="56" t="n"/>
      <c r="J38" s="57" t="n"/>
      <c r="K38" s="58" t="n"/>
      <c r="L38" s="59">
        <f>DefaultResidual</f>
        <v/>
      </c>
      <c r="M38" s="60">
        <f>IF($K38="","",$K38*$L38)</f>
        <v/>
      </c>
      <c r="N38" s="20">
        <f>IF($C38="","",IFERROR(VLOOKUP($C38,ScheduleIITable,3,FALSE),"#N/A"))</f>
        <v/>
      </c>
      <c r="O38" s="61">
        <f>IF($K38="","",GlobalMethod)</f>
        <v/>
      </c>
      <c r="P38" s="21">
        <f>IF(OR($K38="",$N38="",$N38=0,$M38=0),0,1-($M38/$K38)^(1/$N38))</f>
        <v/>
      </c>
      <c r="Q38" s="60">
        <f>IF($K38="","",$K38-$M38)</f>
        <v/>
      </c>
      <c r="R38" s="62">
        <f>IF($K38="","",INDEX($V38:$BA38,1,MATCH(ReportingFYEnd,$V$3:$BA$3,0)))</f>
        <v/>
      </c>
      <c r="S38" s="60">
        <f>IF($K38="","",IF($U38="Disposed",0,$K38-$T38))</f>
        <v/>
      </c>
      <c r="T38" s="63">
        <f>IF($K38="","",INDEX($V38:$BA38,1,MATCH(ReportingFYEnd,$V$3:$BA$3,0)+1))</f>
        <v/>
      </c>
      <c r="U38" s="64">
        <f>IF($K38="","",IF(AND($I38&lt;&gt;"",$I38&lt;=ReportingFYEnd),"Disposed",IF(OR($H38="",$H38&gt;ReportingFYEnd),"Not Yet in Use","Active")))</f>
        <v/>
      </c>
      <c r="V38" s="65">
        <f>IF(OR($K38="",$H38=""),"",MIN(MAX(0,IF($O38="WDV",$K38*$P38*MAX(0,(IF($I38="",V$3,MIN($I38,V$3)))-(MAX($H38,(EDATE(V$3,-12)+1)))+1)/(V$3-(EDATE(V$3,-12)+1)+1),IF($N38=0,0,$Q38/$N38*MAX(0,(IF($I38="",V$3,MIN($I38,V$3)))-(MAX($H38,(EDATE(V$3,-12)+1)))+1)/(V$3-(EDATE(V$3,-12)+1)+1)))),MAX(0,$K38-$M38)))</f>
        <v/>
      </c>
      <c r="W38" s="65">
        <f>IF($K38="","",IF(AND($I38&lt;&gt;"",$I38&lt;=V$3),0,$K38-V38))</f>
        <v/>
      </c>
      <c r="X38" s="65">
        <f>IF(OR($K38="",$H38=""),"",MIN(MAX(0,IF($O38="WDV",W38*$P38*MAX(0,(IF($I38="",X$3,MIN($I38,X$3)))-(MAX($H38,(EDATE(X$3,-12)+1)))+1)/(X$3-(EDATE(X$3,-12)+1)+1),IF($N38=0,0,$Q38/$N38*MAX(0,(IF($I38="",X$3,MIN($I38,X$3)))-(MAX($H38,(EDATE(X$3,-12)+1)))+1)/(X$3-(EDATE(X$3,-12)+1)+1)))),MAX(0,W38-$M38)))</f>
        <v/>
      </c>
      <c r="Y38" s="65">
        <f>IF($K38="","",IF(AND($I38&lt;&gt;"",$I38&lt;=X$3),0,W38-X38))</f>
        <v/>
      </c>
      <c r="Z38" s="65">
        <f>IF(OR($K38="",$H38=""),"",MIN(MAX(0,IF($O38="WDV",Y38*$P38*MAX(0,(IF($I38="",Z$3,MIN($I38,Z$3)))-(MAX($H38,(EDATE(Z$3,-12)+1)))+1)/(Z$3-(EDATE(Z$3,-12)+1)+1),IF($N38=0,0,$Q38/$N38*MAX(0,(IF($I38="",Z$3,MIN($I38,Z$3)))-(MAX($H38,(EDATE(Z$3,-12)+1)))+1)/(Z$3-(EDATE(Z$3,-12)+1)+1)))),MAX(0,Y38-$M38)))</f>
        <v/>
      </c>
      <c r="AA38" s="65">
        <f>IF($K38="","",IF(AND($I38&lt;&gt;"",$I38&lt;=Z$3),0,Y38-Z38))</f>
        <v/>
      </c>
      <c r="AB38" s="65">
        <f>IF(OR($K38="",$H38=""),"",MIN(MAX(0,IF($O38="WDV",AA38*$P38*MAX(0,(IF($I38="",AB$3,MIN($I38,AB$3)))-(MAX($H38,(EDATE(AB$3,-12)+1)))+1)/(AB$3-(EDATE(AB$3,-12)+1)+1),IF($N38=0,0,$Q38/$N38*MAX(0,(IF($I38="",AB$3,MIN($I38,AB$3)))-(MAX($H38,(EDATE(AB$3,-12)+1)))+1)/(AB$3-(EDATE(AB$3,-12)+1)+1)))),MAX(0,AA38-$M38)))</f>
        <v/>
      </c>
      <c r="AC38" s="65">
        <f>IF($K38="","",IF(AND($I38&lt;&gt;"",$I38&lt;=AB$3),0,AA38-AB38))</f>
        <v/>
      </c>
      <c r="AD38" s="65">
        <f>IF(OR($K38="",$H38=""),"",MIN(MAX(0,IF($O38="WDV",AC38*$P38*MAX(0,(IF($I38="",AD$3,MIN($I38,AD$3)))-(MAX($H38,(EDATE(AD$3,-12)+1)))+1)/(AD$3-(EDATE(AD$3,-12)+1)+1),IF($N38=0,0,$Q38/$N38*MAX(0,(IF($I38="",AD$3,MIN($I38,AD$3)))-(MAX($H38,(EDATE(AD$3,-12)+1)))+1)/(AD$3-(EDATE(AD$3,-12)+1)+1)))),MAX(0,AC38-$M38)))</f>
        <v/>
      </c>
      <c r="AE38" s="65">
        <f>IF($K38="","",IF(AND($I38&lt;&gt;"",$I38&lt;=AD$3),0,AC38-AD38))</f>
        <v/>
      </c>
      <c r="AF38" s="65">
        <f>IF(OR($K38="",$H38=""),"",MIN(MAX(0,IF($O38="WDV",AE38*$P38*MAX(0,(IF($I38="",AF$3,MIN($I38,AF$3)))-(MAX($H38,(EDATE(AF$3,-12)+1)))+1)/(AF$3-(EDATE(AF$3,-12)+1)+1),IF($N38=0,0,$Q38/$N38*MAX(0,(IF($I38="",AF$3,MIN($I38,AF$3)))-(MAX($H38,(EDATE(AF$3,-12)+1)))+1)/(AF$3-(EDATE(AF$3,-12)+1)+1)))),MAX(0,AE38-$M38)))</f>
        <v/>
      </c>
      <c r="AG38" s="65">
        <f>IF($K38="","",IF(AND($I38&lt;&gt;"",$I38&lt;=AF$3),0,AE38-AF38))</f>
        <v/>
      </c>
      <c r="AH38" s="65">
        <f>IF(OR($K38="",$H38=""),"",MIN(MAX(0,IF($O38="WDV",AG38*$P38*MAX(0,(IF($I38="",AH$3,MIN($I38,AH$3)))-(MAX($H38,(EDATE(AH$3,-12)+1)))+1)/(AH$3-(EDATE(AH$3,-12)+1)+1),IF($N38=0,0,$Q38/$N38*MAX(0,(IF($I38="",AH$3,MIN($I38,AH$3)))-(MAX($H38,(EDATE(AH$3,-12)+1)))+1)/(AH$3-(EDATE(AH$3,-12)+1)+1)))),MAX(0,AG38-$M38)))</f>
        <v/>
      </c>
      <c r="AI38" s="65">
        <f>IF($K38="","",IF(AND($I38&lt;&gt;"",$I38&lt;=AH$3),0,AG38-AH38))</f>
        <v/>
      </c>
      <c r="AJ38" s="65">
        <f>IF(OR($K38="",$H38=""),"",MIN(MAX(0,IF($O38="WDV",AI38*$P38*MAX(0,(IF($I38="",AJ$3,MIN($I38,AJ$3)))-(MAX($H38,(EDATE(AJ$3,-12)+1)))+1)/(AJ$3-(EDATE(AJ$3,-12)+1)+1),IF($N38=0,0,$Q38/$N38*MAX(0,(IF($I38="",AJ$3,MIN($I38,AJ$3)))-(MAX($H38,(EDATE(AJ$3,-12)+1)))+1)/(AJ$3-(EDATE(AJ$3,-12)+1)+1)))),MAX(0,AI38-$M38)))</f>
        <v/>
      </c>
      <c r="AK38" s="65">
        <f>IF($K38="","",IF(AND($I38&lt;&gt;"",$I38&lt;=AJ$3),0,AI38-AJ38))</f>
        <v/>
      </c>
      <c r="AL38" s="65">
        <f>IF(OR($K38="",$H38=""),"",MIN(MAX(0,IF($O38="WDV",AK38*$P38*MAX(0,(IF($I38="",AL$3,MIN($I38,AL$3)))-(MAX($H38,(EDATE(AL$3,-12)+1)))+1)/(AL$3-(EDATE(AL$3,-12)+1)+1),IF($N38=0,0,$Q38/$N38*MAX(0,(IF($I38="",AL$3,MIN($I38,AL$3)))-(MAX($H38,(EDATE(AL$3,-12)+1)))+1)/(AL$3-(EDATE(AL$3,-12)+1)+1)))),MAX(0,AK38-$M38)))</f>
        <v/>
      </c>
      <c r="AM38" s="65">
        <f>IF($K38="","",IF(AND($I38&lt;&gt;"",$I38&lt;=AL$3),0,AK38-AL38))</f>
        <v/>
      </c>
      <c r="AN38" s="65">
        <f>IF(OR($K38="",$H38=""),"",MIN(MAX(0,IF($O38="WDV",AM38*$P38*MAX(0,(IF($I38="",AN$3,MIN($I38,AN$3)))-(MAX($H38,(EDATE(AN$3,-12)+1)))+1)/(AN$3-(EDATE(AN$3,-12)+1)+1),IF($N38=0,0,$Q38/$N38*MAX(0,(IF($I38="",AN$3,MIN($I38,AN$3)))-(MAX($H38,(EDATE(AN$3,-12)+1)))+1)/(AN$3-(EDATE(AN$3,-12)+1)+1)))),MAX(0,AM38-$M38)))</f>
        <v/>
      </c>
      <c r="AO38" s="65">
        <f>IF($K38="","",IF(AND($I38&lt;&gt;"",$I38&lt;=AN$3),0,AM38-AN38))</f>
        <v/>
      </c>
      <c r="AP38" s="65">
        <f>IF(OR($K38="",$H38=""),"",MIN(MAX(0,IF($O38="WDV",AO38*$P38*MAX(0,(IF($I38="",AP$3,MIN($I38,AP$3)))-(MAX($H38,(EDATE(AP$3,-12)+1)))+1)/(AP$3-(EDATE(AP$3,-12)+1)+1),IF($N38=0,0,$Q38/$N38*MAX(0,(IF($I38="",AP$3,MIN($I38,AP$3)))-(MAX($H38,(EDATE(AP$3,-12)+1)))+1)/(AP$3-(EDATE(AP$3,-12)+1)+1)))),MAX(0,AO38-$M38)))</f>
        <v/>
      </c>
      <c r="AQ38" s="65">
        <f>IF($K38="","",IF(AND($I38&lt;&gt;"",$I38&lt;=AP$3),0,AO38-AP38))</f>
        <v/>
      </c>
      <c r="AR38" s="65">
        <f>IF(OR($K38="",$H38=""),"",MIN(MAX(0,IF($O38="WDV",AQ38*$P38*MAX(0,(IF($I38="",AR$3,MIN($I38,AR$3)))-(MAX($H38,(EDATE(AR$3,-12)+1)))+1)/(AR$3-(EDATE(AR$3,-12)+1)+1),IF($N38=0,0,$Q38/$N38*MAX(0,(IF($I38="",AR$3,MIN($I38,AR$3)))-(MAX($H38,(EDATE(AR$3,-12)+1)))+1)/(AR$3-(EDATE(AR$3,-12)+1)+1)))),MAX(0,AQ38-$M38)))</f>
        <v/>
      </c>
      <c r="AS38" s="65">
        <f>IF($K38="","",IF(AND($I38&lt;&gt;"",$I38&lt;=AR$3),0,AQ38-AR38))</f>
        <v/>
      </c>
      <c r="AT38" s="65">
        <f>IF(OR($K38="",$H38=""),"",MIN(MAX(0,IF($O38="WDV",AS38*$P38*MAX(0,(IF($I38="",AT$3,MIN($I38,AT$3)))-(MAX($H38,(EDATE(AT$3,-12)+1)))+1)/(AT$3-(EDATE(AT$3,-12)+1)+1),IF($N38=0,0,$Q38/$N38*MAX(0,(IF($I38="",AT$3,MIN($I38,AT$3)))-(MAX($H38,(EDATE(AT$3,-12)+1)))+1)/(AT$3-(EDATE(AT$3,-12)+1)+1)))),MAX(0,AS38-$M38)))</f>
        <v/>
      </c>
      <c r="AU38" s="65">
        <f>IF($K38="","",IF(AND($I38&lt;&gt;"",$I38&lt;=AT$3),0,AS38-AT38))</f>
        <v/>
      </c>
      <c r="AV38" s="65">
        <f>IF(OR($K38="",$H38=""),"",MIN(MAX(0,IF($O38="WDV",AU38*$P38*MAX(0,(IF($I38="",AV$3,MIN($I38,AV$3)))-(MAX($H38,(EDATE(AV$3,-12)+1)))+1)/(AV$3-(EDATE(AV$3,-12)+1)+1),IF($N38=0,0,$Q38/$N38*MAX(0,(IF($I38="",AV$3,MIN($I38,AV$3)))-(MAX($H38,(EDATE(AV$3,-12)+1)))+1)/(AV$3-(EDATE(AV$3,-12)+1)+1)))),MAX(0,AU38-$M38)))</f>
        <v/>
      </c>
      <c r="AW38" s="65">
        <f>IF($K38="","",IF(AND($I38&lt;&gt;"",$I38&lt;=AV$3),0,AU38-AV38))</f>
        <v/>
      </c>
      <c r="AX38" s="65">
        <f>IF(OR($K38="",$H38=""),"",MIN(MAX(0,IF($O38="WDV",AW38*$P38*MAX(0,(IF($I38="",AX$3,MIN($I38,AX$3)))-(MAX($H38,(EDATE(AX$3,-12)+1)))+1)/(AX$3-(EDATE(AX$3,-12)+1)+1),IF($N38=0,0,$Q38/$N38*MAX(0,(IF($I38="",AX$3,MIN($I38,AX$3)))-(MAX($H38,(EDATE(AX$3,-12)+1)))+1)/(AX$3-(EDATE(AX$3,-12)+1)+1)))),MAX(0,AW38-$M38)))</f>
        <v/>
      </c>
      <c r="AY38" s="65">
        <f>IF($K38="","",IF(AND($I38&lt;&gt;"",$I38&lt;=AX$3),0,AW38-AX38))</f>
        <v/>
      </c>
      <c r="AZ38" s="65">
        <f>IF(OR($K38="",$H38=""),"",MIN(MAX(0,IF($O38="WDV",AY38*$P38*MAX(0,(IF($I38="",AZ$3,MIN($I38,AZ$3)))-(MAX($H38,(EDATE(AZ$3,-12)+1)))+1)/(AZ$3-(EDATE(AZ$3,-12)+1)+1),IF($N38=0,0,$Q38/$N38*MAX(0,(IF($I38="",AZ$3,MIN($I38,AZ$3)))-(MAX($H38,(EDATE(AZ$3,-12)+1)))+1)/(AZ$3-(EDATE(AZ$3,-12)+1)+1)))),MAX(0,AY38-$M38)))</f>
        <v/>
      </c>
      <c r="BA38" s="65">
        <f>IF($K38="","",IF(AND($I38&lt;&gt;"",$I38&lt;=AZ$3),0,AY38-AZ38))</f>
        <v/>
      </c>
    </row>
    <row r="39">
      <c r="A39" s="34" t="n"/>
      <c r="B39" s="35" t="n"/>
      <c r="C39" s="35" t="n"/>
      <c r="D39" s="35" t="n"/>
      <c r="E39" s="36" t="n"/>
      <c r="F39" s="37" t="n"/>
      <c r="G39" s="38" t="n"/>
      <c r="H39" s="38" t="n"/>
      <c r="I39" s="39" t="n"/>
      <c r="J39" s="40" t="n"/>
      <c r="K39" s="41" t="n"/>
      <c r="L39" s="42">
        <f>DefaultResidual</f>
        <v/>
      </c>
      <c r="M39" s="43">
        <f>IF($K39="","",$K39*$L39)</f>
        <v/>
      </c>
      <c r="N39" s="44">
        <f>IF($C39="","",IFERROR(VLOOKUP($C39,ScheduleIITable,3,FALSE),"#N/A"))</f>
        <v/>
      </c>
      <c r="O39" s="45">
        <f>IF($K39="","",GlobalMethod)</f>
        <v/>
      </c>
      <c r="P39" s="46">
        <f>IF(OR($K39="",$N39="",$N39=0,$M39=0),0,1-($M39/$K39)^(1/$N39))</f>
        <v/>
      </c>
      <c r="Q39" s="43">
        <f>IF($K39="","",$K39-$M39)</f>
        <v/>
      </c>
      <c r="R39" s="47">
        <f>IF($K39="","",INDEX($V39:$BA39,1,MATCH(ReportingFYEnd,$V$3:$BA$3,0)))</f>
        <v/>
      </c>
      <c r="S39" s="43">
        <f>IF($K39="","",IF($U39="Disposed",0,$K39-$T39))</f>
        <v/>
      </c>
      <c r="T39" s="48">
        <f>IF($K39="","",INDEX($V39:$BA39,1,MATCH(ReportingFYEnd,$V$3:$BA$3,0)+1))</f>
        <v/>
      </c>
      <c r="U39" s="49">
        <f>IF($K39="","",IF(AND($I39&lt;&gt;"",$I39&lt;=ReportingFYEnd),"Disposed",IF(OR($H39="",$H39&gt;ReportingFYEnd),"Not Yet in Use","Active")))</f>
        <v/>
      </c>
      <c r="V39" s="50">
        <f>IF(OR($K39="",$H39=""),"",MIN(MAX(0,IF($O39="WDV",$K39*$P39*MAX(0,(IF($I39="",V$3,MIN($I39,V$3)))-(MAX($H39,(EDATE(V$3,-12)+1)))+1)/(V$3-(EDATE(V$3,-12)+1)+1),IF($N39=0,0,$Q39/$N39*MAX(0,(IF($I39="",V$3,MIN($I39,V$3)))-(MAX($H39,(EDATE(V$3,-12)+1)))+1)/(V$3-(EDATE(V$3,-12)+1)+1)))),MAX(0,$K39-$M39)))</f>
        <v/>
      </c>
      <c r="W39" s="51">
        <f>IF($K39="","",IF(AND($I39&lt;&gt;"",$I39&lt;=V$3),0,$K39-V39))</f>
        <v/>
      </c>
      <c r="X39" s="50">
        <f>IF(OR($K39="",$H39=""),"",MIN(MAX(0,IF($O39="WDV",W39*$P39*MAX(0,(IF($I39="",X$3,MIN($I39,X$3)))-(MAX($H39,(EDATE(X$3,-12)+1)))+1)/(X$3-(EDATE(X$3,-12)+1)+1),IF($N39=0,0,$Q39/$N39*MAX(0,(IF($I39="",X$3,MIN($I39,X$3)))-(MAX($H39,(EDATE(X$3,-12)+1)))+1)/(X$3-(EDATE(X$3,-12)+1)+1)))),MAX(0,W39-$M39)))</f>
        <v/>
      </c>
      <c r="Y39" s="51">
        <f>IF($K39="","",IF(AND($I39&lt;&gt;"",$I39&lt;=X$3),0,W39-X39))</f>
        <v/>
      </c>
      <c r="Z39" s="50">
        <f>IF(OR($K39="",$H39=""),"",MIN(MAX(0,IF($O39="WDV",Y39*$P39*MAX(0,(IF($I39="",Z$3,MIN($I39,Z$3)))-(MAX($H39,(EDATE(Z$3,-12)+1)))+1)/(Z$3-(EDATE(Z$3,-12)+1)+1),IF($N39=0,0,$Q39/$N39*MAX(0,(IF($I39="",Z$3,MIN($I39,Z$3)))-(MAX($H39,(EDATE(Z$3,-12)+1)))+1)/(Z$3-(EDATE(Z$3,-12)+1)+1)))),MAX(0,Y39-$M39)))</f>
        <v/>
      </c>
      <c r="AA39" s="51">
        <f>IF($K39="","",IF(AND($I39&lt;&gt;"",$I39&lt;=Z$3),0,Y39-Z39))</f>
        <v/>
      </c>
      <c r="AB39" s="50">
        <f>IF(OR($K39="",$H39=""),"",MIN(MAX(0,IF($O39="WDV",AA39*$P39*MAX(0,(IF($I39="",AB$3,MIN($I39,AB$3)))-(MAX($H39,(EDATE(AB$3,-12)+1)))+1)/(AB$3-(EDATE(AB$3,-12)+1)+1),IF($N39=0,0,$Q39/$N39*MAX(0,(IF($I39="",AB$3,MIN($I39,AB$3)))-(MAX($H39,(EDATE(AB$3,-12)+1)))+1)/(AB$3-(EDATE(AB$3,-12)+1)+1)))),MAX(0,AA39-$M39)))</f>
        <v/>
      </c>
      <c r="AC39" s="51">
        <f>IF($K39="","",IF(AND($I39&lt;&gt;"",$I39&lt;=AB$3),0,AA39-AB39))</f>
        <v/>
      </c>
      <c r="AD39" s="50">
        <f>IF(OR($K39="",$H39=""),"",MIN(MAX(0,IF($O39="WDV",AC39*$P39*MAX(0,(IF($I39="",AD$3,MIN($I39,AD$3)))-(MAX($H39,(EDATE(AD$3,-12)+1)))+1)/(AD$3-(EDATE(AD$3,-12)+1)+1),IF($N39=0,0,$Q39/$N39*MAX(0,(IF($I39="",AD$3,MIN($I39,AD$3)))-(MAX($H39,(EDATE(AD$3,-12)+1)))+1)/(AD$3-(EDATE(AD$3,-12)+1)+1)))),MAX(0,AC39-$M39)))</f>
        <v/>
      </c>
      <c r="AE39" s="51">
        <f>IF($K39="","",IF(AND($I39&lt;&gt;"",$I39&lt;=AD$3),0,AC39-AD39))</f>
        <v/>
      </c>
      <c r="AF39" s="50">
        <f>IF(OR($K39="",$H39=""),"",MIN(MAX(0,IF($O39="WDV",AE39*$P39*MAX(0,(IF($I39="",AF$3,MIN($I39,AF$3)))-(MAX($H39,(EDATE(AF$3,-12)+1)))+1)/(AF$3-(EDATE(AF$3,-12)+1)+1),IF($N39=0,0,$Q39/$N39*MAX(0,(IF($I39="",AF$3,MIN($I39,AF$3)))-(MAX($H39,(EDATE(AF$3,-12)+1)))+1)/(AF$3-(EDATE(AF$3,-12)+1)+1)))),MAX(0,AE39-$M39)))</f>
        <v/>
      </c>
      <c r="AG39" s="51">
        <f>IF($K39="","",IF(AND($I39&lt;&gt;"",$I39&lt;=AF$3),0,AE39-AF39))</f>
        <v/>
      </c>
      <c r="AH39" s="50">
        <f>IF(OR($K39="",$H39=""),"",MIN(MAX(0,IF($O39="WDV",AG39*$P39*MAX(0,(IF($I39="",AH$3,MIN($I39,AH$3)))-(MAX($H39,(EDATE(AH$3,-12)+1)))+1)/(AH$3-(EDATE(AH$3,-12)+1)+1),IF($N39=0,0,$Q39/$N39*MAX(0,(IF($I39="",AH$3,MIN($I39,AH$3)))-(MAX($H39,(EDATE(AH$3,-12)+1)))+1)/(AH$3-(EDATE(AH$3,-12)+1)+1)))),MAX(0,AG39-$M39)))</f>
        <v/>
      </c>
      <c r="AI39" s="51">
        <f>IF($K39="","",IF(AND($I39&lt;&gt;"",$I39&lt;=AH$3),0,AG39-AH39))</f>
        <v/>
      </c>
      <c r="AJ39" s="50">
        <f>IF(OR($K39="",$H39=""),"",MIN(MAX(0,IF($O39="WDV",AI39*$P39*MAX(0,(IF($I39="",AJ$3,MIN($I39,AJ$3)))-(MAX($H39,(EDATE(AJ$3,-12)+1)))+1)/(AJ$3-(EDATE(AJ$3,-12)+1)+1),IF($N39=0,0,$Q39/$N39*MAX(0,(IF($I39="",AJ$3,MIN($I39,AJ$3)))-(MAX($H39,(EDATE(AJ$3,-12)+1)))+1)/(AJ$3-(EDATE(AJ$3,-12)+1)+1)))),MAX(0,AI39-$M39)))</f>
        <v/>
      </c>
      <c r="AK39" s="51">
        <f>IF($K39="","",IF(AND($I39&lt;&gt;"",$I39&lt;=AJ$3),0,AI39-AJ39))</f>
        <v/>
      </c>
      <c r="AL39" s="50">
        <f>IF(OR($K39="",$H39=""),"",MIN(MAX(0,IF($O39="WDV",AK39*$P39*MAX(0,(IF($I39="",AL$3,MIN($I39,AL$3)))-(MAX($H39,(EDATE(AL$3,-12)+1)))+1)/(AL$3-(EDATE(AL$3,-12)+1)+1),IF($N39=0,0,$Q39/$N39*MAX(0,(IF($I39="",AL$3,MIN($I39,AL$3)))-(MAX($H39,(EDATE(AL$3,-12)+1)))+1)/(AL$3-(EDATE(AL$3,-12)+1)+1)))),MAX(0,AK39-$M39)))</f>
        <v/>
      </c>
      <c r="AM39" s="51">
        <f>IF($K39="","",IF(AND($I39&lt;&gt;"",$I39&lt;=AL$3),0,AK39-AL39))</f>
        <v/>
      </c>
      <c r="AN39" s="50">
        <f>IF(OR($K39="",$H39=""),"",MIN(MAX(0,IF($O39="WDV",AM39*$P39*MAX(0,(IF($I39="",AN$3,MIN($I39,AN$3)))-(MAX($H39,(EDATE(AN$3,-12)+1)))+1)/(AN$3-(EDATE(AN$3,-12)+1)+1),IF($N39=0,0,$Q39/$N39*MAX(0,(IF($I39="",AN$3,MIN($I39,AN$3)))-(MAX($H39,(EDATE(AN$3,-12)+1)))+1)/(AN$3-(EDATE(AN$3,-12)+1)+1)))),MAX(0,AM39-$M39)))</f>
        <v/>
      </c>
      <c r="AO39" s="51">
        <f>IF($K39="","",IF(AND($I39&lt;&gt;"",$I39&lt;=AN$3),0,AM39-AN39))</f>
        <v/>
      </c>
      <c r="AP39" s="50">
        <f>IF(OR($K39="",$H39=""),"",MIN(MAX(0,IF($O39="WDV",AO39*$P39*MAX(0,(IF($I39="",AP$3,MIN($I39,AP$3)))-(MAX($H39,(EDATE(AP$3,-12)+1)))+1)/(AP$3-(EDATE(AP$3,-12)+1)+1),IF($N39=0,0,$Q39/$N39*MAX(0,(IF($I39="",AP$3,MIN($I39,AP$3)))-(MAX($H39,(EDATE(AP$3,-12)+1)))+1)/(AP$3-(EDATE(AP$3,-12)+1)+1)))),MAX(0,AO39-$M39)))</f>
        <v/>
      </c>
      <c r="AQ39" s="51">
        <f>IF($K39="","",IF(AND($I39&lt;&gt;"",$I39&lt;=AP$3),0,AO39-AP39))</f>
        <v/>
      </c>
      <c r="AR39" s="50">
        <f>IF(OR($K39="",$H39=""),"",MIN(MAX(0,IF($O39="WDV",AQ39*$P39*MAX(0,(IF($I39="",AR$3,MIN($I39,AR$3)))-(MAX($H39,(EDATE(AR$3,-12)+1)))+1)/(AR$3-(EDATE(AR$3,-12)+1)+1),IF($N39=0,0,$Q39/$N39*MAX(0,(IF($I39="",AR$3,MIN($I39,AR$3)))-(MAX($H39,(EDATE(AR$3,-12)+1)))+1)/(AR$3-(EDATE(AR$3,-12)+1)+1)))),MAX(0,AQ39-$M39)))</f>
        <v/>
      </c>
      <c r="AS39" s="51">
        <f>IF($K39="","",IF(AND($I39&lt;&gt;"",$I39&lt;=AR$3),0,AQ39-AR39))</f>
        <v/>
      </c>
      <c r="AT39" s="50">
        <f>IF(OR($K39="",$H39=""),"",MIN(MAX(0,IF($O39="WDV",AS39*$P39*MAX(0,(IF($I39="",AT$3,MIN($I39,AT$3)))-(MAX($H39,(EDATE(AT$3,-12)+1)))+1)/(AT$3-(EDATE(AT$3,-12)+1)+1),IF($N39=0,0,$Q39/$N39*MAX(0,(IF($I39="",AT$3,MIN($I39,AT$3)))-(MAX($H39,(EDATE(AT$3,-12)+1)))+1)/(AT$3-(EDATE(AT$3,-12)+1)+1)))),MAX(0,AS39-$M39)))</f>
        <v/>
      </c>
      <c r="AU39" s="51">
        <f>IF($K39="","",IF(AND($I39&lt;&gt;"",$I39&lt;=AT$3),0,AS39-AT39))</f>
        <v/>
      </c>
      <c r="AV39" s="50">
        <f>IF(OR($K39="",$H39=""),"",MIN(MAX(0,IF($O39="WDV",AU39*$P39*MAX(0,(IF($I39="",AV$3,MIN($I39,AV$3)))-(MAX($H39,(EDATE(AV$3,-12)+1)))+1)/(AV$3-(EDATE(AV$3,-12)+1)+1),IF($N39=0,0,$Q39/$N39*MAX(0,(IF($I39="",AV$3,MIN($I39,AV$3)))-(MAX($H39,(EDATE(AV$3,-12)+1)))+1)/(AV$3-(EDATE(AV$3,-12)+1)+1)))),MAX(0,AU39-$M39)))</f>
        <v/>
      </c>
      <c r="AW39" s="51">
        <f>IF($K39="","",IF(AND($I39&lt;&gt;"",$I39&lt;=AV$3),0,AU39-AV39))</f>
        <v/>
      </c>
      <c r="AX39" s="50">
        <f>IF(OR($K39="",$H39=""),"",MIN(MAX(0,IF($O39="WDV",AW39*$P39*MAX(0,(IF($I39="",AX$3,MIN($I39,AX$3)))-(MAX($H39,(EDATE(AX$3,-12)+1)))+1)/(AX$3-(EDATE(AX$3,-12)+1)+1),IF($N39=0,0,$Q39/$N39*MAX(0,(IF($I39="",AX$3,MIN($I39,AX$3)))-(MAX($H39,(EDATE(AX$3,-12)+1)))+1)/(AX$3-(EDATE(AX$3,-12)+1)+1)))),MAX(0,AW39-$M39)))</f>
        <v/>
      </c>
      <c r="AY39" s="51">
        <f>IF($K39="","",IF(AND($I39&lt;&gt;"",$I39&lt;=AX$3),0,AW39-AX39))</f>
        <v/>
      </c>
      <c r="AZ39" s="50">
        <f>IF(OR($K39="",$H39=""),"",MIN(MAX(0,IF($O39="WDV",AY39*$P39*MAX(0,(IF($I39="",AZ$3,MIN($I39,AZ$3)))-(MAX($H39,(EDATE(AZ$3,-12)+1)))+1)/(AZ$3-(EDATE(AZ$3,-12)+1)+1),IF($N39=0,0,$Q39/$N39*MAX(0,(IF($I39="",AZ$3,MIN($I39,AZ$3)))-(MAX($H39,(EDATE(AZ$3,-12)+1)))+1)/(AZ$3-(EDATE(AZ$3,-12)+1)+1)))),MAX(0,AY39-$M39)))</f>
        <v/>
      </c>
      <c r="BA39" s="51">
        <f>IF($K39="","",IF(AND($I39&lt;&gt;"",$I39&lt;=AZ$3),0,AY39-AZ39))</f>
        <v/>
      </c>
    </row>
    <row r="40">
      <c r="A40" s="52" t="n"/>
      <c r="B40" s="53" t="n"/>
      <c r="C40" s="53" t="n"/>
      <c r="D40" s="53" t="n"/>
      <c r="E40" s="19" t="n"/>
      <c r="F40" s="54" t="n"/>
      <c r="G40" s="55" t="n"/>
      <c r="H40" s="55" t="n"/>
      <c r="I40" s="56" t="n"/>
      <c r="J40" s="57" t="n"/>
      <c r="K40" s="58" t="n"/>
      <c r="L40" s="59">
        <f>DefaultResidual</f>
        <v/>
      </c>
      <c r="M40" s="60">
        <f>IF($K40="","",$K40*$L40)</f>
        <v/>
      </c>
      <c r="N40" s="20">
        <f>IF($C40="","",IFERROR(VLOOKUP($C40,ScheduleIITable,3,FALSE),"#N/A"))</f>
        <v/>
      </c>
      <c r="O40" s="61">
        <f>IF($K40="","",GlobalMethod)</f>
        <v/>
      </c>
      <c r="P40" s="21">
        <f>IF(OR($K40="",$N40="",$N40=0,$M40=0),0,1-($M40/$K40)^(1/$N40))</f>
        <v/>
      </c>
      <c r="Q40" s="60">
        <f>IF($K40="","",$K40-$M40)</f>
        <v/>
      </c>
      <c r="R40" s="62">
        <f>IF($K40="","",INDEX($V40:$BA40,1,MATCH(ReportingFYEnd,$V$3:$BA$3,0)))</f>
        <v/>
      </c>
      <c r="S40" s="60">
        <f>IF($K40="","",IF($U40="Disposed",0,$K40-$T40))</f>
        <v/>
      </c>
      <c r="T40" s="63">
        <f>IF($K40="","",INDEX($V40:$BA40,1,MATCH(ReportingFYEnd,$V$3:$BA$3,0)+1))</f>
        <v/>
      </c>
      <c r="U40" s="64">
        <f>IF($K40="","",IF(AND($I40&lt;&gt;"",$I40&lt;=ReportingFYEnd),"Disposed",IF(OR($H40="",$H40&gt;ReportingFYEnd),"Not Yet in Use","Active")))</f>
        <v/>
      </c>
      <c r="V40" s="65">
        <f>IF(OR($K40="",$H40=""),"",MIN(MAX(0,IF($O40="WDV",$K40*$P40*MAX(0,(IF($I40="",V$3,MIN($I40,V$3)))-(MAX($H40,(EDATE(V$3,-12)+1)))+1)/(V$3-(EDATE(V$3,-12)+1)+1),IF($N40=0,0,$Q40/$N40*MAX(0,(IF($I40="",V$3,MIN($I40,V$3)))-(MAX($H40,(EDATE(V$3,-12)+1)))+1)/(V$3-(EDATE(V$3,-12)+1)+1)))),MAX(0,$K40-$M40)))</f>
        <v/>
      </c>
      <c r="W40" s="65">
        <f>IF($K40="","",IF(AND($I40&lt;&gt;"",$I40&lt;=V$3),0,$K40-V40))</f>
        <v/>
      </c>
      <c r="X40" s="65">
        <f>IF(OR($K40="",$H40=""),"",MIN(MAX(0,IF($O40="WDV",W40*$P40*MAX(0,(IF($I40="",X$3,MIN($I40,X$3)))-(MAX($H40,(EDATE(X$3,-12)+1)))+1)/(X$3-(EDATE(X$3,-12)+1)+1),IF($N40=0,0,$Q40/$N40*MAX(0,(IF($I40="",X$3,MIN($I40,X$3)))-(MAX($H40,(EDATE(X$3,-12)+1)))+1)/(X$3-(EDATE(X$3,-12)+1)+1)))),MAX(0,W40-$M40)))</f>
        <v/>
      </c>
      <c r="Y40" s="65">
        <f>IF($K40="","",IF(AND($I40&lt;&gt;"",$I40&lt;=X$3),0,W40-X40))</f>
        <v/>
      </c>
      <c r="Z40" s="65">
        <f>IF(OR($K40="",$H40=""),"",MIN(MAX(0,IF($O40="WDV",Y40*$P40*MAX(0,(IF($I40="",Z$3,MIN($I40,Z$3)))-(MAX($H40,(EDATE(Z$3,-12)+1)))+1)/(Z$3-(EDATE(Z$3,-12)+1)+1),IF($N40=0,0,$Q40/$N40*MAX(0,(IF($I40="",Z$3,MIN($I40,Z$3)))-(MAX($H40,(EDATE(Z$3,-12)+1)))+1)/(Z$3-(EDATE(Z$3,-12)+1)+1)))),MAX(0,Y40-$M40)))</f>
        <v/>
      </c>
      <c r="AA40" s="65">
        <f>IF($K40="","",IF(AND($I40&lt;&gt;"",$I40&lt;=Z$3),0,Y40-Z40))</f>
        <v/>
      </c>
      <c r="AB40" s="65">
        <f>IF(OR($K40="",$H40=""),"",MIN(MAX(0,IF($O40="WDV",AA40*$P40*MAX(0,(IF($I40="",AB$3,MIN($I40,AB$3)))-(MAX($H40,(EDATE(AB$3,-12)+1)))+1)/(AB$3-(EDATE(AB$3,-12)+1)+1),IF($N40=0,0,$Q40/$N40*MAX(0,(IF($I40="",AB$3,MIN($I40,AB$3)))-(MAX($H40,(EDATE(AB$3,-12)+1)))+1)/(AB$3-(EDATE(AB$3,-12)+1)+1)))),MAX(0,AA40-$M40)))</f>
        <v/>
      </c>
      <c r="AC40" s="65">
        <f>IF($K40="","",IF(AND($I40&lt;&gt;"",$I40&lt;=AB$3),0,AA40-AB40))</f>
        <v/>
      </c>
      <c r="AD40" s="65">
        <f>IF(OR($K40="",$H40=""),"",MIN(MAX(0,IF($O40="WDV",AC40*$P40*MAX(0,(IF($I40="",AD$3,MIN($I40,AD$3)))-(MAX($H40,(EDATE(AD$3,-12)+1)))+1)/(AD$3-(EDATE(AD$3,-12)+1)+1),IF($N40=0,0,$Q40/$N40*MAX(0,(IF($I40="",AD$3,MIN($I40,AD$3)))-(MAX($H40,(EDATE(AD$3,-12)+1)))+1)/(AD$3-(EDATE(AD$3,-12)+1)+1)))),MAX(0,AC40-$M40)))</f>
        <v/>
      </c>
      <c r="AE40" s="65">
        <f>IF($K40="","",IF(AND($I40&lt;&gt;"",$I40&lt;=AD$3),0,AC40-AD40))</f>
        <v/>
      </c>
      <c r="AF40" s="65">
        <f>IF(OR($K40="",$H40=""),"",MIN(MAX(0,IF($O40="WDV",AE40*$P40*MAX(0,(IF($I40="",AF$3,MIN($I40,AF$3)))-(MAX($H40,(EDATE(AF$3,-12)+1)))+1)/(AF$3-(EDATE(AF$3,-12)+1)+1),IF($N40=0,0,$Q40/$N40*MAX(0,(IF($I40="",AF$3,MIN($I40,AF$3)))-(MAX($H40,(EDATE(AF$3,-12)+1)))+1)/(AF$3-(EDATE(AF$3,-12)+1)+1)))),MAX(0,AE40-$M40)))</f>
        <v/>
      </c>
      <c r="AG40" s="65">
        <f>IF($K40="","",IF(AND($I40&lt;&gt;"",$I40&lt;=AF$3),0,AE40-AF40))</f>
        <v/>
      </c>
      <c r="AH40" s="65">
        <f>IF(OR($K40="",$H40=""),"",MIN(MAX(0,IF($O40="WDV",AG40*$P40*MAX(0,(IF($I40="",AH$3,MIN($I40,AH$3)))-(MAX($H40,(EDATE(AH$3,-12)+1)))+1)/(AH$3-(EDATE(AH$3,-12)+1)+1),IF($N40=0,0,$Q40/$N40*MAX(0,(IF($I40="",AH$3,MIN($I40,AH$3)))-(MAX($H40,(EDATE(AH$3,-12)+1)))+1)/(AH$3-(EDATE(AH$3,-12)+1)+1)))),MAX(0,AG40-$M40)))</f>
        <v/>
      </c>
      <c r="AI40" s="65">
        <f>IF($K40="","",IF(AND($I40&lt;&gt;"",$I40&lt;=AH$3),0,AG40-AH40))</f>
        <v/>
      </c>
      <c r="AJ40" s="65">
        <f>IF(OR($K40="",$H40=""),"",MIN(MAX(0,IF($O40="WDV",AI40*$P40*MAX(0,(IF($I40="",AJ$3,MIN($I40,AJ$3)))-(MAX($H40,(EDATE(AJ$3,-12)+1)))+1)/(AJ$3-(EDATE(AJ$3,-12)+1)+1),IF($N40=0,0,$Q40/$N40*MAX(0,(IF($I40="",AJ$3,MIN($I40,AJ$3)))-(MAX($H40,(EDATE(AJ$3,-12)+1)))+1)/(AJ$3-(EDATE(AJ$3,-12)+1)+1)))),MAX(0,AI40-$M40)))</f>
        <v/>
      </c>
      <c r="AK40" s="65">
        <f>IF($K40="","",IF(AND($I40&lt;&gt;"",$I40&lt;=AJ$3),0,AI40-AJ40))</f>
        <v/>
      </c>
      <c r="AL40" s="65">
        <f>IF(OR($K40="",$H40=""),"",MIN(MAX(0,IF($O40="WDV",AK40*$P40*MAX(0,(IF($I40="",AL$3,MIN($I40,AL$3)))-(MAX($H40,(EDATE(AL$3,-12)+1)))+1)/(AL$3-(EDATE(AL$3,-12)+1)+1),IF($N40=0,0,$Q40/$N40*MAX(0,(IF($I40="",AL$3,MIN($I40,AL$3)))-(MAX($H40,(EDATE(AL$3,-12)+1)))+1)/(AL$3-(EDATE(AL$3,-12)+1)+1)))),MAX(0,AK40-$M40)))</f>
        <v/>
      </c>
      <c r="AM40" s="65">
        <f>IF($K40="","",IF(AND($I40&lt;&gt;"",$I40&lt;=AL$3),0,AK40-AL40))</f>
        <v/>
      </c>
      <c r="AN40" s="65">
        <f>IF(OR($K40="",$H40=""),"",MIN(MAX(0,IF($O40="WDV",AM40*$P40*MAX(0,(IF($I40="",AN$3,MIN($I40,AN$3)))-(MAX($H40,(EDATE(AN$3,-12)+1)))+1)/(AN$3-(EDATE(AN$3,-12)+1)+1),IF($N40=0,0,$Q40/$N40*MAX(0,(IF($I40="",AN$3,MIN($I40,AN$3)))-(MAX($H40,(EDATE(AN$3,-12)+1)))+1)/(AN$3-(EDATE(AN$3,-12)+1)+1)))),MAX(0,AM40-$M40)))</f>
        <v/>
      </c>
      <c r="AO40" s="65">
        <f>IF($K40="","",IF(AND($I40&lt;&gt;"",$I40&lt;=AN$3),0,AM40-AN40))</f>
        <v/>
      </c>
      <c r="AP40" s="65">
        <f>IF(OR($K40="",$H40=""),"",MIN(MAX(0,IF($O40="WDV",AO40*$P40*MAX(0,(IF($I40="",AP$3,MIN($I40,AP$3)))-(MAX($H40,(EDATE(AP$3,-12)+1)))+1)/(AP$3-(EDATE(AP$3,-12)+1)+1),IF($N40=0,0,$Q40/$N40*MAX(0,(IF($I40="",AP$3,MIN($I40,AP$3)))-(MAX($H40,(EDATE(AP$3,-12)+1)))+1)/(AP$3-(EDATE(AP$3,-12)+1)+1)))),MAX(0,AO40-$M40)))</f>
        <v/>
      </c>
      <c r="AQ40" s="65">
        <f>IF($K40="","",IF(AND($I40&lt;&gt;"",$I40&lt;=AP$3),0,AO40-AP40))</f>
        <v/>
      </c>
      <c r="AR40" s="65">
        <f>IF(OR($K40="",$H40=""),"",MIN(MAX(0,IF($O40="WDV",AQ40*$P40*MAX(0,(IF($I40="",AR$3,MIN($I40,AR$3)))-(MAX($H40,(EDATE(AR$3,-12)+1)))+1)/(AR$3-(EDATE(AR$3,-12)+1)+1),IF($N40=0,0,$Q40/$N40*MAX(0,(IF($I40="",AR$3,MIN($I40,AR$3)))-(MAX($H40,(EDATE(AR$3,-12)+1)))+1)/(AR$3-(EDATE(AR$3,-12)+1)+1)))),MAX(0,AQ40-$M40)))</f>
        <v/>
      </c>
      <c r="AS40" s="65">
        <f>IF($K40="","",IF(AND($I40&lt;&gt;"",$I40&lt;=AR$3),0,AQ40-AR40))</f>
        <v/>
      </c>
      <c r="AT40" s="65">
        <f>IF(OR($K40="",$H40=""),"",MIN(MAX(0,IF($O40="WDV",AS40*$P40*MAX(0,(IF($I40="",AT$3,MIN($I40,AT$3)))-(MAX($H40,(EDATE(AT$3,-12)+1)))+1)/(AT$3-(EDATE(AT$3,-12)+1)+1),IF($N40=0,0,$Q40/$N40*MAX(0,(IF($I40="",AT$3,MIN($I40,AT$3)))-(MAX($H40,(EDATE(AT$3,-12)+1)))+1)/(AT$3-(EDATE(AT$3,-12)+1)+1)))),MAX(0,AS40-$M40)))</f>
        <v/>
      </c>
      <c r="AU40" s="65">
        <f>IF($K40="","",IF(AND($I40&lt;&gt;"",$I40&lt;=AT$3),0,AS40-AT40))</f>
        <v/>
      </c>
      <c r="AV40" s="65">
        <f>IF(OR($K40="",$H40=""),"",MIN(MAX(0,IF($O40="WDV",AU40*$P40*MAX(0,(IF($I40="",AV$3,MIN($I40,AV$3)))-(MAX($H40,(EDATE(AV$3,-12)+1)))+1)/(AV$3-(EDATE(AV$3,-12)+1)+1),IF($N40=0,0,$Q40/$N40*MAX(0,(IF($I40="",AV$3,MIN($I40,AV$3)))-(MAX($H40,(EDATE(AV$3,-12)+1)))+1)/(AV$3-(EDATE(AV$3,-12)+1)+1)))),MAX(0,AU40-$M40)))</f>
        <v/>
      </c>
      <c r="AW40" s="65">
        <f>IF($K40="","",IF(AND($I40&lt;&gt;"",$I40&lt;=AV$3),0,AU40-AV40))</f>
        <v/>
      </c>
      <c r="AX40" s="65">
        <f>IF(OR($K40="",$H40=""),"",MIN(MAX(0,IF($O40="WDV",AW40*$P40*MAX(0,(IF($I40="",AX$3,MIN($I40,AX$3)))-(MAX($H40,(EDATE(AX$3,-12)+1)))+1)/(AX$3-(EDATE(AX$3,-12)+1)+1),IF($N40=0,0,$Q40/$N40*MAX(0,(IF($I40="",AX$3,MIN($I40,AX$3)))-(MAX($H40,(EDATE(AX$3,-12)+1)))+1)/(AX$3-(EDATE(AX$3,-12)+1)+1)))),MAX(0,AW40-$M40)))</f>
        <v/>
      </c>
      <c r="AY40" s="65">
        <f>IF($K40="","",IF(AND($I40&lt;&gt;"",$I40&lt;=AX$3),0,AW40-AX40))</f>
        <v/>
      </c>
      <c r="AZ40" s="65">
        <f>IF(OR($K40="",$H40=""),"",MIN(MAX(0,IF($O40="WDV",AY40*$P40*MAX(0,(IF($I40="",AZ$3,MIN($I40,AZ$3)))-(MAX($H40,(EDATE(AZ$3,-12)+1)))+1)/(AZ$3-(EDATE(AZ$3,-12)+1)+1),IF($N40=0,0,$Q40/$N40*MAX(0,(IF($I40="",AZ$3,MIN($I40,AZ$3)))-(MAX($H40,(EDATE(AZ$3,-12)+1)))+1)/(AZ$3-(EDATE(AZ$3,-12)+1)+1)))),MAX(0,AY40-$M40)))</f>
        <v/>
      </c>
      <c r="BA40" s="65">
        <f>IF($K40="","",IF(AND($I40&lt;&gt;"",$I40&lt;=AZ$3),0,AY40-AZ40))</f>
        <v/>
      </c>
    </row>
    <row r="41">
      <c r="A41" s="34" t="n"/>
      <c r="B41" s="35" t="n"/>
      <c r="C41" s="35" t="n"/>
      <c r="D41" s="35" t="n"/>
      <c r="E41" s="36" t="n"/>
      <c r="F41" s="37" t="n"/>
      <c r="G41" s="38" t="n"/>
      <c r="H41" s="38" t="n"/>
      <c r="I41" s="39" t="n"/>
      <c r="J41" s="40" t="n"/>
      <c r="K41" s="41" t="n"/>
      <c r="L41" s="42">
        <f>DefaultResidual</f>
        <v/>
      </c>
      <c r="M41" s="43">
        <f>IF($K41="","",$K41*$L41)</f>
        <v/>
      </c>
      <c r="N41" s="44">
        <f>IF($C41="","",IFERROR(VLOOKUP($C41,ScheduleIITable,3,FALSE),"#N/A"))</f>
        <v/>
      </c>
      <c r="O41" s="45">
        <f>IF($K41="","",GlobalMethod)</f>
        <v/>
      </c>
      <c r="P41" s="46">
        <f>IF(OR($K41="",$N41="",$N41=0,$M41=0),0,1-($M41/$K41)^(1/$N41))</f>
        <v/>
      </c>
      <c r="Q41" s="43">
        <f>IF($K41="","",$K41-$M41)</f>
        <v/>
      </c>
      <c r="R41" s="47">
        <f>IF($K41="","",INDEX($V41:$BA41,1,MATCH(ReportingFYEnd,$V$3:$BA$3,0)))</f>
        <v/>
      </c>
      <c r="S41" s="43">
        <f>IF($K41="","",IF($U41="Disposed",0,$K41-$T41))</f>
        <v/>
      </c>
      <c r="T41" s="48">
        <f>IF($K41="","",INDEX($V41:$BA41,1,MATCH(ReportingFYEnd,$V$3:$BA$3,0)+1))</f>
        <v/>
      </c>
      <c r="U41" s="49">
        <f>IF($K41="","",IF(AND($I41&lt;&gt;"",$I41&lt;=ReportingFYEnd),"Disposed",IF(OR($H41="",$H41&gt;ReportingFYEnd),"Not Yet in Use","Active")))</f>
        <v/>
      </c>
      <c r="V41" s="50">
        <f>IF(OR($K41="",$H41=""),"",MIN(MAX(0,IF($O41="WDV",$K41*$P41*MAX(0,(IF($I41="",V$3,MIN($I41,V$3)))-(MAX($H41,(EDATE(V$3,-12)+1)))+1)/(V$3-(EDATE(V$3,-12)+1)+1),IF($N41=0,0,$Q41/$N41*MAX(0,(IF($I41="",V$3,MIN($I41,V$3)))-(MAX($H41,(EDATE(V$3,-12)+1)))+1)/(V$3-(EDATE(V$3,-12)+1)+1)))),MAX(0,$K41-$M41)))</f>
        <v/>
      </c>
      <c r="W41" s="51">
        <f>IF($K41="","",IF(AND($I41&lt;&gt;"",$I41&lt;=V$3),0,$K41-V41))</f>
        <v/>
      </c>
      <c r="X41" s="50">
        <f>IF(OR($K41="",$H41=""),"",MIN(MAX(0,IF($O41="WDV",W41*$P41*MAX(0,(IF($I41="",X$3,MIN($I41,X$3)))-(MAX($H41,(EDATE(X$3,-12)+1)))+1)/(X$3-(EDATE(X$3,-12)+1)+1),IF($N41=0,0,$Q41/$N41*MAX(0,(IF($I41="",X$3,MIN($I41,X$3)))-(MAX($H41,(EDATE(X$3,-12)+1)))+1)/(X$3-(EDATE(X$3,-12)+1)+1)))),MAX(0,W41-$M41)))</f>
        <v/>
      </c>
      <c r="Y41" s="51">
        <f>IF($K41="","",IF(AND($I41&lt;&gt;"",$I41&lt;=X$3),0,W41-X41))</f>
        <v/>
      </c>
      <c r="Z41" s="50">
        <f>IF(OR($K41="",$H41=""),"",MIN(MAX(0,IF($O41="WDV",Y41*$P41*MAX(0,(IF($I41="",Z$3,MIN($I41,Z$3)))-(MAX($H41,(EDATE(Z$3,-12)+1)))+1)/(Z$3-(EDATE(Z$3,-12)+1)+1),IF($N41=0,0,$Q41/$N41*MAX(0,(IF($I41="",Z$3,MIN($I41,Z$3)))-(MAX($H41,(EDATE(Z$3,-12)+1)))+1)/(Z$3-(EDATE(Z$3,-12)+1)+1)))),MAX(0,Y41-$M41)))</f>
        <v/>
      </c>
      <c r="AA41" s="51">
        <f>IF($K41="","",IF(AND($I41&lt;&gt;"",$I41&lt;=Z$3),0,Y41-Z41))</f>
        <v/>
      </c>
      <c r="AB41" s="50">
        <f>IF(OR($K41="",$H41=""),"",MIN(MAX(0,IF($O41="WDV",AA41*$P41*MAX(0,(IF($I41="",AB$3,MIN($I41,AB$3)))-(MAX($H41,(EDATE(AB$3,-12)+1)))+1)/(AB$3-(EDATE(AB$3,-12)+1)+1),IF($N41=0,0,$Q41/$N41*MAX(0,(IF($I41="",AB$3,MIN($I41,AB$3)))-(MAX($H41,(EDATE(AB$3,-12)+1)))+1)/(AB$3-(EDATE(AB$3,-12)+1)+1)))),MAX(0,AA41-$M41)))</f>
        <v/>
      </c>
      <c r="AC41" s="51">
        <f>IF($K41="","",IF(AND($I41&lt;&gt;"",$I41&lt;=AB$3),0,AA41-AB41))</f>
        <v/>
      </c>
      <c r="AD41" s="50">
        <f>IF(OR($K41="",$H41=""),"",MIN(MAX(0,IF($O41="WDV",AC41*$P41*MAX(0,(IF($I41="",AD$3,MIN($I41,AD$3)))-(MAX($H41,(EDATE(AD$3,-12)+1)))+1)/(AD$3-(EDATE(AD$3,-12)+1)+1),IF($N41=0,0,$Q41/$N41*MAX(0,(IF($I41="",AD$3,MIN($I41,AD$3)))-(MAX($H41,(EDATE(AD$3,-12)+1)))+1)/(AD$3-(EDATE(AD$3,-12)+1)+1)))),MAX(0,AC41-$M41)))</f>
        <v/>
      </c>
      <c r="AE41" s="51">
        <f>IF($K41="","",IF(AND($I41&lt;&gt;"",$I41&lt;=AD$3),0,AC41-AD41))</f>
        <v/>
      </c>
      <c r="AF41" s="50">
        <f>IF(OR($K41="",$H41=""),"",MIN(MAX(0,IF($O41="WDV",AE41*$P41*MAX(0,(IF($I41="",AF$3,MIN($I41,AF$3)))-(MAX($H41,(EDATE(AF$3,-12)+1)))+1)/(AF$3-(EDATE(AF$3,-12)+1)+1),IF($N41=0,0,$Q41/$N41*MAX(0,(IF($I41="",AF$3,MIN($I41,AF$3)))-(MAX($H41,(EDATE(AF$3,-12)+1)))+1)/(AF$3-(EDATE(AF$3,-12)+1)+1)))),MAX(0,AE41-$M41)))</f>
        <v/>
      </c>
      <c r="AG41" s="51">
        <f>IF($K41="","",IF(AND($I41&lt;&gt;"",$I41&lt;=AF$3),0,AE41-AF41))</f>
        <v/>
      </c>
      <c r="AH41" s="50">
        <f>IF(OR($K41="",$H41=""),"",MIN(MAX(0,IF($O41="WDV",AG41*$P41*MAX(0,(IF($I41="",AH$3,MIN($I41,AH$3)))-(MAX($H41,(EDATE(AH$3,-12)+1)))+1)/(AH$3-(EDATE(AH$3,-12)+1)+1),IF($N41=0,0,$Q41/$N41*MAX(0,(IF($I41="",AH$3,MIN($I41,AH$3)))-(MAX($H41,(EDATE(AH$3,-12)+1)))+1)/(AH$3-(EDATE(AH$3,-12)+1)+1)))),MAX(0,AG41-$M41)))</f>
        <v/>
      </c>
      <c r="AI41" s="51">
        <f>IF($K41="","",IF(AND($I41&lt;&gt;"",$I41&lt;=AH$3),0,AG41-AH41))</f>
        <v/>
      </c>
      <c r="AJ41" s="50">
        <f>IF(OR($K41="",$H41=""),"",MIN(MAX(0,IF($O41="WDV",AI41*$P41*MAX(0,(IF($I41="",AJ$3,MIN($I41,AJ$3)))-(MAX($H41,(EDATE(AJ$3,-12)+1)))+1)/(AJ$3-(EDATE(AJ$3,-12)+1)+1),IF($N41=0,0,$Q41/$N41*MAX(0,(IF($I41="",AJ$3,MIN($I41,AJ$3)))-(MAX($H41,(EDATE(AJ$3,-12)+1)))+1)/(AJ$3-(EDATE(AJ$3,-12)+1)+1)))),MAX(0,AI41-$M41)))</f>
        <v/>
      </c>
      <c r="AK41" s="51">
        <f>IF($K41="","",IF(AND($I41&lt;&gt;"",$I41&lt;=AJ$3),0,AI41-AJ41))</f>
        <v/>
      </c>
      <c r="AL41" s="50">
        <f>IF(OR($K41="",$H41=""),"",MIN(MAX(0,IF($O41="WDV",AK41*$P41*MAX(0,(IF($I41="",AL$3,MIN($I41,AL$3)))-(MAX($H41,(EDATE(AL$3,-12)+1)))+1)/(AL$3-(EDATE(AL$3,-12)+1)+1),IF($N41=0,0,$Q41/$N41*MAX(0,(IF($I41="",AL$3,MIN($I41,AL$3)))-(MAX($H41,(EDATE(AL$3,-12)+1)))+1)/(AL$3-(EDATE(AL$3,-12)+1)+1)))),MAX(0,AK41-$M41)))</f>
        <v/>
      </c>
      <c r="AM41" s="51">
        <f>IF($K41="","",IF(AND($I41&lt;&gt;"",$I41&lt;=AL$3),0,AK41-AL41))</f>
        <v/>
      </c>
      <c r="AN41" s="50">
        <f>IF(OR($K41="",$H41=""),"",MIN(MAX(0,IF($O41="WDV",AM41*$P41*MAX(0,(IF($I41="",AN$3,MIN($I41,AN$3)))-(MAX($H41,(EDATE(AN$3,-12)+1)))+1)/(AN$3-(EDATE(AN$3,-12)+1)+1),IF($N41=0,0,$Q41/$N41*MAX(0,(IF($I41="",AN$3,MIN($I41,AN$3)))-(MAX($H41,(EDATE(AN$3,-12)+1)))+1)/(AN$3-(EDATE(AN$3,-12)+1)+1)))),MAX(0,AM41-$M41)))</f>
        <v/>
      </c>
      <c r="AO41" s="51">
        <f>IF($K41="","",IF(AND($I41&lt;&gt;"",$I41&lt;=AN$3),0,AM41-AN41))</f>
        <v/>
      </c>
      <c r="AP41" s="50">
        <f>IF(OR($K41="",$H41=""),"",MIN(MAX(0,IF($O41="WDV",AO41*$P41*MAX(0,(IF($I41="",AP$3,MIN($I41,AP$3)))-(MAX($H41,(EDATE(AP$3,-12)+1)))+1)/(AP$3-(EDATE(AP$3,-12)+1)+1),IF($N41=0,0,$Q41/$N41*MAX(0,(IF($I41="",AP$3,MIN($I41,AP$3)))-(MAX($H41,(EDATE(AP$3,-12)+1)))+1)/(AP$3-(EDATE(AP$3,-12)+1)+1)))),MAX(0,AO41-$M41)))</f>
        <v/>
      </c>
      <c r="AQ41" s="51">
        <f>IF($K41="","",IF(AND($I41&lt;&gt;"",$I41&lt;=AP$3),0,AO41-AP41))</f>
        <v/>
      </c>
      <c r="AR41" s="50">
        <f>IF(OR($K41="",$H41=""),"",MIN(MAX(0,IF($O41="WDV",AQ41*$P41*MAX(0,(IF($I41="",AR$3,MIN($I41,AR$3)))-(MAX($H41,(EDATE(AR$3,-12)+1)))+1)/(AR$3-(EDATE(AR$3,-12)+1)+1),IF($N41=0,0,$Q41/$N41*MAX(0,(IF($I41="",AR$3,MIN($I41,AR$3)))-(MAX($H41,(EDATE(AR$3,-12)+1)))+1)/(AR$3-(EDATE(AR$3,-12)+1)+1)))),MAX(0,AQ41-$M41)))</f>
        <v/>
      </c>
      <c r="AS41" s="51">
        <f>IF($K41="","",IF(AND($I41&lt;&gt;"",$I41&lt;=AR$3),0,AQ41-AR41))</f>
        <v/>
      </c>
      <c r="AT41" s="50">
        <f>IF(OR($K41="",$H41=""),"",MIN(MAX(0,IF($O41="WDV",AS41*$P41*MAX(0,(IF($I41="",AT$3,MIN($I41,AT$3)))-(MAX($H41,(EDATE(AT$3,-12)+1)))+1)/(AT$3-(EDATE(AT$3,-12)+1)+1),IF($N41=0,0,$Q41/$N41*MAX(0,(IF($I41="",AT$3,MIN($I41,AT$3)))-(MAX($H41,(EDATE(AT$3,-12)+1)))+1)/(AT$3-(EDATE(AT$3,-12)+1)+1)))),MAX(0,AS41-$M41)))</f>
        <v/>
      </c>
      <c r="AU41" s="51">
        <f>IF($K41="","",IF(AND($I41&lt;&gt;"",$I41&lt;=AT$3),0,AS41-AT41))</f>
        <v/>
      </c>
      <c r="AV41" s="50">
        <f>IF(OR($K41="",$H41=""),"",MIN(MAX(0,IF($O41="WDV",AU41*$P41*MAX(0,(IF($I41="",AV$3,MIN($I41,AV$3)))-(MAX($H41,(EDATE(AV$3,-12)+1)))+1)/(AV$3-(EDATE(AV$3,-12)+1)+1),IF($N41=0,0,$Q41/$N41*MAX(0,(IF($I41="",AV$3,MIN($I41,AV$3)))-(MAX($H41,(EDATE(AV$3,-12)+1)))+1)/(AV$3-(EDATE(AV$3,-12)+1)+1)))),MAX(0,AU41-$M41)))</f>
        <v/>
      </c>
      <c r="AW41" s="51">
        <f>IF($K41="","",IF(AND($I41&lt;&gt;"",$I41&lt;=AV$3),0,AU41-AV41))</f>
        <v/>
      </c>
      <c r="AX41" s="50">
        <f>IF(OR($K41="",$H41=""),"",MIN(MAX(0,IF($O41="WDV",AW41*$P41*MAX(0,(IF($I41="",AX$3,MIN($I41,AX$3)))-(MAX($H41,(EDATE(AX$3,-12)+1)))+1)/(AX$3-(EDATE(AX$3,-12)+1)+1),IF($N41=0,0,$Q41/$N41*MAX(0,(IF($I41="",AX$3,MIN($I41,AX$3)))-(MAX($H41,(EDATE(AX$3,-12)+1)))+1)/(AX$3-(EDATE(AX$3,-12)+1)+1)))),MAX(0,AW41-$M41)))</f>
        <v/>
      </c>
      <c r="AY41" s="51">
        <f>IF($K41="","",IF(AND($I41&lt;&gt;"",$I41&lt;=AX$3),0,AW41-AX41))</f>
        <v/>
      </c>
      <c r="AZ41" s="50">
        <f>IF(OR($K41="",$H41=""),"",MIN(MAX(0,IF($O41="WDV",AY41*$P41*MAX(0,(IF($I41="",AZ$3,MIN($I41,AZ$3)))-(MAX($H41,(EDATE(AZ$3,-12)+1)))+1)/(AZ$3-(EDATE(AZ$3,-12)+1)+1),IF($N41=0,0,$Q41/$N41*MAX(0,(IF($I41="",AZ$3,MIN($I41,AZ$3)))-(MAX($H41,(EDATE(AZ$3,-12)+1)))+1)/(AZ$3-(EDATE(AZ$3,-12)+1)+1)))),MAX(0,AY41-$M41)))</f>
        <v/>
      </c>
      <c r="BA41" s="51">
        <f>IF($K41="","",IF(AND($I41&lt;&gt;"",$I41&lt;=AZ$3),0,AY41-AZ41))</f>
        <v/>
      </c>
    </row>
    <row r="42">
      <c r="A42" s="52" t="n"/>
      <c r="B42" s="53" t="n"/>
      <c r="C42" s="53" t="n"/>
      <c r="D42" s="53" t="n"/>
      <c r="E42" s="19" t="n"/>
      <c r="F42" s="54" t="n"/>
      <c r="G42" s="55" t="n"/>
      <c r="H42" s="55" t="n"/>
      <c r="I42" s="56" t="n"/>
      <c r="J42" s="57" t="n"/>
      <c r="K42" s="58" t="n"/>
      <c r="L42" s="59">
        <f>DefaultResidual</f>
        <v/>
      </c>
      <c r="M42" s="60">
        <f>IF($K42="","",$K42*$L42)</f>
        <v/>
      </c>
      <c r="N42" s="20">
        <f>IF($C42="","",IFERROR(VLOOKUP($C42,ScheduleIITable,3,FALSE),"#N/A"))</f>
        <v/>
      </c>
      <c r="O42" s="61">
        <f>IF($K42="","",GlobalMethod)</f>
        <v/>
      </c>
      <c r="P42" s="21">
        <f>IF(OR($K42="",$N42="",$N42=0,$M42=0),0,1-($M42/$K42)^(1/$N42))</f>
        <v/>
      </c>
      <c r="Q42" s="60">
        <f>IF($K42="","",$K42-$M42)</f>
        <v/>
      </c>
      <c r="R42" s="62">
        <f>IF($K42="","",INDEX($V42:$BA42,1,MATCH(ReportingFYEnd,$V$3:$BA$3,0)))</f>
        <v/>
      </c>
      <c r="S42" s="60">
        <f>IF($K42="","",IF($U42="Disposed",0,$K42-$T42))</f>
        <v/>
      </c>
      <c r="T42" s="63">
        <f>IF($K42="","",INDEX($V42:$BA42,1,MATCH(ReportingFYEnd,$V$3:$BA$3,0)+1))</f>
        <v/>
      </c>
      <c r="U42" s="64">
        <f>IF($K42="","",IF(AND($I42&lt;&gt;"",$I42&lt;=ReportingFYEnd),"Disposed",IF(OR($H42="",$H42&gt;ReportingFYEnd),"Not Yet in Use","Active")))</f>
        <v/>
      </c>
      <c r="V42" s="65">
        <f>IF(OR($K42="",$H42=""),"",MIN(MAX(0,IF($O42="WDV",$K42*$P42*MAX(0,(IF($I42="",V$3,MIN($I42,V$3)))-(MAX($H42,(EDATE(V$3,-12)+1)))+1)/(V$3-(EDATE(V$3,-12)+1)+1),IF($N42=0,0,$Q42/$N42*MAX(0,(IF($I42="",V$3,MIN($I42,V$3)))-(MAX($H42,(EDATE(V$3,-12)+1)))+1)/(V$3-(EDATE(V$3,-12)+1)+1)))),MAX(0,$K42-$M42)))</f>
        <v/>
      </c>
      <c r="W42" s="65">
        <f>IF($K42="","",IF(AND($I42&lt;&gt;"",$I42&lt;=V$3),0,$K42-V42))</f>
        <v/>
      </c>
      <c r="X42" s="65">
        <f>IF(OR($K42="",$H42=""),"",MIN(MAX(0,IF($O42="WDV",W42*$P42*MAX(0,(IF($I42="",X$3,MIN($I42,X$3)))-(MAX($H42,(EDATE(X$3,-12)+1)))+1)/(X$3-(EDATE(X$3,-12)+1)+1),IF($N42=0,0,$Q42/$N42*MAX(0,(IF($I42="",X$3,MIN($I42,X$3)))-(MAX($H42,(EDATE(X$3,-12)+1)))+1)/(X$3-(EDATE(X$3,-12)+1)+1)))),MAX(0,W42-$M42)))</f>
        <v/>
      </c>
      <c r="Y42" s="65">
        <f>IF($K42="","",IF(AND($I42&lt;&gt;"",$I42&lt;=X$3),0,W42-X42))</f>
        <v/>
      </c>
      <c r="Z42" s="65">
        <f>IF(OR($K42="",$H42=""),"",MIN(MAX(0,IF($O42="WDV",Y42*$P42*MAX(0,(IF($I42="",Z$3,MIN($I42,Z$3)))-(MAX($H42,(EDATE(Z$3,-12)+1)))+1)/(Z$3-(EDATE(Z$3,-12)+1)+1),IF($N42=0,0,$Q42/$N42*MAX(0,(IF($I42="",Z$3,MIN($I42,Z$3)))-(MAX($H42,(EDATE(Z$3,-12)+1)))+1)/(Z$3-(EDATE(Z$3,-12)+1)+1)))),MAX(0,Y42-$M42)))</f>
        <v/>
      </c>
      <c r="AA42" s="65">
        <f>IF($K42="","",IF(AND($I42&lt;&gt;"",$I42&lt;=Z$3),0,Y42-Z42))</f>
        <v/>
      </c>
      <c r="AB42" s="65">
        <f>IF(OR($K42="",$H42=""),"",MIN(MAX(0,IF($O42="WDV",AA42*$P42*MAX(0,(IF($I42="",AB$3,MIN($I42,AB$3)))-(MAX($H42,(EDATE(AB$3,-12)+1)))+1)/(AB$3-(EDATE(AB$3,-12)+1)+1),IF($N42=0,0,$Q42/$N42*MAX(0,(IF($I42="",AB$3,MIN($I42,AB$3)))-(MAX($H42,(EDATE(AB$3,-12)+1)))+1)/(AB$3-(EDATE(AB$3,-12)+1)+1)))),MAX(0,AA42-$M42)))</f>
        <v/>
      </c>
      <c r="AC42" s="65">
        <f>IF($K42="","",IF(AND($I42&lt;&gt;"",$I42&lt;=AB$3),0,AA42-AB42))</f>
        <v/>
      </c>
      <c r="AD42" s="65">
        <f>IF(OR($K42="",$H42=""),"",MIN(MAX(0,IF($O42="WDV",AC42*$P42*MAX(0,(IF($I42="",AD$3,MIN($I42,AD$3)))-(MAX($H42,(EDATE(AD$3,-12)+1)))+1)/(AD$3-(EDATE(AD$3,-12)+1)+1),IF($N42=0,0,$Q42/$N42*MAX(0,(IF($I42="",AD$3,MIN($I42,AD$3)))-(MAX($H42,(EDATE(AD$3,-12)+1)))+1)/(AD$3-(EDATE(AD$3,-12)+1)+1)))),MAX(0,AC42-$M42)))</f>
        <v/>
      </c>
      <c r="AE42" s="65">
        <f>IF($K42="","",IF(AND($I42&lt;&gt;"",$I42&lt;=AD$3),0,AC42-AD42))</f>
        <v/>
      </c>
      <c r="AF42" s="65">
        <f>IF(OR($K42="",$H42=""),"",MIN(MAX(0,IF($O42="WDV",AE42*$P42*MAX(0,(IF($I42="",AF$3,MIN($I42,AF$3)))-(MAX($H42,(EDATE(AF$3,-12)+1)))+1)/(AF$3-(EDATE(AF$3,-12)+1)+1),IF($N42=0,0,$Q42/$N42*MAX(0,(IF($I42="",AF$3,MIN($I42,AF$3)))-(MAX($H42,(EDATE(AF$3,-12)+1)))+1)/(AF$3-(EDATE(AF$3,-12)+1)+1)))),MAX(0,AE42-$M42)))</f>
        <v/>
      </c>
      <c r="AG42" s="65">
        <f>IF($K42="","",IF(AND($I42&lt;&gt;"",$I42&lt;=AF$3),0,AE42-AF42))</f>
        <v/>
      </c>
      <c r="AH42" s="65">
        <f>IF(OR($K42="",$H42=""),"",MIN(MAX(0,IF($O42="WDV",AG42*$P42*MAX(0,(IF($I42="",AH$3,MIN($I42,AH$3)))-(MAX($H42,(EDATE(AH$3,-12)+1)))+1)/(AH$3-(EDATE(AH$3,-12)+1)+1),IF($N42=0,0,$Q42/$N42*MAX(0,(IF($I42="",AH$3,MIN($I42,AH$3)))-(MAX($H42,(EDATE(AH$3,-12)+1)))+1)/(AH$3-(EDATE(AH$3,-12)+1)+1)))),MAX(0,AG42-$M42)))</f>
        <v/>
      </c>
      <c r="AI42" s="65">
        <f>IF($K42="","",IF(AND($I42&lt;&gt;"",$I42&lt;=AH$3),0,AG42-AH42))</f>
        <v/>
      </c>
      <c r="AJ42" s="65">
        <f>IF(OR($K42="",$H42=""),"",MIN(MAX(0,IF($O42="WDV",AI42*$P42*MAX(0,(IF($I42="",AJ$3,MIN($I42,AJ$3)))-(MAX($H42,(EDATE(AJ$3,-12)+1)))+1)/(AJ$3-(EDATE(AJ$3,-12)+1)+1),IF($N42=0,0,$Q42/$N42*MAX(0,(IF($I42="",AJ$3,MIN($I42,AJ$3)))-(MAX($H42,(EDATE(AJ$3,-12)+1)))+1)/(AJ$3-(EDATE(AJ$3,-12)+1)+1)))),MAX(0,AI42-$M42)))</f>
        <v/>
      </c>
      <c r="AK42" s="65">
        <f>IF($K42="","",IF(AND($I42&lt;&gt;"",$I42&lt;=AJ$3),0,AI42-AJ42))</f>
        <v/>
      </c>
      <c r="AL42" s="65">
        <f>IF(OR($K42="",$H42=""),"",MIN(MAX(0,IF($O42="WDV",AK42*$P42*MAX(0,(IF($I42="",AL$3,MIN($I42,AL$3)))-(MAX($H42,(EDATE(AL$3,-12)+1)))+1)/(AL$3-(EDATE(AL$3,-12)+1)+1),IF($N42=0,0,$Q42/$N42*MAX(0,(IF($I42="",AL$3,MIN($I42,AL$3)))-(MAX($H42,(EDATE(AL$3,-12)+1)))+1)/(AL$3-(EDATE(AL$3,-12)+1)+1)))),MAX(0,AK42-$M42)))</f>
        <v/>
      </c>
      <c r="AM42" s="65">
        <f>IF($K42="","",IF(AND($I42&lt;&gt;"",$I42&lt;=AL$3),0,AK42-AL42))</f>
        <v/>
      </c>
      <c r="AN42" s="65">
        <f>IF(OR($K42="",$H42=""),"",MIN(MAX(0,IF($O42="WDV",AM42*$P42*MAX(0,(IF($I42="",AN$3,MIN($I42,AN$3)))-(MAX($H42,(EDATE(AN$3,-12)+1)))+1)/(AN$3-(EDATE(AN$3,-12)+1)+1),IF($N42=0,0,$Q42/$N42*MAX(0,(IF($I42="",AN$3,MIN($I42,AN$3)))-(MAX($H42,(EDATE(AN$3,-12)+1)))+1)/(AN$3-(EDATE(AN$3,-12)+1)+1)))),MAX(0,AM42-$M42)))</f>
        <v/>
      </c>
      <c r="AO42" s="65">
        <f>IF($K42="","",IF(AND($I42&lt;&gt;"",$I42&lt;=AN$3),0,AM42-AN42))</f>
        <v/>
      </c>
      <c r="AP42" s="65">
        <f>IF(OR($K42="",$H42=""),"",MIN(MAX(0,IF($O42="WDV",AO42*$P42*MAX(0,(IF($I42="",AP$3,MIN($I42,AP$3)))-(MAX($H42,(EDATE(AP$3,-12)+1)))+1)/(AP$3-(EDATE(AP$3,-12)+1)+1),IF($N42=0,0,$Q42/$N42*MAX(0,(IF($I42="",AP$3,MIN($I42,AP$3)))-(MAX($H42,(EDATE(AP$3,-12)+1)))+1)/(AP$3-(EDATE(AP$3,-12)+1)+1)))),MAX(0,AO42-$M42)))</f>
        <v/>
      </c>
      <c r="AQ42" s="65">
        <f>IF($K42="","",IF(AND($I42&lt;&gt;"",$I42&lt;=AP$3),0,AO42-AP42))</f>
        <v/>
      </c>
      <c r="AR42" s="65">
        <f>IF(OR($K42="",$H42=""),"",MIN(MAX(0,IF($O42="WDV",AQ42*$P42*MAX(0,(IF($I42="",AR$3,MIN($I42,AR$3)))-(MAX($H42,(EDATE(AR$3,-12)+1)))+1)/(AR$3-(EDATE(AR$3,-12)+1)+1),IF($N42=0,0,$Q42/$N42*MAX(0,(IF($I42="",AR$3,MIN($I42,AR$3)))-(MAX($H42,(EDATE(AR$3,-12)+1)))+1)/(AR$3-(EDATE(AR$3,-12)+1)+1)))),MAX(0,AQ42-$M42)))</f>
        <v/>
      </c>
      <c r="AS42" s="65">
        <f>IF($K42="","",IF(AND($I42&lt;&gt;"",$I42&lt;=AR$3),0,AQ42-AR42))</f>
        <v/>
      </c>
      <c r="AT42" s="65">
        <f>IF(OR($K42="",$H42=""),"",MIN(MAX(0,IF($O42="WDV",AS42*$P42*MAX(0,(IF($I42="",AT$3,MIN($I42,AT$3)))-(MAX($H42,(EDATE(AT$3,-12)+1)))+1)/(AT$3-(EDATE(AT$3,-12)+1)+1),IF($N42=0,0,$Q42/$N42*MAX(0,(IF($I42="",AT$3,MIN($I42,AT$3)))-(MAX($H42,(EDATE(AT$3,-12)+1)))+1)/(AT$3-(EDATE(AT$3,-12)+1)+1)))),MAX(0,AS42-$M42)))</f>
        <v/>
      </c>
      <c r="AU42" s="65">
        <f>IF($K42="","",IF(AND($I42&lt;&gt;"",$I42&lt;=AT$3),0,AS42-AT42))</f>
        <v/>
      </c>
      <c r="AV42" s="65">
        <f>IF(OR($K42="",$H42=""),"",MIN(MAX(0,IF($O42="WDV",AU42*$P42*MAX(0,(IF($I42="",AV$3,MIN($I42,AV$3)))-(MAX($H42,(EDATE(AV$3,-12)+1)))+1)/(AV$3-(EDATE(AV$3,-12)+1)+1),IF($N42=0,0,$Q42/$N42*MAX(0,(IF($I42="",AV$3,MIN($I42,AV$3)))-(MAX($H42,(EDATE(AV$3,-12)+1)))+1)/(AV$3-(EDATE(AV$3,-12)+1)+1)))),MAX(0,AU42-$M42)))</f>
        <v/>
      </c>
      <c r="AW42" s="65">
        <f>IF($K42="","",IF(AND($I42&lt;&gt;"",$I42&lt;=AV$3),0,AU42-AV42))</f>
        <v/>
      </c>
      <c r="AX42" s="65">
        <f>IF(OR($K42="",$H42=""),"",MIN(MAX(0,IF($O42="WDV",AW42*$P42*MAX(0,(IF($I42="",AX$3,MIN($I42,AX$3)))-(MAX($H42,(EDATE(AX$3,-12)+1)))+1)/(AX$3-(EDATE(AX$3,-12)+1)+1),IF($N42=0,0,$Q42/$N42*MAX(0,(IF($I42="",AX$3,MIN($I42,AX$3)))-(MAX($H42,(EDATE(AX$3,-12)+1)))+1)/(AX$3-(EDATE(AX$3,-12)+1)+1)))),MAX(0,AW42-$M42)))</f>
        <v/>
      </c>
      <c r="AY42" s="65">
        <f>IF($K42="","",IF(AND($I42&lt;&gt;"",$I42&lt;=AX$3),0,AW42-AX42))</f>
        <v/>
      </c>
      <c r="AZ42" s="65">
        <f>IF(OR($K42="",$H42=""),"",MIN(MAX(0,IF($O42="WDV",AY42*$P42*MAX(0,(IF($I42="",AZ$3,MIN($I42,AZ$3)))-(MAX($H42,(EDATE(AZ$3,-12)+1)))+1)/(AZ$3-(EDATE(AZ$3,-12)+1)+1),IF($N42=0,0,$Q42/$N42*MAX(0,(IF($I42="",AZ$3,MIN($I42,AZ$3)))-(MAX($H42,(EDATE(AZ$3,-12)+1)))+1)/(AZ$3-(EDATE(AZ$3,-12)+1)+1)))),MAX(0,AY42-$M42)))</f>
        <v/>
      </c>
      <c r="BA42" s="65">
        <f>IF($K42="","",IF(AND($I42&lt;&gt;"",$I42&lt;=AZ$3),0,AY42-AZ42))</f>
        <v/>
      </c>
    </row>
    <row r="43">
      <c r="A43" s="34" t="n"/>
      <c r="B43" s="35" t="n"/>
      <c r="C43" s="35" t="n"/>
      <c r="D43" s="35" t="n"/>
      <c r="E43" s="36" t="n"/>
      <c r="F43" s="37" t="n"/>
      <c r="G43" s="38" t="n"/>
      <c r="H43" s="38" t="n"/>
      <c r="I43" s="39" t="n"/>
      <c r="J43" s="40" t="n"/>
      <c r="K43" s="41" t="n"/>
      <c r="L43" s="42">
        <f>DefaultResidual</f>
        <v/>
      </c>
      <c r="M43" s="43">
        <f>IF($K43="","",$K43*$L43)</f>
        <v/>
      </c>
      <c r="N43" s="44">
        <f>IF($C43="","",IFERROR(VLOOKUP($C43,ScheduleIITable,3,FALSE),"#N/A"))</f>
        <v/>
      </c>
      <c r="O43" s="45">
        <f>IF($K43="","",GlobalMethod)</f>
        <v/>
      </c>
      <c r="P43" s="46">
        <f>IF(OR($K43="",$N43="",$N43=0,$M43=0),0,1-($M43/$K43)^(1/$N43))</f>
        <v/>
      </c>
      <c r="Q43" s="43">
        <f>IF($K43="","",$K43-$M43)</f>
        <v/>
      </c>
      <c r="R43" s="47">
        <f>IF($K43="","",INDEX($V43:$BA43,1,MATCH(ReportingFYEnd,$V$3:$BA$3,0)))</f>
        <v/>
      </c>
      <c r="S43" s="43">
        <f>IF($K43="","",IF($U43="Disposed",0,$K43-$T43))</f>
        <v/>
      </c>
      <c r="T43" s="48">
        <f>IF($K43="","",INDEX($V43:$BA43,1,MATCH(ReportingFYEnd,$V$3:$BA$3,0)+1))</f>
        <v/>
      </c>
      <c r="U43" s="49">
        <f>IF($K43="","",IF(AND($I43&lt;&gt;"",$I43&lt;=ReportingFYEnd),"Disposed",IF(OR($H43="",$H43&gt;ReportingFYEnd),"Not Yet in Use","Active")))</f>
        <v/>
      </c>
      <c r="V43" s="50">
        <f>IF(OR($K43="",$H43=""),"",MIN(MAX(0,IF($O43="WDV",$K43*$P43*MAX(0,(IF($I43="",V$3,MIN($I43,V$3)))-(MAX($H43,(EDATE(V$3,-12)+1)))+1)/(V$3-(EDATE(V$3,-12)+1)+1),IF($N43=0,0,$Q43/$N43*MAX(0,(IF($I43="",V$3,MIN($I43,V$3)))-(MAX($H43,(EDATE(V$3,-12)+1)))+1)/(V$3-(EDATE(V$3,-12)+1)+1)))),MAX(0,$K43-$M43)))</f>
        <v/>
      </c>
      <c r="W43" s="51">
        <f>IF($K43="","",IF(AND($I43&lt;&gt;"",$I43&lt;=V$3),0,$K43-V43))</f>
        <v/>
      </c>
      <c r="X43" s="50">
        <f>IF(OR($K43="",$H43=""),"",MIN(MAX(0,IF($O43="WDV",W43*$P43*MAX(0,(IF($I43="",X$3,MIN($I43,X$3)))-(MAX($H43,(EDATE(X$3,-12)+1)))+1)/(X$3-(EDATE(X$3,-12)+1)+1),IF($N43=0,0,$Q43/$N43*MAX(0,(IF($I43="",X$3,MIN($I43,X$3)))-(MAX($H43,(EDATE(X$3,-12)+1)))+1)/(X$3-(EDATE(X$3,-12)+1)+1)))),MAX(0,W43-$M43)))</f>
        <v/>
      </c>
      <c r="Y43" s="51">
        <f>IF($K43="","",IF(AND($I43&lt;&gt;"",$I43&lt;=X$3),0,W43-X43))</f>
        <v/>
      </c>
      <c r="Z43" s="50">
        <f>IF(OR($K43="",$H43=""),"",MIN(MAX(0,IF($O43="WDV",Y43*$P43*MAX(0,(IF($I43="",Z$3,MIN($I43,Z$3)))-(MAX($H43,(EDATE(Z$3,-12)+1)))+1)/(Z$3-(EDATE(Z$3,-12)+1)+1),IF($N43=0,0,$Q43/$N43*MAX(0,(IF($I43="",Z$3,MIN($I43,Z$3)))-(MAX($H43,(EDATE(Z$3,-12)+1)))+1)/(Z$3-(EDATE(Z$3,-12)+1)+1)))),MAX(0,Y43-$M43)))</f>
        <v/>
      </c>
      <c r="AA43" s="51">
        <f>IF($K43="","",IF(AND($I43&lt;&gt;"",$I43&lt;=Z$3),0,Y43-Z43))</f>
        <v/>
      </c>
      <c r="AB43" s="50">
        <f>IF(OR($K43="",$H43=""),"",MIN(MAX(0,IF($O43="WDV",AA43*$P43*MAX(0,(IF($I43="",AB$3,MIN($I43,AB$3)))-(MAX($H43,(EDATE(AB$3,-12)+1)))+1)/(AB$3-(EDATE(AB$3,-12)+1)+1),IF($N43=0,0,$Q43/$N43*MAX(0,(IF($I43="",AB$3,MIN($I43,AB$3)))-(MAX($H43,(EDATE(AB$3,-12)+1)))+1)/(AB$3-(EDATE(AB$3,-12)+1)+1)))),MAX(0,AA43-$M43)))</f>
        <v/>
      </c>
      <c r="AC43" s="51">
        <f>IF($K43="","",IF(AND($I43&lt;&gt;"",$I43&lt;=AB$3),0,AA43-AB43))</f>
        <v/>
      </c>
      <c r="AD43" s="50">
        <f>IF(OR($K43="",$H43=""),"",MIN(MAX(0,IF($O43="WDV",AC43*$P43*MAX(0,(IF($I43="",AD$3,MIN($I43,AD$3)))-(MAX($H43,(EDATE(AD$3,-12)+1)))+1)/(AD$3-(EDATE(AD$3,-12)+1)+1),IF($N43=0,0,$Q43/$N43*MAX(0,(IF($I43="",AD$3,MIN($I43,AD$3)))-(MAX($H43,(EDATE(AD$3,-12)+1)))+1)/(AD$3-(EDATE(AD$3,-12)+1)+1)))),MAX(0,AC43-$M43)))</f>
        <v/>
      </c>
      <c r="AE43" s="51">
        <f>IF($K43="","",IF(AND($I43&lt;&gt;"",$I43&lt;=AD$3),0,AC43-AD43))</f>
        <v/>
      </c>
      <c r="AF43" s="50">
        <f>IF(OR($K43="",$H43=""),"",MIN(MAX(0,IF($O43="WDV",AE43*$P43*MAX(0,(IF($I43="",AF$3,MIN($I43,AF$3)))-(MAX($H43,(EDATE(AF$3,-12)+1)))+1)/(AF$3-(EDATE(AF$3,-12)+1)+1),IF($N43=0,0,$Q43/$N43*MAX(0,(IF($I43="",AF$3,MIN($I43,AF$3)))-(MAX($H43,(EDATE(AF$3,-12)+1)))+1)/(AF$3-(EDATE(AF$3,-12)+1)+1)))),MAX(0,AE43-$M43)))</f>
        <v/>
      </c>
      <c r="AG43" s="51">
        <f>IF($K43="","",IF(AND($I43&lt;&gt;"",$I43&lt;=AF$3),0,AE43-AF43))</f>
        <v/>
      </c>
      <c r="AH43" s="50">
        <f>IF(OR($K43="",$H43=""),"",MIN(MAX(0,IF($O43="WDV",AG43*$P43*MAX(0,(IF($I43="",AH$3,MIN($I43,AH$3)))-(MAX($H43,(EDATE(AH$3,-12)+1)))+1)/(AH$3-(EDATE(AH$3,-12)+1)+1),IF($N43=0,0,$Q43/$N43*MAX(0,(IF($I43="",AH$3,MIN($I43,AH$3)))-(MAX($H43,(EDATE(AH$3,-12)+1)))+1)/(AH$3-(EDATE(AH$3,-12)+1)+1)))),MAX(0,AG43-$M43)))</f>
        <v/>
      </c>
      <c r="AI43" s="51">
        <f>IF($K43="","",IF(AND($I43&lt;&gt;"",$I43&lt;=AH$3),0,AG43-AH43))</f>
        <v/>
      </c>
      <c r="AJ43" s="50">
        <f>IF(OR($K43="",$H43=""),"",MIN(MAX(0,IF($O43="WDV",AI43*$P43*MAX(0,(IF($I43="",AJ$3,MIN($I43,AJ$3)))-(MAX($H43,(EDATE(AJ$3,-12)+1)))+1)/(AJ$3-(EDATE(AJ$3,-12)+1)+1),IF($N43=0,0,$Q43/$N43*MAX(0,(IF($I43="",AJ$3,MIN($I43,AJ$3)))-(MAX($H43,(EDATE(AJ$3,-12)+1)))+1)/(AJ$3-(EDATE(AJ$3,-12)+1)+1)))),MAX(0,AI43-$M43)))</f>
        <v/>
      </c>
      <c r="AK43" s="51">
        <f>IF($K43="","",IF(AND($I43&lt;&gt;"",$I43&lt;=AJ$3),0,AI43-AJ43))</f>
        <v/>
      </c>
      <c r="AL43" s="50">
        <f>IF(OR($K43="",$H43=""),"",MIN(MAX(0,IF($O43="WDV",AK43*$P43*MAX(0,(IF($I43="",AL$3,MIN($I43,AL$3)))-(MAX($H43,(EDATE(AL$3,-12)+1)))+1)/(AL$3-(EDATE(AL$3,-12)+1)+1),IF($N43=0,0,$Q43/$N43*MAX(0,(IF($I43="",AL$3,MIN($I43,AL$3)))-(MAX($H43,(EDATE(AL$3,-12)+1)))+1)/(AL$3-(EDATE(AL$3,-12)+1)+1)))),MAX(0,AK43-$M43)))</f>
        <v/>
      </c>
      <c r="AM43" s="51">
        <f>IF($K43="","",IF(AND($I43&lt;&gt;"",$I43&lt;=AL$3),0,AK43-AL43))</f>
        <v/>
      </c>
      <c r="AN43" s="50">
        <f>IF(OR($K43="",$H43=""),"",MIN(MAX(0,IF($O43="WDV",AM43*$P43*MAX(0,(IF($I43="",AN$3,MIN($I43,AN$3)))-(MAX($H43,(EDATE(AN$3,-12)+1)))+1)/(AN$3-(EDATE(AN$3,-12)+1)+1),IF($N43=0,0,$Q43/$N43*MAX(0,(IF($I43="",AN$3,MIN($I43,AN$3)))-(MAX($H43,(EDATE(AN$3,-12)+1)))+1)/(AN$3-(EDATE(AN$3,-12)+1)+1)))),MAX(0,AM43-$M43)))</f>
        <v/>
      </c>
      <c r="AO43" s="51">
        <f>IF($K43="","",IF(AND($I43&lt;&gt;"",$I43&lt;=AN$3),0,AM43-AN43))</f>
        <v/>
      </c>
      <c r="AP43" s="50">
        <f>IF(OR($K43="",$H43=""),"",MIN(MAX(0,IF($O43="WDV",AO43*$P43*MAX(0,(IF($I43="",AP$3,MIN($I43,AP$3)))-(MAX($H43,(EDATE(AP$3,-12)+1)))+1)/(AP$3-(EDATE(AP$3,-12)+1)+1),IF($N43=0,0,$Q43/$N43*MAX(0,(IF($I43="",AP$3,MIN($I43,AP$3)))-(MAX($H43,(EDATE(AP$3,-12)+1)))+1)/(AP$3-(EDATE(AP$3,-12)+1)+1)))),MAX(0,AO43-$M43)))</f>
        <v/>
      </c>
      <c r="AQ43" s="51">
        <f>IF($K43="","",IF(AND($I43&lt;&gt;"",$I43&lt;=AP$3),0,AO43-AP43))</f>
        <v/>
      </c>
      <c r="AR43" s="50">
        <f>IF(OR($K43="",$H43=""),"",MIN(MAX(0,IF($O43="WDV",AQ43*$P43*MAX(0,(IF($I43="",AR$3,MIN($I43,AR$3)))-(MAX($H43,(EDATE(AR$3,-12)+1)))+1)/(AR$3-(EDATE(AR$3,-12)+1)+1),IF($N43=0,0,$Q43/$N43*MAX(0,(IF($I43="",AR$3,MIN($I43,AR$3)))-(MAX($H43,(EDATE(AR$3,-12)+1)))+1)/(AR$3-(EDATE(AR$3,-12)+1)+1)))),MAX(0,AQ43-$M43)))</f>
        <v/>
      </c>
      <c r="AS43" s="51">
        <f>IF($K43="","",IF(AND($I43&lt;&gt;"",$I43&lt;=AR$3),0,AQ43-AR43))</f>
        <v/>
      </c>
      <c r="AT43" s="50">
        <f>IF(OR($K43="",$H43=""),"",MIN(MAX(0,IF($O43="WDV",AS43*$P43*MAX(0,(IF($I43="",AT$3,MIN($I43,AT$3)))-(MAX($H43,(EDATE(AT$3,-12)+1)))+1)/(AT$3-(EDATE(AT$3,-12)+1)+1),IF($N43=0,0,$Q43/$N43*MAX(0,(IF($I43="",AT$3,MIN($I43,AT$3)))-(MAX($H43,(EDATE(AT$3,-12)+1)))+1)/(AT$3-(EDATE(AT$3,-12)+1)+1)))),MAX(0,AS43-$M43)))</f>
        <v/>
      </c>
      <c r="AU43" s="51">
        <f>IF($K43="","",IF(AND($I43&lt;&gt;"",$I43&lt;=AT$3),0,AS43-AT43))</f>
        <v/>
      </c>
      <c r="AV43" s="50">
        <f>IF(OR($K43="",$H43=""),"",MIN(MAX(0,IF($O43="WDV",AU43*$P43*MAX(0,(IF($I43="",AV$3,MIN($I43,AV$3)))-(MAX($H43,(EDATE(AV$3,-12)+1)))+1)/(AV$3-(EDATE(AV$3,-12)+1)+1),IF($N43=0,0,$Q43/$N43*MAX(0,(IF($I43="",AV$3,MIN($I43,AV$3)))-(MAX($H43,(EDATE(AV$3,-12)+1)))+1)/(AV$3-(EDATE(AV$3,-12)+1)+1)))),MAX(0,AU43-$M43)))</f>
        <v/>
      </c>
      <c r="AW43" s="51">
        <f>IF($K43="","",IF(AND($I43&lt;&gt;"",$I43&lt;=AV$3),0,AU43-AV43))</f>
        <v/>
      </c>
      <c r="AX43" s="50">
        <f>IF(OR($K43="",$H43=""),"",MIN(MAX(0,IF($O43="WDV",AW43*$P43*MAX(0,(IF($I43="",AX$3,MIN($I43,AX$3)))-(MAX($H43,(EDATE(AX$3,-12)+1)))+1)/(AX$3-(EDATE(AX$3,-12)+1)+1),IF($N43=0,0,$Q43/$N43*MAX(0,(IF($I43="",AX$3,MIN($I43,AX$3)))-(MAX($H43,(EDATE(AX$3,-12)+1)))+1)/(AX$3-(EDATE(AX$3,-12)+1)+1)))),MAX(0,AW43-$M43)))</f>
        <v/>
      </c>
      <c r="AY43" s="51">
        <f>IF($K43="","",IF(AND($I43&lt;&gt;"",$I43&lt;=AX$3),0,AW43-AX43))</f>
        <v/>
      </c>
      <c r="AZ43" s="50">
        <f>IF(OR($K43="",$H43=""),"",MIN(MAX(0,IF($O43="WDV",AY43*$P43*MAX(0,(IF($I43="",AZ$3,MIN($I43,AZ$3)))-(MAX($H43,(EDATE(AZ$3,-12)+1)))+1)/(AZ$3-(EDATE(AZ$3,-12)+1)+1),IF($N43=0,0,$Q43/$N43*MAX(0,(IF($I43="",AZ$3,MIN($I43,AZ$3)))-(MAX($H43,(EDATE(AZ$3,-12)+1)))+1)/(AZ$3-(EDATE(AZ$3,-12)+1)+1)))),MAX(0,AY43-$M43)))</f>
        <v/>
      </c>
      <c r="BA43" s="51">
        <f>IF($K43="","",IF(AND($I43&lt;&gt;"",$I43&lt;=AZ$3),0,AY43-AZ43))</f>
        <v/>
      </c>
    </row>
    <row r="44">
      <c r="A44" s="52" t="n"/>
      <c r="B44" s="53" t="n"/>
      <c r="C44" s="53" t="n"/>
      <c r="D44" s="53" t="n"/>
      <c r="E44" s="19" t="n"/>
      <c r="F44" s="54" t="n"/>
      <c r="G44" s="55" t="n"/>
      <c r="H44" s="55" t="n"/>
      <c r="I44" s="56" t="n"/>
      <c r="J44" s="57" t="n"/>
      <c r="K44" s="58" t="n"/>
      <c r="L44" s="59">
        <f>DefaultResidual</f>
        <v/>
      </c>
      <c r="M44" s="60">
        <f>IF($K44="","",$K44*$L44)</f>
        <v/>
      </c>
      <c r="N44" s="20">
        <f>IF($C44="","",IFERROR(VLOOKUP($C44,ScheduleIITable,3,FALSE),"#N/A"))</f>
        <v/>
      </c>
      <c r="O44" s="61">
        <f>IF($K44="","",GlobalMethod)</f>
        <v/>
      </c>
      <c r="P44" s="21">
        <f>IF(OR($K44="",$N44="",$N44=0,$M44=0),0,1-($M44/$K44)^(1/$N44))</f>
        <v/>
      </c>
      <c r="Q44" s="60">
        <f>IF($K44="","",$K44-$M44)</f>
        <v/>
      </c>
      <c r="R44" s="62">
        <f>IF($K44="","",INDEX($V44:$BA44,1,MATCH(ReportingFYEnd,$V$3:$BA$3,0)))</f>
        <v/>
      </c>
      <c r="S44" s="60">
        <f>IF($K44="","",IF($U44="Disposed",0,$K44-$T44))</f>
        <v/>
      </c>
      <c r="T44" s="63">
        <f>IF($K44="","",INDEX($V44:$BA44,1,MATCH(ReportingFYEnd,$V$3:$BA$3,0)+1))</f>
        <v/>
      </c>
      <c r="U44" s="64">
        <f>IF($K44="","",IF(AND($I44&lt;&gt;"",$I44&lt;=ReportingFYEnd),"Disposed",IF(OR($H44="",$H44&gt;ReportingFYEnd),"Not Yet in Use","Active")))</f>
        <v/>
      </c>
      <c r="V44" s="65">
        <f>IF(OR($K44="",$H44=""),"",MIN(MAX(0,IF($O44="WDV",$K44*$P44*MAX(0,(IF($I44="",V$3,MIN($I44,V$3)))-(MAX($H44,(EDATE(V$3,-12)+1)))+1)/(V$3-(EDATE(V$3,-12)+1)+1),IF($N44=0,0,$Q44/$N44*MAX(0,(IF($I44="",V$3,MIN($I44,V$3)))-(MAX($H44,(EDATE(V$3,-12)+1)))+1)/(V$3-(EDATE(V$3,-12)+1)+1)))),MAX(0,$K44-$M44)))</f>
        <v/>
      </c>
      <c r="W44" s="65">
        <f>IF($K44="","",IF(AND($I44&lt;&gt;"",$I44&lt;=V$3),0,$K44-V44))</f>
        <v/>
      </c>
      <c r="X44" s="65">
        <f>IF(OR($K44="",$H44=""),"",MIN(MAX(0,IF($O44="WDV",W44*$P44*MAX(0,(IF($I44="",X$3,MIN($I44,X$3)))-(MAX($H44,(EDATE(X$3,-12)+1)))+1)/(X$3-(EDATE(X$3,-12)+1)+1),IF($N44=0,0,$Q44/$N44*MAX(0,(IF($I44="",X$3,MIN($I44,X$3)))-(MAX($H44,(EDATE(X$3,-12)+1)))+1)/(X$3-(EDATE(X$3,-12)+1)+1)))),MAX(0,W44-$M44)))</f>
        <v/>
      </c>
      <c r="Y44" s="65">
        <f>IF($K44="","",IF(AND($I44&lt;&gt;"",$I44&lt;=X$3),0,W44-X44))</f>
        <v/>
      </c>
      <c r="Z44" s="65">
        <f>IF(OR($K44="",$H44=""),"",MIN(MAX(0,IF($O44="WDV",Y44*$P44*MAX(0,(IF($I44="",Z$3,MIN($I44,Z$3)))-(MAX($H44,(EDATE(Z$3,-12)+1)))+1)/(Z$3-(EDATE(Z$3,-12)+1)+1),IF($N44=0,0,$Q44/$N44*MAX(0,(IF($I44="",Z$3,MIN($I44,Z$3)))-(MAX($H44,(EDATE(Z$3,-12)+1)))+1)/(Z$3-(EDATE(Z$3,-12)+1)+1)))),MAX(0,Y44-$M44)))</f>
        <v/>
      </c>
      <c r="AA44" s="65">
        <f>IF($K44="","",IF(AND($I44&lt;&gt;"",$I44&lt;=Z$3),0,Y44-Z44))</f>
        <v/>
      </c>
      <c r="AB44" s="65">
        <f>IF(OR($K44="",$H44=""),"",MIN(MAX(0,IF($O44="WDV",AA44*$P44*MAX(0,(IF($I44="",AB$3,MIN($I44,AB$3)))-(MAX($H44,(EDATE(AB$3,-12)+1)))+1)/(AB$3-(EDATE(AB$3,-12)+1)+1),IF($N44=0,0,$Q44/$N44*MAX(0,(IF($I44="",AB$3,MIN($I44,AB$3)))-(MAX($H44,(EDATE(AB$3,-12)+1)))+1)/(AB$3-(EDATE(AB$3,-12)+1)+1)))),MAX(0,AA44-$M44)))</f>
        <v/>
      </c>
      <c r="AC44" s="65">
        <f>IF($K44="","",IF(AND($I44&lt;&gt;"",$I44&lt;=AB$3),0,AA44-AB44))</f>
        <v/>
      </c>
      <c r="AD44" s="65">
        <f>IF(OR($K44="",$H44=""),"",MIN(MAX(0,IF($O44="WDV",AC44*$P44*MAX(0,(IF($I44="",AD$3,MIN($I44,AD$3)))-(MAX($H44,(EDATE(AD$3,-12)+1)))+1)/(AD$3-(EDATE(AD$3,-12)+1)+1),IF($N44=0,0,$Q44/$N44*MAX(0,(IF($I44="",AD$3,MIN($I44,AD$3)))-(MAX($H44,(EDATE(AD$3,-12)+1)))+1)/(AD$3-(EDATE(AD$3,-12)+1)+1)))),MAX(0,AC44-$M44)))</f>
        <v/>
      </c>
      <c r="AE44" s="65">
        <f>IF($K44="","",IF(AND($I44&lt;&gt;"",$I44&lt;=AD$3),0,AC44-AD44))</f>
        <v/>
      </c>
      <c r="AF44" s="65">
        <f>IF(OR($K44="",$H44=""),"",MIN(MAX(0,IF($O44="WDV",AE44*$P44*MAX(0,(IF($I44="",AF$3,MIN($I44,AF$3)))-(MAX($H44,(EDATE(AF$3,-12)+1)))+1)/(AF$3-(EDATE(AF$3,-12)+1)+1),IF($N44=0,0,$Q44/$N44*MAX(0,(IF($I44="",AF$3,MIN($I44,AF$3)))-(MAX($H44,(EDATE(AF$3,-12)+1)))+1)/(AF$3-(EDATE(AF$3,-12)+1)+1)))),MAX(0,AE44-$M44)))</f>
        <v/>
      </c>
      <c r="AG44" s="65">
        <f>IF($K44="","",IF(AND($I44&lt;&gt;"",$I44&lt;=AF$3),0,AE44-AF44))</f>
        <v/>
      </c>
      <c r="AH44" s="65">
        <f>IF(OR($K44="",$H44=""),"",MIN(MAX(0,IF($O44="WDV",AG44*$P44*MAX(0,(IF($I44="",AH$3,MIN($I44,AH$3)))-(MAX($H44,(EDATE(AH$3,-12)+1)))+1)/(AH$3-(EDATE(AH$3,-12)+1)+1),IF($N44=0,0,$Q44/$N44*MAX(0,(IF($I44="",AH$3,MIN($I44,AH$3)))-(MAX($H44,(EDATE(AH$3,-12)+1)))+1)/(AH$3-(EDATE(AH$3,-12)+1)+1)))),MAX(0,AG44-$M44)))</f>
        <v/>
      </c>
      <c r="AI44" s="65">
        <f>IF($K44="","",IF(AND($I44&lt;&gt;"",$I44&lt;=AH$3),0,AG44-AH44))</f>
        <v/>
      </c>
      <c r="AJ44" s="65">
        <f>IF(OR($K44="",$H44=""),"",MIN(MAX(0,IF($O44="WDV",AI44*$P44*MAX(0,(IF($I44="",AJ$3,MIN($I44,AJ$3)))-(MAX($H44,(EDATE(AJ$3,-12)+1)))+1)/(AJ$3-(EDATE(AJ$3,-12)+1)+1),IF($N44=0,0,$Q44/$N44*MAX(0,(IF($I44="",AJ$3,MIN($I44,AJ$3)))-(MAX($H44,(EDATE(AJ$3,-12)+1)))+1)/(AJ$3-(EDATE(AJ$3,-12)+1)+1)))),MAX(0,AI44-$M44)))</f>
        <v/>
      </c>
      <c r="AK44" s="65">
        <f>IF($K44="","",IF(AND($I44&lt;&gt;"",$I44&lt;=AJ$3),0,AI44-AJ44))</f>
        <v/>
      </c>
      <c r="AL44" s="65">
        <f>IF(OR($K44="",$H44=""),"",MIN(MAX(0,IF($O44="WDV",AK44*$P44*MAX(0,(IF($I44="",AL$3,MIN($I44,AL$3)))-(MAX($H44,(EDATE(AL$3,-12)+1)))+1)/(AL$3-(EDATE(AL$3,-12)+1)+1),IF($N44=0,0,$Q44/$N44*MAX(0,(IF($I44="",AL$3,MIN($I44,AL$3)))-(MAX($H44,(EDATE(AL$3,-12)+1)))+1)/(AL$3-(EDATE(AL$3,-12)+1)+1)))),MAX(0,AK44-$M44)))</f>
        <v/>
      </c>
      <c r="AM44" s="65">
        <f>IF($K44="","",IF(AND($I44&lt;&gt;"",$I44&lt;=AL$3),0,AK44-AL44))</f>
        <v/>
      </c>
      <c r="AN44" s="65">
        <f>IF(OR($K44="",$H44=""),"",MIN(MAX(0,IF($O44="WDV",AM44*$P44*MAX(0,(IF($I44="",AN$3,MIN($I44,AN$3)))-(MAX($H44,(EDATE(AN$3,-12)+1)))+1)/(AN$3-(EDATE(AN$3,-12)+1)+1),IF($N44=0,0,$Q44/$N44*MAX(0,(IF($I44="",AN$3,MIN($I44,AN$3)))-(MAX($H44,(EDATE(AN$3,-12)+1)))+1)/(AN$3-(EDATE(AN$3,-12)+1)+1)))),MAX(0,AM44-$M44)))</f>
        <v/>
      </c>
      <c r="AO44" s="65">
        <f>IF($K44="","",IF(AND($I44&lt;&gt;"",$I44&lt;=AN$3),0,AM44-AN44))</f>
        <v/>
      </c>
      <c r="AP44" s="65">
        <f>IF(OR($K44="",$H44=""),"",MIN(MAX(0,IF($O44="WDV",AO44*$P44*MAX(0,(IF($I44="",AP$3,MIN($I44,AP$3)))-(MAX($H44,(EDATE(AP$3,-12)+1)))+1)/(AP$3-(EDATE(AP$3,-12)+1)+1),IF($N44=0,0,$Q44/$N44*MAX(0,(IF($I44="",AP$3,MIN($I44,AP$3)))-(MAX($H44,(EDATE(AP$3,-12)+1)))+1)/(AP$3-(EDATE(AP$3,-12)+1)+1)))),MAX(0,AO44-$M44)))</f>
        <v/>
      </c>
      <c r="AQ44" s="65">
        <f>IF($K44="","",IF(AND($I44&lt;&gt;"",$I44&lt;=AP$3),0,AO44-AP44))</f>
        <v/>
      </c>
      <c r="AR44" s="65">
        <f>IF(OR($K44="",$H44=""),"",MIN(MAX(0,IF($O44="WDV",AQ44*$P44*MAX(0,(IF($I44="",AR$3,MIN($I44,AR$3)))-(MAX($H44,(EDATE(AR$3,-12)+1)))+1)/(AR$3-(EDATE(AR$3,-12)+1)+1),IF($N44=0,0,$Q44/$N44*MAX(0,(IF($I44="",AR$3,MIN($I44,AR$3)))-(MAX($H44,(EDATE(AR$3,-12)+1)))+1)/(AR$3-(EDATE(AR$3,-12)+1)+1)))),MAX(0,AQ44-$M44)))</f>
        <v/>
      </c>
      <c r="AS44" s="65">
        <f>IF($K44="","",IF(AND($I44&lt;&gt;"",$I44&lt;=AR$3),0,AQ44-AR44))</f>
        <v/>
      </c>
      <c r="AT44" s="65">
        <f>IF(OR($K44="",$H44=""),"",MIN(MAX(0,IF($O44="WDV",AS44*$P44*MAX(0,(IF($I44="",AT$3,MIN($I44,AT$3)))-(MAX($H44,(EDATE(AT$3,-12)+1)))+1)/(AT$3-(EDATE(AT$3,-12)+1)+1),IF($N44=0,0,$Q44/$N44*MAX(0,(IF($I44="",AT$3,MIN($I44,AT$3)))-(MAX($H44,(EDATE(AT$3,-12)+1)))+1)/(AT$3-(EDATE(AT$3,-12)+1)+1)))),MAX(0,AS44-$M44)))</f>
        <v/>
      </c>
      <c r="AU44" s="65">
        <f>IF($K44="","",IF(AND($I44&lt;&gt;"",$I44&lt;=AT$3),0,AS44-AT44))</f>
        <v/>
      </c>
      <c r="AV44" s="65">
        <f>IF(OR($K44="",$H44=""),"",MIN(MAX(0,IF($O44="WDV",AU44*$P44*MAX(0,(IF($I44="",AV$3,MIN($I44,AV$3)))-(MAX($H44,(EDATE(AV$3,-12)+1)))+1)/(AV$3-(EDATE(AV$3,-12)+1)+1),IF($N44=0,0,$Q44/$N44*MAX(0,(IF($I44="",AV$3,MIN($I44,AV$3)))-(MAX($H44,(EDATE(AV$3,-12)+1)))+1)/(AV$3-(EDATE(AV$3,-12)+1)+1)))),MAX(0,AU44-$M44)))</f>
        <v/>
      </c>
      <c r="AW44" s="65">
        <f>IF($K44="","",IF(AND($I44&lt;&gt;"",$I44&lt;=AV$3),0,AU44-AV44))</f>
        <v/>
      </c>
      <c r="AX44" s="65">
        <f>IF(OR($K44="",$H44=""),"",MIN(MAX(0,IF($O44="WDV",AW44*$P44*MAX(0,(IF($I44="",AX$3,MIN($I44,AX$3)))-(MAX($H44,(EDATE(AX$3,-12)+1)))+1)/(AX$3-(EDATE(AX$3,-12)+1)+1),IF($N44=0,0,$Q44/$N44*MAX(0,(IF($I44="",AX$3,MIN($I44,AX$3)))-(MAX($H44,(EDATE(AX$3,-12)+1)))+1)/(AX$3-(EDATE(AX$3,-12)+1)+1)))),MAX(0,AW44-$M44)))</f>
        <v/>
      </c>
      <c r="AY44" s="65">
        <f>IF($K44="","",IF(AND($I44&lt;&gt;"",$I44&lt;=AX$3),0,AW44-AX44))</f>
        <v/>
      </c>
      <c r="AZ44" s="65">
        <f>IF(OR($K44="",$H44=""),"",MIN(MAX(0,IF($O44="WDV",AY44*$P44*MAX(0,(IF($I44="",AZ$3,MIN($I44,AZ$3)))-(MAX($H44,(EDATE(AZ$3,-12)+1)))+1)/(AZ$3-(EDATE(AZ$3,-12)+1)+1),IF($N44=0,0,$Q44/$N44*MAX(0,(IF($I44="",AZ$3,MIN($I44,AZ$3)))-(MAX($H44,(EDATE(AZ$3,-12)+1)))+1)/(AZ$3-(EDATE(AZ$3,-12)+1)+1)))),MAX(0,AY44-$M44)))</f>
        <v/>
      </c>
      <c r="BA44" s="65">
        <f>IF($K44="","",IF(AND($I44&lt;&gt;"",$I44&lt;=AZ$3),0,AY44-AZ44))</f>
        <v/>
      </c>
    </row>
    <row r="45">
      <c r="A45" s="34" t="n"/>
      <c r="B45" s="35" t="n"/>
      <c r="C45" s="35" t="n"/>
      <c r="D45" s="35" t="n"/>
      <c r="E45" s="36" t="n"/>
      <c r="F45" s="37" t="n"/>
      <c r="G45" s="38" t="n"/>
      <c r="H45" s="38" t="n"/>
      <c r="I45" s="39" t="n"/>
      <c r="J45" s="40" t="n"/>
      <c r="K45" s="41" t="n"/>
      <c r="L45" s="42">
        <f>DefaultResidual</f>
        <v/>
      </c>
      <c r="M45" s="43">
        <f>IF($K45="","",$K45*$L45)</f>
        <v/>
      </c>
      <c r="N45" s="44">
        <f>IF($C45="","",IFERROR(VLOOKUP($C45,ScheduleIITable,3,FALSE),"#N/A"))</f>
        <v/>
      </c>
      <c r="O45" s="45">
        <f>IF($K45="","",GlobalMethod)</f>
        <v/>
      </c>
      <c r="P45" s="46">
        <f>IF(OR($K45="",$N45="",$N45=0,$M45=0),0,1-($M45/$K45)^(1/$N45))</f>
        <v/>
      </c>
      <c r="Q45" s="43">
        <f>IF($K45="","",$K45-$M45)</f>
        <v/>
      </c>
      <c r="R45" s="47">
        <f>IF($K45="","",INDEX($V45:$BA45,1,MATCH(ReportingFYEnd,$V$3:$BA$3,0)))</f>
        <v/>
      </c>
      <c r="S45" s="43">
        <f>IF($K45="","",IF($U45="Disposed",0,$K45-$T45))</f>
        <v/>
      </c>
      <c r="T45" s="48">
        <f>IF($K45="","",INDEX($V45:$BA45,1,MATCH(ReportingFYEnd,$V$3:$BA$3,0)+1))</f>
        <v/>
      </c>
      <c r="U45" s="49">
        <f>IF($K45="","",IF(AND($I45&lt;&gt;"",$I45&lt;=ReportingFYEnd),"Disposed",IF(OR($H45="",$H45&gt;ReportingFYEnd),"Not Yet in Use","Active")))</f>
        <v/>
      </c>
      <c r="V45" s="50">
        <f>IF(OR($K45="",$H45=""),"",MIN(MAX(0,IF($O45="WDV",$K45*$P45*MAX(0,(IF($I45="",V$3,MIN($I45,V$3)))-(MAX($H45,(EDATE(V$3,-12)+1)))+1)/(V$3-(EDATE(V$3,-12)+1)+1),IF($N45=0,0,$Q45/$N45*MAX(0,(IF($I45="",V$3,MIN($I45,V$3)))-(MAX($H45,(EDATE(V$3,-12)+1)))+1)/(V$3-(EDATE(V$3,-12)+1)+1)))),MAX(0,$K45-$M45)))</f>
        <v/>
      </c>
      <c r="W45" s="51">
        <f>IF($K45="","",IF(AND($I45&lt;&gt;"",$I45&lt;=V$3),0,$K45-V45))</f>
        <v/>
      </c>
      <c r="X45" s="50">
        <f>IF(OR($K45="",$H45=""),"",MIN(MAX(0,IF($O45="WDV",W45*$P45*MAX(0,(IF($I45="",X$3,MIN($I45,X$3)))-(MAX($H45,(EDATE(X$3,-12)+1)))+1)/(X$3-(EDATE(X$3,-12)+1)+1),IF($N45=0,0,$Q45/$N45*MAX(0,(IF($I45="",X$3,MIN($I45,X$3)))-(MAX($H45,(EDATE(X$3,-12)+1)))+1)/(X$3-(EDATE(X$3,-12)+1)+1)))),MAX(0,W45-$M45)))</f>
        <v/>
      </c>
      <c r="Y45" s="51">
        <f>IF($K45="","",IF(AND($I45&lt;&gt;"",$I45&lt;=X$3),0,W45-X45))</f>
        <v/>
      </c>
      <c r="Z45" s="50">
        <f>IF(OR($K45="",$H45=""),"",MIN(MAX(0,IF($O45="WDV",Y45*$P45*MAX(0,(IF($I45="",Z$3,MIN($I45,Z$3)))-(MAX($H45,(EDATE(Z$3,-12)+1)))+1)/(Z$3-(EDATE(Z$3,-12)+1)+1),IF($N45=0,0,$Q45/$N45*MAX(0,(IF($I45="",Z$3,MIN($I45,Z$3)))-(MAX($H45,(EDATE(Z$3,-12)+1)))+1)/(Z$3-(EDATE(Z$3,-12)+1)+1)))),MAX(0,Y45-$M45)))</f>
        <v/>
      </c>
      <c r="AA45" s="51">
        <f>IF($K45="","",IF(AND($I45&lt;&gt;"",$I45&lt;=Z$3),0,Y45-Z45))</f>
        <v/>
      </c>
      <c r="AB45" s="50">
        <f>IF(OR($K45="",$H45=""),"",MIN(MAX(0,IF($O45="WDV",AA45*$P45*MAX(0,(IF($I45="",AB$3,MIN($I45,AB$3)))-(MAX($H45,(EDATE(AB$3,-12)+1)))+1)/(AB$3-(EDATE(AB$3,-12)+1)+1),IF($N45=0,0,$Q45/$N45*MAX(0,(IF($I45="",AB$3,MIN($I45,AB$3)))-(MAX($H45,(EDATE(AB$3,-12)+1)))+1)/(AB$3-(EDATE(AB$3,-12)+1)+1)))),MAX(0,AA45-$M45)))</f>
        <v/>
      </c>
      <c r="AC45" s="51">
        <f>IF($K45="","",IF(AND($I45&lt;&gt;"",$I45&lt;=AB$3),0,AA45-AB45))</f>
        <v/>
      </c>
      <c r="AD45" s="50">
        <f>IF(OR($K45="",$H45=""),"",MIN(MAX(0,IF($O45="WDV",AC45*$P45*MAX(0,(IF($I45="",AD$3,MIN($I45,AD$3)))-(MAX($H45,(EDATE(AD$3,-12)+1)))+1)/(AD$3-(EDATE(AD$3,-12)+1)+1),IF($N45=0,0,$Q45/$N45*MAX(0,(IF($I45="",AD$3,MIN($I45,AD$3)))-(MAX($H45,(EDATE(AD$3,-12)+1)))+1)/(AD$3-(EDATE(AD$3,-12)+1)+1)))),MAX(0,AC45-$M45)))</f>
        <v/>
      </c>
      <c r="AE45" s="51">
        <f>IF($K45="","",IF(AND($I45&lt;&gt;"",$I45&lt;=AD$3),0,AC45-AD45))</f>
        <v/>
      </c>
      <c r="AF45" s="50">
        <f>IF(OR($K45="",$H45=""),"",MIN(MAX(0,IF($O45="WDV",AE45*$P45*MAX(0,(IF($I45="",AF$3,MIN($I45,AF$3)))-(MAX($H45,(EDATE(AF$3,-12)+1)))+1)/(AF$3-(EDATE(AF$3,-12)+1)+1),IF($N45=0,0,$Q45/$N45*MAX(0,(IF($I45="",AF$3,MIN($I45,AF$3)))-(MAX($H45,(EDATE(AF$3,-12)+1)))+1)/(AF$3-(EDATE(AF$3,-12)+1)+1)))),MAX(0,AE45-$M45)))</f>
        <v/>
      </c>
      <c r="AG45" s="51">
        <f>IF($K45="","",IF(AND($I45&lt;&gt;"",$I45&lt;=AF$3),0,AE45-AF45))</f>
        <v/>
      </c>
      <c r="AH45" s="50">
        <f>IF(OR($K45="",$H45=""),"",MIN(MAX(0,IF($O45="WDV",AG45*$P45*MAX(0,(IF($I45="",AH$3,MIN($I45,AH$3)))-(MAX($H45,(EDATE(AH$3,-12)+1)))+1)/(AH$3-(EDATE(AH$3,-12)+1)+1),IF($N45=0,0,$Q45/$N45*MAX(0,(IF($I45="",AH$3,MIN($I45,AH$3)))-(MAX($H45,(EDATE(AH$3,-12)+1)))+1)/(AH$3-(EDATE(AH$3,-12)+1)+1)))),MAX(0,AG45-$M45)))</f>
        <v/>
      </c>
      <c r="AI45" s="51">
        <f>IF($K45="","",IF(AND($I45&lt;&gt;"",$I45&lt;=AH$3),0,AG45-AH45))</f>
        <v/>
      </c>
      <c r="AJ45" s="50">
        <f>IF(OR($K45="",$H45=""),"",MIN(MAX(0,IF($O45="WDV",AI45*$P45*MAX(0,(IF($I45="",AJ$3,MIN($I45,AJ$3)))-(MAX($H45,(EDATE(AJ$3,-12)+1)))+1)/(AJ$3-(EDATE(AJ$3,-12)+1)+1),IF($N45=0,0,$Q45/$N45*MAX(0,(IF($I45="",AJ$3,MIN($I45,AJ$3)))-(MAX($H45,(EDATE(AJ$3,-12)+1)))+1)/(AJ$3-(EDATE(AJ$3,-12)+1)+1)))),MAX(0,AI45-$M45)))</f>
        <v/>
      </c>
      <c r="AK45" s="51">
        <f>IF($K45="","",IF(AND($I45&lt;&gt;"",$I45&lt;=AJ$3),0,AI45-AJ45))</f>
        <v/>
      </c>
      <c r="AL45" s="50">
        <f>IF(OR($K45="",$H45=""),"",MIN(MAX(0,IF($O45="WDV",AK45*$P45*MAX(0,(IF($I45="",AL$3,MIN($I45,AL$3)))-(MAX($H45,(EDATE(AL$3,-12)+1)))+1)/(AL$3-(EDATE(AL$3,-12)+1)+1),IF($N45=0,0,$Q45/$N45*MAX(0,(IF($I45="",AL$3,MIN($I45,AL$3)))-(MAX($H45,(EDATE(AL$3,-12)+1)))+1)/(AL$3-(EDATE(AL$3,-12)+1)+1)))),MAX(0,AK45-$M45)))</f>
        <v/>
      </c>
      <c r="AM45" s="51">
        <f>IF($K45="","",IF(AND($I45&lt;&gt;"",$I45&lt;=AL$3),0,AK45-AL45))</f>
        <v/>
      </c>
      <c r="AN45" s="50">
        <f>IF(OR($K45="",$H45=""),"",MIN(MAX(0,IF($O45="WDV",AM45*$P45*MAX(0,(IF($I45="",AN$3,MIN($I45,AN$3)))-(MAX($H45,(EDATE(AN$3,-12)+1)))+1)/(AN$3-(EDATE(AN$3,-12)+1)+1),IF($N45=0,0,$Q45/$N45*MAX(0,(IF($I45="",AN$3,MIN($I45,AN$3)))-(MAX($H45,(EDATE(AN$3,-12)+1)))+1)/(AN$3-(EDATE(AN$3,-12)+1)+1)))),MAX(0,AM45-$M45)))</f>
        <v/>
      </c>
      <c r="AO45" s="51">
        <f>IF($K45="","",IF(AND($I45&lt;&gt;"",$I45&lt;=AN$3),0,AM45-AN45))</f>
        <v/>
      </c>
      <c r="AP45" s="50">
        <f>IF(OR($K45="",$H45=""),"",MIN(MAX(0,IF($O45="WDV",AO45*$P45*MAX(0,(IF($I45="",AP$3,MIN($I45,AP$3)))-(MAX($H45,(EDATE(AP$3,-12)+1)))+1)/(AP$3-(EDATE(AP$3,-12)+1)+1),IF($N45=0,0,$Q45/$N45*MAX(0,(IF($I45="",AP$3,MIN($I45,AP$3)))-(MAX($H45,(EDATE(AP$3,-12)+1)))+1)/(AP$3-(EDATE(AP$3,-12)+1)+1)))),MAX(0,AO45-$M45)))</f>
        <v/>
      </c>
      <c r="AQ45" s="51">
        <f>IF($K45="","",IF(AND($I45&lt;&gt;"",$I45&lt;=AP$3),0,AO45-AP45))</f>
        <v/>
      </c>
      <c r="AR45" s="50">
        <f>IF(OR($K45="",$H45=""),"",MIN(MAX(0,IF($O45="WDV",AQ45*$P45*MAX(0,(IF($I45="",AR$3,MIN($I45,AR$3)))-(MAX($H45,(EDATE(AR$3,-12)+1)))+1)/(AR$3-(EDATE(AR$3,-12)+1)+1),IF($N45=0,0,$Q45/$N45*MAX(0,(IF($I45="",AR$3,MIN($I45,AR$3)))-(MAX($H45,(EDATE(AR$3,-12)+1)))+1)/(AR$3-(EDATE(AR$3,-12)+1)+1)))),MAX(0,AQ45-$M45)))</f>
        <v/>
      </c>
      <c r="AS45" s="51">
        <f>IF($K45="","",IF(AND($I45&lt;&gt;"",$I45&lt;=AR$3),0,AQ45-AR45))</f>
        <v/>
      </c>
      <c r="AT45" s="50">
        <f>IF(OR($K45="",$H45=""),"",MIN(MAX(0,IF($O45="WDV",AS45*$P45*MAX(0,(IF($I45="",AT$3,MIN($I45,AT$3)))-(MAX($H45,(EDATE(AT$3,-12)+1)))+1)/(AT$3-(EDATE(AT$3,-12)+1)+1),IF($N45=0,0,$Q45/$N45*MAX(0,(IF($I45="",AT$3,MIN($I45,AT$3)))-(MAX($H45,(EDATE(AT$3,-12)+1)))+1)/(AT$3-(EDATE(AT$3,-12)+1)+1)))),MAX(0,AS45-$M45)))</f>
        <v/>
      </c>
      <c r="AU45" s="51">
        <f>IF($K45="","",IF(AND($I45&lt;&gt;"",$I45&lt;=AT$3),0,AS45-AT45))</f>
        <v/>
      </c>
      <c r="AV45" s="50">
        <f>IF(OR($K45="",$H45=""),"",MIN(MAX(0,IF($O45="WDV",AU45*$P45*MAX(0,(IF($I45="",AV$3,MIN($I45,AV$3)))-(MAX($H45,(EDATE(AV$3,-12)+1)))+1)/(AV$3-(EDATE(AV$3,-12)+1)+1),IF($N45=0,0,$Q45/$N45*MAX(0,(IF($I45="",AV$3,MIN($I45,AV$3)))-(MAX($H45,(EDATE(AV$3,-12)+1)))+1)/(AV$3-(EDATE(AV$3,-12)+1)+1)))),MAX(0,AU45-$M45)))</f>
        <v/>
      </c>
      <c r="AW45" s="51">
        <f>IF($K45="","",IF(AND($I45&lt;&gt;"",$I45&lt;=AV$3),0,AU45-AV45))</f>
        <v/>
      </c>
      <c r="AX45" s="50">
        <f>IF(OR($K45="",$H45=""),"",MIN(MAX(0,IF($O45="WDV",AW45*$P45*MAX(0,(IF($I45="",AX$3,MIN($I45,AX$3)))-(MAX($H45,(EDATE(AX$3,-12)+1)))+1)/(AX$3-(EDATE(AX$3,-12)+1)+1),IF($N45=0,0,$Q45/$N45*MAX(0,(IF($I45="",AX$3,MIN($I45,AX$3)))-(MAX($H45,(EDATE(AX$3,-12)+1)))+1)/(AX$3-(EDATE(AX$3,-12)+1)+1)))),MAX(0,AW45-$M45)))</f>
        <v/>
      </c>
      <c r="AY45" s="51">
        <f>IF($K45="","",IF(AND($I45&lt;&gt;"",$I45&lt;=AX$3),0,AW45-AX45))</f>
        <v/>
      </c>
      <c r="AZ45" s="50">
        <f>IF(OR($K45="",$H45=""),"",MIN(MAX(0,IF($O45="WDV",AY45*$P45*MAX(0,(IF($I45="",AZ$3,MIN($I45,AZ$3)))-(MAX($H45,(EDATE(AZ$3,-12)+1)))+1)/(AZ$3-(EDATE(AZ$3,-12)+1)+1),IF($N45=0,0,$Q45/$N45*MAX(0,(IF($I45="",AZ$3,MIN($I45,AZ$3)))-(MAX($H45,(EDATE(AZ$3,-12)+1)))+1)/(AZ$3-(EDATE(AZ$3,-12)+1)+1)))),MAX(0,AY45-$M45)))</f>
        <v/>
      </c>
      <c r="BA45" s="51">
        <f>IF($K45="","",IF(AND($I45&lt;&gt;"",$I45&lt;=AZ$3),0,AY45-AZ45))</f>
        <v/>
      </c>
    </row>
    <row r="46">
      <c r="A46" s="52" t="n"/>
      <c r="B46" s="53" t="n"/>
      <c r="C46" s="53" t="n"/>
      <c r="D46" s="53" t="n"/>
      <c r="E46" s="19" t="n"/>
      <c r="F46" s="54" t="n"/>
      <c r="G46" s="55" t="n"/>
      <c r="H46" s="55" t="n"/>
      <c r="I46" s="56" t="n"/>
      <c r="J46" s="57" t="n"/>
      <c r="K46" s="58" t="n"/>
      <c r="L46" s="59">
        <f>DefaultResidual</f>
        <v/>
      </c>
      <c r="M46" s="60">
        <f>IF($K46="","",$K46*$L46)</f>
        <v/>
      </c>
      <c r="N46" s="20">
        <f>IF($C46="","",IFERROR(VLOOKUP($C46,ScheduleIITable,3,FALSE),"#N/A"))</f>
        <v/>
      </c>
      <c r="O46" s="61">
        <f>IF($K46="","",GlobalMethod)</f>
        <v/>
      </c>
      <c r="P46" s="21">
        <f>IF(OR($K46="",$N46="",$N46=0,$M46=0),0,1-($M46/$K46)^(1/$N46))</f>
        <v/>
      </c>
      <c r="Q46" s="60">
        <f>IF($K46="","",$K46-$M46)</f>
        <v/>
      </c>
      <c r="R46" s="62">
        <f>IF($K46="","",INDEX($V46:$BA46,1,MATCH(ReportingFYEnd,$V$3:$BA$3,0)))</f>
        <v/>
      </c>
      <c r="S46" s="60">
        <f>IF($K46="","",IF($U46="Disposed",0,$K46-$T46))</f>
        <v/>
      </c>
      <c r="T46" s="63">
        <f>IF($K46="","",INDEX($V46:$BA46,1,MATCH(ReportingFYEnd,$V$3:$BA$3,0)+1))</f>
        <v/>
      </c>
      <c r="U46" s="64">
        <f>IF($K46="","",IF(AND($I46&lt;&gt;"",$I46&lt;=ReportingFYEnd),"Disposed",IF(OR($H46="",$H46&gt;ReportingFYEnd),"Not Yet in Use","Active")))</f>
        <v/>
      </c>
      <c r="V46" s="65">
        <f>IF(OR($K46="",$H46=""),"",MIN(MAX(0,IF($O46="WDV",$K46*$P46*MAX(0,(IF($I46="",V$3,MIN($I46,V$3)))-(MAX($H46,(EDATE(V$3,-12)+1)))+1)/(V$3-(EDATE(V$3,-12)+1)+1),IF($N46=0,0,$Q46/$N46*MAX(0,(IF($I46="",V$3,MIN($I46,V$3)))-(MAX($H46,(EDATE(V$3,-12)+1)))+1)/(V$3-(EDATE(V$3,-12)+1)+1)))),MAX(0,$K46-$M46)))</f>
        <v/>
      </c>
      <c r="W46" s="65">
        <f>IF($K46="","",IF(AND($I46&lt;&gt;"",$I46&lt;=V$3),0,$K46-V46))</f>
        <v/>
      </c>
      <c r="X46" s="65">
        <f>IF(OR($K46="",$H46=""),"",MIN(MAX(0,IF($O46="WDV",W46*$P46*MAX(0,(IF($I46="",X$3,MIN($I46,X$3)))-(MAX($H46,(EDATE(X$3,-12)+1)))+1)/(X$3-(EDATE(X$3,-12)+1)+1),IF($N46=0,0,$Q46/$N46*MAX(0,(IF($I46="",X$3,MIN($I46,X$3)))-(MAX($H46,(EDATE(X$3,-12)+1)))+1)/(X$3-(EDATE(X$3,-12)+1)+1)))),MAX(0,W46-$M46)))</f>
        <v/>
      </c>
      <c r="Y46" s="65">
        <f>IF($K46="","",IF(AND($I46&lt;&gt;"",$I46&lt;=X$3),0,W46-X46))</f>
        <v/>
      </c>
      <c r="Z46" s="65">
        <f>IF(OR($K46="",$H46=""),"",MIN(MAX(0,IF($O46="WDV",Y46*$P46*MAX(0,(IF($I46="",Z$3,MIN($I46,Z$3)))-(MAX($H46,(EDATE(Z$3,-12)+1)))+1)/(Z$3-(EDATE(Z$3,-12)+1)+1),IF($N46=0,0,$Q46/$N46*MAX(0,(IF($I46="",Z$3,MIN($I46,Z$3)))-(MAX($H46,(EDATE(Z$3,-12)+1)))+1)/(Z$3-(EDATE(Z$3,-12)+1)+1)))),MAX(0,Y46-$M46)))</f>
        <v/>
      </c>
      <c r="AA46" s="65">
        <f>IF($K46="","",IF(AND($I46&lt;&gt;"",$I46&lt;=Z$3),0,Y46-Z46))</f>
        <v/>
      </c>
      <c r="AB46" s="65">
        <f>IF(OR($K46="",$H46=""),"",MIN(MAX(0,IF($O46="WDV",AA46*$P46*MAX(0,(IF($I46="",AB$3,MIN($I46,AB$3)))-(MAX($H46,(EDATE(AB$3,-12)+1)))+1)/(AB$3-(EDATE(AB$3,-12)+1)+1),IF($N46=0,0,$Q46/$N46*MAX(0,(IF($I46="",AB$3,MIN($I46,AB$3)))-(MAX($H46,(EDATE(AB$3,-12)+1)))+1)/(AB$3-(EDATE(AB$3,-12)+1)+1)))),MAX(0,AA46-$M46)))</f>
        <v/>
      </c>
      <c r="AC46" s="65">
        <f>IF($K46="","",IF(AND($I46&lt;&gt;"",$I46&lt;=AB$3),0,AA46-AB46))</f>
        <v/>
      </c>
      <c r="AD46" s="65">
        <f>IF(OR($K46="",$H46=""),"",MIN(MAX(0,IF($O46="WDV",AC46*$P46*MAX(0,(IF($I46="",AD$3,MIN($I46,AD$3)))-(MAX($H46,(EDATE(AD$3,-12)+1)))+1)/(AD$3-(EDATE(AD$3,-12)+1)+1),IF($N46=0,0,$Q46/$N46*MAX(0,(IF($I46="",AD$3,MIN($I46,AD$3)))-(MAX($H46,(EDATE(AD$3,-12)+1)))+1)/(AD$3-(EDATE(AD$3,-12)+1)+1)))),MAX(0,AC46-$M46)))</f>
        <v/>
      </c>
      <c r="AE46" s="65">
        <f>IF($K46="","",IF(AND($I46&lt;&gt;"",$I46&lt;=AD$3),0,AC46-AD46))</f>
        <v/>
      </c>
      <c r="AF46" s="65">
        <f>IF(OR($K46="",$H46=""),"",MIN(MAX(0,IF($O46="WDV",AE46*$P46*MAX(0,(IF($I46="",AF$3,MIN($I46,AF$3)))-(MAX($H46,(EDATE(AF$3,-12)+1)))+1)/(AF$3-(EDATE(AF$3,-12)+1)+1),IF($N46=0,0,$Q46/$N46*MAX(0,(IF($I46="",AF$3,MIN($I46,AF$3)))-(MAX($H46,(EDATE(AF$3,-12)+1)))+1)/(AF$3-(EDATE(AF$3,-12)+1)+1)))),MAX(0,AE46-$M46)))</f>
        <v/>
      </c>
      <c r="AG46" s="65">
        <f>IF($K46="","",IF(AND($I46&lt;&gt;"",$I46&lt;=AF$3),0,AE46-AF46))</f>
        <v/>
      </c>
      <c r="AH46" s="65">
        <f>IF(OR($K46="",$H46=""),"",MIN(MAX(0,IF($O46="WDV",AG46*$P46*MAX(0,(IF($I46="",AH$3,MIN($I46,AH$3)))-(MAX($H46,(EDATE(AH$3,-12)+1)))+1)/(AH$3-(EDATE(AH$3,-12)+1)+1),IF($N46=0,0,$Q46/$N46*MAX(0,(IF($I46="",AH$3,MIN($I46,AH$3)))-(MAX($H46,(EDATE(AH$3,-12)+1)))+1)/(AH$3-(EDATE(AH$3,-12)+1)+1)))),MAX(0,AG46-$M46)))</f>
        <v/>
      </c>
      <c r="AI46" s="65">
        <f>IF($K46="","",IF(AND($I46&lt;&gt;"",$I46&lt;=AH$3),0,AG46-AH46))</f>
        <v/>
      </c>
      <c r="AJ46" s="65">
        <f>IF(OR($K46="",$H46=""),"",MIN(MAX(0,IF($O46="WDV",AI46*$P46*MAX(0,(IF($I46="",AJ$3,MIN($I46,AJ$3)))-(MAX($H46,(EDATE(AJ$3,-12)+1)))+1)/(AJ$3-(EDATE(AJ$3,-12)+1)+1),IF($N46=0,0,$Q46/$N46*MAX(0,(IF($I46="",AJ$3,MIN($I46,AJ$3)))-(MAX($H46,(EDATE(AJ$3,-12)+1)))+1)/(AJ$3-(EDATE(AJ$3,-12)+1)+1)))),MAX(0,AI46-$M46)))</f>
        <v/>
      </c>
      <c r="AK46" s="65">
        <f>IF($K46="","",IF(AND($I46&lt;&gt;"",$I46&lt;=AJ$3),0,AI46-AJ46))</f>
        <v/>
      </c>
      <c r="AL46" s="65">
        <f>IF(OR($K46="",$H46=""),"",MIN(MAX(0,IF($O46="WDV",AK46*$P46*MAX(0,(IF($I46="",AL$3,MIN($I46,AL$3)))-(MAX($H46,(EDATE(AL$3,-12)+1)))+1)/(AL$3-(EDATE(AL$3,-12)+1)+1),IF($N46=0,0,$Q46/$N46*MAX(0,(IF($I46="",AL$3,MIN($I46,AL$3)))-(MAX($H46,(EDATE(AL$3,-12)+1)))+1)/(AL$3-(EDATE(AL$3,-12)+1)+1)))),MAX(0,AK46-$M46)))</f>
        <v/>
      </c>
      <c r="AM46" s="65">
        <f>IF($K46="","",IF(AND($I46&lt;&gt;"",$I46&lt;=AL$3),0,AK46-AL46))</f>
        <v/>
      </c>
      <c r="AN46" s="65">
        <f>IF(OR($K46="",$H46=""),"",MIN(MAX(0,IF($O46="WDV",AM46*$P46*MAX(0,(IF($I46="",AN$3,MIN($I46,AN$3)))-(MAX($H46,(EDATE(AN$3,-12)+1)))+1)/(AN$3-(EDATE(AN$3,-12)+1)+1),IF($N46=0,0,$Q46/$N46*MAX(0,(IF($I46="",AN$3,MIN($I46,AN$3)))-(MAX($H46,(EDATE(AN$3,-12)+1)))+1)/(AN$3-(EDATE(AN$3,-12)+1)+1)))),MAX(0,AM46-$M46)))</f>
        <v/>
      </c>
      <c r="AO46" s="65">
        <f>IF($K46="","",IF(AND($I46&lt;&gt;"",$I46&lt;=AN$3),0,AM46-AN46))</f>
        <v/>
      </c>
      <c r="AP46" s="65">
        <f>IF(OR($K46="",$H46=""),"",MIN(MAX(0,IF($O46="WDV",AO46*$P46*MAX(0,(IF($I46="",AP$3,MIN($I46,AP$3)))-(MAX($H46,(EDATE(AP$3,-12)+1)))+1)/(AP$3-(EDATE(AP$3,-12)+1)+1),IF($N46=0,0,$Q46/$N46*MAX(0,(IF($I46="",AP$3,MIN($I46,AP$3)))-(MAX($H46,(EDATE(AP$3,-12)+1)))+1)/(AP$3-(EDATE(AP$3,-12)+1)+1)))),MAX(0,AO46-$M46)))</f>
        <v/>
      </c>
      <c r="AQ46" s="65">
        <f>IF($K46="","",IF(AND($I46&lt;&gt;"",$I46&lt;=AP$3),0,AO46-AP46))</f>
        <v/>
      </c>
      <c r="AR46" s="65">
        <f>IF(OR($K46="",$H46=""),"",MIN(MAX(0,IF($O46="WDV",AQ46*$P46*MAX(0,(IF($I46="",AR$3,MIN($I46,AR$3)))-(MAX($H46,(EDATE(AR$3,-12)+1)))+1)/(AR$3-(EDATE(AR$3,-12)+1)+1),IF($N46=0,0,$Q46/$N46*MAX(0,(IF($I46="",AR$3,MIN($I46,AR$3)))-(MAX($H46,(EDATE(AR$3,-12)+1)))+1)/(AR$3-(EDATE(AR$3,-12)+1)+1)))),MAX(0,AQ46-$M46)))</f>
        <v/>
      </c>
      <c r="AS46" s="65">
        <f>IF($K46="","",IF(AND($I46&lt;&gt;"",$I46&lt;=AR$3),0,AQ46-AR46))</f>
        <v/>
      </c>
      <c r="AT46" s="65">
        <f>IF(OR($K46="",$H46=""),"",MIN(MAX(0,IF($O46="WDV",AS46*$P46*MAX(0,(IF($I46="",AT$3,MIN($I46,AT$3)))-(MAX($H46,(EDATE(AT$3,-12)+1)))+1)/(AT$3-(EDATE(AT$3,-12)+1)+1),IF($N46=0,0,$Q46/$N46*MAX(0,(IF($I46="",AT$3,MIN($I46,AT$3)))-(MAX($H46,(EDATE(AT$3,-12)+1)))+1)/(AT$3-(EDATE(AT$3,-12)+1)+1)))),MAX(0,AS46-$M46)))</f>
        <v/>
      </c>
      <c r="AU46" s="65">
        <f>IF($K46="","",IF(AND($I46&lt;&gt;"",$I46&lt;=AT$3),0,AS46-AT46))</f>
        <v/>
      </c>
      <c r="AV46" s="65">
        <f>IF(OR($K46="",$H46=""),"",MIN(MAX(0,IF($O46="WDV",AU46*$P46*MAX(0,(IF($I46="",AV$3,MIN($I46,AV$3)))-(MAX($H46,(EDATE(AV$3,-12)+1)))+1)/(AV$3-(EDATE(AV$3,-12)+1)+1),IF($N46=0,0,$Q46/$N46*MAX(0,(IF($I46="",AV$3,MIN($I46,AV$3)))-(MAX($H46,(EDATE(AV$3,-12)+1)))+1)/(AV$3-(EDATE(AV$3,-12)+1)+1)))),MAX(0,AU46-$M46)))</f>
        <v/>
      </c>
      <c r="AW46" s="65">
        <f>IF($K46="","",IF(AND($I46&lt;&gt;"",$I46&lt;=AV$3),0,AU46-AV46))</f>
        <v/>
      </c>
      <c r="AX46" s="65">
        <f>IF(OR($K46="",$H46=""),"",MIN(MAX(0,IF($O46="WDV",AW46*$P46*MAX(0,(IF($I46="",AX$3,MIN($I46,AX$3)))-(MAX($H46,(EDATE(AX$3,-12)+1)))+1)/(AX$3-(EDATE(AX$3,-12)+1)+1),IF($N46=0,0,$Q46/$N46*MAX(0,(IF($I46="",AX$3,MIN($I46,AX$3)))-(MAX($H46,(EDATE(AX$3,-12)+1)))+1)/(AX$3-(EDATE(AX$3,-12)+1)+1)))),MAX(0,AW46-$M46)))</f>
        <v/>
      </c>
      <c r="AY46" s="65">
        <f>IF($K46="","",IF(AND($I46&lt;&gt;"",$I46&lt;=AX$3),0,AW46-AX46))</f>
        <v/>
      </c>
      <c r="AZ46" s="65">
        <f>IF(OR($K46="",$H46=""),"",MIN(MAX(0,IF($O46="WDV",AY46*$P46*MAX(0,(IF($I46="",AZ$3,MIN($I46,AZ$3)))-(MAX($H46,(EDATE(AZ$3,-12)+1)))+1)/(AZ$3-(EDATE(AZ$3,-12)+1)+1),IF($N46=0,0,$Q46/$N46*MAX(0,(IF($I46="",AZ$3,MIN($I46,AZ$3)))-(MAX($H46,(EDATE(AZ$3,-12)+1)))+1)/(AZ$3-(EDATE(AZ$3,-12)+1)+1)))),MAX(0,AY46-$M46)))</f>
        <v/>
      </c>
      <c r="BA46" s="65">
        <f>IF($K46="","",IF(AND($I46&lt;&gt;"",$I46&lt;=AZ$3),0,AY46-AZ46))</f>
        <v/>
      </c>
    </row>
    <row r="47">
      <c r="A47" s="34" t="n"/>
      <c r="B47" s="35" t="n"/>
      <c r="C47" s="35" t="n"/>
      <c r="D47" s="35" t="n"/>
      <c r="E47" s="36" t="n"/>
      <c r="F47" s="37" t="n"/>
      <c r="G47" s="38" t="n"/>
      <c r="H47" s="38" t="n"/>
      <c r="I47" s="39" t="n"/>
      <c r="J47" s="40" t="n"/>
      <c r="K47" s="41" t="n"/>
      <c r="L47" s="42">
        <f>DefaultResidual</f>
        <v/>
      </c>
      <c r="M47" s="43">
        <f>IF($K47="","",$K47*$L47)</f>
        <v/>
      </c>
      <c r="N47" s="44">
        <f>IF($C47="","",IFERROR(VLOOKUP($C47,ScheduleIITable,3,FALSE),"#N/A"))</f>
        <v/>
      </c>
      <c r="O47" s="45">
        <f>IF($K47="","",GlobalMethod)</f>
        <v/>
      </c>
      <c r="P47" s="46">
        <f>IF(OR($K47="",$N47="",$N47=0,$M47=0),0,1-($M47/$K47)^(1/$N47))</f>
        <v/>
      </c>
      <c r="Q47" s="43">
        <f>IF($K47="","",$K47-$M47)</f>
        <v/>
      </c>
      <c r="R47" s="47">
        <f>IF($K47="","",INDEX($V47:$BA47,1,MATCH(ReportingFYEnd,$V$3:$BA$3,0)))</f>
        <v/>
      </c>
      <c r="S47" s="43">
        <f>IF($K47="","",IF($U47="Disposed",0,$K47-$T47))</f>
        <v/>
      </c>
      <c r="T47" s="48">
        <f>IF($K47="","",INDEX($V47:$BA47,1,MATCH(ReportingFYEnd,$V$3:$BA$3,0)+1))</f>
        <v/>
      </c>
      <c r="U47" s="49">
        <f>IF($K47="","",IF(AND($I47&lt;&gt;"",$I47&lt;=ReportingFYEnd),"Disposed",IF(OR($H47="",$H47&gt;ReportingFYEnd),"Not Yet in Use","Active")))</f>
        <v/>
      </c>
      <c r="V47" s="50">
        <f>IF(OR($K47="",$H47=""),"",MIN(MAX(0,IF($O47="WDV",$K47*$P47*MAX(0,(IF($I47="",V$3,MIN($I47,V$3)))-(MAX($H47,(EDATE(V$3,-12)+1)))+1)/(V$3-(EDATE(V$3,-12)+1)+1),IF($N47=0,0,$Q47/$N47*MAX(0,(IF($I47="",V$3,MIN($I47,V$3)))-(MAX($H47,(EDATE(V$3,-12)+1)))+1)/(V$3-(EDATE(V$3,-12)+1)+1)))),MAX(0,$K47-$M47)))</f>
        <v/>
      </c>
      <c r="W47" s="51">
        <f>IF($K47="","",IF(AND($I47&lt;&gt;"",$I47&lt;=V$3),0,$K47-V47))</f>
        <v/>
      </c>
      <c r="X47" s="50">
        <f>IF(OR($K47="",$H47=""),"",MIN(MAX(0,IF($O47="WDV",W47*$P47*MAX(0,(IF($I47="",X$3,MIN($I47,X$3)))-(MAX($H47,(EDATE(X$3,-12)+1)))+1)/(X$3-(EDATE(X$3,-12)+1)+1),IF($N47=0,0,$Q47/$N47*MAX(0,(IF($I47="",X$3,MIN($I47,X$3)))-(MAX($H47,(EDATE(X$3,-12)+1)))+1)/(X$3-(EDATE(X$3,-12)+1)+1)))),MAX(0,W47-$M47)))</f>
        <v/>
      </c>
      <c r="Y47" s="51">
        <f>IF($K47="","",IF(AND($I47&lt;&gt;"",$I47&lt;=X$3),0,W47-X47))</f>
        <v/>
      </c>
      <c r="Z47" s="50">
        <f>IF(OR($K47="",$H47=""),"",MIN(MAX(0,IF($O47="WDV",Y47*$P47*MAX(0,(IF($I47="",Z$3,MIN($I47,Z$3)))-(MAX($H47,(EDATE(Z$3,-12)+1)))+1)/(Z$3-(EDATE(Z$3,-12)+1)+1),IF($N47=0,0,$Q47/$N47*MAX(0,(IF($I47="",Z$3,MIN($I47,Z$3)))-(MAX($H47,(EDATE(Z$3,-12)+1)))+1)/(Z$3-(EDATE(Z$3,-12)+1)+1)))),MAX(0,Y47-$M47)))</f>
        <v/>
      </c>
      <c r="AA47" s="51">
        <f>IF($K47="","",IF(AND($I47&lt;&gt;"",$I47&lt;=Z$3),0,Y47-Z47))</f>
        <v/>
      </c>
      <c r="AB47" s="50">
        <f>IF(OR($K47="",$H47=""),"",MIN(MAX(0,IF($O47="WDV",AA47*$P47*MAX(0,(IF($I47="",AB$3,MIN($I47,AB$3)))-(MAX($H47,(EDATE(AB$3,-12)+1)))+1)/(AB$3-(EDATE(AB$3,-12)+1)+1),IF($N47=0,0,$Q47/$N47*MAX(0,(IF($I47="",AB$3,MIN($I47,AB$3)))-(MAX($H47,(EDATE(AB$3,-12)+1)))+1)/(AB$3-(EDATE(AB$3,-12)+1)+1)))),MAX(0,AA47-$M47)))</f>
        <v/>
      </c>
      <c r="AC47" s="51">
        <f>IF($K47="","",IF(AND($I47&lt;&gt;"",$I47&lt;=AB$3),0,AA47-AB47))</f>
        <v/>
      </c>
      <c r="AD47" s="50">
        <f>IF(OR($K47="",$H47=""),"",MIN(MAX(0,IF($O47="WDV",AC47*$P47*MAX(0,(IF($I47="",AD$3,MIN($I47,AD$3)))-(MAX($H47,(EDATE(AD$3,-12)+1)))+1)/(AD$3-(EDATE(AD$3,-12)+1)+1),IF($N47=0,0,$Q47/$N47*MAX(0,(IF($I47="",AD$3,MIN($I47,AD$3)))-(MAX($H47,(EDATE(AD$3,-12)+1)))+1)/(AD$3-(EDATE(AD$3,-12)+1)+1)))),MAX(0,AC47-$M47)))</f>
        <v/>
      </c>
      <c r="AE47" s="51">
        <f>IF($K47="","",IF(AND($I47&lt;&gt;"",$I47&lt;=AD$3),0,AC47-AD47))</f>
        <v/>
      </c>
      <c r="AF47" s="50">
        <f>IF(OR($K47="",$H47=""),"",MIN(MAX(0,IF($O47="WDV",AE47*$P47*MAX(0,(IF($I47="",AF$3,MIN($I47,AF$3)))-(MAX($H47,(EDATE(AF$3,-12)+1)))+1)/(AF$3-(EDATE(AF$3,-12)+1)+1),IF($N47=0,0,$Q47/$N47*MAX(0,(IF($I47="",AF$3,MIN($I47,AF$3)))-(MAX($H47,(EDATE(AF$3,-12)+1)))+1)/(AF$3-(EDATE(AF$3,-12)+1)+1)))),MAX(0,AE47-$M47)))</f>
        <v/>
      </c>
      <c r="AG47" s="51">
        <f>IF($K47="","",IF(AND($I47&lt;&gt;"",$I47&lt;=AF$3),0,AE47-AF47))</f>
        <v/>
      </c>
      <c r="AH47" s="50">
        <f>IF(OR($K47="",$H47=""),"",MIN(MAX(0,IF($O47="WDV",AG47*$P47*MAX(0,(IF($I47="",AH$3,MIN($I47,AH$3)))-(MAX($H47,(EDATE(AH$3,-12)+1)))+1)/(AH$3-(EDATE(AH$3,-12)+1)+1),IF($N47=0,0,$Q47/$N47*MAX(0,(IF($I47="",AH$3,MIN($I47,AH$3)))-(MAX($H47,(EDATE(AH$3,-12)+1)))+1)/(AH$3-(EDATE(AH$3,-12)+1)+1)))),MAX(0,AG47-$M47)))</f>
        <v/>
      </c>
      <c r="AI47" s="51">
        <f>IF($K47="","",IF(AND($I47&lt;&gt;"",$I47&lt;=AH$3),0,AG47-AH47))</f>
        <v/>
      </c>
      <c r="AJ47" s="50">
        <f>IF(OR($K47="",$H47=""),"",MIN(MAX(0,IF($O47="WDV",AI47*$P47*MAX(0,(IF($I47="",AJ$3,MIN($I47,AJ$3)))-(MAX($H47,(EDATE(AJ$3,-12)+1)))+1)/(AJ$3-(EDATE(AJ$3,-12)+1)+1),IF($N47=0,0,$Q47/$N47*MAX(0,(IF($I47="",AJ$3,MIN($I47,AJ$3)))-(MAX($H47,(EDATE(AJ$3,-12)+1)))+1)/(AJ$3-(EDATE(AJ$3,-12)+1)+1)))),MAX(0,AI47-$M47)))</f>
        <v/>
      </c>
      <c r="AK47" s="51">
        <f>IF($K47="","",IF(AND($I47&lt;&gt;"",$I47&lt;=AJ$3),0,AI47-AJ47))</f>
        <v/>
      </c>
      <c r="AL47" s="50">
        <f>IF(OR($K47="",$H47=""),"",MIN(MAX(0,IF($O47="WDV",AK47*$P47*MAX(0,(IF($I47="",AL$3,MIN($I47,AL$3)))-(MAX($H47,(EDATE(AL$3,-12)+1)))+1)/(AL$3-(EDATE(AL$3,-12)+1)+1),IF($N47=0,0,$Q47/$N47*MAX(0,(IF($I47="",AL$3,MIN($I47,AL$3)))-(MAX($H47,(EDATE(AL$3,-12)+1)))+1)/(AL$3-(EDATE(AL$3,-12)+1)+1)))),MAX(0,AK47-$M47)))</f>
        <v/>
      </c>
      <c r="AM47" s="51">
        <f>IF($K47="","",IF(AND($I47&lt;&gt;"",$I47&lt;=AL$3),0,AK47-AL47))</f>
        <v/>
      </c>
      <c r="AN47" s="50">
        <f>IF(OR($K47="",$H47=""),"",MIN(MAX(0,IF($O47="WDV",AM47*$P47*MAX(0,(IF($I47="",AN$3,MIN($I47,AN$3)))-(MAX($H47,(EDATE(AN$3,-12)+1)))+1)/(AN$3-(EDATE(AN$3,-12)+1)+1),IF($N47=0,0,$Q47/$N47*MAX(0,(IF($I47="",AN$3,MIN($I47,AN$3)))-(MAX($H47,(EDATE(AN$3,-12)+1)))+1)/(AN$3-(EDATE(AN$3,-12)+1)+1)))),MAX(0,AM47-$M47)))</f>
        <v/>
      </c>
      <c r="AO47" s="51">
        <f>IF($K47="","",IF(AND($I47&lt;&gt;"",$I47&lt;=AN$3),0,AM47-AN47))</f>
        <v/>
      </c>
      <c r="AP47" s="50">
        <f>IF(OR($K47="",$H47=""),"",MIN(MAX(0,IF($O47="WDV",AO47*$P47*MAX(0,(IF($I47="",AP$3,MIN($I47,AP$3)))-(MAX($H47,(EDATE(AP$3,-12)+1)))+1)/(AP$3-(EDATE(AP$3,-12)+1)+1),IF($N47=0,0,$Q47/$N47*MAX(0,(IF($I47="",AP$3,MIN($I47,AP$3)))-(MAX($H47,(EDATE(AP$3,-12)+1)))+1)/(AP$3-(EDATE(AP$3,-12)+1)+1)))),MAX(0,AO47-$M47)))</f>
        <v/>
      </c>
      <c r="AQ47" s="51">
        <f>IF($K47="","",IF(AND($I47&lt;&gt;"",$I47&lt;=AP$3),0,AO47-AP47))</f>
        <v/>
      </c>
      <c r="AR47" s="50">
        <f>IF(OR($K47="",$H47=""),"",MIN(MAX(0,IF($O47="WDV",AQ47*$P47*MAX(0,(IF($I47="",AR$3,MIN($I47,AR$3)))-(MAX($H47,(EDATE(AR$3,-12)+1)))+1)/(AR$3-(EDATE(AR$3,-12)+1)+1),IF($N47=0,0,$Q47/$N47*MAX(0,(IF($I47="",AR$3,MIN($I47,AR$3)))-(MAX($H47,(EDATE(AR$3,-12)+1)))+1)/(AR$3-(EDATE(AR$3,-12)+1)+1)))),MAX(0,AQ47-$M47)))</f>
        <v/>
      </c>
      <c r="AS47" s="51">
        <f>IF($K47="","",IF(AND($I47&lt;&gt;"",$I47&lt;=AR$3),0,AQ47-AR47))</f>
        <v/>
      </c>
      <c r="AT47" s="50">
        <f>IF(OR($K47="",$H47=""),"",MIN(MAX(0,IF($O47="WDV",AS47*$P47*MAX(0,(IF($I47="",AT$3,MIN($I47,AT$3)))-(MAX($H47,(EDATE(AT$3,-12)+1)))+1)/(AT$3-(EDATE(AT$3,-12)+1)+1),IF($N47=0,0,$Q47/$N47*MAX(0,(IF($I47="",AT$3,MIN($I47,AT$3)))-(MAX($H47,(EDATE(AT$3,-12)+1)))+1)/(AT$3-(EDATE(AT$3,-12)+1)+1)))),MAX(0,AS47-$M47)))</f>
        <v/>
      </c>
      <c r="AU47" s="51">
        <f>IF($K47="","",IF(AND($I47&lt;&gt;"",$I47&lt;=AT$3),0,AS47-AT47))</f>
        <v/>
      </c>
      <c r="AV47" s="50">
        <f>IF(OR($K47="",$H47=""),"",MIN(MAX(0,IF($O47="WDV",AU47*$P47*MAX(0,(IF($I47="",AV$3,MIN($I47,AV$3)))-(MAX($H47,(EDATE(AV$3,-12)+1)))+1)/(AV$3-(EDATE(AV$3,-12)+1)+1),IF($N47=0,0,$Q47/$N47*MAX(0,(IF($I47="",AV$3,MIN($I47,AV$3)))-(MAX($H47,(EDATE(AV$3,-12)+1)))+1)/(AV$3-(EDATE(AV$3,-12)+1)+1)))),MAX(0,AU47-$M47)))</f>
        <v/>
      </c>
      <c r="AW47" s="51">
        <f>IF($K47="","",IF(AND($I47&lt;&gt;"",$I47&lt;=AV$3),0,AU47-AV47))</f>
        <v/>
      </c>
      <c r="AX47" s="50">
        <f>IF(OR($K47="",$H47=""),"",MIN(MAX(0,IF($O47="WDV",AW47*$P47*MAX(0,(IF($I47="",AX$3,MIN($I47,AX$3)))-(MAX($H47,(EDATE(AX$3,-12)+1)))+1)/(AX$3-(EDATE(AX$3,-12)+1)+1),IF($N47=0,0,$Q47/$N47*MAX(0,(IF($I47="",AX$3,MIN($I47,AX$3)))-(MAX($H47,(EDATE(AX$3,-12)+1)))+1)/(AX$3-(EDATE(AX$3,-12)+1)+1)))),MAX(0,AW47-$M47)))</f>
        <v/>
      </c>
      <c r="AY47" s="51">
        <f>IF($K47="","",IF(AND($I47&lt;&gt;"",$I47&lt;=AX$3),0,AW47-AX47))</f>
        <v/>
      </c>
      <c r="AZ47" s="50">
        <f>IF(OR($K47="",$H47=""),"",MIN(MAX(0,IF($O47="WDV",AY47*$P47*MAX(0,(IF($I47="",AZ$3,MIN($I47,AZ$3)))-(MAX($H47,(EDATE(AZ$3,-12)+1)))+1)/(AZ$3-(EDATE(AZ$3,-12)+1)+1),IF($N47=0,0,$Q47/$N47*MAX(0,(IF($I47="",AZ$3,MIN($I47,AZ$3)))-(MAX($H47,(EDATE(AZ$3,-12)+1)))+1)/(AZ$3-(EDATE(AZ$3,-12)+1)+1)))),MAX(0,AY47-$M47)))</f>
        <v/>
      </c>
      <c r="BA47" s="51">
        <f>IF($K47="","",IF(AND($I47&lt;&gt;"",$I47&lt;=AZ$3),0,AY47-AZ47))</f>
        <v/>
      </c>
    </row>
    <row r="48">
      <c r="A48" s="52" t="n"/>
      <c r="B48" s="53" t="n"/>
      <c r="C48" s="53" t="n"/>
      <c r="D48" s="53" t="n"/>
      <c r="E48" s="19" t="n"/>
      <c r="F48" s="54" t="n"/>
      <c r="G48" s="55" t="n"/>
      <c r="H48" s="55" t="n"/>
      <c r="I48" s="56" t="n"/>
      <c r="J48" s="57" t="n"/>
      <c r="K48" s="58" t="n"/>
      <c r="L48" s="59">
        <f>DefaultResidual</f>
        <v/>
      </c>
      <c r="M48" s="60">
        <f>IF($K48="","",$K48*$L48)</f>
        <v/>
      </c>
      <c r="N48" s="20">
        <f>IF($C48="","",IFERROR(VLOOKUP($C48,ScheduleIITable,3,FALSE),"#N/A"))</f>
        <v/>
      </c>
      <c r="O48" s="61">
        <f>IF($K48="","",GlobalMethod)</f>
        <v/>
      </c>
      <c r="P48" s="21">
        <f>IF(OR($K48="",$N48="",$N48=0,$M48=0),0,1-($M48/$K48)^(1/$N48))</f>
        <v/>
      </c>
      <c r="Q48" s="60">
        <f>IF($K48="","",$K48-$M48)</f>
        <v/>
      </c>
      <c r="R48" s="62">
        <f>IF($K48="","",INDEX($V48:$BA48,1,MATCH(ReportingFYEnd,$V$3:$BA$3,0)))</f>
        <v/>
      </c>
      <c r="S48" s="60">
        <f>IF($K48="","",IF($U48="Disposed",0,$K48-$T48))</f>
        <v/>
      </c>
      <c r="T48" s="63">
        <f>IF($K48="","",INDEX($V48:$BA48,1,MATCH(ReportingFYEnd,$V$3:$BA$3,0)+1))</f>
        <v/>
      </c>
      <c r="U48" s="64">
        <f>IF($K48="","",IF(AND($I48&lt;&gt;"",$I48&lt;=ReportingFYEnd),"Disposed",IF(OR($H48="",$H48&gt;ReportingFYEnd),"Not Yet in Use","Active")))</f>
        <v/>
      </c>
      <c r="V48" s="65">
        <f>IF(OR($K48="",$H48=""),"",MIN(MAX(0,IF($O48="WDV",$K48*$P48*MAX(0,(IF($I48="",V$3,MIN($I48,V$3)))-(MAX($H48,(EDATE(V$3,-12)+1)))+1)/(V$3-(EDATE(V$3,-12)+1)+1),IF($N48=0,0,$Q48/$N48*MAX(0,(IF($I48="",V$3,MIN($I48,V$3)))-(MAX($H48,(EDATE(V$3,-12)+1)))+1)/(V$3-(EDATE(V$3,-12)+1)+1)))),MAX(0,$K48-$M48)))</f>
        <v/>
      </c>
      <c r="W48" s="65">
        <f>IF($K48="","",IF(AND($I48&lt;&gt;"",$I48&lt;=V$3),0,$K48-V48))</f>
        <v/>
      </c>
      <c r="X48" s="65">
        <f>IF(OR($K48="",$H48=""),"",MIN(MAX(0,IF($O48="WDV",W48*$P48*MAX(0,(IF($I48="",X$3,MIN($I48,X$3)))-(MAX($H48,(EDATE(X$3,-12)+1)))+1)/(X$3-(EDATE(X$3,-12)+1)+1),IF($N48=0,0,$Q48/$N48*MAX(0,(IF($I48="",X$3,MIN($I48,X$3)))-(MAX($H48,(EDATE(X$3,-12)+1)))+1)/(X$3-(EDATE(X$3,-12)+1)+1)))),MAX(0,W48-$M48)))</f>
        <v/>
      </c>
      <c r="Y48" s="65">
        <f>IF($K48="","",IF(AND($I48&lt;&gt;"",$I48&lt;=X$3),0,W48-X48))</f>
        <v/>
      </c>
      <c r="Z48" s="65">
        <f>IF(OR($K48="",$H48=""),"",MIN(MAX(0,IF($O48="WDV",Y48*$P48*MAX(0,(IF($I48="",Z$3,MIN($I48,Z$3)))-(MAX($H48,(EDATE(Z$3,-12)+1)))+1)/(Z$3-(EDATE(Z$3,-12)+1)+1),IF($N48=0,0,$Q48/$N48*MAX(0,(IF($I48="",Z$3,MIN($I48,Z$3)))-(MAX($H48,(EDATE(Z$3,-12)+1)))+1)/(Z$3-(EDATE(Z$3,-12)+1)+1)))),MAX(0,Y48-$M48)))</f>
        <v/>
      </c>
      <c r="AA48" s="65">
        <f>IF($K48="","",IF(AND($I48&lt;&gt;"",$I48&lt;=Z$3),0,Y48-Z48))</f>
        <v/>
      </c>
      <c r="AB48" s="65">
        <f>IF(OR($K48="",$H48=""),"",MIN(MAX(0,IF($O48="WDV",AA48*$P48*MAX(0,(IF($I48="",AB$3,MIN($I48,AB$3)))-(MAX($H48,(EDATE(AB$3,-12)+1)))+1)/(AB$3-(EDATE(AB$3,-12)+1)+1),IF($N48=0,0,$Q48/$N48*MAX(0,(IF($I48="",AB$3,MIN($I48,AB$3)))-(MAX($H48,(EDATE(AB$3,-12)+1)))+1)/(AB$3-(EDATE(AB$3,-12)+1)+1)))),MAX(0,AA48-$M48)))</f>
        <v/>
      </c>
      <c r="AC48" s="65">
        <f>IF($K48="","",IF(AND($I48&lt;&gt;"",$I48&lt;=AB$3),0,AA48-AB48))</f>
        <v/>
      </c>
      <c r="AD48" s="65">
        <f>IF(OR($K48="",$H48=""),"",MIN(MAX(0,IF($O48="WDV",AC48*$P48*MAX(0,(IF($I48="",AD$3,MIN($I48,AD$3)))-(MAX($H48,(EDATE(AD$3,-12)+1)))+1)/(AD$3-(EDATE(AD$3,-12)+1)+1),IF($N48=0,0,$Q48/$N48*MAX(0,(IF($I48="",AD$3,MIN($I48,AD$3)))-(MAX($H48,(EDATE(AD$3,-12)+1)))+1)/(AD$3-(EDATE(AD$3,-12)+1)+1)))),MAX(0,AC48-$M48)))</f>
        <v/>
      </c>
      <c r="AE48" s="65">
        <f>IF($K48="","",IF(AND($I48&lt;&gt;"",$I48&lt;=AD$3),0,AC48-AD48))</f>
        <v/>
      </c>
      <c r="AF48" s="65">
        <f>IF(OR($K48="",$H48=""),"",MIN(MAX(0,IF($O48="WDV",AE48*$P48*MAX(0,(IF($I48="",AF$3,MIN($I48,AF$3)))-(MAX($H48,(EDATE(AF$3,-12)+1)))+1)/(AF$3-(EDATE(AF$3,-12)+1)+1),IF($N48=0,0,$Q48/$N48*MAX(0,(IF($I48="",AF$3,MIN($I48,AF$3)))-(MAX($H48,(EDATE(AF$3,-12)+1)))+1)/(AF$3-(EDATE(AF$3,-12)+1)+1)))),MAX(0,AE48-$M48)))</f>
        <v/>
      </c>
      <c r="AG48" s="65">
        <f>IF($K48="","",IF(AND($I48&lt;&gt;"",$I48&lt;=AF$3),0,AE48-AF48))</f>
        <v/>
      </c>
      <c r="AH48" s="65">
        <f>IF(OR($K48="",$H48=""),"",MIN(MAX(0,IF($O48="WDV",AG48*$P48*MAX(0,(IF($I48="",AH$3,MIN($I48,AH$3)))-(MAX($H48,(EDATE(AH$3,-12)+1)))+1)/(AH$3-(EDATE(AH$3,-12)+1)+1),IF($N48=0,0,$Q48/$N48*MAX(0,(IF($I48="",AH$3,MIN($I48,AH$3)))-(MAX($H48,(EDATE(AH$3,-12)+1)))+1)/(AH$3-(EDATE(AH$3,-12)+1)+1)))),MAX(0,AG48-$M48)))</f>
        <v/>
      </c>
      <c r="AI48" s="65">
        <f>IF($K48="","",IF(AND($I48&lt;&gt;"",$I48&lt;=AH$3),0,AG48-AH48))</f>
        <v/>
      </c>
      <c r="AJ48" s="65">
        <f>IF(OR($K48="",$H48=""),"",MIN(MAX(0,IF($O48="WDV",AI48*$P48*MAX(0,(IF($I48="",AJ$3,MIN($I48,AJ$3)))-(MAX($H48,(EDATE(AJ$3,-12)+1)))+1)/(AJ$3-(EDATE(AJ$3,-12)+1)+1),IF($N48=0,0,$Q48/$N48*MAX(0,(IF($I48="",AJ$3,MIN($I48,AJ$3)))-(MAX($H48,(EDATE(AJ$3,-12)+1)))+1)/(AJ$3-(EDATE(AJ$3,-12)+1)+1)))),MAX(0,AI48-$M48)))</f>
        <v/>
      </c>
      <c r="AK48" s="65">
        <f>IF($K48="","",IF(AND($I48&lt;&gt;"",$I48&lt;=AJ$3),0,AI48-AJ48))</f>
        <v/>
      </c>
      <c r="AL48" s="65">
        <f>IF(OR($K48="",$H48=""),"",MIN(MAX(0,IF($O48="WDV",AK48*$P48*MAX(0,(IF($I48="",AL$3,MIN($I48,AL$3)))-(MAX($H48,(EDATE(AL$3,-12)+1)))+1)/(AL$3-(EDATE(AL$3,-12)+1)+1),IF($N48=0,0,$Q48/$N48*MAX(0,(IF($I48="",AL$3,MIN($I48,AL$3)))-(MAX($H48,(EDATE(AL$3,-12)+1)))+1)/(AL$3-(EDATE(AL$3,-12)+1)+1)))),MAX(0,AK48-$M48)))</f>
        <v/>
      </c>
      <c r="AM48" s="65">
        <f>IF($K48="","",IF(AND($I48&lt;&gt;"",$I48&lt;=AL$3),0,AK48-AL48))</f>
        <v/>
      </c>
      <c r="AN48" s="65">
        <f>IF(OR($K48="",$H48=""),"",MIN(MAX(0,IF($O48="WDV",AM48*$P48*MAX(0,(IF($I48="",AN$3,MIN($I48,AN$3)))-(MAX($H48,(EDATE(AN$3,-12)+1)))+1)/(AN$3-(EDATE(AN$3,-12)+1)+1),IF($N48=0,0,$Q48/$N48*MAX(0,(IF($I48="",AN$3,MIN($I48,AN$3)))-(MAX($H48,(EDATE(AN$3,-12)+1)))+1)/(AN$3-(EDATE(AN$3,-12)+1)+1)))),MAX(0,AM48-$M48)))</f>
        <v/>
      </c>
      <c r="AO48" s="65">
        <f>IF($K48="","",IF(AND($I48&lt;&gt;"",$I48&lt;=AN$3),0,AM48-AN48))</f>
        <v/>
      </c>
      <c r="AP48" s="65">
        <f>IF(OR($K48="",$H48=""),"",MIN(MAX(0,IF($O48="WDV",AO48*$P48*MAX(0,(IF($I48="",AP$3,MIN($I48,AP$3)))-(MAX($H48,(EDATE(AP$3,-12)+1)))+1)/(AP$3-(EDATE(AP$3,-12)+1)+1),IF($N48=0,0,$Q48/$N48*MAX(0,(IF($I48="",AP$3,MIN($I48,AP$3)))-(MAX($H48,(EDATE(AP$3,-12)+1)))+1)/(AP$3-(EDATE(AP$3,-12)+1)+1)))),MAX(0,AO48-$M48)))</f>
        <v/>
      </c>
      <c r="AQ48" s="65">
        <f>IF($K48="","",IF(AND($I48&lt;&gt;"",$I48&lt;=AP$3),0,AO48-AP48))</f>
        <v/>
      </c>
      <c r="AR48" s="65">
        <f>IF(OR($K48="",$H48=""),"",MIN(MAX(0,IF($O48="WDV",AQ48*$P48*MAX(0,(IF($I48="",AR$3,MIN($I48,AR$3)))-(MAX($H48,(EDATE(AR$3,-12)+1)))+1)/(AR$3-(EDATE(AR$3,-12)+1)+1),IF($N48=0,0,$Q48/$N48*MAX(0,(IF($I48="",AR$3,MIN($I48,AR$3)))-(MAX($H48,(EDATE(AR$3,-12)+1)))+1)/(AR$3-(EDATE(AR$3,-12)+1)+1)))),MAX(0,AQ48-$M48)))</f>
        <v/>
      </c>
      <c r="AS48" s="65">
        <f>IF($K48="","",IF(AND($I48&lt;&gt;"",$I48&lt;=AR$3),0,AQ48-AR48))</f>
        <v/>
      </c>
      <c r="AT48" s="65">
        <f>IF(OR($K48="",$H48=""),"",MIN(MAX(0,IF($O48="WDV",AS48*$P48*MAX(0,(IF($I48="",AT$3,MIN($I48,AT$3)))-(MAX($H48,(EDATE(AT$3,-12)+1)))+1)/(AT$3-(EDATE(AT$3,-12)+1)+1),IF($N48=0,0,$Q48/$N48*MAX(0,(IF($I48="",AT$3,MIN($I48,AT$3)))-(MAX($H48,(EDATE(AT$3,-12)+1)))+1)/(AT$3-(EDATE(AT$3,-12)+1)+1)))),MAX(0,AS48-$M48)))</f>
        <v/>
      </c>
      <c r="AU48" s="65">
        <f>IF($K48="","",IF(AND($I48&lt;&gt;"",$I48&lt;=AT$3),0,AS48-AT48))</f>
        <v/>
      </c>
      <c r="AV48" s="65">
        <f>IF(OR($K48="",$H48=""),"",MIN(MAX(0,IF($O48="WDV",AU48*$P48*MAX(0,(IF($I48="",AV$3,MIN($I48,AV$3)))-(MAX($H48,(EDATE(AV$3,-12)+1)))+1)/(AV$3-(EDATE(AV$3,-12)+1)+1),IF($N48=0,0,$Q48/$N48*MAX(0,(IF($I48="",AV$3,MIN($I48,AV$3)))-(MAX($H48,(EDATE(AV$3,-12)+1)))+1)/(AV$3-(EDATE(AV$3,-12)+1)+1)))),MAX(0,AU48-$M48)))</f>
        <v/>
      </c>
      <c r="AW48" s="65">
        <f>IF($K48="","",IF(AND($I48&lt;&gt;"",$I48&lt;=AV$3),0,AU48-AV48))</f>
        <v/>
      </c>
      <c r="AX48" s="65">
        <f>IF(OR($K48="",$H48=""),"",MIN(MAX(0,IF($O48="WDV",AW48*$P48*MAX(0,(IF($I48="",AX$3,MIN($I48,AX$3)))-(MAX($H48,(EDATE(AX$3,-12)+1)))+1)/(AX$3-(EDATE(AX$3,-12)+1)+1),IF($N48=0,0,$Q48/$N48*MAX(0,(IF($I48="",AX$3,MIN($I48,AX$3)))-(MAX($H48,(EDATE(AX$3,-12)+1)))+1)/(AX$3-(EDATE(AX$3,-12)+1)+1)))),MAX(0,AW48-$M48)))</f>
        <v/>
      </c>
      <c r="AY48" s="65">
        <f>IF($K48="","",IF(AND($I48&lt;&gt;"",$I48&lt;=AX$3),0,AW48-AX48))</f>
        <v/>
      </c>
      <c r="AZ48" s="65">
        <f>IF(OR($K48="",$H48=""),"",MIN(MAX(0,IF($O48="WDV",AY48*$P48*MAX(0,(IF($I48="",AZ$3,MIN($I48,AZ$3)))-(MAX($H48,(EDATE(AZ$3,-12)+1)))+1)/(AZ$3-(EDATE(AZ$3,-12)+1)+1),IF($N48=0,0,$Q48/$N48*MAX(0,(IF($I48="",AZ$3,MIN($I48,AZ$3)))-(MAX($H48,(EDATE(AZ$3,-12)+1)))+1)/(AZ$3-(EDATE(AZ$3,-12)+1)+1)))),MAX(0,AY48-$M48)))</f>
        <v/>
      </c>
      <c r="BA48" s="65">
        <f>IF($K48="","",IF(AND($I48&lt;&gt;"",$I48&lt;=AZ$3),0,AY48-AZ48))</f>
        <v/>
      </c>
    </row>
    <row r="49">
      <c r="A49" s="34" t="n"/>
      <c r="B49" s="35" t="n"/>
      <c r="C49" s="35" t="n"/>
      <c r="D49" s="35" t="n"/>
      <c r="E49" s="36" t="n"/>
      <c r="F49" s="37" t="n"/>
      <c r="G49" s="38" t="n"/>
      <c r="H49" s="38" t="n"/>
      <c r="I49" s="39" t="n"/>
      <c r="J49" s="40" t="n"/>
      <c r="K49" s="41" t="n"/>
      <c r="L49" s="42">
        <f>DefaultResidual</f>
        <v/>
      </c>
      <c r="M49" s="43">
        <f>IF($K49="","",$K49*$L49)</f>
        <v/>
      </c>
      <c r="N49" s="44">
        <f>IF($C49="","",IFERROR(VLOOKUP($C49,ScheduleIITable,3,FALSE),"#N/A"))</f>
        <v/>
      </c>
      <c r="O49" s="45">
        <f>IF($K49="","",GlobalMethod)</f>
        <v/>
      </c>
      <c r="P49" s="46">
        <f>IF(OR($K49="",$N49="",$N49=0,$M49=0),0,1-($M49/$K49)^(1/$N49))</f>
        <v/>
      </c>
      <c r="Q49" s="43">
        <f>IF($K49="","",$K49-$M49)</f>
        <v/>
      </c>
      <c r="R49" s="47">
        <f>IF($K49="","",INDEX($V49:$BA49,1,MATCH(ReportingFYEnd,$V$3:$BA$3,0)))</f>
        <v/>
      </c>
      <c r="S49" s="43">
        <f>IF($K49="","",IF($U49="Disposed",0,$K49-$T49))</f>
        <v/>
      </c>
      <c r="T49" s="48">
        <f>IF($K49="","",INDEX($V49:$BA49,1,MATCH(ReportingFYEnd,$V$3:$BA$3,0)+1))</f>
        <v/>
      </c>
      <c r="U49" s="49">
        <f>IF($K49="","",IF(AND($I49&lt;&gt;"",$I49&lt;=ReportingFYEnd),"Disposed",IF(OR($H49="",$H49&gt;ReportingFYEnd),"Not Yet in Use","Active")))</f>
        <v/>
      </c>
      <c r="V49" s="50">
        <f>IF(OR($K49="",$H49=""),"",MIN(MAX(0,IF($O49="WDV",$K49*$P49*MAX(0,(IF($I49="",V$3,MIN($I49,V$3)))-(MAX($H49,(EDATE(V$3,-12)+1)))+1)/(V$3-(EDATE(V$3,-12)+1)+1),IF($N49=0,0,$Q49/$N49*MAX(0,(IF($I49="",V$3,MIN($I49,V$3)))-(MAX($H49,(EDATE(V$3,-12)+1)))+1)/(V$3-(EDATE(V$3,-12)+1)+1)))),MAX(0,$K49-$M49)))</f>
        <v/>
      </c>
      <c r="W49" s="51">
        <f>IF($K49="","",IF(AND($I49&lt;&gt;"",$I49&lt;=V$3),0,$K49-V49))</f>
        <v/>
      </c>
      <c r="X49" s="50">
        <f>IF(OR($K49="",$H49=""),"",MIN(MAX(0,IF($O49="WDV",W49*$P49*MAX(0,(IF($I49="",X$3,MIN($I49,X$3)))-(MAX($H49,(EDATE(X$3,-12)+1)))+1)/(X$3-(EDATE(X$3,-12)+1)+1),IF($N49=0,0,$Q49/$N49*MAX(0,(IF($I49="",X$3,MIN($I49,X$3)))-(MAX($H49,(EDATE(X$3,-12)+1)))+1)/(X$3-(EDATE(X$3,-12)+1)+1)))),MAX(0,W49-$M49)))</f>
        <v/>
      </c>
      <c r="Y49" s="51">
        <f>IF($K49="","",IF(AND($I49&lt;&gt;"",$I49&lt;=X$3),0,W49-X49))</f>
        <v/>
      </c>
      <c r="Z49" s="50">
        <f>IF(OR($K49="",$H49=""),"",MIN(MAX(0,IF($O49="WDV",Y49*$P49*MAX(0,(IF($I49="",Z$3,MIN($I49,Z$3)))-(MAX($H49,(EDATE(Z$3,-12)+1)))+1)/(Z$3-(EDATE(Z$3,-12)+1)+1),IF($N49=0,0,$Q49/$N49*MAX(0,(IF($I49="",Z$3,MIN($I49,Z$3)))-(MAX($H49,(EDATE(Z$3,-12)+1)))+1)/(Z$3-(EDATE(Z$3,-12)+1)+1)))),MAX(0,Y49-$M49)))</f>
        <v/>
      </c>
      <c r="AA49" s="51">
        <f>IF($K49="","",IF(AND($I49&lt;&gt;"",$I49&lt;=Z$3),0,Y49-Z49))</f>
        <v/>
      </c>
      <c r="AB49" s="50">
        <f>IF(OR($K49="",$H49=""),"",MIN(MAX(0,IF($O49="WDV",AA49*$P49*MAX(0,(IF($I49="",AB$3,MIN($I49,AB$3)))-(MAX($H49,(EDATE(AB$3,-12)+1)))+1)/(AB$3-(EDATE(AB$3,-12)+1)+1),IF($N49=0,0,$Q49/$N49*MAX(0,(IF($I49="",AB$3,MIN($I49,AB$3)))-(MAX($H49,(EDATE(AB$3,-12)+1)))+1)/(AB$3-(EDATE(AB$3,-12)+1)+1)))),MAX(0,AA49-$M49)))</f>
        <v/>
      </c>
      <c r="AC49" s="51">
        <f>IF($K49="","",IF(AND($I49&lt;&gt;"",$I49&lt;=AB$3),0,AA49-AB49))</f>
        <v/>
      </c>
      <c r="AD49" s="50">
        <f>IF(OR($K49="",$H49=""),"",MIN(MAX(0,IF($O49="WDV",AC49*$P49*MAX(0,(IF($I49="",AD$3,MIN($I49,AD$3)))-(MAX($H49,(EDATE(AD$3,-12)+1)))+1)/(AD$3-(EDATE(AD$3,-12)+1)+1),IF($N49=0,0,$Q49/$N49*MAX(0,(IF($I49="",AD$3,MIN($I49,AD$3)))-(MAX($H49,(EDATE(AD$3,-12)+1)))+1)/(AD$3-(EDATE(AD$3,-12)+1)+1)))),MAX(0,AC49-$M49)))</f>
        <v/>
      </c>
      <c r="AE49" s="51">
        <f>IF($K49="","",IF(AND($I49&lt;&gt;"",$I49&lt;=AD$3),0,AC49-AD49))</f>
        <v/>
      </c>
      <c r="AF49" s="50">
        <f>IF(OR($K49="",$H49=""),"",MIN(MAX(0,IF($O49="WDV",AE49*$P49*MAX(0,(IF($I49="",AF$3,MIN($I49,AF$3)))-(MAX($H49,(EDATE(AF$3,-12)+1)))+1)/(AF$3-(EDATE(AF$3,-12)+1)+1),IF($N49=0,0,$Q49/$N49*MAX(0,(IF($I49="",AF$3,MIN($I49,AF$3)))-(MAX($H49,(EDATE(AF$3,-12)+1)))+1)/(AF$3-(EDATE(AF$3,-12)+1)+1)))),MAX(0,AE49-$M49)))</f>
        <v/>
      </c>
      <c r="AG49" s="51">
        <f>IF($K49="","",IF(AND($I49&lt;&gt;"",$I49&lt;=AF$3),0,AE49-AF49))</f>
        <v/>
      </c>
      <c r="AH49" s="50">
        <f>IF(OR($K49="",$H49=""),"",MIN(MAX(0,IF($O49="WDV",AG49*$P49*MAX(0,(IF($I49="",AH$3,MIN($I49,AH$3)))-(MAX($H49,(EDATE(AH$3,-12)+1)))+1)/(AH$3-(EDATE(AH$3,-12)+1)+1),IF($N49=0,0,$Q49/$N49*MAX(0,(IF($I49="",AH$3,MIN($I49,AH$3)))-(MAX($H49,(EDATE(AH$3,-12)+1)))+1)/(AH$3-(EDATE(AH$3,-12)+1)+1)))),MAX(0,AG49-$M49)))</f>
        <v/>
      </c>
      <c r="AI49" s="51">
        <f>IF($K49="","",IF(AND($I49&lt;&gt;"",$I49&lt;=AH$3),0,AG49-AH49))</f>
        <v/>
      </c>
      <c r="AJ49" s="50">
        <f>IF(OR($K49="",$H49=""),"",MIN(MAX(0,IF($O49="WDV",AI49*$P49*MAX(0,(IF($I49="",AJ$3,MIN($I49,AJ$3)))-(MAX($H49,(EDATE(AJ$3,-12)+1)))+1)/(AJ$3-(EDATE(AJ$3,-12)+1)+1),IF($N49=0,0,$Q49/$N49*MAX(0,(IF($I49="",AJ$3,MIN($I49,AJ$3)))-(MAX($H49,(EDATE(AJ$3,-12)+1)))+1)/(AJ$3-(EDATE(AJ$3,-12)+1)+1)))),MAX(0,AI49-$M49)))</f>
        <v/>
      </c>
      <c r="AK49" s="51">
        <f>IF($K49="","",IF(AND($I49&lt;&gt;"",$I49&lt;=AJ$3),0,AI49-AJ49))</f>
        <v/>
      </c>
      <c r="AL49" s="50">
        <f>IF(OR($K49="",$H49=""),"",MIN(MAX(0,IF($O49="WDV",AK49*$P49*MAX(0,(IF($I49="",AL$3,MIN($I49,AL$3)))-(MAX($H49,(EDATE(AL$3,-12)+1)))+1)/(AL$3-(EDATE(AL$3,-12)+1)+1),IF($N49=0,0,$Q49/$N49*MAX(0,(IF($I49="",AL$3,MIN($I49,AL$3)))-(MAX($H49,(EDATE(AL$3,-12)+1)))+1)/(AL$3-(EDATE(AL$3,-12)+1)+1)))),MAX(0,AK49-$M49)))</f>
        <v/>
      </c>
      <c r="AM49" s="51">
        <f>IF($K49="","",IF(AND($I49&lt;&gt;"",$I49&lt;=AL$3),0,AK49-AL49))</f>
        <v/>
      </c>
      <c r="AN49" s="50">
        <f>IF(OR($K49="",$H49=""),"",MIN(MAX(0,IF($O49="WDV",AM49*$P49*MAX(0,(IF($I49="",AN$3,MIN($I49,AN$3)))-(MAX($H49,(EDATE(AN$3,-12)+1)))+1)/(AN$3-(EDATE(AN$3,-12)+1)+1),IF($N49=0,0,$Q49/$N49*MAX(0,(IF($I49="",AN$3,MIN($I49,AN$3)))-(MAX($H49,(EDATE(AN$3,-12)+1)))+1)/(AN$3-(EDATE(AN$3,-12)+1)+1)))),MAX(0,AM49-$M49)))</f>
        <v/>
      </c>
      <c r="AO49" s="51">
        <f>IF($K49="","",IF(AND($I49&lt;&gt;"",$I49&lt;=AN$3),0,AM49-AN49))</f>
        <v/>
      </c>
      <c r="AP49" s="50">
        <f>IF(OR($K49="",$H49=""),"",MIN(MAX(0,IF($O49="WDV",AO49*$P49*MAX(0,(IF($I49="",AP$3,MIN($I49,AP$3)))-(MAX($H49,(EDATE(AP$3,-12)+1)))+1)/(AP$3-(EDATE(AP$3,-12)+1)+1),IF($N49=0,0,$Q49/$N49*MAX(0,(IF($I49="",AP$3,MIN($I49,AP$3)))-(MAX($H49,(EDATE(AP$3,-12)+1)))+1)/(AP$3-(EDATE(AP$3,-12)+1)+1)))),MAX(0,AO49-$M49)))</f>
        <v/>
      </c>
      <c r="AQ49" s="51">
        <f>IF($K49="","",IF(AND($I49&lt;&gt;"",$I49&lt;=AP$3),0,AO49-AP49))</f>
        <v/>
      </c>
      <c r="AR49" s="50">
        <f>IF(OR($K49="",$H49=""),"",MIN(MAX(0,IF($O49="WDV",AQ49*$P49*MAX(0,(IF($I49="",AR$3,MIN($I49,AR$3)))-(MAX($H49,(EDATE(AR$3,-12)+1)))+1)/(AR$3-(EDATE(AR$3,-12)+1)+1),IF($N49=0,0,$Q49/$N49*MAX(0,(IF($I49="",AR$3,MIN($I49,AR$3)))-(MAX($H49,(EDATE(AR$3,-12)+1)))+1)/(AR$3-(EDATE(AR$3,-12)+1)+1)))),MAX(0,AQ49-$M49)))</f>
        <v/>
      </c>
      <c r="AS49" s="51">
        <f>IF($K49="","",IF(AND($I49&lt;&gt;"",$I49&lt;=AR$3),0,AQ49-AR49))</f>
        <v/>
      </c>
      <c r="AT49" s="50">
        <f>IF(OR($K49="",$H49=""),"",MIN(MAX(0,IF($O49="WDV",AS49*$P49*MAX(0,(IF($I49="",AT$3,MIN($I49,AT$3)))-(MAX($H49,(EDATE(AT$3,-12)+1)))+1)/(AT$3-(EDATE(AT$3,-12)+1)+1),IF($N49=0,0,$Q49/$N49*MAX(0,(IF($I49="",AT$3,MIN($I49,AT$3)))-(MAX($H49,(EDATE(AT$3,-12)+1)))+1)/(AT$3-(EDATE(AT$3,-12)+1)+1)))),MAX(0,AS49-$M49)))</f>
        <v/>
      </c>
      <c r="AU49" s="51">
        <f>IF($K49="","",IF(AND($I49&lt;&gt;"",$I49&lt;=AT$3),0,AS49-AT49))</f>
        <v/>
      </c>
      <c r="AV49" s="50">
        <f>IF(OR($K49="",$H49=""),"",MIN(MAX(0,IF($O49="WDV",AU49*$P49*MAX(0,(IF($I49="",AV$3,MIN($I49,AV$3)))-(MAX($H49,(EDATE(AV$3,-12)+1)))+1)/(AV$3-(EDATE(AV$3,-12)+1)+1),IF($N49=0,0,$Q49/$N49*MAX(0,(IF($I49="",AV$3,MIN($I49,AV$3)))-(MAX($H49,(EDATE(AV$3,-12)+1)))+1)/(AV$3-(EDATE(AV$3,-12)+1)+1)))),MAX(0,AU49-$M49)))</f>
        <v/>
      </c>
      <c r="AW49" s="51">
        <f>IF($K49="","",IF(AND($I49&lt;&gt;"",$I49&lt;=AV$3),0,AU49-AV49))</f>
        <v/>
      </c>
      <c r="AX49" s="50">
        <f>IF(OR($K49="",$H49=""),"",MIN(MAX(0,IF($O49="WDV",AW49*$P49*MAX(0,(IF($I49="",AX$3,MIN($I49,AX$3)))-(MAX($H49,(EDATE(AX$3,-12)+1)))+1)/(AX$3-(EDATE(AX$3,-12)+1)+1),IF($N49=0,0,$Q49/$N49*MAX(0,(IF($I49="",AX$3,MIN($I49,AX$3)))-(MAX($H49,(EDATE(AX$3,-12)+1)))+1)/(AX$3-(EDATE(AX$3,-12)+1)+1)))),MAX(0,AW49-$M49)))</f>
        <v/>
      </c>
      <c r="AY49" s="51">
        <f>IF($K49="","",IF(AND($I49&lt;&gt;"",$I49&lt;=AX$3),0,AW49-AX49))</f>
        <v/>
      </c>
      <c r="AZ49" s="50">
        <f>IF(OR($K49="",$H49=""),"",MIN(MAX(0,IF($O49="WDV",AY49*$P49*MAX(0,(IF($I49="",AZ$3,MIN($I49,AZ$3)))-(MAX($H49,(EDATE(AZ$3,-12)+1)))+1)/(AZ$3-(EDATE(AZ$3,-12)+1)+1),IF($N49=0,0,$Q49/$N49*MAX(0,(IF($I49="",AZ$3,MIN($I49,AZ$3)))-(MAX($H49,(EDATE(AZ$3,-12)+1)))+1)/(AZ$3-(EDATE(AZ$3,-12)+1)+1)))),MAX(0,AY49-$M49)))</f>
        <v/>
      </c>
      <c r="BA49" s="51">
        <f>IF($K49="","",IF(AND($I49&lt;&gt;"",$I49&lt;=AZ$3),0,AY49-AZ49))</f>
        <v/>
      </c>
    </row>
    <row r="50">
      <c r="A50" s="52" t="n"/>
      <c r="B50" s="53" t="n"/>
      <c r="C50" s="53" t="n"/>
      <c r="D50" s="53" t="n"/>
      <c r="E50" s="19" t="n"/>
      <c r="F50" s="54" t="n"/>
      <c r="G50" s="55" t="n"/>
      <c r="H50" s="55" t="n"/>
      <c r="I50" s="56" t="n"/>
      <c r="J50" s="57" t="n"/>
      <c r="K50" s="58" t="n"/>
      <c r="L50" s="59">
        <f>DefaultResidual</f>
        <v/>
      </c>
      <c r="M50" s="60">
        <f>IF($K50="","",$K50*$L50)</f>
        <v/>
      </c>
      <c r="N50" s="20">
        <f>IF($C50="","",IFERROR(VLOOKUP($C50,ScheduleIITable,3,FALSE),"#N/A"))</f>
        <v/>
      </c>
      <c r="O50" s="61">
        <f>IF($K50="","",GlobalMethod)</f>
        <v/>
      </c>
      <c r="P50" s="21">
        <f>IF(OR($K50="",$N50="",$N50=0,$M50=0),0,1-($M50/$K50)^(1/$N50))</f>
        <v/>
      </c>
      <c r="Q50" s="60">
        <f>IF($K50="","",$K50-$M50)</f>
        <v/>
      </c>
      <c r="R50" s="62">
        <f>IF($K50="","",INDEX($V50:$BA50,1,MATCH(ReportingFYEnd,$V$3:$BA$3,0)))</f>
        <v/>
      </c>
      <c r="S50" s="60">
        <f>IF($K50="","",IF($U50="Disposed",0,$K50-$T50))</f>
        <v/>
      </c>
      <c r="T50" s="63">
        <f>IF($K50="","",INDEX($V50:$BA50,1,MATCH(ReportingFYEnd,$V$3:$BA$3,0)+1))</f>
        <v/>
      </c>
      <c r="U50" s="64">
        <f>IF($K50="","",IF(AND($I50&lt;&gt;"",$I50&lt;=ReportingFYEnd),"Disposed",IF(OR($H50="",$H50&gt;ReportingFYEnd),"Not Yet in Use","Active")))</f>
        <v/>
      </c>
      <c r="V50" s="65">
        <f>IF(OR($K50="",$H50=""),"",MIN(MAX(0,IF($O50="WDV",$K50*$P50*MAX(0,(IF($I50="",V$3,MIN($I50,V$3)))-(MAX($H50,(EDATE(V$3,-12)+1)))+1)/(V$3-(EDATE(V$3,-12)+1)+1),IF($N50=0,0,$Q50/$N50*MAX(0,(IF($I50="",V$3,MIN($I50,V$3)))-(MAX($H50,(EDATE(V$3,-12)+1)))+1)/(V$3-(EDATE(V$3,-12)+1)+1)))),MAX(0,$K50-$M50)))</f>
        <v/>
      </c>
      <c r="W50" s="65">
        <f>IF($K50="","",IF(AND($I50&lt;&gt;"",$I50&lt;=V$3),0,$K50-V50))</f>
        <v/>
      </c>
      <c r="X50" s="65">
        <f>IF(OR($K50="",$H50=""),"",MIN(MAX(0,IF($O50="WDV",W50*$P50*MAX(0,(IF($I50="",X$3,MIN($I50,X$3)))-(MAX($H50,(EDATE(X$3,-12)+1)))+1)/(X$3-(EDATE(X$3,-12)+1)+1),IF($N50=0,0,$Q50/$N50*MAX(0,(IF($I50="",X$3,MIN($I50,X$3)))-(MAX($H50,(EDATE(X$3,-12)+1)))+1)/(X$3-(EDATE(X$3,-12)+1)+1)))),MAX(0,W50-$M50)))</f>
        <v/>
      </c>
      <c r="Y50" s="65">
        <f>IF($K50="","",IF(AND($I50&lt;&gt;"",$I50&lt;=X$3),0,W50-X50))</f>
        <v/>
      </c>
      <c r="Z50" s="65">
        <f>IF(OR($K50="",$H50=""),"",MIN(MAX(0,IF($O50="WDV",Y50*$P50*MAX(0,(IF($I50="",Z$3,MIN($I50,Z$3)))-(MAX($H50,(EDATE(Z$3,-12)+1)))+1)/(Z$3-(EDATE(Z$3,-12)+1)+1),IF($N50=0,0,$Q50/$N50*MAX(0,(IF($I50="",Z$3,MIN($I50,Z$3)))-(MAX($H50,(EDATE(Z$3,-12)+1)))+1)/(Z$3-(EDATE(Z$3,-12)+1)+1)))),MAX(0,Y50-$M50)))</f>
        <v/>
      </c>
      <c r="AA50" s="65">
        <f>IF($K50="","",IF(AND($I50&lt;&gt;"",$I50&lt;=Z$3),0,Y50-Z50))</f>
        <v/>
      </c>
      <c r="AB50" s="65">
        <f>IF(OR($K50="",$H50=""),"",MIN(MAX(0,IF($O50="WDV",AA50*$P50*MAX(0,(IF($I50="",AB$3,MIN($I50,AB$3)))-(MAX($H50,(EDATE(AB$3,-12)+1)))+1)/(AB$3-(EDATE(AB$3,-12)+1)+1),IF($N50=0,0,$Q50/$N50*MAX(0,(IF($I50="",AB$3,MIN($I50,AB$3)))-(MAX($H50,(EDATE(AB$3,-12)+1)))+1)/(AB$3-(EDATE(AB$3,-12)+1)+1)))),MAX(0,AA50-$M50)))</f>
        <v/>
      </c>
      <c r="AC50" s="65">
        <f>IF($K50="","",IF(AND($I50&lt;&gt;"",$I50&lt;=AB$3),0,AA50-AB50))</f>
        <v/>
      </c>
      <c r="AD50" s="65">
        <f>IF(OR($K50="",$H50=""),"",MIN(MAX(0,IF($O50="WDV",AC50*$P50*MAX(0,(IF($I50="",AD$3,MIN($I50,AD$3)))-(MAX($H50,(EDATE(AD$3,-12)+1)))+1)/(AD$3-(EDATE(AD$3,-12)+1)+1),IF($N50=0,0,$Q50/$N50*MAX(0,(IF($I50="",AD$3,MIN($I50,AD$3)))-(MAX($H50,(EDATE(AD$3,-12)+1)))+1)/(AD$3-(EDATE(AD$3,-12)+1)+1)))),MAX(0,AC50-$M50)))</f>
        <v/>
      </c>
      <c r="AE50" s="65">
        <f>IF($K50="","",IF(AND($I50&lt;&gt;"",$I50&lt;=AD$3),0,AC50-AD50))</f>
        <v/>
      </c>
      <c r="AF50" s="65">
        <f>IF(OR($K50="",$H50=""),"",MIN(MAX(0,IF($O50="WDV",AE50*$P50*MAX(0,(IF($I50="",AF$3,MIN($I50,AF$3)))-(MAX($H50,(EDATE(AF$3,-12)+1)))+1)/(AF$3-(EDATE(AF$3,-12)+1)+1),IF($N50=0,0,$Q50/$N50*MAX(0,(IF($I50="",AF$3,MIN($I50,AF$3)))-(MAX($H50,(EDATE(AF$3,-12)+1)))+1)/(AF$3-(EDATE(AF$3,-12)+1)+1)))),MAX(0,AE50-$M50)))</f>
        <v/>
      </c>
      <c r="AG50" s="65">
        <f>IF($K50="","",IF(AND($I50&lt;&gt;"",$I50&lt;=AF$3),0,AE50-AF50))</f>
        <v/>
      </c>
      <c r="AH50" s="65">
        <f>IF(OR($K50="",$H50=""),"",MIN(MAX(0,IF($O50="WDV",AG50*$P50*MAX(0,(IF($I50="",AH$3,MIN($I50,AH$3)))-(MAX($H50,(EDATE(AH$3,-12)+1)))+1)/(AH$3-(EDATE(AH$3,-12)+1)+1),IF($N50=0,0,$Q50/$N50*MAX(0,(IF($I50="",AH$3,MIN($I50,AH$3)))-(MAX($H50,(EDATE(AH$3,-12)+1)))+1)/(AH$3-(EDATE(AH$3,-12)+1)+1)))),MAX(0,AG50-$M50)))</f>
        <v/>
      </c>
      <c r="AI50" s="65">
        <f>IF($K50="","",IF(AND($I50&lt;&gt;"",$I50&lt;=AH$3),0,AG50-AH50))</f>
        <v/>
      </c>
      <c r="AJ50" s="65">
        <f>IF(OR($K50="",$H50=""),"",MIN(MAX(0,IF($O50="WDV",AI50*$P50*MAX(0,(IF($I50="",AJ$3,MIN($I50,AJ$3)))-(MAX($H50,(EDATE(AJ$3,-12)+1)))+1)/(AJ$3-(EDATE(AJ$3,-12)+1)+1),IF($N50=0,0,$Q50/$N50*MAX(0,(IF($I50="",AJ$3,MIN($I50,AJ$3)))-(MAX($H50,(EDATE(AJ$3,-12)+1)))+1)/(AJ$3-(EDATE(AJ$3,-12)+1)+1)))),MAX(0,AI50-$M50)))</f>
        <v/>
      </c>
      <c r="AK50" s="65">
        <f>IF($K50="","",IF(AND($I50&lt;&gt;"",$I50&lt;=AJ$3),0,AI50-AJ50))</f>
        <v/>
      </c>
      <c r="AL50" s="65">
        <f>IF(OR($K50="",$H50=""),"",MIN(MAX(0,IF($O50="WDV",AK50*$P50*MAX(0,(IF($I50="",AL$3,MIN($I50,AL$3)))-(MAX($H50,(EDATE(AL$3,-12)+1)))+1)/(AL$3-(EDATE(AL$3,-12)+1)+1),IF($N50=0,0,$Q50/$N50*MAX(0,(IF($I50="",AL$3,MIN($I50,AL$3)))-(MAX($H50,(EDATE(AL$3,-12)+1)))+1)/(AL$3-(EDATE(AL$3,-12)+1)+1)))),MAX(0,AK50-$M50)))</f>
        <v/>
      </c>
      <c r="AM50" s="65">
        <f>IF($K50="","",IF(AND($I50&lt;&gt;"",$I50&lt;=AL$3),0,AK50-AL50))</f>
        <v/>
      </c>
      <c r="AN50" s="65">
        <f>IF(OR($K50="",$H50=""),"",MIN(MAX(0,IF($O50="WDV",AM50*$P50*MAX(0,(IF($I50="",AN$3,MIN($I50,AN$3)))-(MAX($H50,(EDATE(AN$3,-12)+1)))+1)/(AN$3-(EDATE(AN$3,-12)+1)+1),IF($N50=0,0,$Q50/$N50*MAX(0,(IF($I50="",AN$3,MIN($I50,AN$3)))-(MAX($H50,(EDATE(AN$3,-12)+1)))+1)/(AN$3-(EDATE(AN$3,-12)+1)+1)))),MAX(0,AM50-$M50)))</f>
        <v/>
      </c>
      <c r="AO50" s="65">
        <f>IF($K50="","",IF(AND($I50&lt;&gt;"",$I50&lt;=AN$3),0,AM50-AN50))</f>
        <v/>
      </c>
      <c r="AP50" s="65">
        <f>IF(OR($K50="",$H50=""),"",MIN(MAX(0,IF($O50="WDV",AO50*$P50*MAX(0,(IF($I50="",AP$3,MIN($I50,AP$3)))-(MAX($H50,(EDATE(AP$3,-12)+1)))+1)/(AP$3-(EDATE(AP$3,-12)+1)+1),IF($N50=0,0,$Q50/$N50*MAX(0,(IF($I50="",AP$3,MIN($I50,AP$3)))-(MAX($H50,(EDATE(AP$3,-12)+1)))+1)/(AP$3-(EDATE(AP$3,-12)+1)+1)))),MAX(0,AO50-$M50)))</f>
        <v/>
      </c>
      <c r="AQ50" s="65">
        <f>IF($K50="","",IF(AND($I50&lt;&gt;"",$I50&lt;=AP$3),0,AO50-AP50))</f>
        <v/>
      </c>
      <c r="AR50" s="65">
        <f>IF(OR($K50="",$H50=""),"",MIN(MAX(0,IF($O50="WDV",AQ50*$P50*MAX(0,(IF($I50="",AR$3,MIN($I50,AR$3)))-(MAX($H50,(EDATE(AR$3,-12)+1)))+1)/(AR$3-(EDATE(AR$3,-12)+1)+1),IF($N50=0,0,$Q50/$N50*MAX(0,(IF($I50="",AR$3,MIN($I50,AR$3)))-(MAX($H50,(EDATE(AR$3,-12)+1)))+1)/(AR$3-(EDATE(AR$3,-12)+1)+1)))),MAX(0,AQ50-$M50)))</f>
        <v/>
      </c>
      <c r="AS50" s="65">
        <f>IF($K50="","",IF(AND($I50&lt;&gt;"",$I50&lt;=AR$3),0,AQ50-AR50))</f>
        <v/>
      </c>
      <c r="AT50" s="65">
        <f>IF(OR($K50="",$H50=""),"",MIN(MAX(0,IF($O50="WDV",AS50*$P50*MAX(0,(IF($I50="",AT$3,MIN($I50,AT$3)))-(MAX($H50,(EDATE(AT$3,-12)+1)))+1)/(AT$3-(EDATE(AT$3,-12)+1)+1),IF($N50=0,0,$Q50/$N50*MAX(0,(IF($I50="",AT$3,MIN($I50,AT$3)))-(MAX($H50,(EDATE(AT$3,-12)+1)))+1)/(AT$3-(EDATE(AT$3,-12)+1)+1)))),MAX(0,AS50-$M50)))</f>
        <v/>
      </c>
      <c r="AU50" s="65">
        <f>IF($K50="","",IF(AND($I50&lt;&gt;"",$I50&lt;=AT$3),0,AS50-AT50))</f>
        <v/>
      </c>
      <c r="AV50" s="65">
        <f>IF(OR($K50="",$H50=""),"",MIN(MAX(0,IF($O50="WDV",AU50*$P50*MAX(0,(IF($I50="",AV$3,MIN($I50,AV$3)))-(MAX($H50,(EDATE(AV$3,-12)+1)))+1)/(AV$3-(EDATE(AV$3,-12)+1)+1),IF($N50=0,0,$Q50/$N50*MAX(0,(IF($I50="",AV$3,MIN($I50,AV$3)))-(MAX($H50,(EDATE(AV$3,-12)+1)))+1)/(AV$3-(EDATE(AV$3,-12)+1)+1)))),MAX(0,AU50-$M50)))</f>
        <v/>
      </c>
      <c r="AW50" s="65">
        <f>IF($K50="","",IF(AND($I50&lt;&gt;"",$I50&lt;=AV$3),0,AU50-AV50))</f>
        <v/>
      </c>
      <c r="AX50" s="65">
        <f>IF(OR($K50="",$H50=""),"",MIN(MAX(0,IF($O50="WDV",AW50*$P50*MAX(0,(IF($I50="",AX$3,MIN($I50,AX$3)))-(MAX($H50,(EDATE(AX$3,-12)+1)))+1)/(AX$3-(EDATE(AX$3,-12)+1)+1),IF($N50=0,0,$Q50/$N50*MAX(0,(IF($I50="",AX$3,MIN($I50,AX$3)))-(MAX($H50,(EDATE(AX$3,-12)+1)))+1)/(AX$3-(EDATE(AX$3,-12)+1)+1)))),MAX(0,AW50-$M50)))</f>
        <v/>
      </c>
      <c r="AY50" s="65">
        <f>IF($K50="","",IF(AND($I50&lt;&gt;"",$I50&lt;=AX$3),0,AW50-AX50))</f>
        <v/>
      </c>
      <c r="AZ50" s="65">
        <f>IF(OR($K50="",$H50=""),"",MIN(MAX(0,IF($O50="WDV",AY50*$P50*MAX(0,(IF($I50="",AZ$3,MIN($I50,AZ$3)))-(MAX($H50,(EDATE(AZ$3,-12)+1)))+1)/(AZ$3-(EDATE(AZ$3,-12)+1)+1),IF($N50=0,0,$Q50/$N50*MAX(0,(IF($I50="",AZ$3,MIN($I50,AZ$3)))-(MAX($H50,(EDATE(AZ$3,-12)+1)))+1)/(AZ$3-(EDATE(AZ$3,-12)+1)+1)))),MAX(0,AY50-$M50)))</f>
        <v/>
      </c>
      <c r="BA50" s="65">
        <f>IF($K50="","",IF(AND($I50&lt;&gt;"",$I50&lt;=AZ$3),0,AY50-AZ50))</f>
        <v/>
      </c>
    </row>
    <row r="51">
      <c r="A51" s="34" t="n"/>
      <c r="B51" s="35" t="n"/>
      <c r="C51" s="35" t="n"/>
      <c r="D51" s="35" t="n"/>
      <c r="E51" s="36" t="n"/>
      <c r="F51" s="37" t="n"/>
      <c r="G51" s="38" t="n"/>
      <c r="H51" s="38" t="n"/>
      <c r="I51" s="39" t="n"/>
      <c r="J51" s="40" t="n"/>
      <c r="K51" s="41" t="n"/>
      <c r="L51" s="42">
        <f>DefaultResidual</f>
        <v/>
      </c>
      <c r="M51" s="43">
        <f>IF($K51="","",$K51*$L51)</f>
        <v/>
      </c>
      <c r="N51" s="44">
        <f>IF($C51="","",IFERROR(VLOOKUP($C51,ScheduleIITable,3,FALSE),"#N/A"))</f>
        <v/>
      </c>
      <c r="O51" s="45">
        <f>IF($K51="","",GlobalMethod)</f>
        <v/>
      </c>
      <c r="P51" s="46">
        <f>IF(OR($K51="",$N51="",$N51=0,$M51=0),0,1-($M51/$K51)^(1/$N51))</f>
        <v/>
      </c>
      <c r="Q51" s="43">
        <f>IF($K51="","",$K51-$M51)</f>
        <v/>
      </c>
      <c r="R51" s="47">
        <f>IF($K51="","",INDEX($V51:$BA51,1,MATCH(ReportingFYEnd,$V$3:$BA$3,0)))</f>
        <v/>
      </c>
      <c r="S51" s="43">
        <f>IF($K51="","",IF($U51="Disposed",0,$K51-$T51))</f>
        <v/>
      </c>
      <c r="T51" s="48">
        <f>IF($K51="","",INDEX($V51:$BA51,1,MATCH(ReportingFYEnd,$V$3:$BA$3,0)+1))</f>
        <v/>
      </c>
      <c r="U51" s="49">
        <f>IF($K51="","",IF(AND($I51&lt;&gt;"",$I51&lt;=ReportingFYEnd),"Disposed",IF(OR($H51="",$H51&gt;ReportingFYEnd),"Not Yet in Use","Active")))</f>
        <v/>
      </c>
      <c r="V51" s="50">
        <f>IF(OR($K51="",$H51=""),"",MIN(MAX(0,IF($O51="WDV",$K51*$P51*MAX(0,(IF($I51="",V$3,MIN($I51,V$3)))-(MAX($H51,(EDATE(V$3,-12)+1)))+1)/(V$3-(EDATE(V$3,-12)+1)+1),IF($N51=0,0,$Q51/$N51*MAX(0,(IF($I51="",V$3,MIN($I51,V$3)))-(MAX($H51,(EDATE(V$3,-12)+1)))+1)/(V$3-(EDATE(V$3,-12)+1)+1)))),MAX(0,$K51-$M51)))</f>
        <v/>
      </c>
      <c r="W51" s="51">
        <f>IF($K51="","",IF(AND($I51&lt;&gt;"",$I51&lt;=V$3),0,$K51-V51))</f>
        <v/>
      </c>
      <c r="X51" s="50">
        <f>IF(OR($K51="",$H51=""),"",MIN(MAX(0,IF($O51="WDV",W51*$P51*MAX(0,(IF($I51="",X$3,MIN($I51,X$3)))-(MAX($H51,(EDATE(X$3,-12)+1)))+1)/(X$3-(EDATE(X$3,-12)+1)+1),IF($N51=0,0,$Q51/$N51*MAX(0,(IF($I51="",X$3,MIN($I51,X$3)))-(MAX($H51,(EDATE(X$3,-12)+1)))+1)/(X$3-(EDATE(X$3,-12)+1)+1)))),MAX(0,W51-$M51)))</f>
        <v/>
      </c>
      <c r="Y51" s="51">
        <f>IF($K51="","",IF(AND($I51&lt;&gt;"",$I51&lt;=X$3),0,W51-X51))</f>
        <v/>
      </c>
      <c r="Z51" s="50">
        <f>IF(OR($K51="",$H51=""),"",MIN(MAX(0,IF($O51="WDV",Y51*$P51*MAX(0,(IF($I51="",Z$3,MIN($I51,Z$3)))-(MAX($H51,(EDATE(Z$3,-12)+1)))+1)/(Z$3-(EDATE(Z$3,-12)+1)+1),IF($N51=0,0,$Q51/$N51*MAX(0,(IF($I51="",Z$3,MIN($I51,Z$3)))-(MAX($H51,(EDATE(Z$3,-12)+1)))+1)/(Z$3-(EDATE(Z$3,-12)+1)+1)))),MAX(0,Y51-$M51)))</f>
        <v/>
      </c>
      <c r="AA51" s="51">
        <f>IF($K51="","",IF(AND($I51&lt;&gt;"",$I51&lt;=Z$3),0,Y51-Z51))</f>
        <v/>
      </c>
      <c r="AB51" s="50">
        <f>IF(OR($K51="",$H51=""),"",MIN(MAX(0,IF($O51="WDV",AA51*$P51*MAX(0,(IF($I51="",AB$3,MIN($I51,AB$3)))-(MAX($H51,(EDATE(AB$3,-12)+1)))+1)/(AB$3-(EDATE(AB$3,-12)+1)+1),IF($N51=0,0,$Q51/$N51*MAX(0,(IF($I51="",AB$3,MIN($I51,AB$3)))-(MAX($H51,(EDATE(AB$3,-12)+1)))+1)/(AB$3-(EDATE(AB$3,-12)+1)+1)))),MAX(0,AA51-$M51)))</f>
        <v/>
      </c>
      <c r="AC51" s="51">
        <f>IF($K51="","",IF(AND($I51&lt;&gt;"",$I51&lt;=AB$3),0,AA51-AB51))</f>
        <v/>
      </c>
      <c r="AD51" s="50">
        <f>IF(OR($K51="",$H51=""),"",MIN(MAX(0,IF($O51="WDV",AC51*$P51*MAX(0,(IF($I51="",AD$3,MIN($I51,AD$3)))-(MAX($H51,(EDATE(AD$3,-12)+1)))+1)/(AD$3-(EDATE(AD$3,-12)+1)+1),IF($N51=0,0,$Q51/$N51*MAX(0,(IF($I51="",AD$3,MIN($I51,AD$3)))-(MAX($H51,(EDATE(AD$3,-12)+1)))+1)/(AD$3-(EDATE(AD$3,-12)+1)+1)))),MAX(0,AC51-$M51)))</f>
        <v/>
      </c>
      <c r="AE51" s="51">
        <f>IF($K51="","",IF(AND($I51&lt;&gt;"",$I51&lt;=AD$3),0,AC51-AD51))</f>
        <v/>
      </c>
      <c r="AF51" s="50">
        <f>IF(OR($K51="",$H51=""),"",MIN(MAX(0,IF($O51="WDV",AE51*$P51*MAX(0,(IF($I51="",AF$3,MIN($I51,AF$3)))-(MAX($H51,(EDATE(AF$3,-12)+1)))+1)/(AF$3-(EDATE(AF$3,-12)+1)+1),IF($N51=0,0,$Q51/$N51*MAX(0,(IF($I51="",AF$3,MIN($I51,AF$3)))-(MAX($H51,(EDATE(AF$3,-12)+1)))+1)/(AF$3-(EDATE(AF$3,-12)+1)+1)))),MAX(0,AE51-$M51)))</f>
        <v/>
      </c>
      <c r="AG51" s="51">
        <f>IF($K51="","",IF(AND($I51&lt;&gt;"",$I51&lt;=AF$3),0,AE51-AF51))</f>
        <v/>
      </c>
      <c r="AH51" s="50">
        <f>IF(OR($K51="",$H51=""),"",MIN(MAX(0,IF($O51="WDV",AG51*$P51*MAX(0,(IF($I51="",AH$3,MIN($I51,AH$3)))-(MAX($H51,(EDATE(AH$3,-12)+1)))+1)/(AH$3-(EDATE(AH$3,-12)+1)+1),IF($N51=0,0,$Q51/$N51*MAX(0,(IF($I51="",AH$3,MIN($I51,AH$3)))-(MAX($H51,(EDATE(AH$3,-12)+1)))+1)/(AH$3-(EDATE(AH$3,-12)+1)+1)))),MAX(0,AG51-$M51)))</f>
        <v/>
      </c>
      <c r="AI51" s="51">
        <f>IF($K51="","",IF(AND($I51&lt;&gt;"",$I51&lt;=AH$3),0,AG51-AH51))</f>
        <v/>
      </c>
      <c r="AJ51" s="50">
        <f>IF(OR($K51="",$H51=""),"",MIN(MAX(0,IF($O51="WDV",AI51*$P51*MAX(0,(IF($I51="",AJ$3,MIN($I51,AJ$3)))-(MAX($H51,(EDATE(AJ$3,-12)+1)))+1)/(AJ$3-(EDATE(AJ$3,-12)+1)+1),IF($N51=0,0,$Q51/$N51*MAX(0,(IF($I51="",AJ$3,MIN($I51,AJ$3)))-(MAX($H51,(EDATE(AJ$3,-12)+1)))+1)/(AJ$3-(EDATE(AJ$3,-12)+1)+1)))),MAX(0,AI51-$M51)))</f>
        <v/>
      </c>
      <c r="AK51" s="51">
        <f>IF($K51="","",IF(AND($I51&lt;&gt;"",$I51&lt;=AJ$3),0,AI51-AJ51))</f>
        <v/>
      </c>
      <c r="AL51" s="50">
        <f>IF(OR($K51="",$H51=""),"",MIN(MAX(0,IF($O51="WDV",AK51*$P51*MAX(0,(IF($I51="",AL$3,MIN($I51,AL$3)))-(MAX($H51,(EDATE(AL$3,-12)+1)))+1)/(AL$3-(EDATE(AL$3,-12)+1)+1),IF($N51=0,0,$Q51/$N51*MAX(0,(IF($I51="",AL$3,MIN($I51,AL$3)))-(MAX($H51,(EDATE(AL$3,-12)+1)))+1)/(AL$3-(EDATE(AL$3,-12)+1)+1)))),MAX(0,AK51-$M51)))</f>
        <v/>
      </c>
      <c r="AM51" s="51">
        <f>IF($K51="","",IF(AND($I51&lt;&gt;"",$I51&lt;=AL$3),0,AK51-AL51))</f>
        <v/>
      </c>
      <c r="AN51" s="50">
        <f>IF(OR($K51="",$H51=""),"",MIN(MAX(0,IF($O51="WDV",AM51*$P51*MAX(0,(IF($I51="",AN$3,MIN($I51,AN$3)))-(MAX($H51,(EDATE(AN$3,-12)+1)))+1)/(AN$3-(EDATE(AN$3,-12)+1)+1),IF($N51=0,0,$Q51/$N51*MAX(0,(IF($I51="",AN$3,MIN($I51,AN$3)))-(MAX($H51,(EDATE(AN$3,-12)+1)))+1)/(AN$3-(EDATE(AN$3,-12)+1)+1)))),MAX(0,AM51-$M51)))</f>
        <v/>
      </c>
      <c r="AO51" s="51">
        <f>IF($K51="","",IF(AND($I51&lt;&gt;"",$I51&lt;=AN$3),0,AM51-AN51))</f>
        <v/>
      </c>
      <c r="AP51" s="50">
        <f>IF(OR($K51="",$H51=""),"",MIN(MAX(0,IF($O51="WDV",AO51*$P51*MAX(0,(IF($I51="",AP$3,MIN($I51,AP$3)))-(MAX($H51,(EDATE(AP$3,-12)+1)))+1)/(AP$3-(EDATE(AP$3,-12)+1)+1),IF($N51=0,0,$Q51/$N51*MAX(0,(IF($I51="",AP$3,MIN($I51,AP$3)))-(MAX($H51,(EDATE(AP$3,-12)+1)))+1)/(AP$3-(EDATE(AP$3,-12)+1)+1)))),MAX(0,AO51-$M51)))</f>
        <v/>
      </c>
      <c r="AQ51" s="51">
        <f>IF($K51="","",IF(AND($I51&lt;&gt;"",$I51&lt;=AP$3),0,AO51-AP51))</f>
        <v/>
      </c>
      <c r="AR51" s="50">
        <f>IF(OR($K51="",$H51=""),"",MIN(MAX(0,IF($O51="WDV",AQ51*$P51*MAX(0,(IF($I51="",AR$3,MIN($I51,AR$3)))-(MAX($H51,(EDATE(AR$3,-12)+1)))+1)/(AR$3-(EDATE(AR$3,-12)+1)+1),IF($N51=0,0,$Q51/$N51*MAX(0,(IF($I51="",AR$3,MIN($I51,AR$3)))-(MAX($H51,(EDATE(AR$3,-12)+1)))+1)/(AR$3-(EDATE(AR$3,-12)+1)+1)))),MAX(0,AQ51-$M51)))</f>
        <v/>
      </c>
      <c r="AS51" s="51">
        <f>IF($K51="","",IF(AND($I51&lt;&gt;"",$I51&lt;=AR$3),0,AQ51-AR51))</f>
        <v/>
      </c>
      <c r="AT51" s="50">
        <f>IF(OR($K51="",$H51=""),"",MIN(MAX(0,IF($O51="WDV",AS51*$P51*MAX(0,(IF($I51="",AT$3,MIN($I51,AT$3)))-(MAX($H51,(EDATE(AT$3,-12)+1)))+1)/(AT$3-(EDATE(AT$3,-12)+1)+1),IF($N51=0,0,$Q51/$N51*MAX(0,(IF($I51="",AT$3,MIN($I51,AT$3)))-(MAX($H51,(EDATE(AT$3,-12)+1)))+1)/(AT$3-(EDATE(AT$3,-12)+1)+1)))),MAX(0,AS51-$M51)))</f>
        <v/>
      </c>
      <c r="AU51" s="51">
        <f>IF($K51="","",IF(AND($I51&lt;&gt;"",$I51&lt;=AT$3),0,AS51-AT51))</f>
        <v/>
      </c>
      <c r="AV51" s="50">
        <f>IF(OR($K51="",$H51=""),"",MIN(MAX(0,IF($O51="WDV",AU51*$P51*MAX(0,(IF($I51="",AV$3,MIN($I51,AV$3)))-(MAX($H51,(EDATE(AV$3,-12)+1)))+1)/(AV$3-(EDATE(AV$3,-12)+1)+1),IF($N51=0,0,$Q51/$N51*MAX(0,(IF($I51="",AV$3,MIN($I51,AV$3)))-(MAX($H51,(EDATE(AV$3,-12)+1)))+1)/(AV$3-(EDATE(AV$3,-12)+1)+1)))),MAX(0,AU51-$M51)))</f>
        <v/>
      </c>
      <c r="AW51" s="51">
        <f>IF($K51="","",IF(AND($I51&lt;&gt;"",$I51&lt;=AV$3),0,AU51-AV51))</f>
        <v/>
      </c>
      <c r="AX51" s="50">
        <f>IF(OR($K51="",$H51=""),"",MIN(MAX(0,IF($O51="WDV",AW51*$P51*MAX(0,(IF($I51="",AX$3,MIN($I51,AX$3)))-(MAX($H51,(EDATE(AX$3,-12)+1)))+1)/(AX$3-(EDATE(AX$3,-12)+1)+1),IF($N51=0,0,$Q51/$N51*MAX(0,(IF($I51="",AX$3,MIN($I51,AX$3)))-(MAX($H51,(EDATE(AX$3,-12)+1)))+1)/(AX$3-(EDATE(AX$3,-12)+1)+1)))),MAX(0,AW51-$M51)))</f>
        <v/>
      </c>
      <c r="AY51" s="51">
        <f>IF($K51="","",IF(AND($I51&lt;&gt;"",$I51&lt;=AX$3),0,AW51-AX51))</f>
        <v/>
      </c>
      <c r="AZ51" s="50">
        <f>IF(OR($K51="",$H51=""),"",MIN(MAX(0,IF($O51="WDV",AY51*$P51*MAX(0,(IF($I51="",AZ$3,MIN($I51,AZ$3)))-(MAX($H51,(EDATE(AZ$3,-12)+1)))+1)/(AZ$3-(EDATE(AZ$3,-12)+1)+1),IF($N51=0,0,$Q51/$N51*MAX(0,(IF($I51="",AZ$3,MIN($I51,AZ$3)))-(MAX($H51,(EDATE(AZ$3,-12)+1)))+1)/(AZ$3-(EDATE(AZ$3,-12)+1)+1)))),MAX(0,AY51-$M51)))</f>
        <v/>
      </c>
      <c r="BA51" s="51">
        <f>IF($K51="","",IF(AND($I51&lt;&gt;"",$I51&lt;=AZ$3),0,AY51-AZ51))</f>
        <v/>
      </c>
    </row>
    <row r="52">
      <c r="A52" s="52" t="n"/>
      <c r="B52" s="53" t="n"/>
      <c r="C52" s="53" t="n"/>
      <c r="D52" s="53" t="n"/>
      <c r="E52" s="19" t="n"/>
      <c r="F52" s="54" t="n"/>
      <c r="G52" s="55" t="n"/>
      <c r="H52" s="55" t="n"/>
      <c r="I52" s="56" t="n"/>
      <c r="J52" s="57" t="n"/>
      <c r="K52" s="58" t="n"/>
      <c r="L52" s="59">
        <f>DefaultResidual</f>
        <v/>
      </c>
      <c r="M52" s="60">
        <f>IF($K52="","",$K52*$L52)</f>
        <v/>
      </c>
      <c r="N52" s="20">
        <f>IF($C52="","",IFERROR(VLOOKUP($C52,ScheduleIITable,3,FALSE),"#N/A"))</f>
        <v/>
      </c>
      <c r="O52" s="61">
        <f>IF($K52="","",GlobalMethod)</f>
        <v/>
      </c>
      <c r="P52" s="21">
        <f>IF(OR($K52="",$N52="",$N52=0,$M52=0),0,1-($M52/$K52)^(1/$N52))</f>
        <v/>
      </c>
      <c r="Q52" s="60">
        <f>IF($K52="","",$K52-$M52)</f>
        <v/>
      </c>
      <c r="R52" s="62">
        <f>IF($K52="","",INDEX($V52:$BA52,1,MATCH(ReportingFYEnd,$V$3:$BA$3,0)))</f>
        <v/>
      </c>
      <c r="S52" s="60">
        <f>IF($K52="","",IF($U52="Disposed",0,$K52-$T52))</f>
        <v/>
      </c>
      <c r="T52" s="63">
        <f>IF($K52="","",INDEX($V52:$BA52,1,MATCH(ReportingFYEnd,$V$3:$BA$3,0)+1))</f>
        <v/>
      </c>
      <c r="U52" s="64">
        <f>IF($K52="","",IF(AND($I52&lt;&gt;"",$I52&lt;=ReportingFYEnd),"Disposed",IF(OR($H52="",$H52&gt;ReportingFYEnd),"Not Yet in Use","Active")))</f>
        <v/>
      </c>
      <c r="V52" s="65">
        <f>IF(OR($K52="",$H52=""),"",MIN(MAX(0,IF($O52="WDV",$K52*$P52*MAX(0,(IF($I52="",V$3,MIN($I52,V$3)))-(MAX($H52,(EDATE(V$3,-12)+1)))+1)/(V$3-(EDATE(V$3,-12)+1)+1),IF($N52=0,0,$Q52/$N52*MAX(0,(IF($I52="",V$3,MIN($I52,V$3)))-(MAX($H52,(EDATE(V$3,-12)+1)))+1)/(V$3-(EDATE(V$3,-12)+1)+1)))),MAX(0,$K52-$M52)))</f>
        <v/>
      </c>
      <c r="W52" s="65">
        <f>IF($K52="","",IF(AND($I52&lt;&gt;"",$I52&lt;=V$3),0,$K52-V52))</f>
        <v/>
      </c>
      <c r="X52" s="65">
        <f>IF(OR($K52="",$H52=""),"",MIN(MAX(0,IF($O52="WDV",W52*$P52*MAX(0,(IF($I52="",X$3,MIN($I52,X$3)))-(MAX($H52,(EDATE(X$3,-12)+1)))+1)/(X$3-(EDATE(X$3,-12)+1)+1),IF($N52=0,0,$Q52/$N52*MAX(0,(IF($I52="",X$3,MIN($I52,X$3)))-(MAX($H52,(EDATE(X$3,-12)+1)))+1)/(X$3-(EDATE(X$3,-12)+1)+1)))),MAX(0,W52-$M52)))</f>
        <v/>
      </c>
      <c r="Y52" s="65">
        <f>IF($K52="","",IF(AND($I52&lt;&gt;"",$I52&lt;=X$3),0,W52-X52))</f>
        <v/>
      </c>
      <c r="Z52" s="65">
        <f>IF(OR($K52="",$H52=""),"",MIN(MAX(0,IF($O52="WDV",Y52*$P52*MAX(0,(IF($I52="",Z$3,MIN($I52,Z$3)))-(MAX($H52,(EDATE(Z$3,-12)+1)))+1)/(Z$3-(EDATE(Z$3,-12)+1)+1),IF($N52=0,0,$Q52/$N52*MAX(0,(IF($I52="",Z$3,MIN($I52,Z$3)))-(MAX($H52,(EDATE(Z$3,-12)+1)))+1)/(Z$3-(EDATE(Z$3,-12)+1)+1)))),MAX(0,Y52-$M52)))</f>
        <v/>
      </c>
      <c r="AA52" s="65">
        <f>IF($K52="","",IF(AND($I52&lt;&gt;"",$I52&lt;=Z$3),0,Y52-Z52))</f>
        <v/>
      </c>
      <c r="AB52" s="65">
        <f>IF(OR($K52="",$H52=""),"",MIN(MAX(0,IF($O52="WDV",AA52*$P52*MAX(0,(IF($I52="",AB$3,MIN($I52,AB$3)))-(MAX($H52,(EDATE(AB$3,-12)+1)))+1)/(AB$3-(EDATE(AB$3,-12)+1)+1),IF($N52=0,0,$Q52/$N52*MAX(0,(IF($I52="",AB$3,MIN($I52,AB$3)))-(MAX($H52,(EDATE(AB$3,-12)+1)))+1)/(AB$3-(EDATE(AB$3,-12)+1)+1)))),MAX(0,AA52-$M52)))</f>
        <v/>
      </c>
      <c r="AC52" s="65">
        <f>IF($K52="","",IF(AND($I52&lt;&gt;"",$I52&lt;=AB$3),0,AA52-AB52))</f>
        <v/>
      </c>
      <c r="AD52" s="65">
        <f>IF(OR($K52="",$H52=""),"",MIN(MAX(0,IF($O52="WDV",AC52*$P52*MAX(0,(IF($I52="",AD$3,MIN($I52,AD$3)))-(MAX($H52,(EDATE(AD$3,-12)+1)))+1)/(AD$3-(EDATE(AD$3,-12)+1)+1),IF($N52=0,0,$Q52/$N52*MAX(0,(IF($I52="",AD$3,MIN($I52,AD$3)))-(MAX($H52,(EDATE(AD$3,-12)+1)))+1)/(AD$3-(EDATE(AD$3,-12)+1)+1)))),MAX(0,AC52-$M52)))</f>
        <v/>
      </c>
      <c r="AE52" s="65">
        <f>IF($K52="","",IF(AND($I52&lt;&gt;"",$I52&lt;=AD$3),0,AC52-AD52))</f>
        <v/>
      </c>
      <c r="AF52" s="65">
        <f>IF(OR($K52="",$H52=""),"",MIN(MAX(0,IF($O52="WDV",AE52*$P52*MAX(0,(IF($I52="",AF$3,MIN($I52,AF$3)))-(MAX($H52,(EDATE(AF$3,-12)+1)))+1)/(AF$3-(EDATE(AF$3,-12)+1)+1),IF($N52=0,0,$Q52/$N52*MAX(0,(IF($I52="",AF$3,MIN($I52,AF$3)))-(MAX($H52,(EDATE(AF$3,-12)+1)))+1)/(AF$3-(EDATE(AF$3,-12)+1)+1)))),MAX(0,AE52-$M52)))</f>
        <v/>
      </c>
      <c r="AG52" s="65">
        <f>IF($K52="","",IF(AND($I52&lt;&gt;"",$I52&lt;=AF$3),0,AE52-AF52))</f>
        <v/>
      </c>
      <c r="AH52" s="65">
        <f>IF(OR($K52="",$H52=""),"",MIN(MAX(0,IF($O52="WDV",AG52*$P52*MAX(0,(IF($I52="",AH$3,MIN($I52,AH$3)))-(MAX($H52,(EDATE(AH$3,-12)+1)))+1)/(AH$3-(EDATE(AH$3,-12)+1)+1),IF($N52=0,0,$Q52/$N52*MAX(0,(IF($I52="",AH$3,MIN($I52,AH$3)))-(MAX($H52,(EDATE(AH$3,-12)+1)))+1)/(AH$3-(EDATE(AH$3,-12)+1)+1)))),MAX(0,AG52-$M52)))</f>
        <v/>
      </c>
      <c r="AI52" s="65">
        <f>IF($K52="","",IF(AND($I52&lt;&gt;"",$I52&lt;=AH$3),0,AG52-AH52))</f>
        <v/>
      </c>
      <c r="AJ52" s="65">
        <f>IF(OR($K52="",$H52=""),"",MIN(MAX(0,IF($O52="WDV",AI52*$P52*MAX(0,(IF($I52="",AJ$3,MIN($I52,AJ$3)))-(MAX($H52,(EDATE(AJ$3,-12)+1)))+1)/(AJ$3-(EDATE(AJ$3,-12)+1)+1),IF($N52=0,0,$Q52/$N52*MAX(0,(IF($I52="",AJ$3,MIN($I52,AJ$3)))-(MAX($H52,(EDATE(AJ$3,-12)+1)))+1)/(AJ$3-(EDATE(AJ$3,-12)+1)+1)))),MAX(0,AI52-$M52)))</f>
        <v/>
      </c>
      <c r="AK52" s="65">
        <f>IF($K52="","",IF(AND($I52&lt;&gt;"",$I52&lt;=AJ$3),0,AI52-AJ52))</f>
        <v/>
      </c>
      <c r="AL52" s="65">
        <f>IF(OR($K52="",$H52=""),"",MIN(MAX(0,IF($O52="WDV",AK52*$P52*MAX(0,(IF($I52="",AL$3,MIN($I52,AL$3)))-(MAX($H52,(EDATE(AL$3,-12)+1)))+1)/(AL$3-(EDATE(AL$3,-12)+1)+1),IF($N52=0,0,$Q52/$N52*MAX(0,(IF($I52="",AL$3,MIN($I52,AL$3)))-(MAX($H52,(EDATE(AL$3,-12)+1)))+1)/(AL$3-(EDATE(AL$3,-12)+1)+1)))),MAX(0,AK52-$M52)))</f>
        <v/>
      </c>
      <c r="AM52" s="65">
        <f>IF($K52="","",IF(AND($I52&lt;&gt;"",$I52&lt;=AL$3),0,AK52-AL52))</f>
        <v/>
      </c>
      <c r="AN52" s="65">
        <f>IF(OR($K52="",$H52=""),"",MIN(MAX(0,IF($O52="WDV",AM52*$P52*MAX(0,(IF($I52="",AN$3,MIN($I52,AN$3)))-(MAX($H52,(EDATE(AN$3,-12)+1)))+1)/(AN$3-(EDATE(AN$3,-12)+1)+1),IF($N52=0,0,$Q52/$N52*MAX(0,(IF($I52="",AN$3,MIN($I52,AN$3)))-(MAX($H52,(EDATE(AN$3,-12)+1)))+1)/(AN$3-(EDATE(AN$3,-12)+1)+1)))),MAX(0,AM52-$M52)))</f>
        <v/>
      </c>
      <c r="AO52" s="65">
        <f>IF($K52="","",IF(AND($I52&lt;&gt;"",$I52&lt;=AN$3),0,AM52-AN52))</f>
        <v/>
      </c>
      <c r="AP52" s="65">
        <f>IF(OR($K52="",$H52=""),"",MIN(MAX(0,IF($O52="WDV",AO52*$P52*MAX(0,(IF($I52="",AP$3,MIN($I52,AP$3)))-(MAX($H52,(EDATE(AP$3,-12)+1)))+1)/(AP$3-(EDATE(AP$3,-12)+1)+1),IF($N52=0,0,$Q52/$N52*MAX(0,(IF($I52="",AP$3,MIN($I52,AP$3)))-(MAX($H52,(EDATE(AP$3,-12)+1)))+1)/(AP$3-(EDATE(AP$3,-12)+1)+1)))),MAX(0,AO52-$M52)))</f>
        <v/>
      </c>
      <c r="AQ52" s="65">
        <f>IF($K52="","",IF(AND($I52&lt;&gt;"",$I52&lt;=AP$3),0,AO52-AP52))</f>
        <v/>
      </c>
      <c r="AR52" s="65">
        <f>IF(OR($K52="",$H52=""),"",MIN(MAX(0,IF($O52="WDV",AQ52*$P52*MAX(0,(IF($I52="",AR$3,MIN($I52,AR$3)))-(MAX($H52,(EDATE(AR$3,-12)+1)))+1)/(AR$3-(EDATE(AR$3,-12)+1)+1),IF($N52=0,0,$Q52/$N52*MAX(0,(IF($I52="",AR$3,MIN($I52,AR$3)))-(MAX($H52,(EDATE(AR$3,-12)+1)))+1)/(AR$3-(EDATE(AR$3,-12)+1)+1)))),MAX(0,AQ52-$M52)))</f>
        <v/>
      </c>
      <c r="AS52" s="65">
        <f>IF($K52="","",IF(AND($I52&lt;&gt;"",$I52&lt;=AR$3),0,AQ52-AR52))</f>
        <v/>
      </c>
      <c r="AT52" s="65">
        <f>IF(OR($K52="",$H52=""),"",MIN(MAX(0,IF($O52="WDV",AS52*$P52*MAX(0,(IF($I52="",AT$3,MIN($I52,AT$3)))-(MAX($H52,(EDATE(AT$3,-12)+1)))+1)/(AT$3-(EDATE(AT$3,-12)+1)+1),IF($N52=0,0,$Q52/$N52*MAX(0,(IF($I52="",AT$3,MIN($I52,AT$3)))-(MAX($H52,(EDATE(AT$3,-12)+1)))+1)/(AT$3-(EDATE(AT$3,-12)+1)+1)))),MAX(0,AS52-$M52)))</f>
        <v/>
      </c>
      <c r="AU52" s="65">
        <f>IF($K52="","",IF(AND($I52&lt;&gt;"",$I52&lt;=AT$3),0,AS52-AT52))</f>
        <v/>
      </c>
      <c r="AV52" s="65">
        <f>IF(OR($K52="",$H52=""),"",MIN(MAX(0,IF($O52="WDV",AU52*$P52*MAX(0,(IF($I52="",AV$3,MIN($I52,AV$3)))-(MAX($H52,(EDATE(AV$3,-12)+1)))+1)/(AV$3-(EDATE(AV$3,-12)+1)+1),IF($N52=0,0,$Q52/$N52*MAX(0,(IF($I52="",AV$3,MIN($I52,AV$3)))-(MAX($H52,(EDATE(AV$3,-12)+1)))+1)/(AV$3-(EDATE(AV$3,-12)+1)+1)))),MAX(0,AU52-$M52)))</f>
        <v/>
      </c>
      <c r="AW52" s="65">
        <f>IF($K52="","",IF(AND($I52&lt;&gt;"",$I52&lt;=AV$3),0,AU52-AV52))</f>
        <v/>
      </c>
      <c r="AX52" s="65">
        <f>IF(OR($K52="",$H52=""),"",MIN(MAX(0,IF($O52="WDV",AW52*$P52*MAX(0,(IF($I52="",AX$3,MIN($I52,AX$3)))-(MAX($H52,(EDATE(AX$3,-12)+1)))+1)/(AX$3-(EDATE(AX$3,-12)+1)+1),IF($N52=0,0,$Q52/$N52*MAX(0,(IF($I52="",AX$3,MIN($I52,AX$3)))-(MAX($H52,(EDATE(AX$3,-12)+1)))+1)/(AX$3-(EDATE(AX$3,-12)+1)+1)))),MAX(0,AW52-$M52)))</f>
        <v/>
      </c>
      <c r="AY52" s="65">
        <f>IF($K52="","",IF(AND($I52&lt;&gt;"",$I52&lt;=AX$3),0,AW52-AX52))</f>
        <v/>
      </c>
      <c r="AZ52" s="65">
        <f>IF(OR($K52="",$H52=""),"",MIN(MAX(0,IF($O52="WDV",AY52*$P52*MAX(0,(IF($I52="",AZ$3,MIN($I52,AZ$3)))-(MAX($H52,(EDATE(AZ$3,-12)+1)))+1)/(AZ$3-(EDATE(AZ$3,-12)+1)+1),IF($N52=0,0,$Q52/$N52*MAX(0,(IF($I52="",AZ$3,MIN($I52,AZ$3)))-(MAX($H52,(EDATE(AZ$3,-12)+1)))+1)/(AZ$3-(EDATE(AZ$3,-12)+1)+1)))),MAX(0,AY52-$M52)))</f>
        <v/>
      </c>
      <c r="BA52" s="65">
        <f>IF($K52="","",IF(AND($I52&lt;&gt;"",$I52&lt;=AZ$3),0,AY52-AZ52))</f>
        <v/>
      </c>
    </row>
    <row r="53">
      <c r="A53" s="34" t="n"/>
      <c r="B53" s="35" t="n"/>
      <c r="C53" s="35" t="n"/>
      <c r="D53" s="35" t="n"/>
      <c r="E53" s="36" t="n"/>
      <c r="F53" s="37" t="n"/>
      <c r="G53" s="38" t="n"/>
      <c r="H53" s="38" t="n"/>
      <c r="I53" s="39" t="n"/>
      <c r="J53" s="40" t="n"/>
      <c r="K53" s="41" t="n"/>
      <c r="L53" s="42">
        <f>DefaultResidual</f>
        <v/>
      </c>
      <c r="M53" s="43">
        <f>IF($K53="","",$K53*$L53)</f>
        <v/>
      </c>
      <c r="N53" s="44">
        <f>IF($C53="","",IFERROR(VLOOKUP($C53,ScheduleIITable,3,FALSE),"#N/A"))</f>
        <v/>
      </c>
      <c r="O53" s="45">
        <f>IF($K53="","",GlobalMethod)</f>
        <v/>
      </c>
      <c r="P53" s="46">
        <f>IF(OR($K53="",$N53="",$N53=0,$M53=0),0,1-($M53/$K53)^(1/$N53))</f>
        <v/>
      </c>
      <c r="Q53" s="43">
        <f>IF($K53="","",$K53-$M53)</f>
        <v/>
      </c>
      <c r="R53" s="47">
        <f>IF($K53="","",INDEX($V53:$BA53,1,MATCH(ReportingFYEnd,$V$3:$BA$3,0)))</f>
        <v/>
      </c>
      <c r="S53" s="43">
        <f>IF($K53="","",IF($U53="Disposed",0,$K53-$T53))</f>
        <v/>
      </c>
      <c r="T53" s="48">
        <f>IF($K53="","",INDEX($V53:$BA53,1,MATCH(ReportingFYEnd,$V$3:$BA$3,0)+1))</f>
        <v/>
      </c>
      <c r="U53" s="49">
        <f>IF($K53="","",IF(AND($I53&lt;&gt;"",$I53&lt;=ReportingFYEnd),"Disposed",IF(OR($H53="",$H53&gt;ReportingFYEnd),"Not Yet in Use","Active")))</f>
        <v/>
      </c>
      <c r="V53" s="50">
        <f>IF(OR($K53="",$H53=""),"",MIN(MAX(0,IF($O53="WDV",$K53*$P53*MAX(0,(IF($I53="",V$3,MIN($I53,V$3)))-(MAX($H53,(EDATE(V$3,-12)+1)))+1)/(V$3-(EDATE(V$3,-12)+1)+1),IF($N53=0,0,$Q53/$N53*MAX(0,(IF($I53="",V$3,MIN($I53,V$3)))-(MAX($H53,(EDATE(V$3,-12)+1)))+1)/(V$3-(EDATE(V$3,-12)+1)+1)))),MAX(0,$K53-$M53)))</f>
        <v/>
      </c>
      <c r="W53" s="51">
        <f>IF($K53="","",IF(AND($I53&lt;&gt;"",$I53&lt;=V$3),0,$K53-V53))</f>
        <v/>
      </c>
      <c r="X53" s="50">
        <f>IF(OR($K53="",$H53=""),"",MIN(MAX(0,IF($O53="WDV",W53*$P53*MAX(0,(IF($I53="",X$3,MIN($I53,X$3)))-(MAX($H53,(EDATE(X$3,-12)+1)))+1)/(X$3-(EDATE(X$3,-12)+1)+1),IF($N53=0,0,$Q53/$N53*MAX(0,(IF($I53="",X$3,MIN($I53,X$3)))-(MAX($H53,(EDATE(X$3,-12)+1)))+1)/(X$3-(EDATE(X$3,-12)+1)+1)))),MAX(0,W53-$M53)))</f>
        <v/>
      </c>
      <c r="Y53" s="51">
        <f>IF($K53="","",IF(AND($I53&lt;&gt;"",$I53&lt;=X$3),0,W53-X53))</f>
        <v/>
      </c>
      <c r="Z53" s="50">
        <f>IF(OR($K53="",$H53=""),"",MIN(MAX(0,IF($O53="WDV",Y53*$P53*MAX(0,(IF($I53="",Z$3,MIN($I53,Z$3)))-(MAX($H53,(EDATE(Z$3,-12)+1)))+1)/(Z$3-(EDATE(Z$3,-12)+1)+1),IF($N53=0,0,$Q53/$N53*MAX(0,(IF($I53="",Z$3,MIN($I53,Z$3)))-(MAX($H53,(EDATE(Z$3,-12)+1)))+1)/(Z$3-(EDATE(Z$3,-12)+1)+1)))),MAX(0,Y53-$M53)))</f>
        <v/>
      </c>
      <c r="AA53" s="51">
        <f>IF($K53="","",IF(AND($I53&lt;&gt;"",$I53&lt;=Z$3),0,Y53-Z53))</f>
        <v/>
      </c>
      <c r="AB53" s="50">
        <f>IF(OR($K53="",$H53=""),"",MIN(MAX(0,IF($O53="WDV",AA53*$P53*MAX(0,(IF($I53="",AB$3,MIN($I53,AB$3)))-(MAX($H53,(EDATE(AB$3,-12)+1)))+1)/(AB$3-(EDATE(AB$3,-12)+1)+1),IF($N53=0,0,$Q53/$N53*MAX(0,(IF($I53="",AB$3,MIN($I53,AB$3)))-(MAX($H53,(EDATE(AB$3,-12)+1)))+1)/(AB$3-(EDATE(AB$3,-12)+1)+1)))),MAX(0,AA53-$M53)))</f>
        <v/>
      </c>
      <c r="AC53" s="51">
        <f>IF($K53="","",IF(AND($I53&lt;&gt;"",$I53&lt;=AB$3),0,AA53-AB53))</f>
        <v/>
      </c>
      <c r="AD53" s="50">
        <f>IF(OR($K53="",$H53=""),"",MIN(MAX(0,IF($O53="WDV",AC53*$P53*MAX(0,(IF($I53="",AD$3,MIN($I53,AD$3)))-(MAX($H53,(EDATE(AD$3,-12)+1)))+1)/(AD$3-(EDATE(AD$3,-12)+1)+1),IF($N53=0,0,$Q53/$N53*MAX(0,(IF($I53="",AD$3,MIN($I53,AD$3)))-(MAX($H53,(EDATE(AD$3,-12)+1)))+1)/(AD$3-(EDATE(AD$3,-12)+1)+1)))),MAX(0,AC53-$M53)))</f>
        <v/>
      </c>
      <c r="AE53" s="51">
        <f>IF($K53="","",IF(AND($I53&lt;&gt;"",$I53&lt;=AD$3),0,AC53-AD53))</f>
        <v/>
      </c>
      <c r="AF53" s="50">
        <f>IF(OR($K53="",$H53=""),"",MIN(MAX(0,IF($O53="WDV",AE53*$P53*MAX(0,(IF($I53="",AF$3,MIN($I53,AF$3)))-(MAX($H53,(EDATE(AF$3,-12)+1)))+1)/(AF$3-(EDATE(AF$3,-12)+1)+1),IF($N53=0,0,$Q53/$N53*MAX(0,(IF($I53="",AF$3,MIN($I53,AF$3)))-(MAX($H53,(EDATE(AF$3,-12)+1)))+1)/(AF$3-(EDATE(AF$3,-12)+1)+1)))),MAX(0,AE53-$M53)))</f>
        <v/>
      </c>
      <c r="AG53" s="51">
        <f>IF($K53="","",IF(AND($I53&lt;&gt;"",$I53&lt;=AF$3),0,AE53-AF53))</f>
        <v/>
      </c>
      <c r="AH53" s="50">
        <f>IF(OR($K53="",$H53=""),"",MIN(MAX(0,IF($O53="WDV",AG53*$P53*MAX(0,(IF($I53="",AH$3,MIN($I53,AH$3)))-(MAX($H53,(EDATE(AH$3,-12)+1)))+1)/(AH$3-(EDATE(AH$3,-12)+1)+1),IF($N53=0,0,$Q53/$N53*MAX(0,(IF($I53="",AH$3,MIN($I53,AH$3)))-(MAX($H53,(EDATE(AH$3,-12)+1)))+1)/(AH$3-(EDATE(AH$3,-12)+1)+1)))),MAX(0,AG53-$M53)))</f>
        <v/>
      </c>
      <c r="AI53" s="51">
        <f>IF($K53="","",IF(AND($I53&lt;&gt;"",$I53&lt;=AH$3),0,AG53-AH53))</f>
        <v/>
      </c>
      <c r="AJ53" s="50">
        <f>IF(OR($K53="",$H53=""),"",MIN(MAX(0,IF($O53="WDV",AI53*$P53*MAX(0,(IF($I53="",AJ$3,MIN($I53,AJ$3)))-(MAX($H53,(EDATE(AJ$3,-12)+1)))+1)/(AJ$3-(EDATE(AJ$3,-12)+1)+1),IF($N53=0,0,$Q53/$N53*MAX(0,(IF($I53="",AJ$3,MIN($I53,AJ$3)))-(MAX($H53,(EDATE(AJ$3,-12)+1)))+1)/(AJ$3-(EDATE(AJ$3,-12)+1)+1)))),MAX(0,AI53-$M53)))</f>
        <v/>
      </c>
      <c r="AK53" s="51">
        <f>IF($K53="","",IF(AND($I53&lt;&gt;"",$I53&lt;=AJ$3),0,AI53-AJ53))</f>
        <v/>
      </c>
      <c r="AL53" s="50">
        <f>IF(OR($K53="",$H53=""),"",MIN(MAX(0,IF($O53="WDV",AK53*$P53*MAX(0,(IF($I53="",AL$3,MIN($I53,AL$3)))-(MAX($H53,(EDATE(AL$3,-12)+1)))+1)/(AL$3-(EDATE(AL$3,-12)+1)+1),IF($N53=0,0,$Q53/$N53*MAX(0,(IF($I53="",AL$3,MIN($I53,AL$3)))-(MAX($H53,(EDATE(AL$3,-12)+1)))+1)/(AL$3-(EDATE(AL$3,-12)+1)+1)))),MAX(0,AK53-$M53)))</f>
        <v/>
      </c>
      <c r="AM53" s="51">
        <f>IF($K53="","",IF(AND($I53&lt;&gt;"",$I53&lt;=AL$3),0,AK53-AL53))</f>
        <v/>
      </c>
      <c r="AN53" s="50">
        <f>IF(OR($K53="",$H53=""),"",MIN(MAX(0,IF($O53="WDV",AM53*$P53*MAX(0,(IF($I53="",AN$3,MIN($I53,AN$3)))-(MAX($H53,(EDATE(AN$3,-12)+1)))+1)/(AN$3-(EDATE(AN$3,-12)+1)+1),IF($N53=0,0,$Q53/$N53*MAX(0,(IF($I53="",AN$3,MIN($I53,AN$3)))-(MAX($H53,(EDATE(AN$3,-12)+1)))+1)/(AN$3-(EDATE(AN$3,-12)+1)+1)))),MAX(0,AM53-$M53)))</f>
        <v/>
      </c>
      <c r="AO53" s="51">
        <f>IF($K53="","",IF(AND($I53&lt;&gt;"",$I53&lt;=AN$3),0,AM53-AN53))</f>
        <v/>
      </c>
      <c r="AP53" s="50">
        <f>IF(OR($K53="",$H53=""),"",MIN(MAX(0,IF($O53="WDV",AO53*$P53*MAX(0,(IF($I53="",AP$3,MIN($I53,AP$3)))-(MAX($H53,(EDATE(AP$3,-12)+1)))+1)/(AP$3-(EDATE(AP$3,-12)+1)+1),IF($N53=0,0,$Q53/$N53*MAX(0,(IF($I53="",AP$3,MIN($I53,AP$3)))-(MAX($H53,(EDATE(AP$3,-12)+1)))+1)/(AP$3-(EDATE(AP$3,-12)+1)+1)))),MAX(0,AO53-$M53)))</f>
        <v/>
      </c>
      <c r="AQ53" s="51">
        <f>IF($K53="","",IF(AND($I53&lt;&gt;"",$I53&lt;=AP$3),0,AO53-AP53))</f>
        <v/>
      </c>
      <c r="AR53" s="50">
        <f>IF(OR($K53="",$H53=""),"",MIN(MAX(0,IF($O53="WDV",AQ53*$P53*MAX(0,(IF($I53="",AR$3,MIN($I53,AR$3)))-(MAX($H53,(EDATE(AR$3,-12)+1)))+1)/(AR$3-(EDATE(AR$3,-12)+1)+1),IF($N53=0,0,$Q53/$N53*MAX(0,(IF($I53="",AR$3,MIN($I53,AR$3)))-(MAX($H53,(EDATE(AR$3,-12)+1)))+1)/(AR$3-(EDATE(AR$3,-12)+1)+1)))),MAX(0,AQ53-$M53)))</f>
        <v/>
      </c>
      <c r="AS53" s="51">
        <f>IF($K53="","",IF(AND($I53&lt;&gt;"",$I53&lt;=AR$3),0,AQ53-AR53))</f>
        <v/>
      </c>
      <c r="AT53" s="50">
        <f>IF(OR($K53="",$H53=""),"",MIN(MAX(0,IF($O53="WDV",AS53*$P53*MAX(0,(IF($I53="",AT$3,MIN($I53,AT$3)))-(MAX($H53,(EDATE(AT$3,-12)+1)))+1)/(AT$3-(EDATE(AT$3,-12)+1)+1),IF($N53=0,0,$Q53/$N53*MAX(0,(IF($I53="",AT$3,MIN($I53,AT$3)))-(MAX($H53,(EDATE(AT$3,-12)+1)))+1)/(AT$3-(EDATE(AT$3,-12)+1)+1)))),MAX(0,AS53-$M53)))</f>
        <v/>
      </c>
      <c r="AU53" s="51">
        <f>IF($K53="","",IF(AND($I53&lt;&gt;"",$I53&lt;=AT$3),0,AS53-AT53))</f>
        <v/>
      </c>
      <c r="AV53" s="50">
        <f>IF(OR($K53="",$H53=""),"",MIN(MAX(0,IF($O53="WDV",AU53*$P53*MAX(0,(IF($I53="",AV$3,MIN($I53,AV$3)))-(MAX($H53,(EDATE(AV$3,-12)+1)))+1)/(AV$3-(EDATE(AV$3,-12)+1)+1),IF($N53=0,0,$Q53/$N53*MAX(0,(IF($I53="",AV$3,MIN($I53,AV$3)))-(MAX($H53,(EDATE(AV$3,-12)+1)))+1)/(AV$3-(EDATE(AV$3,-12)+1)+1)))),MAX(0,AU53-$M53)))</f>
        <v/>
      </c>
      <c r="AW53" s="51">
        <f>IF($K53="","",IF(AND($I53&lt;&gt;"",$I53&lt;=AV$3),0,AU53-AV53))</f>
        <v/>
      </c>
      <c r="AX53" s="50">
        <f>IF(OR($K53="",$H53=""),"",MIN(MAX(0,IF($O53="WDV",AW53*$P53*MAX(0,(IF($I53="",AX$3,MIN($I53,AX$3)))-(MAX($H53,(EDATE(AX$3,-12)+1)))+1)/(AX$3-(EDATE(AX$3,-12)+1)+1),IF($N53=0,0,$Q53/$N53*MAX(0,(IF($I53="",AX$3,MIN($I53,AX$3)))-(MAX($H53,(EDATE(AX$3,-12)+1)))+1)/(AX$3-(EDATE(AX$3,-12)+1)+1)))),MAX(0,AW53-$M53)))</f>
        <v/>
      </c>
      <c r="AY53" s="51">
        <f>IF($K53="","",IF(AND($I53&lt;&gt;"",$I53&lt;=AX$3),0,AW53-AX53))</f>
        <v/>
      </c>
      <c r="AZ53" s="50">
        <f>IF(OR($K53="",$H53=""),"",MIN(MAX(0,IF($O53="WDV",AY53*$P53*MAX(0,(IF($I53="",AZ$3,MIN($I53,AZ$3)))-(MAX($H53,(EDATE(AZ$3,-12)+1)))+1)/(AZ$3-(EDATE(AZ$3,-12)+1)+1),IF($N53=0,0,$Q53/$N53*MAX(0,(IF($I53="",AZ$3,MIN($I53,AZ$3)))-(MAX($H53,(EDATE(AZ$3,-12)+1)))+1)/(AZ$3-(EDATE(AZ$3,-12)+1)+1)))),MAX(0,AY53-$M53)))</f>
        <v/>
      </c>
      <c r="BA53" s="51">
        <f>IF($K53="","",IF(AND($I53&lt;&gt;"",$I53&lt;=AZ$3),0,AY53-AZ53))</f>
        <v/>
      </c>
    </row>
    <row r="54">
      <c r="A54" s="52" t="n"/>
      <c r="B54" s="53" t="n"/>
      <c r="C54" s="53" t="n"/>
      <c r="D54" s="53" t="n"/>
      <c r="E54" s="19" t="n"/>
      <c r="F54" s="54" t="n"/>
      <c r="G54" s="55" t="n"/>
      <c r="H54" s="55" t="n"/>
      <c r="I54" s="56" t="n"/>
      <c r="J54" s="57" t="n"/>
      <c r="K54" s="58" t="n"/>
      <c r="L54" s="59">
        <f>DefaultResidual</f>
        <v/>
      </c>
      <c r="M54" s="60">
        <f>IF($K54="","",$K54*$L54)</f>
        <v/>
      </c>
      <c r="N54" s="20">
        <f>IF($C54="","",IFERROR(VLOOKUP($C54,ScheduleIITable,3,FALSE),"#N/A"))</f>
        <v/>
      </c>
      <c r="O54" s="61">
        <f>IF($K54="","",GlobalMethod)</f>
        <v/>
      </c>
      <c r="P54" s="21">
        <f>IF(OR($K54="",$N54="",$N54=0,$M54=0),0,1-($M54/$K54)^(1/$N54))</f>
        <v/>
      </c>
      <c r="Q54" s="60">
        <f>IF($K54="","",$K54-$M54)</f>
        <v/>
      </c>
      <c r="R54" s="62">
        <f>IF($K54="","",INDEX($V54:$BA54,1,MATCH(ReportingFYEnd,$V$3:$BA$3,0)))</f>
        <v/>
      </c>
      <c r="S54" s="60">
        <f>IF($K54="","",IF($U54="Disposed",0,$K54-$T54))</f>
        <v/>
      </c>
      <c r="T54" s="63">
        <f>IF($K54="","",INDEX($V54:$BA54,1,MATCH(ReportingFYEnd,$V$3:$BA$3,0)+1))</f>
        <v/>
      </c>
      <c r="U54" s="64">
        <f>IF($K54="","",IF(AND($I54&lt;&gt;"",$I54&lt;=ReportingFYEnd),"Disposed",IF(OR($H54="",$H54&gt;ReportingFYEnd),"Not Yet in Use","Active")))</f>
        <v/>
      </c>
      <c r="V54" s="65">
        <f>IF(OR($K54="",$H54=""),"",MIN(MAX(0,IF($O54="WDV",$K54*$P54*MAX(0,(IF($I54="",V$3,MIN($I54,V$3)))-(MAX($H54,(EDATE(V$3,-12)+1)))+1)/(V$3-(EDATE(V$3,-12)+1)+1),IF($N54=0,0,$Q54/$N54*MAX(0,(IF($I54="",V$3,MIN($I54,V$3)))-(MAX($H54,(EDATE(V$3,-12)+1)))+1)/(V$3-(EDATE(V$3,-12)+1)+1)))),MAX(0,$K54-$M54)))</f>
        <v/>
      </c>
      <c r="W54" s="65">
        <f>IF($K54="","",IF(AND($I54&lt;&gt;"",$I54&lt;=V$3),0,$K54-V54))</f>
        <v/>
      </c>
      <c r="X54" s="65">
        <f>IF(OR($K54="",$H54=""),"",MIN(MAX(0,IF($O54="WDV",W54*$P54*MAX(0,(IF($I54="",X$3,MIN($I54,X$3)))-(MAX($H54,(EDATE(X$3,-12)+1)))+1)/(X$3-(EDATE(X$3,-12)+1)+1),IF($N54=0,0,$Q54/$N54*MAX(0,(IF($I54="",X$3,MIN($I54,X$3)))-(MAX($H54,(EDATE(X$3,-12)+1)))+1)/(X$3-(EDATE(X$3,-12)+1)+1)))),MAX(0,W54-$M54)))</f>
        <v/>
      </c>
      <c r="Y54" s="65">
        <f>IF($K54="","",IF(AND($I54&lt;&gt;"",$I54&lt;=X$3),0,W54-X54))</f>
        <v/>
      </c>
      <c r="Z54" s="65">
        <f>IF(OR($K54="",$H54=""),"",MIN(MAX(0,IF($O54="WDV",Y54*$P54*MAX(0,(IF($I54="",Z$3,MIN($I54,Z$3)))-(MAX($H54,(EDATE(Z$3,-12)+1)))+1)/(Z$3-(EDATE(Z$3,-12)+1)+1),IF($N54=0,0,$Q54/$N54*MAX(0,(IF($I54="",Z$3,MIN($I54,Z$3)))-(MAX($H54,(EDATE(Z$3,-12)+1)))+1)/(Z$3-(EDATE(Z$3,-12)+1)+1)))),MAX(0,Y54-$M54)))</f>
        <v/>
      </c>
      <c r="AA54" s="65">
        <f>IF($K54="","",IF(AND($I54&lt;&gt;"",$I54&lt;=Z$3),0,Y54-Z54))</f>
        <v/>
      </c>
      <c r="AB54" s="65">
        <f>IF(OR($K54="",$H54=""),"",MIN(MAX(0,IF($O54="WDV",AA54*$P54*MAX(0,(IF($I54="",AB$3,MIN($I54,AB$3)))-(MAX($H54,(EDATE(AB$3,-12)+1)))+1)/(AB$3-(EDATE(AB$3,-12)+1)+1),IF($N54=0,0,$Q54/$N54*MAX(0,(IF($I54="",AB$3,MIN($I54,AB$3)))-(MAX($H54,(EDATE(AB$3,-12)+1)))+1)/(AB$3-(EDATE(AB$3,-12)+1)+1)))),MAX(0,AA54-$M54)))</f>
        <v/>
      </c>
      <c r="AC54" s="65">
        <f>IF($K54="","",IF(AND($I54&lt;&gt;"",$I54&lt;=AB$3),0,AA54-AB54))</f>
        <v/>
      </c>
      <c r="AD54" s="65">
        <f>IF(OR($K54="",$H54=""),"",MIN(MAX(0,IF($O54="WDV",AC54*$P54*MAX(0,(IF($I54="",AD$3,MIN($I54,AD$3)))-(MAX($H54,(EDATE(AD$3,-12)+1)))+1)/(AD$3-(EDATE(AD$3,-12)+1)+1),IF($N54=0,0,$Q54/$N54*MAX(0,(IF($I54="",AD$3,MIN($I54,AD$3)))-(MAX($H54,(EDATE(AD$3,-12)+1)))+1)/(AD$3-(EDATE(AD$3,-12)+1)+1)))),MAX(0,AC54-$M54)))</f>
        <v/>
      </c>
      <c r="AE54" s="65">
        <f>IF($K54="","",IF(AND($I54&lt;&gt;"",$I54&lt;=AD$3),0,AC54-AD54))</f>
        <v/>
      </c>
      <c r="AF54" s="65">
        <f>IF(OR($K54="",$H54=""),"",MIN(MAX(0,IF($O54="WDV",AE54*$P54*MAX(0,(IF($I54="",AF$3,MIN($I54,AF$3)))-(MAX($H54,(EDATE(AF$3,-12)+1)))+1)/(AF$3-(EDATE(AF$3,-12)+1)+1),IF($N54=0,0,$Q54/$N54*MAX(0,(IF($I54="",AF$3,MIN($I54,AF$3)))-(MAX($H54,(EDATE(AF$3,-12)+1)))+1)/(AF$3-(EDATE(AF$3,-12)+1)+1)))),MAX(0,AE54-$M54)))</f>
        <v/>
      </c>
      <c r="AG54" s="65">
        <f>IF($K54="","",IF(AND($I54&lt;&gt;"",$I54&lt;=AF$3),0,AE54-AF54))</f>
        <v/>
      </c>
      <c r="AH54" s="65">
        <f>IF(OR($K54="",$H54=""),"",MIN(MAX(0,IF($O54="WDV",AG54*$P54*MAX(0,(IF($I54="",AH$3,MIN($I54,AH$3)))-(MAX($H54,(EDATE(AH$3,-12)+1)))+1)/(AH$3-(EDATE(AH$3,-12)+1)+1),IF($N54=0,0,$Q54/$N54*MAX(0,(IF($I54="",AH$3,MIN($I54,AH$3)))-(MAX($H54,(EDATE(AH$3,-12)+1)))+1)/(AH$3-(EDATE(AH$3,-12)+1)+1)))),MAX(0,AG54-$M54)))</f>
        <v/>
      </c>
      <c r="AI54" s="65">
        <f>IF($K54="","",IF(AND($I54&lt;&gt;"",$I54&lt;=AH$3),0,AG54-AH54))</f>
        <v/>
      </c>
      <c r="AJ54" s="65">
        <f>IF(OR($K54="",$H54=""),"",MIN(MAX(0,IF($O54="WDV",AI54*$P54*MAX(0,(IF($I54="",AJ$3,MIN($I54,AJ$3)))-(MAX($H54,(EDATE(AJ$3,-12)+1)))+1)/(AJ$3-(EDATE(AJ$3,-12)+1)+1),IF($N54=0,0,$Q54/$N54*MAX(0,(IF($I54="",AJ$3,MIN($I54,AJ$3)))-(MAX($H54,(EDATE(AJ$3,-12)+1)))+1)/(AJ$3-(EDATE(AJ$3,-12)+1)+1)))),MAX(0,AI54-$M54)))</f>
        <v/>
      </c>
      <c r="AK54" s="65">
        <f>IF($K54="","",IF(AND($I54&lt;&gt;"",$I54&lt;=AJ$3),0,AI54-AJ54))</f>
        <v/>
      </c>
      <c r="AL54" s="65">
        <f>IF(OR($K54="",$H54=""),"",MIN(MAX(0,IF($O54="WDV",AK54*$P54*MAX(0,(IF($I54="",AL$3,MIN($I54,AL$3)))-(MAX($H54,(EDATE(AL$3,-12)+1)))+1)/(AL$3-(EDATE(AL$3,-12)+1)+1),IF($N54=0,0,$Q54/$N54*MAX(0,(IF($I54="",AL$3,MIN($I54,AL$3)))-(MAX($H54,(EDATE(AL$3,-12)+1)))+1)/(AL$3-(EDATE(AL$3,-12)+1)+1)))),MAX(0,AK54-$M54)))</f>
        <v/>
      </c>
      <c r="AM54" s="65">
        <f>IF($K54="","",IF(AND($I54&lt;&gt;"",$I54&lt;=AL$3),0,AK54-AL54))</f>
        <v/>
      </c>
      <c r="AN54" s="65">
        <f>IF(OR($K54="",$H54=""),"",MIN(MAX(0,IF($O54="WDV",AM54*$P54*MAX(0,(IF($I54="",AN$3,MIN($I54,AN$3)))-(MAX($H54,(EDATE(AN$3,-12)+1)))+1)/(AN$3-(EDATE(AN$3,-12)+1)+1),IF($N54=0,0,$Q54/$N54*MAX(0,(IF($I54="",AN$3,MIN($I54,AN$3)))-(MAX($H54,(EDATE(AN$3,-12)+1)))+1)/(AN$3-(EDATE(AN$3,-12)+1)+1)))),MAX(0,AM54-$M54)))</f>
        <v/>
      </c>
      <c r="AO54" s="65">
        <f>IF($K54="","",IF(AND($I54&lt;&gt;"",$I54&lt;=AN$3),0,AM54-AN54))</f>
        <v/>
      </c>
      <c r="AP54" s="65">
        <f>IF(OR($K54="",$H54=""),"",MIN(MAX(0,IF($O54="WDV",AO54*$P54*MAX(0,(IF($I54="",AP$3,MIN($I54,AP$3)))-(MAX($H54,(EDATE(AP$3,-12)+1)))+1)/(AP$3-(EDATE(AP$3,-12)+1)+1),IF($N54=0,0,$Q54/$N54*MAX(0,(IF($I54="",AP$3,MIN($I54,AP$3)))-(MAX($H54,(EDATE(AP$3,-12)+1)))+1)/(AP$3-(EDATE(AP$3,-12)+1)+1)))),MAX(0,AO54-$M54)))</f>
        <v/>
      </c>
      <c r="AQ54" s="65">
        <f>IF($K54="","",IF(AND($I54&lt;&gt;"",$I54&lt;=AP$3),0,AO54-AP54))</f>
        <v/>
      </c>
      <c r="AR54" s="65">
        <f>IF(OR($K54="",$H54=""),"",MIN(MAX(0,IF($O54="WDV",AQ54*$P54*MAX(0,(IF($I54="",AR$3,MIN($I54,AR$3)))-(MAX($H54,(EDATE(AR$3,-12)+1)))+1)/(AR$3-(EDATE(AR$3,-12)+1)+1),IF($N54=0,0,$Q54/$N54*MAX(0,(IF($I54="",AR$3,MIN($I54,AR$3)))-(MAX($H54,(EDATE(AR$3,-12)+1)))+1)/(AR$3-(EDATE(AR$3,-12)+1)+1)))),MAX(0,AQ54-$M54)))</f>
        <v/>
      </c>
      <c r="AS54" s="65">
        <f>IF($K54="","",IF(AND($I54&lt;&gt;"",$I54&lt;=AR$3),0,AQ54-AR54))</f>
        <v/>
      </c>
      <c r="AT54" s="65">
        <f>IF(OR($K54="",$H54=""),"",MIN(MAX(0,IF($O54="WDV",AS54*$P54*MAX(0,(IF($I54="",AT$3,MIN($I54,AT$3)))-(MAX($H54,(EDATE(AT$3,-12)+1)))+1)/(AT$3-(EDATE(AT$3,-12)+1)+1),IF($N54=0,0,$Q54/$N54*MAX(0,(IF($I54="",AT$3,MIN($I54,AT$3)))-(MAX($H54,(EDATE(AT$3,-12)+1)))+1)/(AT$3-(EDATE(AT$3,-12)+1)+1)))),MAX(0,AS54-$M54)))</f>
        <v/>
      </c>
      <c r="AU54" s="65">
        <f>IF($K54="","",IF(AND($I54&lt;&gt;"",$I54&lt;=AT$3),0,AS54-AT54))</f>
        <v/>
      </c>
      <c r="AV54" s="65">
        <f>IF(OR($K54="",$H54=""),"",MIN(MAX(0,IF($O54="WDV",AU54*$P54*MAX(0,(IF($I54="",AV$3,MIN($I54,AV$3)))-(MAX($H54,(EDATE(AV$3,-12)+1)))+1)/(AV$3-(EDATE(AV$3,-12)+1)+1),IF($N54=0,0,$Q54/$N54*MAX(0,(IF($I54="",AV$3,MIN($I54,AV$3)))-(MAX($H54,(EDATE(AV$3,-12)+1)))+1)/(AV$3-(EDATE(AV$3,-12)+1)+1)))),MAX(0,AU54-$M54)))</f>
        <v/>
      </c>
      <c r="AW54" s="65">
        <f>IF($K54="","",IF(AND($I54&lt;&gt;"",$I54&lt;=AV$3),0,AU54-AV54))</f>
        <v/>
      </c>
      <c r="AX54" s="65">
        <f>IF(OR($K54="",$H54=""),"",MIN(MAX(0,IF($O54="WDV",AW54*$P54*MAX(0,(IF($I54="",AX$3,MIN($I54,AX$3)))-(MAX($H54,(EDATE(AX$3,-12)+1)))+1)/(AX$3-(EDATE(AX$3,-12)+1)+1),IF($N54=0,0,$Q54/$N54*MAX(0,(IF($I54="",AX$3,MIN($I54,AX$3)))-(MAX($H54,(EDATE(AX$3,-12)+1)))+1)/(AX$3-(EDATE(AX$3,-12)+1)+1)))),MAX(0,AW54-$M54)))</f>
        <v/>
      </c>
      <c r="AY54" s="65">
        <f>IF($K54="","",IF(AND($I54&lt;&gt;"",$I54&lt;=AX$3),0,AW54-AX54))</f>
        <v/>
      </c>
      <c r="AZ54" s="65">
        <f>IF(OR($K54="",$H54=""),"",MIN(MAX(0,IF($O54="WDV",AY54*$P54*MAX(0,(IF($I54="",AZ$3,MIN($I54,AZ$3)))-(MAX($H54,(EDATE(AZ$3,-12)+1)))+1)/(AZ$3-(EDATE(AZ$3,-12)+1)+1),IF($N54=0,0,$Q54/$N54*MAX(0,(IF($I54="",AZ$3,MIN($I54,AZ$3)))-(MAX($H54,(EDATE(AZ$3,-12)+1)))+1)/(AZ$3-(EDATE(AZ$3,-12)+1)+1)))),MAX(0,AY54-$M54)))</f>
        <v/>
      </c>
      <c r="BA54" s="65">
        <f>IF($K54="","",IF(AND($I54&lt;&gt;"",$I54&lt;=AZ$3),0,AY54-AZ54))</f>
        <v/>
      </c>
    </row>
    <row r="55">
      <c r="A55" s="34" t="n"/>
      <c r="B55" s="35" t="n"/>
      <c r="C55" s="35" t="n"/>
      <c r="D55" s="35" t="n"/>
      <c r="E55" s="36" t="n"/>
      <c r="F55" s="37" t="n"/>
      <c r="G55" s="38" t="n"/>
      <c r="H55" s="38" t="n"/>
      <c r="I55" s="39" t="n"/>
      <c r="J55" s="40" t="n"/>
      <c r="K55" s="41" t="n"/>
      <c r="L55" s="42">
        <f>DefaultResidual</f>
        <v/>
      </c>
      <c r="M55" s="43">
        <f>IF($K55="","",$K55*$L55)</f>
        <v/>
      </c>
      <c r="N55" s="44">
        <f>IF($C55="","",IFERROR(VLOOKUP($C55,ScheduleIITable,3,FALSE),"#N/A"))</f>
        <v/>
      </c>
      <c r="O55" s="45">
        <f>IF($K55="","",GlobalMethod)</f>
        <v/>
      </c>
      <c r="P55" s="46">
        <f>IF(OR($K55="",$N55="",$N55=0,$M55=0),0,1-($M55/$K55)^(1/$N55))</f>
        <v/>
      </c>
      <c r="Q55" s="43">
        <f>IF($K55="","",$K55-$M55)</f>
        <v/>
      </c>
      <c r="R55" s="47">
        <f>IF($K55="","",INDEX($V55:$BA55,1,MATCH(ReportingFYEnd,$V$3:$BA$3,0)))</f>
        <v/>
      </c>
      <c r="S55" s="43">
        <f>IF($K55="","",IF($U55="Disposed",0,$K55-$T55))</f>
        <v/>
      </c>
      <c r="T55" s="48">
        <f>IF($K55="","",INDEX($V55:$BA55,1,MATCH(ReportingFYEnd,$V$3:$BA$3,0)+1))</f>
        <v/>
      </c>
      <c r="U55" s="49">
        <f>IF($K55="","",IF(AND($I55&lt;&gt;"",$I55&lt;=ReportingFYEnd),"Disposed",IF(OR($H55="",$H55&gt;ReportingFYEnd),"Not Yet in Use","Active")))</f>
        <v/>
      </c>
      <c r="V55" s="50">
        <f>IF(OR($K55="",$H55=""),"",MIN(MAX(0,IF($O55="WDV",$K55*$P55*MAX(0,(IF($I55="",V$3,MIN($I55,V$3)))-(MAX($H55,(EDATE(V$3,-12)+1)))+1)/(V$3-(EDATE(V$3,-12)+1)+1),IF($N55=0,0,$Q55/$N55*MAX(0,(IF($I55="",V$3,MIN($I55,V$3)))-(MAX($H55,(EDATE(V$3,-12)+1)))+1)/(V$3-(EDATE(V$3,-12)+1)+1)))),MAX(0,$K55-$M55)))</f>
        <v/>
      </c>
      <c r="W55" s="51">
        <f>IF($K55="","",IF(AND($I55&lt;&gt;"",$I55&lt;=V$3),0,$K55-V55))</f>
        <v/>
      </c>
      <c r="X55" s="50">
        <f>IF(OR($K55="",$H55=""),"",MIN(MAX(0,IF($O55="WDV",W55*$P55*MAX(0,(IF($I55="",X$3,MIN($I55,X$3)))-(MAX($H55,(EDATE(X$3,-12)+1)))+1)/(X$3-(EDATE(X$3,-12)+1)+1),IF($N55=0,0,$Q55/$N55*MAX(0,(IF($I55="",X$3,MIN($I55,X$3)))-(MAX($H55,(EDATE(X$3,-12)+1)))+1)/(X$3-(EDATE(X$3,-12)+1)+1)))),MAX(0,W55-$M55)))</f>
        <v/>
      </c>
      <c r="Y55" s="51">
        <f>IF($K55="","",IF(AND($I55&lt;&gt;"",$I55&lt;=X$3),0,W55-X55))</f>
        <v/>
      </c>
      <c r="Z55" s="50">
        <f>IF(OR($K55="",$H55=""),"",MIN(MAX(0,IF($O55="WDV",Y55*$P55*MAX(0,(IF($I55="",Z$3,MIN($I55,Z$3)))-(MAX($H55,(EDATE(Z$3,-12)+1)))+1)/(Z$3-(EDATE(Z$3,-12)+1)+1),IF($N55=0,0,$Q55/$N55*MAX(0,(IF($I55="",Z$3,MIN($I55,Z$3)))-(MAX($H55,(EDATE(Z$3,-12)+1)))+1)/(Z$3-(EDATE(Z$3,-12)+1)+1)))),MAX(0,Y55-$M55)))</f>
        <v/>
      </c>
      <c r="AA55" s="51">
        <f>IF($K55="","",IF(AND($I55&lt;&gt;"",$I55&lt;=Z$3),0,Y55-Z55))</f>
        <v/>
      </c>
      <c r="AB55" s="50">
        <f>IF(OR($K55="",$H55=""),"",MIN(MAX(0,IF($O55="WDV",AA55*$P55*MAX(0,(IF($I55="",AB$3,MIN($I55,AB$3)))-(MAX($H55,(EDATE(AB$3,-12)+1)))+1)/(AB$3-(EDATE(AB$3,-12)+1)+1),IF($N55=0,0,$Q55/$N55*MAX(0,(IF($I55="",AB$3,MIN($I55,AB$3)))-(MAX($H55,(EDATE(AB$3,-12)+1)))+1)/(AB$3-(EDATE(AB$3,-12)+1)+1)))),MAX(0,AA55-$M55)))</f>
        <v/>
      </c>
      <c r="AC55" s="51">
        <f>IF($K55="","",IF(AND($I55&lt;&gt;"",$I55&lt;=AB$3),0,AA55-AB55))</f>
        <v/>
      </c>
      <c r="AD55" s="50">
        <f>IF(OR($K55="",$H55=""),"",MIN(MAX(0,IF($O55="WDV",AC55*$P55*MAX(0,(IF($I55="",AD$3,MIN($I55,AD$3)))-(MAX($H55,(EDATE(AD$3,-12)+1)))+1)/(AD$3-(EDATE(AD$3,-12)+1)+1),IF($N55=0,0,$Q55/$N55*MAX(0,(IF($I55="",AD$3,MIN($I55,AD$3)))-(MAX($H55,(EDATE(AD$3,-12)+1)))+1)/(AD$3-(EDATE(AD$3,-12)+1)+1)))),MAX(0,AC55-$M55)))</f>
        <v/>
      </c>
      <c r="AE55" s="51">
        <f>IF($K55="","",IF(AND($I55&lt;&gt;"",$I55&lt;=AD$3),0,AC55-AD55))</f>
        <v/>
      </c>
      <c r="AF55" s="50">
        <f>IF(OR($K55="",$H55=""),"",MIN(MAX(0,IF($O55="WDV",AE55*$P55*MAX(0,(IF($I55="",AF$3,MIN($I55,AF$3)))-(MAX($H55,(EDATE(AF$3,-12)+1)))+1)/(AF$3-(EDATE(AF$3,-12)+1)+1),IF($N55=0,0,$Q55/$N55*MAX(0,(IF($I55="",AF$3,MIN($I55,AF$3)))-(MAX($H55,(EDATE(AF$3,-12)+1)))+1)/(AF$3-(EDATE(AF$3,-12)+1)+1)))),MAX(0,AE55-$M55)))</f>
        <v/>
      </c>
      <c r="AG55" s="51">
        <f>IF($K55="","",IF(AND($I55&lt;&gt;"",$I55&lt;=AF$3),0,AE55-AF55))</f>
        <v/>
      </c>
      <c r="AH55" s="50">
        <f>IF(OR($K55="",$H55=""),"",MIN(MAX(0,IF($O55="WDV",AG55*$P55*MAX(0,(IF($I55="",AH$3,MIN($I55,AH$3)))-(MAX($H55,(EDATE(AH$3,-12)+1)))+1)/(AH$3-(EDATE(AH$3,-12)+1)+1),IF($N55=0,0,$Q55/$N55*MAX(0,(IF($I55="",AH$3,MIN($I55,AH$3)))-(MAX($H55,(EDATE(AH$3,-12)+1)))+1)/(AH$3-(EDATE(AH$3,-12)+1)+1)))),MAX(0,AG55-$M55)))</f>
        <v/>
      </c>
      <c r="AI55" s="51">
        <f>IF($K55="","",IF(AND($I55&lt;&gt;"",$I55&lt;=AH$3),0,AG55-AH55))</f>
        <v/>
      </c>
      <c r="AJ55" s="50">
        <f>IF(OR($K55="",$H55=""),"",MIN(MAX(0,IF($O55="WDV",AI55*$P55*MAX(0,(IF($I55="",AJ$3,MIN($I55,AJ$3)))-(MAX($H55,(EDATE(AJ$3,-12)+1)))+1)/(AJ$3-(EDATE(AJ$3,-12)+1)+1),IF($N55=0,0,$Q55/$N55*MAX(0,(IF($I55="",AJ$3,MIN($I55,AJ$3)))-(MAX($H55,(EDATE(AJ$3,-12)+1)))+1)/(AJ$3-(EDATE(AJ$3,-12)+1)+1)))),MAX(0,AI55-$M55)))</f>
        <v/>
      </c>
      <c r="AK55" s="51">
        <f>IF($K55="","",IF(AND($I55&lt;&gt;"",$I55&lt;=AJ$3),0,AI55-AJ55))</f>
        <v/>
      </c>
      <c r="AL55" s="50">
        <f>IF(OR($K55="",$H55=""),"",MIN(MAX(0,IF($O55="WDV",AK55*$P55*MAX(0,(IF($I55="",AL$3,MIN($I55,AL$3)))-(MAX($H55,(EDATE(AL$3,-12)+1)))+1)/(AL$3-(EDATE(AL$3,-12)+1)+1),IF($N55=0,0,$Q55/$N55*MAX(0,(IF($I55="",AL$3,MIN($I55,AL$3)))-(MAX($H55,(EDATE(AL$3,-12)+1)))+1)/(AL$3-(EDATE(AL$3,-12)+1)+1)))),MAX(0,AK55-$M55)))</f>
        <v/>
      </c>
      <c r="AM55" s="51">
        <f>IF($K55="","",IF(AND($I55&lt;&gt;"",$I55&lt;=AL$3),0,AK55-AL55))</f>
        <v/>
      </c>
      <c r="AN55" s="50">
        <f>IF(OR($K55="",$H55=""),"",MIN(MAX(0,IF($O55="WDV",AM55*$P55*MAX(0,(IF($I55="",AN$3,MIN($I55,AN$3)))-(MAX($H55,(EDATE(AN$3,-12)+1)))+1)/(AN$3-(EDATE(AN$3,-12)+1)+1),IF($N55=0,0,$Q55/$N55*MAX(0,(IF($I55="",AN$3,MIN($I55,AN$3)))-(MAX($H55,(EDATE(AN$3,-12)+1)))+1)/(AN$3-(EDATE(AN$3,-12)+1)+1)))),MAX(0,AM55-$M55)))</f>
        <v/>
      </c>
      <c r="AO55" s="51">
        <f>IF($K55="","",IF(AND($I55&lt;&gt;"",$I55&lt;=AN$3),0,AM55-AN55))</f>
        <v/>
      </c>
      <c r="AP55" s="50">
        <f>IF(OR($K55="",$H55=""),"",MIN(MAX(0,IF($O55="WDV",AO55*$P55*MAX(0,(IF($I55="",AP$3,MIN($I55,AP$3)))-(MAX($H55,(EDATE(AP$3,-12)+1)))+1)/(AP$3-(EDATE(AP$3,-12)+1)+1),IF($N55=0,0,$Q55/$N55*MAX(0,(IF($I55="",AP$3,MIN($I55,AP$3)))-(MAX($H55,(EDATE(AP$3,-12)+1)))+1)/(AP$3-(EDATE(AP$3,-12)+1)+1)))),MAX(0,AO55-$M55)))</f>
        <v/>
      </c>
      <c r="AQ55" s="51">
        <f>IF($K55="","",IF(AND($I55&lt;&gt;"",$I55&lt;=AP$3),0,AO55-AP55))</f>
        <v/>
      </c>
      <c r="AR55" s="50">
        <f>IF(OR($K55="",$H55=""),"",MIN(MAX(0,IF($O55="WDV",AQ55*$P55*MAX(0,(IF($I55="",AR$3,MIN($I55,AR$3)))-(MAX($H55,(EDATE(AR$3,-12)+1)))+1)/(AR$3-(EDATE(AR$3,-12)+1)+1),IF($N55=0,0,$Q55/$N55*MAX(0,(IF($I55="",AR$3,MIN($I55,AR$3)))-(MAX($H55,(EDATE(AR$3,-12)+1)))+1)/(AR$3-(EDATE(AR$3,-12)+1)+1)))),MAX(0,AQ55-$M55)))</f>
        <v/>
      </c>
      <c r="AS55" s="51">
        <f>IF($K55="","",IF(AND($I55&lt;&gt;"",$I55&lt;=AR$3),0,AQ55-AR55))</f>
        <v/>
      </c>
      <c r="AT55" s="50">
        <f>IF(OR($K55="",$H55=""),"",MIN(MAX(0,IF($O55="WDV",AS55*$P55*MAX(0,(IF($I55="",AT$3,MIN($I55,AT$3)))-(MAX($H55,(EDATE(AT$3,-12)+1)))+1)/(AT$3-(EDATE(AT$3,-12)+1)+1),IF($N55=0,0,$Q55/$N55*MAX(0,(IF($I55="",AT$3,MIN($I55,AT$3)))-(MAX($H55,(EDATE(AT$3,-12)+1)))+1)/(AT$3-(EDATE(AT$3,-12)+1)+1)))),MAX(0,AS55-$M55)))</f>
        <v/>
      </c>
      <c r="AU55" s="51">
        <f>IF($K55="","",IF(AND($I55&lt;&gt;"",$I55&lt;=AT$3),0,AS55-AT55))</f>
        <v/>
      </c>
      <c r="AV55" s="50">
        <f>IF(OR($K55="",$H55=""),"",MIN(MAX(0,IF($O55="WDV",AU55*$P55*MAX(0,(IF($I55="",AV$3,MIN($I55,AV$3)))-(MAX($H55,(EDATE(AV$3,-12)+1)))+1)/(AV$3-(EDATE(AV$3,-12)+1)+1),IF($N55=0,0,$Q55/$N55*MAX(0,(IF($I55="",AV$3,MIN($I55,AV$3)))-(MAX($H55,(EDATE(AV$3,-12)+1)))+1)/(AV$3-(EDATE(AV$3,-12)+1)+1)))),MAX(0,AU55-$M55)))</f>
        <v/>
      </c>
      <c r="AW55" s="51">
        <f>IF($K55="","",IF(AND($I55&lt;&gt;"",$I55&lt;=AV$3),0,AU55-AV55))</f>
        <v/>
      </c>
      <c r="AX55" s="50">
        <f>IF(OR($K55="",$H55=""),"",MIN(MAX(0,IF($O55="WDV",AW55*$P55*MAX(0,(IF($I55="",AX$3,MIN($I55,AX$3)))-(MAX($H55,(EDATE(AX$3,-12)+1)))+1)/(AX$3-(EDATE(AX$3,-12)+1)+1),IF($N55=0,0,$Q55/$N55*MAX(0,(IF($I55="",AX$3,MIN($I55,AX$3)))-(MAX($H55,(EDATE(AX$3,-12)+1)))+1)/(AX$3-(EDATE(AX$3,-12)+1)+1)))),MAX(0,AW55-$M55)))</f>
        <v/>
      </c>
      <c r="AY55" s="51">
        <f>IF($K55="","",IF(AND($I55&lt;&gt;"",$I55&lt;=AX$3),0,AW55-AX55))</f>
        <v/>
      </c>
      <c r="AZ55" s="50">
        <f>IF(OR($K55="",$H55=""),"",MIN(MAX(0,IF($O55="WDV",AY55*$P55*MAX(0,(IF($I55="",AZ$3,MIN($I55,AZ$3)))-(MAX($H55,(EDATE(AZ$3,-12)+1)))+1)/(AZ$3-(EDATE(AZ$3,-12)+1)+1),IF($N55=0,0,$Q55/$N55*MAX(0,(IF($I55="",AZ$3,MIN($I55,AZ$3)))-(MAX($H55,(EDATE(AZ$3,-12)+1)))+1)/(AZ$3-(EDATE(AZ$3,-12)+1)+1)))),MAX(0,AY55-$M55)))</f>
        <v/>
      </c>
      <c r="BA55" s="51">
        <f>IF($K55="","",IF(AND($I55&lt;&gt;"",$I55&lt;=AZ$3),0,AY55-AZ55))</f>
        <v/>
      </c>
    </row>
    <row r="56">
      <c r="A56" s="52" t="n"/>
      <c r="B56" s="53" t="n"/>
      <c r="C56" s="53" t="n"/>
      <c r="D56" s="53" t="n"/>
      <c r="E56" s="19" t="n"/>
      <c r="F56" s="54" t="n"/>
      <c r="G56" s="55" t="n"/>
      <c r="H56" s="55" t="n"/>
      <c r="I56" s="56" t="n"/>
      <c r="J56" s="57" t="n"/>
      <c r="K56" s="58" t="n"/>
      <c r="L56" s="59">
        <f>DefaultResidual</f>
        <v/>
      </c>
      <c r="M56" s="60">
        <f>IF($K56="","",$K56*$L56)</f>
        <v/>
      </c>
      <c r="N56" s="20">
        <f>IF($C56="","",IFERROR(VLOOKUP($C56,ScheduleIITable,3,FALSE),"#N/A"))</f>
        <v/>
      </c>
      <c r="O56" s="61">
        <f>IF($K56="","",GlobalMethod)</f>
        <v/>
      </c>
      <c r="P56" s="21">
        <f>IF(OR($K56="",$N56="",$N56=0,$M56=0),0,1-($M56/$K56)^(1/$N56))</f>
        <v/>
      </c>
      <c r="Q56" s="60">
        <f>IF($K56="","",$K56-$M56)</f>
        <v/>
      </c>
      <c r="R56" s="62">
        <f>IF($K56="","",INDEX($V56:$BA56,1,MATCH(ReportingFYEnd,$V$3:$BA$3,0)))</f>
        <v/>
      </c>
      <c r="S56" s="60">
        <f>IF($K56="","",IF($U56="Disposed",0,$K56-$T56))</f>
        <v/>
      </c>
      <c r="T56" s="63">
        <f>IF($K56="","",INDEX($V56:$BA56,1,MATCH(ReportingFYEnd,$V$3:$BA$3,0)+1))</f>
        <v/>
      </c>
      <c r="U56" s="64">
        <f>IF($K56="","",IF(AND($I56&lt;&gt;"",$I56&lt;=ReportingFYEnd),"Disposed",IF(OR($H56="",$H56&gt;ReportingFYEnd),"Not Yet in Use","Active")))</f>
        <v/>
      </c>
      <c r="V56" s="65">
        <f>IF(OR($K56="",$H56=""),"",MIN(MAX(0,IF($O56="WDV",$K56*$P56*MAX(0,(IF($I56="",V$3,MIN($I56,V$3)))-(MAX($H56,(EDATE(V$3,-12)+1)))+1)/(V$3-(EDATE(V$3,-12)+1)+1),IF($N56=0,0,$Q56/$N56*MAX(0,(IF($I56="",V$3,MIN($I56,V$3)))-(MAX($H56,(EDATE(V$3,-12)+1)))+1)/(V$3-(EDATE(V$3,-12)+1)+1)))),MAX(0,$K56-$M56)))</f>
        <v/>
      </c>
      <c r="W56" s="65">
        <f>IF($K56="","",IF(AND($I56&lt;&gt;"",$I56&lt;=V$3),0,$K56-V56))</f>
        <v/>
      </c>
      <c r="X56" s="65">
        <f>IF(OR($K56="",$H56=""),"",MIN(MAX(0,IF($O56="WDV",W56*$P56*MAX(0,(IF($I56="",X$3,MIN($I56,X$3)))-(MAX($H56,(EDATE(X$3,-12)+1)))+1)/(X$3-(EDATE(X$3,-12)+1)+1),IF($N56=0,0,$Q56/$N56*MAX(0,(IF($I56="",X$3,MIN($I56,X$3)))-(MAX($H56,(EDATE(X$3,-12)+1)))+1)/(X$3-(EDATE(X$3,-12)+1)+1)))),MAX(0,W56-$M56)))</f>
        <v/>
      </c>
      <c r="Y56" s="65">
        <f>IF($K56="","",IF(AND($I56&lt;&gt;"",$I56&lt;=X$3),0,W56-X56))</f>
        <v/>
      </c>
      <c r="Z56" s="65">
        <f>IF(OR($K56="",$H56=""),"",MIN(MAX(0,IF($O56="WDV",Y56*$P56*MAX(0,(IF($I56="",Z$3,MIN($I56,Z$3)))-(MAX($H56,(EDATE(Z$3,-12)+1)))+1)/(Z$3-(EDATE(Z$3,-12)+1)+1),IF($N56=0,0,$Q56/$N56*MAX(0,(IF($I56="",Z$3,MIN($I56,Z$3)))-(MAX($H56,(EDATE(Z$3,-12)+1)))+1)/(Z$3-(EDATE(Z$3,-12)+1)+1)))),MAX(0,Y56-$M56)))</f>
        <v/>
      </c>
      <c r="AA56" s="65">
        <f>IF($K56="","",IF(AND($I56&lt;&gt;"",$I56&lt;=Z$3),0,Y56-Z56))</f>
        <v/>
      </c>
      <c r="AB56" s="65">
        <f>IF(OR($K56="",$H56=""),"",MIN(MAX(0,IF($O56="WDV",AA56*$P56*MAX(0,(IF($I56="",AB$3,MIN($I56,AB$3)))-(MAX($H56,(EDATE(AB$3,-12)+1)))+1)/(AB$3-(EDATE(AB$3,-12)+1)+1),IF($N56=0,0,$Q56/$N56*MAX(0,(IF($I56="",AB$3,MIN($I56,AB$3)))-(MAX($H56,(EDATE(AB$3,-12)+1)))+1)/(AB$3-(EDATE(AB$3,-12)+1)+1)))),MAX(0,AA56-$M56)))</f>
        <v/>
      </c>
      <c r="AC56" s="65">
        <f>IF($K56="","",IF(AND($I56&lt;&gt;"",$I56&lt;=AB$3),0,AA56-AB56))</f>
        <v/>
      </c>
      <c r="AD56" s="65">
        <f>IF(OR($K56="",$H56=""),"",MIN(MAX(0,IF($O56="WDV",AC56*$P56*MAX(0,(IF($I56="",AD$3,MIN($I56,AD$3)))-(MAX($H56,(EDATE(AD$3,-12)+1)))+1)/(AD$3-(EDATE(AD$3,-12)+1)+1),IF($N56=0,0,$Q56/$N56*MAX(0,(IF($I56="",AD$3,MIN($I56,AD$3)))-(MAX($H56,(EDATE(AD$3,-12)+1)))+1)/(AD$3-(EDATE(AD$3,-12)+1)+1)))),MAX(0,AC56-$M56)))</f>
        <v/>
      </c>
      <c r="AE56" s="65">
        <f>IF($K56="","",IF(AND($I56&lt;&gt;"",$I56&lt;=AD$3),0,AC56-AD56))</f>
        <v/>
      </c>
      <c r="AF56" s="65">
        <f>IF(OR($K56="",$H56=""),"",MIN(MAX(0,IF($O56="WDV",AE56*$P56*MAX(0,(IF($I56="",AF$3,MIN($I56,AF$3)))-(MAX($H56,(EDATE(AF$3,-12)+1)))+1)/(AF$3-(EDATE(AF$3,-12)+1)+1),IF($N56=0,0,$Q56/$N56*MAX(0,(IF($I56="",AF$3,MIN($I56,AF$3)))-(MAX($H56,(EDATE(AF$3,-12)+1)))+1)/(AF$3-(EDATE(AF$3,-12)+1)+1)))),MAX(0,AE56-$M56)))</f>
        <v/>
      </c>
      <c r="AG56" s="65">
        <f>IF($K56="","",IF(AND($I56&lt;&gt;"",$I56&lt;=AF$3),0,AE56-AF56))</f>
        <v/>
      </c>
      <c r="AH56" s="65">
        <f>IF(OR($K56="",$H56=""),"",MIN(MAX(0,IF($O56="WDV",AG56*$P56*MAX(0,(IF($I56="",AH$3,MIN($I56,AH$3)))-(MAX($H56,(EDATE(AH$3,-12)+1)))+1)/(AH$3-(EDATE(AH$3,-12)+1)+1),IF($N56=0,0,$Q56/$N56*MAX(0,(IF($I56="",AH$3,MIN($I56,AH$3)))-(MAX($H56,(EDATE(AH$3,-12)+1)))+1)/(AH$3-(EDATE(AH$3,-12)+1)+1)))),MAX(0,AG56-$M56)))</f>
        <v/>
      </c>
      <c r="AI56" s="65">
        <f>IF($K56="","",IF(AND($I56&lt;&gt;"",$I56&lt;=AH$3),0,AG56-AH56))</f>
        <v/>
      </c>
      <c r="AJ56" s="65">
        <f>IF(OR($K56="",$H56=""),"",MIN(MAX(0,IF($O56="WDV",AI56*$P56*MAX(0,(IF($I56="",AJ$3,MIN($I56,AJ$3)))-(MAX($H56,(EDATE(AJ$3,-12)+1)))+1)/(AJ$3-(EDATE(AJ$3,-12)+1)+1),IF($N56=0,0,$Q56/$N56*MAX(0,(IF($I56="",AJ$3,MIN($I56,AJ$3)))-(MAX($H56,(EDATE(AJ$3,-12)+1)))+1)/(AJ$3-(EDATE(AJ$3,-12)+1)+1)))),MAX(0,AI56-$M56)))</f>
        <v/>
      </c>
      <c r="AK56" s="65">
        <f>IF($K56="","",IF(AND($I56&lt;&gt;"",$I56&lt;=AJ$3),0,AI56-AJ56))</f>
        <v/>
      </c>
      <c r="AL56" s="65">
        <f>IF(OR($K56="",$H56=""),"",MIN(MAX(0,IF($O56="WDV",AK56*$P56*MAX(0,(IF($I56="",AL$3,MIN($I56,AL$3)))-(MAX($H56,(EDATE(AL$3,-12)+1)))+1)/(AL$3-(EDATE(AL$3,-12)+1)+1),IF($N56=0,0,$Q56/$N56*MAX(0,(IF($I56="",AL$3,MIN($I56,AL$3)))-(MAX($H56,(EDATE(AL$3,-12)+1)))+1)/(AL$3-(EDATE(AL$3,-12)+1)+1)))),MAX(0,AK56-$M56)))</f>
        <v/>
      </c>
      <c r="AM56" s="65">
        <f>IF($K56="","",IF(AND($I56&lt;&gt;"",$I56&lt;=AL$3),0,AK56-AL56))</f>
        <v/>
      </c>
      <c r="AN56" s="65">
        <f>IF(OR($K56="",$H56=""),"",MIN(MAX(0,IF($O56="WDV",AM56*$P56*MAX(0,(IF($I56="",AN$3,MIN($I56,AN$3)))-(MAX($H56,(EDATE(AN$3,-12)+1)))+1)/(AN$3-(EDATE(AN$3,-12)+1)+1),IF($N56=0,0,$Q56/$N56*MAX(0,(IF($I56="",AN$3,MIN($I56,AN$3)))-(MAX($H56,(EDATE(AN$3,-12)+1)))+1)/(AN$3-(EDATE(AN$3,-12)+1)+1)))),MAX(0,AM56-$M56)))</f>
        <v/>
      </c>
      <c r="AO56" s="65">
        <f>IF($K56="","",IF(AND($I56&lt;&gt;"",$I56&lt;=AN$3),0,AM56-AN56))</f>
        <v/>
      </c>
      <c r="AP56" s="65">
        <f>IF(OR($K56="",$H56=""),"",MIN(MAX(0,IF($O56="WDV",AO56*$P56*MAX(0,(IF($I56="",AP$3,MIN($I56,AP$3)))-(MAX($H56,(EDATE(AP$3,-12)+1)))+1)/(AP$3-(EDATE(AP$3,-12)+1)+1),IF($N56=0,0,$Q56/$N56*MAX(0,(IF($I56="",AP$3,MIN($I56,AP$3)))-(MAX($H56,(EDATE(AP$3,-12)+1)))+1)/(AP$3-(EDATE(AP$3,-12)+1)+1)))),MAX(0,AO56-$M56)))</f>
        <v/>
      </c>
      <c r="AQ56" s="65">
        <f>IF($K56="","",IF(AND($I56&lt;&gt;"",$I56&lt;=AP$3),0,AO56-AP56))</f>
        <v/>
      </c>
      <c r="AR56" s="65">
        <f>IF(OR($K56="",$H56=""),"",MIN(MAX(0,IF($O56="WDV",AQ56*$P56*MAX(0,(IF($I56="",AR$3,MIN($I56,AR$3)))-(MAX($H56,(EDATE(AR$3,-12)+1)))+1)/(AR$3-(EDATE(AR$3,-12)+1)+1),IF($N56=0,0,$Q56/$N56*MAX(0,(IF($I56="",AR$3,MIN($I56,AR$3)))-(MAX($H56,(EDATE(AR$3,-12)+1)))+1)/(AR$3-(EDATE(AR$3,-12)+1)+1)))),MAX(0,AQ56-$M56)))</f>
        <v/>
      </c>
      <c r="AS56" s="65">
        <f>IF($K56="","",IF(AND($I56&lt;&gt;"",$I56&lt;=AR$3),0,AQ56-AR56))</f>
        <v/>
      </c>
      <c r="AT56" s="65">
        <f>IF(OR($K56="",$H56=""),"",MIN(MAX(0,IF($O56="WDV",AS56*$P56*MAX(0,(IF($I56="",AT$3,MIN($I56,AT$3)))-(MAX($H56,(EDATE(AT$3,-12)+1)))+1)/(AT$3-(EDATE(AT$3,-12)+1)+1),IF($N56=0,0,$Q56/$N56*MAX(0,(IF($I56="",AT$3,MIN($I56,AT$3)))-(MAX($H56,(EDATE(AT$3,-12)+1)))+1)/(AT$3-(EDATE(AT$3,-12)+1)+1)))),MAX(0,AS56-$M56)))</f>
        <v/>
      </c>
      <c r="AU56" s="65">
        <f>IF($K56="","",IF(AND($I56&lt;&gt;"",$I56&lt;=AT$3),0,AS56-AT56))</f>
        <v/>
      </c>
      <c r="AV56" s="65">
        <f>IF(OR($K56="",$H56=""),"",MIN(MAX(0,IF($O56="WDV",AU56*$P56*MAX(0,(IF($I56="",AV$3,MIN($I56,AV$3)))-(MAX($H56,(EDATE(AV$3,-12)+1)))+1)/(AV$3-(EDATE(AV$3,-12)+1)+1),IF($N56=0,0,$Q56/$N56*MAX(0,(IF($I56="",AV$3,MIN($I56,AV$3)))-(MAX($H56,(EDATE(AV$3,-12)+1)))+1)/(AV$3-(EDATE(AV$3,-12)+1)+1)))),MAX(0,AU56-$M56)))</f>
        <v/>
      </c>
      <c r="AW56" s="65">
        <f>IF($K56="","",IF(AND($I56&lt;&gt;"",$I56&lt;=AV$3),0,AU56-AV56))</f>
        <v/>
      </c>
      <c r="AX56" s="65">
        <f>IF(OR($K56="",$H56=""),"",MIN(MAX(0,IF($O56="WDV",AW56*$P56*MAX(0,(IF($I56="",AX$3,MIN($I56,AX$3)))-(MAX($H56,(EDATE(AX$3,-12)+1)))+1)/(AX$3-(EDATE(AX$3,-12)+1)+1),IF($N56=0,0,$Q56/$N56*MAX(0,(IF($I56="",AX$3,MIN($I56,AX$3)))-(MAX($H56,(EDATE(AX$3,-12)+1)))+1)/(AX$3-(EDATE(AX$3,-12)+1)+1)))),MAX(0,AW56-$M56)))</f>
        <v/>
      </c>
      <c r="AY56" s="65">
        <f>IF($K56="","",IF(AND($I56&lt;&gt;"",$I56&lt;=AX$3),0,AW56-AX56))</f>
        <v/>
      </c>
      <c r="AZ56" s="65">
        <f>IF(OR($K56="",$H56=""),"",MIN(MAX(0,IF($O56="WDV",AY56*$P56*MAX(0,(IF($I56="",AZ$3,MIN($I56,AZ$3)))-(MAX($H56,(EDATE(AZ$3,-12)+1)))+1)/(AZ$3-(EDATE(AZ$3,-12)+1)+1),IF($N56=0,0,$Q56/$N56*MAX(0,(IF($I56="",AZ$3,MIN($I56,AZ$3)))-(MAX($H56,(EDATE(AZ$3,-12)+1)))+1)/(AZ$3-(EDATE(AZ$3,-12)+1)+1)))),MAX(0,AY56-$M56)))</f>
        <v/>
      </c>
      <c r="BA56" s="65">
        <f>IF($K56="","",IF(AND($I56&lt;&gt;"",$I56&lt;=AZ$3),0,AY56-AZ56))</f>
        <v/>
      </c>
    </row>
    <row r="57">
      <c r="A57" s="34" t="n"/>
      <c r="B57" s="35" t="n"/>
      <c r="C57" s="35" t="n"/>
      <c r="D57" s="35" t="n"/>
      <c r="E57" s="36" t="n"/>
      <c r="F57" s="37" t="n"/>
      <c r="G57" s="38" t="n"/>
      <c r="H57" s="38" t="n"/>
      <c r="I57" s="39" t="n"/>
      <c r="J57" s="40" t="n"/>
      <c r="K57" s="41" t="n"/>
      <c r="L57" s="42">
        <f>DefaultResidual</f>
        <v/>
      </c>
      <c r="M57" s="43">
        <f>IF($K57="","",$K57*$L57)</f>
        <v/>
      </c>
      <c r="N57" s="44">
        <f>IF($C57="","",IFERROR(VLOOKUP($C57,ScheduleIITable,3,FALSE),"#N/A"))</f>
        <v/>
      </c>
      <c r="O57" s="45">
        <f>IF($K57="","",GlobalMethod)</f>
        <v/>
      </c>
      <c r="P57" s="46">
        <f>IF(OR($K57="",$N57="",$N57=0,$M57=0),0,1-($M57/$K57)^(1/$N57))</f>
        <v/>
      </c>
      <c r="Q57" s="43">
        <f>IF($K57="","",$K57-$M57)</f>
        <v/>
      </c>
      <c r="R57" s="47">
        <f>IF($K57="","",INDEX($V57:$BA57,1,MATCH(ReportingFYEnd,$V$3:$BA$3,0)))</f>
        <v/>
      </c>
      <c r="S57" s="43">
        <f>IF($K57="","",IF($U57="Disposed",0,$K57-$T57))</f>
        <v/>
      </c>
      <c r="T57" s="48">
        <f>IF($K57="","",INDEX($V57:$BA57,1,MATCH(ReportingFYEnd,$V$3:$BA$3,0)+1))</f>
        <v/>
      </c>
      <c r="U57" s="49">
        <f>IF($K57="","",IF(AND($I57&lt;&gt;"",$I57&lt;=ReportingFYEnd),"Disposed",IF(OR($H57="",$H57&gt;ReportingFYEnd),"Not Yet in Use","Active")))</f>
        <v/>
      </c>
      <c r="V57" s="50">
        <f>IF(OR($K57="",$H57=""),"",MIN(MAX(0,IF($O57="WDV",$K57*$P57*MAX(0,(IF($I57="",V$3,MIN($I57,V$3)))-(MAX($H57,(EDATE(V$3,-12)+1)))+1)/(V$3-(EDATE(V$3,-12)+1)+1),IF($N57=0,0,$Q57/$N57*MAX(0,(IF($I57="",V$3,MIN($I57,V$3)))-(MAX($H57,(EDATE(V$3,-12)+1)))+1)/(V$3-(EDATE(V$3,-12)+1)+1)))),MAX(0,$K57-$M57)))</f>
        <v/>
      </c>
      <c r="W57" s="51">
        <f>IF($K57="","",IF(AND($I57&lt;&gt;"",$I57&lt;=V$3),0,$K57-V57))</f>
        <v/>
      </c>
      <c r="X57" s="50">
        <f>IF(OR($K57="",$H57=""),"",MIN(MAX(0,IF($O57="WDV",W57*$P57*MAX(0,(IF($I57="",X$3,MIN($I57,X$3)))-(MAX($H57,(EDATE(X$3,-12)+1)))+1)/(X$3-(EDATE(X$3,-12)+1)+1),IF($N57=0,0,$Q57/$N57*MAX(0,(IF($I57="",X$3,MIN($I57,X$3)))-(MAX($H57,(EDATE(X$3,-12)+1)))+1)/(X$3-(EDATE(X$3,-12)+1)+1)))),MAX(0,W57-$M57)))</f>
        <v/>
      </c>
      <c r="Y57" s="51">
        <f>IF($K57="","",IF(AND($I57&lt;&gt;"",$I57&lt;=X$3),0,W57-X57))</f>
        <v/>
      </c>
      <c r="Z57" s="50">
        <f>IF(OR($K57="",$H57=""),"",MIN(MAX(0,IF($O57="WDV",Y57*$P57*MAX(0,(IF($I57="",Z$3,MIN($I57,Z$3)))-(MAX($H57,(EDATE(Z$3,-12)+1)))+1)/(Z$3-(EDATE(Z$3,-12)+1)+1),IF($N57=0,0,$Q57/$N57*MAX(0,(IF($I57="",Z$3,MIN($I57,Z$3)))-(MAX($H57,(EDATE(Z$3,-12)+1)))+1)/(Z$3-(EDATE(Z$3,-12)+1)+1)))),MAX(0,Y57-$M57)))</f>
        <v/>
      </c>
      <c r="AA57" s="51">
        <f>IF($K57="","",IF(AND($I57&lt;&gt;"",$I57&lt;=Z$3),0,Y57-Z57))</f>
        <v/>
      </c>
      <c r="AB57" s="50">
        <f>IF(OR($K57="",$H57=""),"",MIN(MAX(0,IF($O57="WDV",AA57*$P57*MAX(0,(IF($I57="",AB$3,MIN($I57,AB$3)))-(MAX($H57,(EDATE(AB$3,-12)+1)))+1)/(AB$3-(EDATE(AB$3,-12)+1)+1),IF($N57=0,0,$Q57/$N57*MAX(0,(IF($I57="",AB$3,MIN($I57,AB$3)))-(MAX($H57,(EDATE(AB$3,-12)+1)))+1)/(AB$3-(EDATE(AB$3,-12)+1)+1)))),MAX(0,AA57-$M57)))</f>
        <v/>
      </c>
      <c r="AC57" s="51">
        <f>IF($K57="","",IF(AND($I57&lt;&gt;"",$I57&lt;=AB$3),0,AA57-AB57))</f>
        <v/>
      </c>
      <c r="AD57" s="50">
        <f>IF(OR($K57="",$H57=""),"",MIN(MAX(0,IF($O57="WDV",AC57*$P57*MAX(0,(IF($I57="",AD$3,MIN($I57,AD$3)))-(MAX($H57,(EDATE(AD$3,-12)+1)))+1)/(AD$3-(EDATE(AD$3,-12)+1)+1),IF($N57=0,0,$Q57/$N57*MAX(0,(IF($I57="",AD$3,MIN($I57,AD$3)))-(MAX($H57,(EDATE(AD$3,-12)+1)))+1)/(AD$3-(EDATE(AD$3,-12)+1)+1)))),MAX(0,AC57-$M57)))</f>
        <v/>
      </c>
      <c r="AE57" s="51">
        <f>IF($K57="","",IF(AND($I57&lt;&gt;"",$I57&lt;=AD$3),0,AC57-AD57))</f>
        <v/>
      </c>
      <c r="AF57" s="50">
        <f>IF(OR($K57="",$H57=""),"",MIN(MAX(0,IF($O57="WDV",AE57*$P57*MAX(0,(IF($I57="",AF$3,MIN($I57,AF$3)))-(MAX($H57,(EDATE(AF$3,-12)+1)))+1)/(AF$3-(EDATE(AF$3,-12)+1)+1),IF($N57=0,0,$Q57/$N57*MAX(0,(IF($I57="",AF$3,MIN($I57,AF$3)))-(MAX($H57,(EDATE(AF$3,-12)+1)))+1)/(AF$3-(EDATE(AF$3,-12)+1)+1)))),MAX(0,AE57-$M57)))</f>
        <v/>
      </c>
      <c r="AG57" s="51">
        <f>IF($K57="","",IF(AND($I57&lt;&gt;"",$I57&lt;=AF$3),0,AE57-AF57))</f>
        <v/>
      </c>
      <c r="AH57" s="50">
        <f>IF(OR($K57="",$H57=""),"",MIN(MAX(0,IF($O57="WDV",AG57*$P57*MAX(0,(IF($I57="",AH$3,MIN($I57,AH$3)))-(MAX($H57,(EDATE(AH$3,-12)+1)))+1)/(AH$3-(EDATE(AH$3,-12)+1)+1),IF($N57=0,0,$Q57/$N57*MAX(0,(IF($I57="",AH$3,MIN($I57,AH$3)))-(MAX($H57,(EDATE(AH$3,-12)+1)))+1)/(AH$3-(EDATE(AH$3,-12)+1)+1)))),MAX(0,AG57-$M57)))</f>
        <v/>
      </c>
      <c r="AI57" s="51">
        <f>IF($K57="","",IF(AND($I57&lt;&gt;"",$I57&lt;=AH$3),0,AG57-AH57))</f>
        <v/>
      </c>
      <c r="AJ57" s="50">
        <f>IF(OR($K57="",$H57=""),"",MIN(MAX(0,IF($O57="WDV",AI57*$P57*MAX(0,(IF($I57="",AJ$3,MIN($I57,AJ$3)))-(MAX($H57,(EDATE(AJ$3,-12)+1)))+1)/(AJ$3-(EDATE(AJ$3,-12)+1)+1),IF($N57=0,0,$Q57/$N57*MAX(0,(IF($I57="",AJ$3,MIN($I57,AJ$3)))-(MAX($H57,(EDATE(AJ$3,-12)+1)))+1)/(AJ$3-(EDATE(AJ$3,-12)+1)+1)))),MAX(0,AI57-$M57)))</f>
        <v/>
      </c>
      <c r="AK57" s="51">
        <f>IF($K57="","",IF(AND($I57&lt;&gt;"",$I57&lt;=AJ$3),0,AI57-AJ57))</f>
        <v/>
      </c>
      <c r="AL57" s="50">
        <f>IF(OR($K57="",$H57=""),"",MIN(MAX(0,IF($O57="WDV",AK57*$P57*MAX(0,(IF($I57="",AL$3,MIN($I57,AL$3)))-(MAX($H57,(EDATE(AL$3,-12)+1)))+1)/(AL$3-(EDATE(AL$3,-12)+1)+1),IF($N57=0,0,$Q57/$N57*MAX(0,(IF($I57="",AL$3,MIN($I57,AL$3)))-(MAX($H57,(EDATE(AL$3,-12)+1)))+1)/(AL$3-(EDATE(AL$3,-12)+1)+1)))),MAX(0,AK57-$M57)))</f>
        <v/>
      </c>
      <c r="AM57" s="51">
        <f>IF($K57="","",IF(AND($I57&lt;&gt;"",$I57&lt;=AL$3),0,AK57-AL57))</f>
        <v/>
      </c>
      <c r="AN57" s="50">
        <f>IF(OR($K57="",$H57=""),"",MIN(MAX(0,IF($O57="WDV",AM57*$P57*MAX(0,(IF($I57="",AN$3,MIN($I57,AN$3)))-(MAX($H57,(EDATE(AN$3,-12)+1)))+1)/(AN$3-(EDATE(AN$3,-12)+1)+1),IF($N57=0,0,$Q57/$N57*MAX(0,(IF($I57="",AN$3,MIN($I57,AN$3)))-(MAX($H57,(EDATE(AN$3,-12)+1)))+1)/(AN$3-(EDATE(AN$3,-12)+1)+1)))),MAX(0,AM57-$M57)))</f>
        <v/>
      </c>
      <c r="AO57" s="51">
        <f>IF($K57="","",IF(AND($I57&lt;&gt;"",$I57&lt;=AN$3),0,AM57-AN57))</f>
        <v/>
      </c>
      <c r="AP57" s="50">
        <f>IF(OR($K57="",$H57=""),"",MIN(MAX(0,IF($O57="WDV",AO57*$P57*MAX(0,(IF($I57="",AP$3,MIN($I57,AP$3)))-(MAX($H57,(EDATE(AP$3,-12)+1)))+1)/(AP$3-(EDATE(AP$3,-12)+1)+1),IF($N57=0,0,$Q57/$N57*MAX(0,(IF($I57="",AP$3,MIN($I57,AP$3)))-(MAX($H57,(EDATE(AP$3,-12)+1)))+1)/(AP$3-(EDATE(AP$3,-12)+1)+1)))),MAX(0,AO57-$M57)))</f>
        <v/>
      </c>
      <c r="AQ57" s="51">
        <f>IF($K57="","",IF(AND($I57&lt;&gt;"",$I57&lt;=AP$3),0,AO57-AP57))</f>
        <v/>
      </c>
      <c r="AR57" s="50">
        <f>IF(OR($K57="",$H57=""),"",MIN(MAX(0,IF($O57="WDV",AQ57*$P57*MAX(0,(IF($I57="",AR$3,MIN($I57,AR$3)))-(MAX($H57,(EDATE(AR$3,-12)+1)))+1)/(AR$3-(EDATE(AR$3,-12)+1)+1),IF($N57=0,0,$Q57/$N57*MAX(0,(IF($I57="",AR$3,MIN($I57,AR$3)))-(MAX($H57,(EDATE(AR$3,-12)+1)))+1)/(AR$3-(EDATE(AR$3,-12)+1)+1)))),MAX(0,AQ57-$M57)))</f>
        <v/>
      </c>
      <c r="AS57" s="51">
        <f>IF($K57="","",IF(AND($I57&lt;&gt;"",$I57&lt;=AR$3),0,AQ57-AR57))</f>
        <v/>
      </c>
      <c r="AT57" s="50">
        <f>IF(OR($K57="",$H57=""),"",MIN(MAX(0,IF($O57="WDV",AS57*$P57*MAX(0,(IF($I57="",AT$3,MIN($I57,AT$3)))-(MAX($H57,(EDATE(AT$3,-12)+1)))+1)/(AT$3-(EDATE(AT$3,-12)+1)+1),IF($N57=0,0,$Q57/$N57*MAX(0,(IF($I57="",AT$3,MIN($I57,AT$3)))-(MAX($H57,(EDATE(AT$3,-12)+1)))+1)/(AT$3-(EDATE(AT$3,-12)+1)+1)))),MAX(0,AS57-$M57)))</f>
        <v/>
      </c>
      <c r="AU57" s="51">
        <f>IF($K57="","",IF(AND($I57&lt;&gt;"",$I57&lt;=AT$3),0,AS57-AT57))</f>
        <v/>
      </c>
      <c r="AV57" s="50">
        <f>IF(OR($K57="",$H57=""),"",MIN(MAX(0,IF($O57="WDV",AU57*$P57*MAX(0,(IF($I57="",AV$3,MIN($I57,AV$3)))-(MAX($H57,(EDATE(AV$3,-12)+1)))+1)/(AV$3-(EDATE(AV$3,-12)+1)+1),IF($N57=0,0,$Q57/$N57*MAX(0,(IF($I57="",AV$3,MIN($I57,AV$3)))-(MAX($H57,(EDATE(AV$3,-12)+1)))+1)/(AV$3-(EDATE(AV$3,-12)+1)+1)))),MAX(0,AU57-$M57)))</f>
        <v/>
      </c>
      <c r="AW57" s="51">
        <f>IF($K57="","",IF(AND($I57&lt;&gt;"",$I57&lt;=AV$3),0,AU57-AV57))</f>
        <v/>
      </c>
      <c r="AX57" s="50">
        <f>IF(OR($K57="",$H57=""),"",MIN(MAX(0,IF($O57="WDV",AW57*$P57*MAX(0,(IF($I57="",AX$3,MIN($I57,AX$3)))-(MAX($H57,(EDATE(AX$3,-12)+1)))+1)/(AX$3-(EDATE(AX$3,-12)+1)+1),IF($N57=0,0,$Q57/$N57*MAX(0,(IF($I57="",AX$3,MIN($I57,AX$3)))-(MAX($H57,(EDATE(AX$3,-12)+1)))+1)/(AX$3-(EDATE(AX$3,-12)+1)+1)))),MAX(0,AW57-$M57)))</f>
        <v/>
      </c>
      <c r="AY57" s="51">
        <f>IF($K57="","",IF(AND($I57&lt;&gt;"",$I57&lt;=AX$3),0,AW57-AX57))</f>
        <v/>
      </c>
      <c r="AZ57" s="50">
        <f>IF(OR($K57="",$H57=""),"",MIN(MAX(0,IF($O57="WDV",AY57*$P57*MAX(0,(IF($I57="",AZ$3,MIN($I57,AZ$3)))-(MAX($H57,(EDATE(AZ$3,-12)+1)))+1)/(AZ$3-(EDATE(AZ$3,-12)+1)+1),IF($N57=0,0,$Q57/$N57*MAX(0,(IF($I57="",AZ$3,MIN($I57,AZ$3)))-(MAX($H57,(EDATE(AZ$3,-12)+1)))+1)/(AZ$3-(EDATE(AZ$3,-12)+1)+1)))),MAX(0,AY57-$M57)))</f>
        <v/>
      </c>
      <c r="BA57" s="51">
        <f>IF($K57="","",IF(AND($I57&lt;&gt;"",$I57&lt;=AZ$3),0,AY57-AZ57))</f>
        <v/>
      </c>
    </row>
    <row r="58">
      <c r="A58" s="52" t="n"/>
      <c r="B58" s="53" t="n"/>
      <c r="C58" s="53" t="n"/>
      <c r="D58" s="53" t="n"/>
      <c r="E58" s="19" t="n"/>
      <c r="F58" s="54" t="n"/>
      <c r="G58" s="55" t="n"/>
      <c r="H58" s="55" t="n"/>
      <c r="I58" s="56" t="n"/>
      <c r="J58" s="57" t="n"/>
      <c r="K58" s="58" t="n"/>
      <c r="L58" s="59">
        <f>DefaultResidual</f>
        <v/>
      </c>
      <c r="M58" s="60">
        <f>IF($K58="","",$K58*$L58)</f>
        <v/>
      </c>
      <c r="N58" s="20">
        <f>IF($C58="","",IFERROR(VLOOKUP($C58,ScheduleIITable,3,FALSE),"#N/A"))</f>
        <v/>
      </c>
      <c r="O58" s="61">
        <f>IF($K58="","",GlobalMethod)</f>
        <v/>
      </c>
      <c r="P58" s="21">
        <f>IF(OR($K58="",$N58="",$N58=0,$M58=0),0,1-($M58/$K58)^(1/$N58))</f>
        <v/>
      </c>
      <c r="Q58" s="60">
        <f>IF($K58="","",$K58-$M58)</f>
        <v/>
      </c>
      <c r="R58" s="62">
        <f>IF($K58="","",INDEX($V58:$BA58,1,MATCH(ReportingFYEnd,$V$3:$BA$3,0)))</f>
        <v/>
      </c>
      <c r="S58" s="60">
        <f>IF($K58="","",IF($U58="Disposed",0,$K58-$T58))</f>
        <v/>
      </c>
      <c r="T58" s="63">
        <f>IF($K58="","",INDEX($V58:$BA58,1,MATCH(ReportingFYEnd,$V$3:$BA$3,0)+1))</f>
        <v/>
      </c>
      <c r="U58" s="64">
        <f>IF($K58="","",IF(AND($I58&lt;&gt;"",$I58&lt;=ReportingFYEnd),"Disposed",IF(OR($H58="",$H58&gt;ReportingFYEnd),"Not Yet in Use","Active")))</f>
        <v/>
      </c>
      <c r="V58" s="65">
        <f>IF(OR($K58="",$H58=""),"",MIN(MAX(0,IF($O58="WDV",$K58*$P58*MAX(0,(IF($I58="",V$3,MIN($I58,V$3)))-(MAX($H58,(EDATE(V$3,-12)+1)))+1)/(V$3-(EDATE(V$3,-12)+1)+1),IF($N58=0,0,$Q58/$N58*MAX(0,(IF($I58="",V$3,MIN($I58,V$3)))-(MAX($H58,(EDATE(V$3,-12)+1)))+1)/(V$3-(EDATE(V$3,-12)+1)+1)))),MAX(0,$K58-$M58)))</f>
        <v/>
      </c>
      <c r="W58" s="65">
        <f>IF($K58="","",IF(AND($I58&lt;&gt;"",$I58&lt;=V$3),0,$K58-V58))</f>
        <v/>
      </c>
      <c r="X58" s="65">
        <f>IF(OR($K58="",$H58=""),"",MIN(MAX(0,IF($O58="WDV",W58*$P58*MAX(0,(IF($I58="",X$3,MIN($I58,X$3)))-(MAX($H58,(EDATE(X$3,-12)+1)))+1)/(X$3-(EDATE(X$3,-12)+1)+1),IF($N58=0,0,$Q58/$N58*MAX(0,(IF($I58="",X$3,MIN($I58,X$3)))-(MAX($H58,(EDATE(X$3,-12)+1)))+1)/(X$3-(EDATE(X$3,-12)+1)+1)))),MAX(0,W58-$M58)))</f>
        <v/>
      </c>
      <c r="Y58" s="65">
        <f>IF($K58="","",IF(AND($I58&lt;&gt;"",$I58&lt;=X$3),0,W58-X58))</f>
        <v/>
      </c>
      <c r="Z58" s="65">
        <f>IF(OR($K58="",$H58=""),"",MIN(MAX(0,IF($O58="WDV",Y58*$P58*MAX(0,(IF($I58="",Z$3,MIN($I58,Z$3)))-(MAX($H58,(EDATE(Z$3,-12)+1)))+1)/(Z$3-(EDATE(Z$3,-12)+1)+1),IF($N58=0,0,$Q58/$N58*MAX(0,(IF($I58="",Z$3,MIN($I58,Z$3)))-(MAX($H58,(EDATE(Z$3,-12)+1)))+1)/(Z$3-(EDATE(Z$3,-12)+1)+1)))),MAX(0,Y58-$M58)))</f>
        <v/>
      </c>
      <c r="AA58" s="65">
        <f>IF($K58="","",IF(AND($I58&lt;&gt;"",$I58&lt;=Z$3),0,Y58-Z58))</f>
        <v/>
      </c>
      <c r="AB58" s="65">
        <f>IF(OR($K58="",$H58=""),"",MIN(MAX(0,IF($O58="WDV",AA58*$P58*MAX(0,(IF($I58="",AB$3,MIN($I58,AB$3)))-(MAX($H58,(EDATE(AB$3,-12)+1)))+1)/(AB$3-(EDATE(AB$3,-12)+1)+1),IF($N58=0,0,$Q58/$N58*MAX(0,(IF($I58="",AB$3,MIN($I58,AB$3)))-(MAX($H58,(EDATE(AB$3,-12)+1)))+1)/(AB$3-(EDATE(AB$3,-12)+1)+1)))),MAX(0,AA58-$M58)))</f>
        <v/>
      </c>
      <c r="AC58" s="65">
        <f>IF($K58="","",IF(AND($I58&lt;&gt;"",$I58&lt;=AB$3),0,AA58-AB58))</f>
        <v/>
      </c>
      <c r="AD58" s="65">
        <f>IF(OR($K58="",$H58=""),"",MIN(MAX(0,IF($O58="WDV",AC58*$P58*MAX(0,(IF($I58="",AD$3,MIN($I58,AD$3)))-(MAX($H58,(EDATE(AD$3,-12)+1)))+1)/(AD$3-(EDATE(AD$3,-12)+1)+1),IF($N58=0,0,$Q58/$N58*MAX(0,(IF($I58="",AD$3,MIN($I58,AD$3)))-(MAX($H58,(EDATE(AD$3,-12)+1)))+1)/(AD$3-(EDATE(AD$3,-12)+1)+1)))),MAX(0,AC58-$M58)))</f>
        <v/>
      </c>
      <c r="AE58" s="65">
        <f>IF($K58="","",IF(AND($I58&lt;&gt;"",$I58&lt;=AD$3),0,AC58-AD58))</f>
        <v/>
      </c>
      <c r="AF58" s="65">
        <f>IF(OR($K58="",$H58=""),"",MIN(MAX(0,IF($O58="WDV",AE58*$P58*MAX(0,(IF($I58="",AF$3,MIN($I58,AF$3)))-(MAX($H58,(EDATE(AF$3,-12)+1)))+1)/(AF$3-(EDATE(AF$3,-12)+1)+1),IF($N58=0,0,$Q58/$N58*MAX(0,(IF($I58="",AF$3,MIN($I58,AF$3)))-(MAX($H58,(EDATE(AF$3,-12)+1)))+1)/(AF$3-(EDATE(AF$3,-12)+1)+1)))),MAX(0,AE58-$M58)))</f>
        <v/>
      </c>
      <c r="AG58" s="65">
        <f>IF($K58="","",IF(AND($I58&lt;&gt;"",$I58&lt;=AF$3),0,AE58-AF58))</f>
        <v/>
      </c>
      <c r="AH58" s="65">
        <f>IF(OR($K58="",$H58=""),"",MIN(MAX(0,IF($O58="WDV",AG58*$P58*MAX(0,(IF($I58="",AH$3,MIN($I58,AH$3)))-(MAX($H58,(EDATE(AH$3,-12)+1)))+1)/(AH$3-(EDATE(AH$3,-12)+1)+1),IF($N58=0,0,$Q58/$N58*MAX(0,(IF($I58="",AH$3,MIN($I58,AH$3)))-(MAX($H58,(EDATE(AH$3,-12)+1)))+1)/(AH$3-(EDATE(AH$3,-12)+1)+1)))),MAX(0,AG58-$M58)))</f>
        <v/>
      </c>
      <c r="AI58" s="65">
        <f>IF($K58="","",IF(AND($I58&lt;&gt;"",$I58&lt;=AH$3),0,AG58-AH58))</f>
        <v/>
      </c>
      <c r="AJ58" s="65">
        <f>IF(OR($K58="",$H58=""),"",MIN(MAX(0,IF($O58="WDV",AI58*$P58*MAX(0,(IF($I58="",AJ$3,MIN($I58,AJ$3)))-(MAX($H58,(EDATE(AJ$3,-12)+1)))+1)/(AJ$3-(EDATE(AJ$3,-12)+1)+1),IF($N58=0,0,$Q58/$N58*MAX(0,(IF($I58="",AJ$3,MIN($I58,AJ$3)))-(MAX($H58,(EDATE(AJ$3,-12)+1)))+1)/(AJ$3-(EDATE(AJ$3,-12)+1)+1)))),MAX(0,AI58-$M58)))</f>
        <v/>
      </c>
      <c r="AK58" s="65">
        <f>IF($K58="","",IF(AND($I58&lt;&gt;"",$I58&lt;=AJ$3),0,AI58-AJ58))</f>
        <v/>
      </c>
      <c r="AL58" s="65">
        <f>IF(OR($K58="",$H58=""),"",MIN(MAX(0,IF($O58="WDV",AK58*$P58*MAX(0,(IF($I58="",AL$3,MIN($I58,AL$3)))-(MAX($H58,(EDATE(AL$3,-12)+1)))+1)/(AL$3-(EDATE(AL$3,-12)+1)+1),IF($N58=0,0,$Q58/$N58*MAX(0,(IF($I58="",AL$3,MIN($I58,AL$3)))-(MAX($H58,(EDATE(AL$3,-12)+1)))+1)/(AL$3-(EDATE(AL$3,-12)+1)+1)))),MAX(0,AK58-$M58)))</f>
        <v/>
      </c>
      <c r="AM58" s="65">
        <f>IF($K58="","",IF(AND($I58&lt;&gt;"",$I58&lt;=AL$3),0,AK58-AL58))</f>
        <v/>
      </c>
      <c r="AN58" s="65">
        <f>IF(OR($K58="",$H58=""),"",MIN(MAX(0,IF($O58="WDV",AM58*$P58*MAX(0,(IF($I58="",AN$3,MIN($I58,AN$3)))-(MAX($H58,(EDATE(AN$3,-12)+1)))+1)/(AN$3-(EDATE(AN$3,-12)+1)+1),IF($N58=0,0,$Q58/$N58*MAX(0,(IF($I58="",AN$3,MIN($I58,AN$3)))-(MAX($H58,(EDATE(AN$3,-12)+1)))+1)/(AN$3-(EDATE(AN$3,-12)+1)+1)))),MAX(0,AM58-$M58)))</f>
        <v/>
      </c>
      <c r="AO58" s="65">
        <f>IF($K58="","",IF(AND($I58&lt;&gt;"",$I58&lt;=AN$3),0,AM58-AN58))</f>
        <v/>
      </c>
      <c r="AP58" s="65">
        <f>IF(OR($K58="",$H58=""),"",MIN(MAX(0,IF($O58="WDV",AO58*$P58*MAX(0,(IF($I58="",AP$3,MIN($I58,AP$3)))-(MAX($H58,(EDATE(AP$3,-12)+1)))+1)/(AP$3-(EDATE(AP$3,-12)+1)+1),IF($N58=0,0,$Q58/$N58*MAX(0,(IF($I58="",AP$3,MIN($I58,AP$3)))-(MAX($H58,(EDATE(AP$3,-12)+1)))+1)/(AP$3-(EDATE(AP$3,-12)+1)+1)))),MAX(0,AO58-$M58)))</f>
        <v/>
      </c>
      <c r="AQ58" s="65">
        <f>IF($K58="","",IF(AND($I58&lt;&gt;"",$I58&lt;=AP$3),0,AO58-AP58))</f>
        <v/>
      </c>
      <c r="AR58" s="65">
        <f>IF(OR($K58="",$H58=""),"",MIN(MAX(0,IF($O58="WDV",AQ58*$P58*MAX(0,(IF($I58="",AR$3,MIN($I58,AR$3)))-(MAX($H58,(EDATE(AR$3,-12)+1)))+1)/(AR$3-(EDATE(AR$3,-12)+1)+1),IF($N58=0,0,$Q58/$N58*MAX(0,(IF($I58="",AR$3,MIN($I58,AR$3)))-(MAX($H58,(EDATE(AR$3,-12)+1)))+1)/(AR$3-(EDATE(AR$3,-12)+1)+1)))),MAX(0,AQ58-$M58)))</f>
        <v/>
      </c>
      <c r="AS58" s="65">
        <f>IF($K58="","",IF(AND($I58&lt;&gt;"",$I58&lt;=AR$3),0,AQ58-AR58))</f>
        <v/>
      </c>
      <c r="AT58" s="65">
        <f>IF(OR($K58="",$H58=""),"",MIN(MAX(0,IF($O58="WDV",AS58*$P58*MAX(0,(IF($I58="",AT$3,MIN($I58,AT$3)))-(MAX($H58,(EDATE(AT$3,-12)+1)))+1)/(AT$3-(EDATE(AT$3,-12)+1)+1),IF($N58=0,0,$Q58/$N58*MAX(0,(IF($I58="",AT$3,MIN($I58,AT$3)))-(MAX($H58,(EDATE(AT$3,-12)+1)))+1)/(AT$3-(EDATE(AT$3,-12)+1)+1)))),MAX(0,AS58-$M58)))</f>
        <v/>
      </c>
      <c r="AU58" s="65">
        <f>IF($K58="","",IF(AND($I58&lt;&gt;"",$I58&lt;=AT$3),0,AS58-AT58))</f>
        <v/>
      </c>
      <c r="AV58" s="65">
        <f>IF(OR($K58="",$H58=""),"",MIN(MAX(0,IF($O58="WDV",AU58*$P58*MAX(0,(IF($I58="",AV$3,MIN($I58,AV$3)))-(MAX($H58,(EDATE(AV$3,-12)+1)))+1)/(AV$3-(EDATE(AV$3,-12)+1)+1),IF($N58=0,0,$Q58/$N58*MAX(0,(IF($I58="",AV$3,MIN($I58,AV$3)))-(MAX($H58,(EDATE(AV$3,-12)+1)))+1)/(AV$3-(EDATE(AV$3,-12)+1)+1)))),MAX(0,AU58-$M58)))</f>
        <v/>
      </c>
      <c r="AW58" s="65">
        <f>IF($K58="","",IF(AND($I58&lt;&gt;"",$I58&lt;=AV$3),0,AU58-AV58))</f>
        <v/>
      </c>
      <c r="AX58" s="65">
        <f>IF(OR($K58="",$H58=""),"",MIN(MAX(0,IF($O58="WDV",AW58*$P58*MAX(0,(IF($I58="",AX$3,MIN($I58,AX$3)))-(MAX($H58,(EDATE(AX$3,-12)+1)))+1)/(AX$3-(EDATE(AX$3,-12)+1)+1),IF($N58=0,0,$Q58/$N58*MAX(0,(IF($I58="",AX$3,MIN($I58,AX$3)))-(MAX($H58,(EDATE(AX$3,-12)+1)))+1)/(AX$3-(EDATE(AX$3,-12)+1)+1)))),MAX(0,AW58-$M58)))</f>
        <v/>
      </c>
      <c r="AY58" s="65">
        <f>IF($K58="","",IF(AND($I58&lt;&gt;"",$I58&lt;=AX$3),0,AW58-AX58))</f>
        <v/>
      </c>
      <c r="AZ58" s="65">
        <f>IF(OR($K58="",$H58=""),"",MIN(MAX(0,IF($O58="WDV",AY58*$P58*MAX(0,(IF($I58="",AZ$3,MIN($I58,AZ$3)))-(MAX($H58,(EDATE(AZ$3,-12)+1)))+1)/(AZ$3-(EDATE(AZ$3,-12)+1)+1),IF($N58=0,0,$Q58/$N58*MAX(0,(IF($I58="",AZ$3,MIN($I58,AZ$3)))-(MAX($H58,(EDATE(AZ$3,-12)+1)))+1)/(AZ$3-(EDATE(AZ$3,-12)+1)+1)))),MAX(0,AY58-$M58)))</f>
        <v/>
      </c>
      <c r="BA58" s="65">
        <f>IF($K58="","",IF(AND($I58&lt;&gt;"",$I58&lt;=AZ$3),0,AY58-AZ58))</f>
        <v/>
      </c>
    </row>
    <row r="59">
      <c r="A59" s="34" t="n"/>
      <c r="B59" s="35" t="n"/>
      <c r="C59" s="35" t="n"/>
      <c r="D59" s="35" t="n"/>
      <c r="E59" s="36" t="n"/>
      <c r="F59" s="37" t="n"/>
      <c r="G59" s="38" t="n"/>
      <c r="H59" s="38" t="n"/>
      <c r="I59" s="39" t="n"/>
      <c r="J59" s="40" t="n"/>
      <c r="K59" s="41" t="n"/>
      <c r="L59" s="42">
        <f>DefaultResidual</f>
        <v/>
      </c>
      <c r="M59" s="43">
        <f>IF($K59="","",$K59*$L59)</f>
        <v/>
      </c>
      <c r="N59" s="44">
        <f>IF($C59="","",IFERROR(VLOOKUP($C59,ScheduleIITable,3,FALSE),"#N/A"))</f>
        <v/>
      </c>
      <c r="O59" s="45">
        <f>IF($K59="","",GlobalMethod)</f>
        <v/>
      </c>
      <c r="P59" s="46">
        <f>IF(OR($K59="",$N59="",$N59=0,$M59=0),0,1-($M59/$K59)^(1/$N59))</f>
        <v/>
      </c>
      <c r="Q59" s="43">
        <f>IF($K59="","",$K59-$M59)</f>
        <v/>
      </c>
      <c r="R59" s="47">
        <f>IF($K59="","",INDEX($V59:$BA59,1,MATCH(ReportingFYEnd,$V$3:$BA$3,0)))</f>
        <v/>
      </c>
      <c r="S59" s="43">
        <f>IF($K59="","",IF($U59="Disposed",0,$K59-$T59))</f>
        <v/>
      </c>
      <c r="T59" s="48">
        <f>IF($K59="","",INDEX($V59:$BA59,1,MATCH(ReportingFYEnd,$V$3:$BA$3,0)+1))</f>
        <v/>
      </c>
      <c r="U59" s="49">
        <f>IF($K59="","",IF(AND($I59&lt;&gt;"",$I59&lt;=ReportingFYEnd),"Disposed",IF(OR($H59="",$H59&gt;ReportingFYEnd),"Not Yet in Use","Active")))</f>
        <v/>
      </c>
      <c r="V59" s="50">
        <f>IF(OR($K59="",$H59=""),"",MIN(MAX(0,IF($O59="WDV",$K59*$P59*MAX(0,(IF($I59="",V$3,MIN($I59,V$3)))-(MAX($H59,(EDATE(V$3,-12)+1)))+1)/(V$3-(EDATE(V$3,-12)+1)+1),IF($N59=0,0,$Q59/$N59*MAX(0,(IF($I59="",V$3,MIN($I59,V$3)))-(MAX($H59,(EDATE(V$3,-12)+1)))+1)/(V$3-(EDATE(V$3,-12)+1)+1)))),MAX(0,$K59-$M59)))</f>
        <v/>
      </c>
      <c r="W59" s="51">
        <f>IF($K59="","",IF(AND($I59&lt;&gt;"",$I59&lt;=V$3),0,$K59-V59))</f>
        <v/>
      </c>
      <c r="X59" s="50">
        <f>IF(OR($K59="",$H59=""),"",MIN(MAX(0,IF($O59="WDV",W59*$P59*MAX(0,(IF($I59="",X$3,MIN($I59,X$3)))-(MAX($H59,(EDATE(X$3,-12)+1)))+1)/(X$3-(EDATE(X$3,-12)+1)+1),IF($N59=0,0,$Q59/$N59*MAX(0,(IF($I59="",X$3,MIN($I59,X$3)))-(MAX($H59,(EDATE(X$3,-12)+1)))+1)/(X$3-(EDATE(X$3,-12)+1)+1)))),MAX(0,W59-$M59)))</f>
        <v/>
      </c>
      <c r="Y59" s="51">
        <f>IF($K59="","",IF(AND($I59&lt;&gt;"",$I59&lt;=X$3),0,W59-X59))</f>
        <v/>
      </c>
      <c r="Z59" s="50">
        <f>IF(OR($K59="",$H59=""),"",MIN(MAX(0,IF($O59="WDV",Y59*$P59*MAX(0,(IF($I59="",Z$3,MIN($I59,Z$3)))-(MAX($H59,(EDATE(Z$3,-12)+1)))+1)/(Z$3-(EDATE(Z$3,-12)+1)+1),IF($N59=0,0,$Q59/$N59*MAX(0,(IF($I59="",Z$3,MIN($I59,Z$3)))-(MAX($H59,(EDATE(Z$3,-12)+1)))+1)/(Z$3-(EDATE(Z$3,-12)+1)+1)))),MAX(0,Y59-$M59)))</f>
        <v/>
      </c>
      <c r="AA59" s="51">
        <f>IF($K59="","",IF(AND($I59&lt;&gt;"",$I59&lt;=Z$3),0,Y59-Z59))</f>
        <v/>
      </c>
      <c r="AB59" s="50">
        <f>IF(OR($K59="",$H59=""),"",MIN(MAX(0,IF($O59="WDV",AA59*$P59*MAX(0,(IF($I59="",AB$3,MIN($I59,AB$3)))-(MAX($H59,(EDATE(AB$3,-12)+1)))+1)/(AB$3-(EDATE(AB$3,-12)+1)+1),IF($N59=0,0,$Q59/$N59*MAX(0,(IF($I59="",AB$3,MIN($I59,AB$3)))-(MAX($H59,(EDATE(AB$3,-12)+1)))+1)/(AB$3-(EDATE(AB$3,-12)+1)+1)))),MAX(0,AA59-$M59)))</f>
        <v/>
      </c>
      <c r="AC59" s="51">
        <f>IF($K59="","",IF(AND($I59&lt;&gt;"",$I59&lt;=AB$3),0,AA59-AB59))</f>
        <v/>
      </c>
      <c r="AD59" s="50">
        <f>IF(OR($K59="",$H59=""),"",MIN(MAX(0,IF($O59="WDV",AC59*$P59*MAX(0,(IF($I59="",AD$3,MIN($I59,AD$3)))-(MAX($H59,(EDATE(AD$3,-12)+1)))+1)/(AD$3-(EDATE(AD$3,-12)+1)+1),IF($N59=0,0,$Q59/$N59*MAX(0,(IF($I59="",AD$3,MIN($I59,AD$3)))-(MAX($H59,(EDATE(AD$3,-12)+1)))+1)/(AD$3-(EDATE(AD$3,-12)+1)+1)))),MAX(0,AC59-$M59)))</f>
        <v/>
      </c>
      <c r="AE59" s="51">
        <f>IF($K59="","",IF(AND($I59&lt;&gt;"",$I59&lt;=AD$3),0,AC59-AD59))</f>
        <v/>
      </c>
      <c r="AF59" s="50">
        <f>IF(OR($K59="",$H59=""),"",MIN(MAX(0,IF($O59="WDV",AE59*$P59*MAX(0,(IF($I59="",AF$3,MIN($I59,AF$3)))-(MAX($H59,(EDATE(AF$3,-12)+1)))+1)/(AF$3-(EDATE(AF$3,-12)+1)+1),IF($N59=0,0,$Q59/$N59*MAX(0,(IF($I59="",AF$3,MIN($I59,AF$3)))-(MAX($H59,(EDATE(AF$3,-12)+1)))+1)/(AF$3-(EDATE(AF$3,-12)+1)+1)))),MAX(0,AE59-$M59)))</f>
        <v/>
      </c>
      <c r="AG59" s="51">
        <f>IF($K59="","",IF(AND($I59&lt;&gt;"",$I59&lt;=AF$3),0,AE59-AF59))</f>
        <v/>
      </c>
      <c r="AH59" s="50">
        <f>IF(OR($K59="",$H59=""),"",MIN(MAX(0,IF($O59="WDV",AG59*$P59*MAX(0,(IF($I59="",AH$3,MIN($I59,AH$3)))-(MAX($H59,(EDATE(AH$3,-12)+1)))+1)/(AH$3-(EDATE(AH$3,-12)+1)+1),IF($N59=0,0,$Q59/$N59*MAX(0,(IF($I59="",AH$3,MIN($I59,AH$3)))-(MAX($H59,(EDATE(AH$3,-12)+1)))+1)/(AH$3-(EDATE(AH$3,-12)+1)+1)))),MAX(0,AG59-$M59)))</f>
        <v/>
      </c>
      <c r="AI59" s="51">
        <f>IF($K59="","",IF(AND($I59&lt;&gt;"",$I59&lt;=AH$3),0,AG59-AH59))</f>
        <v/>
      </c>
      <c r="AJ59" s="50">
        <f>IF(OR($K59="",$H59=""),"",MIN(MAX(0,IF($O59="WDV",AI59*$P59*MAX(0,(IF($I59="",AJ$3,MIN($I59,AJ$3)))-(MAX($H59,(EDATE(AJ$3,-12)+1)))+1)/(AJ$3-(EDATE(AJ$3,-12)+1)+1),IF($N59=0,0,$Q59/$N59*MAX(0,(IF($I59="",AJ$3,MIN($I59,AJ$3)))-(MAX($H59,(EDATE(AJ$3,-12)+1)))+1)/(AJ$3-(EDATE(AJ$3,-12)+1)+1)))),MAX(0,AI59-$M59)))</f>
        <v/>
      </c>
      <c r="AK59" s="51">
        <f>IF($K59="","",IF(AND($I59&lt;&gt;"",$I59&lt;=AJ$3),0,AI59-AJ59))</f>
        <v/>
      </c>
      <c r="AL59" s="50">
        <f>IF(OR($K59="",$H59=""),"",MIN(MAX(0,IF($O59="WDV",AK59*$P59*MAX(0,(IF($I59="",AL$3,MIN($I59,AL$3)))-(MAX($H59,(EDATE(AL$3,-12)+1)))+1)/(AL$3-(EDATE(AL$3,-12)+1)+1),IF($N59=0,0,$Q59/$N59*MAX(0,(IF($I59="",AL$3,MIN($I59,AL$3)))-(MAX($H59,(EDATE(AL$3,-12)+1)))+1)/(AL$3-(EDATE(AL$3,-12)+1)+1)))),MAX(0,AK59-$M59)))</f>
        <v/>
      </c>
      <c r="AM59" s="51">
        <f>IF($K59="","",IF(AND($I59&lt;&gt;"",$I59&lt;=AL$3),0,AK59-AL59))</f>
        <v/>
      </c>
      <c r="AN59" s="50">
        <f>IF(OR($K59="",$H59=""),"",MIN(MAX(0,IF($O59="WDV",AM59*$P59*MAX(0,(IF($I59="",AN$3,MIN($I59,AN$3)))-(MAX($H59,(EDATE(AN$3,-12)+1)))+1)/(AN$3-(EDATE(AN$3,-12)+1)+1),IF($N59=0,0,$Q59/$N59*MAX(0,(IF($I59="",AN$3,MIN($I59,AN$3)))-(MAX($H59,(EDATE(AN$3,-12)+1)))+1)/(AN$3-(EDATE(AN$3,-12)+1)+1)))),MAX(0,AM59-$M59)))</f>
        <v/>
      </c>
      <c r="AO59" s="51">
        <f>IF($K59="","",IF(AND($I59&lt;&gt;"",$I59&lt;=AN$3),0,AM59-AN59))</f>
        <v/>
      </c>
      <c r="AP59" s="50">
        <f>IF(OR($K59="",$H59=""),"",MIN(MAX(0,IF($O59="WDV",AO59*$P59*MAX(0,(IF($I59="",AP$3,MIN($I59,AP$3)))-(MAX($H59,(EDATE(AP$3,-12)+1)))+1)/(AP$3-(EDATE(AP$3,-12)+1)+1),IF($N59=0,0,$Q59/$N59*MAX(0,(IF($I59="",AP$3,MIN($I59,AP$3)))-(MAX($H59,(EDATE(AP$3,-12)+1)))+1)/(AP$3-(EDATE(AP$3,-12)+1)+1)))),MAX(0,AO59-$M59)))</f>
        <v/>
      </c>
      <c r="AQ59" s="51">
        <f>IF($K59="","",IF(AND($I59&lt;&gt;"",$I59&lt;=AP$3),0,AO59-AP59))</f>
        <v/>
      </c>
      <c r="AR59" s="50">
        <f>IF(OR($K59="",$H59=""),"",MIN(MAX(0,IF($O59="WDV",AQ59*$P59*MAX(0,(IF($I59="",AR$3,MIN($I59,AR$3)))-(MAX($H59,(EDATE(AR$3,-12)+1)))+1)/(AR$3-(EDATE(AR$3,-12)+1)+1),IF($N59=0,0,$Q59/$N59*MAX(0,(IF($I59="",AR$3,MIN($I59,AR$3)))-(MAX($H59,(EDATE(AR$3,-12)+1)))+1)/(AR$3-(EDATE(AR$3,-12)+1)+1)))),MAX(0,AQ59-$M59)))</f>
        <v/>
      </c>
      <c r="AS59" s="51">
        <f>IF($K59="","",IF(AND($I59&lt;&gt;"",$I59&lt;=AR$3),0,AQ59-AR59))</f>
        <v/>
      </c>
      <c r="AT59" s="50">
        <f>IF(OR($K59="",$H59=""),"",MIN(MAX(0,IF($O59="WDV",AS59*$P59*MAX(0,(IF($I59="",AT$3,MIN($I59,AT$3)))-(MAX($H59,(EDATE(AT$3,-12)+1)))+1)/(AT$3-(EDATE(AT$3,-12)+1)+1),IF($N59=0,0,$Q59/$N59*MAX(0,(IF($I59="",AT$3,MIN($I59,AT$3)))-(MAX($H59,(EDATE(AT$3,-12)+1)))+1)/(AT$3-(EDATE(AT$3,-12)+1)+1)))),MAX(0,AS59-$M59)))</f>
        <v/>
      </c>
      <c r="AU59" s="51">
        <f>IF($K59="","",IF(AND($I59&lt;&gt;"",$I59&lt;=AT$3),0,AS59-AT59))</f>
        <v/>
      </c>
      <c r="AV59" s="50">
        <f>IF(OR($K59="",$H59=""),"",MIN(MAX(0,IF($O59="WDV",AU59*$P59*MAX(0,(IF($I59="",AV$3,MIN($I59,AV$3)))-(MAX($H59,(EDATE(AV$3,-12)+1)))+1)/(AV$3-(EDATE(AV$3,-12)+1)+1),IF($N59=0,0,$Q59/$N59*MAX(0,(IF($I59="",AV$3,MIN($I59,AV$3)))-(MAX($H59,(EDATE(AV$3,-12)+1)))+1)/(AV$3-(EDATE(AV$3,-12)+1)+1)))),MAX(0,AU59-$M59)))</f>
        <v/>
      </c>
      <c r="AW59" s="51">
        <f>IF($K59="","",IF(AND($I59&lt;&gt;"",$I59&lt;=AV$3),0,AU59-AV59))</f>
        <v/>
      </c>
      <c r="AX59" s="50">
        <f>IF(OR($K59="",$H59=""),"",MIN(MAX(0,IF($O59="WDV",AW59*$P59*MAX(0,(IF($I59="",AX$3,MIN($I59,AX$3)))-(MAX($H59,(EDATE(AX$3,-12)+1)))+1)/(AX$3-(EDATE(AX$3,-12)+1)+1),IF($N59=0,0,$Q59/$N59*MAX(0,(IF($I59="",AX$3,MIN($I59,AX$3)))-(MAX($H59,(EDATE(AX$3,-12)+1)))+1)/(AX$3-(EDATE(AX$3,-12)+1)+1)))),MAX(0,AW59-$M59)))</f>
        <v/>
      </c>
      <c r="AY59" s="51">
        <f>IF($K59="","",IF(AND($I59&lt;&gt;"",$I59&lt;=AX$3),0,AW59-AX59))</f>
        <v/>
      </c>
      <c r="AZ59" s="50">
        <f>IF(OR($K59="",$H59=""),"",MIN(MAX(0,IF($O59="WDV",AY59*$P59*MAX(0,(IF($I59="",AZ$3,MIN($I59,AZ$3)))-(MAX($H59,(EDATE(AZ$3,-12)+1)))+1)/(AZ$3-(EDATE(AZ$3,-12)+1)+1),IF($N59=0,0,$Q59/$N59*MAX(0,(IF($I59="",AZ$3,MIN($I59,AZ$3)))-(MAX($H59,(EDATE(AZ$3,-12)+1)))+1)/(AZ$3-(EDATE(AZ$3,-12)+1)+1)))),MAX(0,AY59-$M59)))</f>
        <v/>
      </c>
      <c r="BA59" s="51">
        <f>IF($K59="","",IF(AND($I59&lt;&gt;"",$I59&lt;=AZ$3),0,AY59-AZ59))</f>
        <v/>
      </c>
    </row>
    <row r="60">
      <c r="A60" s="52" t="n"/>
      <c r="B60" s="53" t="n"/>
      <c r="C60" s="53" t="n"/>
      <c r="D60" s="53" t="n"/>
      <c r="E60" s="19" t="n"/>
      <c r="F60" s="54" t="n"/>
      <c r="G60" s="55" t="n"/>
      <c r="H60" s="55" t="n"/>
      <c r="I60" s="56" t="n"/>
      <c r="J60" s="57" t="n"/>
      <c r="K60" s="58" t="n"/>
      <c r="L60" s="59">
        <f>DefaultResidual</f>
        <v/>
      </c>
      <c r="M60" s="60">
        <f>IF($K60="","",$K60*$L60)</f>
        <v/>
      </c>
      <c r="N60" s="20">
        <f>IF($C60="","",IFERROR(VLOOKUP($C60,ScheduleIITable,3,FALSE),"#N/A"))</f>
        <v/>
      </c>
      <c r="O60" s="61">
        <f>IF($K60="","",GlobalMethod)</f>
        <v/>
      </c>
      <c r="P60" s="21">
        <f>IF(OR($K60="",$N60="",$N60=0,$M60=0),0,1-($M60/$K60)^(1/$N60))</f>
        <v/>
      </c>
      <c r="Q60" s="60">
        <f>IF($K60="","",$K60-$M60)</f>
        <v/>
      </c>
      <c r="R60" s="62">
        <f>IF($K60="","",INDEX($V60:$BA60,1,MATCH(ReportingFYEnd,$V$3:$BA$3,0)))</f>
        <v/>
      </c>
      <c r="S60" s="60">
        <f>IF($K60="","",IF($U60="Disposed",0,$K60-$T60))</f>
        <v/>
      </c>
      <c r="T60" s="63">
        <f>IF($K60="","",INDEX($V60:$BA60,1,MATCH(ReportingFYEnd,$V$3:$BA$3,0)+1))</f>
        <v/>
      </c>
      <c r="U60" s="64">
        <f>IF($K60="","",IF(AND($I60&lt;&gt;"",$I60&lt;=ReportingFYEnd),"Disposed",IF(OR($H60="",$H60&gt;ReportingFYEnd),"Not Yet in Use","Active")))</f>
        <v/>
      </c>
      <c r="V60" s="65">
        <f>IF(OR($K60="",$H60=""),"",MIN(MAX(0,IF($O60="WDV",$K60*$P60*MAX(0,(IF($I60="",V$3,MIN($I60,V$3)))-(MAX($H60,(EDATE(V$3,-12)+1)))+1)/(V$3-(EDATE(V$3,-12)+1)+1),IF($N60=0,0,$Q60/$N60*MAX(0,(IF($I60="",V$3,MIN($I60,V$3)))-(MAX($H60,(EDATE(V$3,-12)+1)))+1)/(V$3-(EDATE(V$3,-12)+1)+1)))),MAX(0,$K60-$M60)))</f>
        <v/>
      </c>
      <c r="W60" s="65">
        <f>IF($K60="","",IF(AND($I60&lt;&gt;"",$I60&lt;=V$3),0,$K60-V60))</f>
        <v/>
      </c>
      <c r="X60" s="65">
        <f>IF(OR($K60="",$H60=""),"",MIN(MAX(0,IF($O60="WDV",W60*$P60*MAX(0,(IF($I60="",X$3,MIN($I60,X$3)))-(MAX($H60,(EDATE(X$3,-12)+1)))+1)/(X$3-(EDATE(X$3,-12)+1)+1),IF($N60=0,0,$Q60/$N60*MAX(0,(IF($I60="",X$3,MIN($I60,X$3)))-(MAX($H60,(EDATE(X$3,-12)+1)))+1)/(X$3-(EDATE(X$3,-12)+1)+1)))),MAX(0,W60-$M60)))</f>
        <v/>
      </c>
      <c r="Y60" s="65">
        <f>IF($K60="","",IF(AND($I60&lt;&gt;"",$I60&lt;=X$3),0,W60-X60))</f>
        <v/>
      </c>
      <c r="Z60" s="65">
        <f>IF(OR($K60="",$H60=""),"",MIN(MAX(0,IF($O60="WDV",Y60*$P60*MAX(0,(IF($I60="",Z$3,MIN($I60,Z$3)))-(MAX($H60,(EDATE(Z$3,-12)+1)))+1)/(Z$3-(EDATE(Z$3,-12)+1)+1),IF($N60=0,0,$Q60/$N60*MAX(0,(IF($I60="",Z$3,MIN($I60,Z$3)))-(MAX($H60,(EDATE(Z$3,-12)+1)))+1)/(Z$3-(EDATE(Z$3,-12)+1)+1)))),MAX(0,Y60-$M60)))</f>
        <v/>
      </c>
      <c r="AA60" s="65">
        <f>IF($K60="","",IF(AND($I60&lt;&gt;"",$I60&lt;=Z$3),0,Y60-Z60))</f>
        <v/>
      </c>
      <c r="AB60" s="65">
        <f>IF(OR($K60="",$H60=""),"",MIN(MAX(0,IF($O60="WDV",AA60*$P60*MAX(0,(IF($I60="",AB$3,MIN($I60,AB$3)))-(MAX($H60,(EDATE(AB$3,-12)+1)))+1)/(AB$3-(EDATE(AB$3,-12)+1)+1),IF($N60=0,0,$Q60/$N60*MAX(0,(IF($I60="",AB$3,MIN($I60,AB$3)))-(MAX($H60,(EDATE(AB$3,-12)+1)))+1)/(AB$3-(EDATE(AB$3,-12)+1)+1)))),MAX(0,AA60-$M60)))</f>
        <v/>
      </c>
      <c r="AC60" s="65">
        <f>IF($K60="","",IF(AND($I60&lt;&gt;"",$I60&lt;=AB$3),0,AA60-AB60))</f>
        <v/>
      </c>
      <c r="AD60" s="65">
        <f>IF(OR($K60="",$H60=""),"",MIN(MAX(0,IF($O60="WDV",AC60*$P60*MAX(0,(IF($I60="",AD$3,MIN($I60,AD$3)))-(MAX($H60,(EDATE(AD$3,-12)+1)))+1)/(AD$3-(EDATE(AD$3,-12)+1)+1),IF($N60=0,0,$Q60/$N60*MAX(0,(IF($I60="",AD$3,MIN($I60,AD$3)))-(MAX($H60,(EDATE(AD$3,-12)+1)))+1)/(AD$3-(EDATE(AD$3,-12)+1)+1)))),MAX(0,AC60-$M60)))</f>
        <v/>
      </c>
      <c r="AE60" s="65">
        <f>IF($K60="","",IF(AND($I60&lt;&gt;"",$I60&lt;=AD$3),0,AC60-AD60))</f>
        <v/>
      </c>
      <c r="AF60" s="65">
        <f>IF(OR($K60="",$H60=""),"",MIN(MAX(0,IF($O60="WDV",AE60*$P60*MAX(0,(IF($I60="",AF$3,MIN($I60,AF$3)))-(MAX($H60,(EDATE(AF$3,-12)+1)))+1)/(AF$3-(EDATE(AF$3,-12)+1)+1),IF($N60=0,0,$Q60/$N60*MAX(0,(IF($I60="",AF$3,MIN($I60,AF$3)))-(MAX($H60,(EDATE(AF$3,-12)+1)))+1)/(AF$3-(EDATE(AF$3,-12)+1)+1)))),MAX(0,AE60-$M60)))</f>
        <v/>
      </c>
      <c r="AG60" s="65">
        <f>IF($K60="","",IF(AND($I60&lt;&gt;"",$I60&lt;=AF$3),0,AE60-AF60))</f>
        <v/>
      </c>
      <c r="AH60" s="65">
        <f>IF(OR($K60="",$H60=""),"",MIN(MAX(0,IF($O60="WDV",AG60*$P60*MAX(0,(IF($I60="",AH$3,MIN($I60,AH$3)))-(MAX($H60,(EDATE(AH$3,-12)+1)))+1)/(AH$3-(EDATE(AH$3,-12)+1)+1),IF($N60=0,0,$Q60/$N60*MAX(0,(IF($I60="",AH$3,MIN($I60,AH$3)))-(MAX($H60,(EDATE(AH$3,-12)+1)))+1)/(AH$3-(EDATE(AH$3,-12)+1)+1)))),MAX(0,AG60-$M60)))</f>
        <v/>
      </c>
      <c r="AI60" s="65">
        <f>IF($K60="","",IF(AND($I60&lt;&gt;"",$I60&lt;=AH$3),0,AG60-AH60))</f>
        <v/>
      </c>
      <c r="AJ60" s="65">
        <f>IF(OR($K60="",$H60=""),"",MIN(MAX(0,IF($O60="WDV",AI60*$P60*MAX(0,(IF($I60="",AJ$3,MIN($I60,AJ$3)))-(MAX($H60,(EDATE(AJ$3,-12)+1)))+1)/(AJ$3-(EDATE(AJ$3,-12)+1)+1),IF($N60=0,0,$Q60/$N60*MAX(0,(IF($I60="",AJ$3,MIN($I60,AJ$3)))-(MAX($H60,(EDATE(AJ$3,-12)+1)))+1)/(AJ$3-(EDATE(AJ$3,-12)+1)+1)))),MAX(0,AI60-$M60)))</f>
        <v/>
      </c>
      <c r="AK60" s="65">
        <f>IF($K60="","",IF(AND($I60&lt;&gt;"",$I60&lt;=AJ$3),0,AI60-AJ60))</f>
        <v/>
      </c>
      <c r="AL60" s="65">
        <f>IF(OR($K60="",$H60=""),"",MIN(MAX(0,IF($O60="WDV",AK60*$P60*MAX(0,(IF($I60="",AL$3,MIN($I60,AL$3)))-(MAX($H60,(EDATE(AL$3,-12)+1)))+1)/(AL$3-(EDATE(AL$3,-12)+1)+1),IF($N60=0,0,$Q60/$N60*MAX(0,(IF($I60="",AL$3,MIN($I60,AL$3)))-(MAX($H60,(EDATE(AL$3,-12)+1)))+1)/(AL$3-(EDATE(AL$3,-12)+1)+1)))),MAX(0,AK60-$M60)))</f>
        <v/>
      </c>
      <c r="AM60" s="65">
        <f>IF($K60="","",IF(AND($I60&lt;&gt;"",$I60&lt;=AL$3),0,AK60-AL60))</f>
        <v/>
      </c>
      <c r="AN60" s="65">
        <f>IF(OR($K60="",$H60=""),"",MIN(MAX(0,IF($O60="WDV",AM60*$P60*MAX(0,(IF($I60="",AN$3,MIN($I60,AN$3)))-(MAX($H60,(EDATE(AN$3,-12)+1)))+1)/(AN$3-(EDATE(AN$3,-12)+1)+1),IF($N60=0,0,$Q60/$N60*MAX(0,(IF($I60="",AN$3,MIN($I60,AN$3)))-(MAX($H60,(EDATE(AN$3,-12)+1)))+1)/(AN$3-(EDATE(AN$3,-12)+1)+1)))),MAX(0,AM60-$M60)))</f>
        <v/>
      </c>
      <c r="AO60" s="65">
        <f>IF($K60="","",IF(AND($I60&lt;&gt;"",$I60&lt;=AN$3),0,AM60-AN60))</f>
        <v/>
      </c>
      <c r="AP60" s="65">
        <f>IF(OR($K60="",$H60=""),"",MIN(MAX(0,IF($O60="WDV",AO60*$P60*MAX(0,(IF($I60="",AP$3,MIN($I60,AP$3)))-(MAX($H60,(EDATE(AP$3,-12)+1)))+1)/(AP$3-(EDATE(AP$3,-12)+1)+1),IF($N60=0,0,$Q60/$N60*MAX(0,(IF($I60="",AP$3,MIN($I60,AP$3)))-(MAX($H60,(EDATE(AP$3,-12)+1)))+1)/(AP$3-(EDATE(AP$3,-12)+1)+1)))),MAX(0,AO60-$M60)))</f>
        <v/>
      </c>
      <c r="AQ60" s="65">
        <f>IF($K60="","",IF(AND($I60&lt;&gt;"",$I60&lt;=AP$3),0,AO60-AP60))</f>
        <v/>
      </c>
      <c r="AR60" s="65">
        <f>IF(OR($K60="",$H60=""),"",MIN(MAX(0,IF($O60="WDV",AQ60*$P60*MAX(0,(IF($I60="",AR$3,MIN($I60,AR$3)))-(MAX($H60,(EDATE(AR$3,-12)+1)))+1)/(AR$3-(EDATE(AR$3,-12)+1)+1),IF($N60=0,0,$Q60/$N60*MAX(0,(IF($I60="",AR$3,MIN($I60,AR$3)))-(MAX($H60,(EDATE(AR$3,-12)+1)))+1)/(AR$3-(EDATE(AR$3,-12)+1)+1)))),MAX(0,AQ60-$M60)))</f>
        <v/>
      </c>
      <c r="AS60" s="65">
        <f>IF($K60="","",IF(AND($I60&lt;&gt;"",$I60&lt;=AR$3),0,AQ60-AR60))</f>
        <v/>
      </c>
      <c r="AT60" s="65">
        <f>IF(OR($K60="",$H60=""),"",MIN(MAX(0,IF($O60="WDV",AS60*$P60*MAX(0,(IF($I60="",AT$3,MIN($I60,AT$3)))-(MAX($H60,(EDATE(AT$3,-12)+1)))+1)/(AT$3-(EDATE(AT$3,-12)+1)+1),IF($N60=0,0,$Q60/$N60*MAX(0,(IF($I60="",AT$3,MIN($I60,AT$3)))-(MAX($H60,(EDATE(AT$3,-12)+1)))+1)/(AT$3-(EDATE(AT$3,-12)+1)+1)))),MAX(0,AS60-$M60)))</f>
        <v/>
      </c>
      <c r="AU60" s="65">
        <f>IF($K60="","",IF(AND($I60&lt;&gt;"",$I60&lt;=AT$3),0,AS60-AT60))</f>
        <v/>
      </c>
      <c r="AV60" s="65">
        <f>IF(OR($K60="",$H60=""),"",MIN(MAX(0,IF($O60="WDV",AU60*$P60*MAX(0,(IF($I60="",AV$3,MIN($I60,AV$3)))-(MAX($H60,(EDATE(AV$3,-12)+1)))+1)/(AV$3-(EDATE(AV$3,-12)+1)+1),IF($N60=0,0,$Q60/$N60*MAX(0,(IF($I60="",AV$3,MIN($I60,AV$3)))-(MAX($H60,(EDATE(AV$3,-12)+1)))+1)/(AV$3-(EDATE(AV$3,-12)+1)+1)))),MAX(0,AU60-$M60)))</f>
        <v/>
      </c>
      <c r="AW60" s="65">
        <f>IF($K60="","",IF(AND($I60&lt;&gt;"",$I60&lt;=AV$3),0,AU60-AV60))</f>
        <v/>
      </c>
      <c r="AX60" s="65">
        <f>IF(OR($K60="",$H60=""),"",MIN(MAX(0,IF($O60="WDV",AW60*$P60*MAX(0,(IF($I60="",AX$3,MIN($I60,AX$3)))-(MAX($H60,(EDATE(AX$3,-12)+1)))+1)/(AX$3-(EDATE(AX$3,-12)+1)+1),IF($N60=0,0,$Q60/$N60*MAX(0,(IF($I60="",AX$3,MIN($I60,AX$3)))-(MAX($H60,(EDATE(AX$3,-12)+1)))+1)/(AX$3-(EDATE(AX$3,-12)+1)+1)))),MAX(0,AW60-$M60)))</f>
        <v/>
      </c>
      <c r="AY60" s="65">
        <f>IF($K60="","",IF(AND($I60&lt;&gt;"",$I60&lt;=AX$3),0,AW60-AX60))</f>
        <v/>
      </c>
      <c r="AZ60" s="65">
        <f>IF(OR($K60="",$H60=""),"",MIN(MAX(0,IF($O60="WDV",AY60*$P60*MAX(0,(IF($I60="",AZ$3,MIN($I60,AZ$3)))-(MAX($H60,(EDATE(AZ$3,-12)+1)))+1)/(AZ$3-(EDATE(AZ$3,-12)+1)+1),IF($N60=0,0,$Q60/$N60*MAX(0,(IF($I60="",AZ$3,MIN($I60,AZ$3)))-(MAX($H60,(EDATE(AZ$3,-12)+1)))+1)/(AZ$3-(EDATE(AZ$3,-12)+1)+1)))),MAX(0,AY60-$M60)))</f>
        <v/>
      </c>
      <c r="BA60" s="65">
        <f>IF($K60="","",IF(AND($I60&lt;&gt;"",$I60&lt;=AZ$3),0,AY60-AZ60))</f>
        <v/>
      </c>
    </row>
    <row r="61">
      <c r="A61" s="34" t="n"/>
      <c r="B61" s="35" t="n"/>
      <c r="C61" s="35" t="n"/>
      <c r="D61" s="35" t="n"/>
      <c r="E61" s="36" t="n"/>
      <c r="F61" s="37" t="n"/>
      <c r="G61" s="38" t="n"/>
      <c r="H61" s="38" t="n"/>
      <c r="I61" s="39" t="n"/>
      <c r="J61" s="40" t="n"/>
      <c r="K61" s="41" t="n"/>
      <c r="L61" s="42">
        <f>DefaultResidual</f>
        <v/>
      </c>
      <c r="M61" s="43">
        <f>IF($K61="","",$K61*$L61)</f>
        <v/>
      </c>
      <c r="N61" s="44">
        <f>IF($C61="","",IFERROR(VLOOKUP($C61,ScheduleIITable,3,FALSE),"#N/A"))</f>
        <v/>
      </c>
      <c r="O61" s="45">
        <f>IF($K61="","",GlobalMethod)</f>
        <v/>
      </c>
      <c r="P61" s="46">
        <f>IF(OR($K61="",$N61="",$N61=0,$M61=0),0,1-($M61/$K61)^(1/$N61))</f>
        <v/>
      </c>
      <c r="Q61" s="43">
        <f>IF($K61="","",$K61-$M61)</f>
        <v/>
      </c>
      <c r="R61" s="47">
        <f>IF($K61="","",INDEX($V61:$BA61,1,MATCH(ReportingFYEnd,$V$3:$BA$3,0)))</f>
        <v/>
      </c>
      <c r="S61" s="43">
        <f>IF($K61="","",IF($U61="Disposed",0,$K61-$T61))</f>
        <v/>
      </c>
      <c r="T61" s="48">
        <f>IF($K61="","",INDEX($V61:$BA61,1,MATCH(ReportingFYEnd,$V$3:$BA$3,0)+1))</f>
        <v/>
      </c>
      <c r="U61" s="49">
        <f>IF($K61="","",IF(AND($I61&lt;&gt;"",$I61&lt;=ReportingFYEnd),"Disposed",IF(OR($H61="",$H61&gt;ReportingFYEnd),"Not Yet in Use","Active")))</f>
        <v/>
      </c>
      <c r="V61" s="50">
        <f>IF(OR($K61="",$H61=""),"",MIN(MAX(0,IF($O61="WDV",$K61*$P61*MAX(0,(IF($I61="",V$3,MIN($I61,V$3)))-(MAX($H61,(EDATE(V$3,-12)+1)))+1)/(V$3-(EDATE(V$3,-12)+1)+1),IF($N61=0,0,$Q61/$N61*MAX(0,(IF($I61="",V$3,MIN($I61,V$3)))-(MAX($H61,(EDATE(V$3,-12)+1)))+1)/(V$3-(EDATE(V$3,-12)+1)+1)))),MAX(0,$K61-$M61)))</f>
        <v/>
      </c>
      <c r="W61" s="51">
        <f>IF($K61="","",IF(AND($I61&lt;&gt;"",$I61&lt;=V$3),0,$K61-V61))</f>
        <v/>
      </c>
      <c r="X61" s="50">
        <f>IF(OR($K61="",$H61=""),"",MIN(MAX(0,IF($O61="WDV",W61*$P61*MAX(0,(IF($I61="",X$3,MIN($I61,X$3)))-(MAX($H61,(EDATE(X$3,-12)+1)))+1)/(X$3-(EDATE(X$3,-12)+1)+1),IF($N61=0,0,$Q61/$N61*MAX(0,(IF($I61="",X$3,MIN($I61,X$3)))-(MAX($H61,(EDATE(X$3,-12)+1)))+1)/(X$3-(EDATE(X$3,-12)+1)+1)))),MAX(0,W61-$M61)))</f>
        <v/>
      </c>
      <c r="Y61" s="51">
        <f>IF($K61="","",IF(AND($I61&lt;&gt;"",$I61&lt;=X$3),0,W61-X61))</f>
        <v/>
      </c>
      <c r="Z61" s="50">
        <f>IF(OR($K61="",$H61=""),"",MIN(MAX(0,IF($O61="WDV",Y61*$P61*MAX(0,(IF($I61="",Z$3,MIN($I61,Z$3)))-(MAX($H61,(EDATE(Z$3,-12)+1)))+1)/(Z$3-(EDATE(Z$3,-12)+1)+1),IF($N61=0,0,$Q61/$N61*MAX(0,(IF($I61="",Z$3,MIN($I61,Z$3)))-(MAX($H61,(EDATE(Z$3,-12)+1)))+1)/(Z$3-(EDATE(Z$3,-12)+1)+1)))),MAX(0,Y61-$M61)))</f>
        <v/>
      </c>
      <c r="AA61" s="51">
        <f>IF($K61="","",IF(AND($I61&lt;&gt;"",$I61&lt;=Z$3),0,Y61-Z61))</f>
        <v/>
      </c>
      <c r="AB61" s="50">
        <f>IF(OR($K61="",$H61=""),"",MIN(MAX(0,IF($O61="WDV",AA61*$P61*MAX(0,(IF($I61="",AB$3,MIN($I61,AB$3)))-(MAX($H61,(EDATE(AB$3,-12)+1)))+1)/(AB$3-(EDATE(AB$3,-12)+1)+1),IF($N61=0,0,$Q61/$N61*MAX(0,(IF($I61="",AB$3,MIN($I61,AB$3)))-(MAX($H61,(EDATE(AB$3,-12)+1)))+1)/(AB$3-(EDATE(AB$3,-12)+1)+1)))),MAX(0,AA61-$M61)))</f>
        <v/>
      </c>
      <c r="AC61" s="51">
        <f>IF($K61="","",IF(AND($I61&lt;&gt;"",$I61&lt;=AB$3),0,AA61-AB61))</f>
        <v/>
      </c>
      <c r="AD61" s="50">
        <f>IF(OR($K61="",$H61=""),"",MIN(MAX(0,IF($O61="WDV",AC61*$P61*MAX(0,(IF($I61="",AD$3,MIN($I61,AD$3)))-(MAX($H61,(EDATE(AD$3,-12)+1)))+1)/(AD$3-(EDATE(AD$3,-12)+1)+1),IF($N61=0,0,$Q61/$N61*MAX(0,(IF($I61="",AD$3,MIN($I61,AD$3)))-(MAX($H61,(EDATE(AD$3,-12)+1)))+1)/(AD$3-(EDATE(AD$3,-12)+1)+1)))),MAX(0,AC61-$M61)))</f>
        <v/>
      </c>
      <c r="AE61" s="51">
        <f>IF($K61="","",IF(AND($I61&lt;&gt;"",$I61&lt;=AD$3),0,AC61-AD61))</f>
        <v/>
      </c>
      <c r="AF61" s="50">
        <f>IF(OR($K61="",$H61=""),"",MIN(MAX(0,IF($O61="WDV",AE61*$P61*MAX(0,(IF($I61="",AF$3,MIN($I61,AF$3)))-(MAX($H61,(EDATE(AF$3,-12)+1)))+1)/(AF$3-(EDATE(AF$3,-12)+1)+1),IF($N61=0,0,$Q61/$N61*MAX(0,(IF($I61="",AF$3,MIN($I61,AF$3)))-(MAX($H61,(EDATE(AF$3,-12)+1)))+1)/(AF$3-(EDATE(AF$3,-12)+1)+1)))),MAX(0,AE61-$M61)))</f>
        <v/>
      </c>
      <c r="AG61" s="51">
        <f>IF($K61="","",IF(AND($I61&lt;&gt;"",$I61&lt;=AF$3),0,AE61-AF61))</f>
        <v/>
      </c>
      <c r="AH61" s="50">
        <f>IF(OR($K61="",$H61=""),"",MIN(MAX(0,IF($O61="WDV",AG61*$P61*MAX(0,(IF($I61="",AH$3,MIN($I61,AH$3)))-(MAX($H61,(EDATE(AH$3,-12)+1)))+1)/(AH$3-(EDATE(AH$3,-12)+1)+1),IF($N61=0,0,$Q61/$N61*MAX(0,(IF($I61="",AH$3,MIN($I61,AH$3)))-(MAX($H61,(EDATE(AH$3,-12)+1)))+1)/(AH$3-(EDATE(AH$3,-12)+1)+1)))),MAX(0,AG61-$M61)))</f>
        <v/>
      </c>
      <c r="AI61" s="51">
        <f>IF($K61="","",IF(AND($I61&lt;&gt;"",$I61&lt;=AH$3),0,AG61-AH61))</f>
        <v/>
      </c>
      <c r="AJ61" s="50">
        <f>IF(OR($K61="",$H61=""),"",MIN(MAX(0,IF($O61="WDV",AI61*$P61*MAX(0,(IF($I61="",AJ$3,MIN($I61,AJ$3)))-(MAX($H61,(EDATE(AJ$3,-12)+1)))+1)/(AJ$3-(EDATE(AJ$3,-12)+1)+1),IF($N61=0,0,$Q61/$N61*MAX(0,(IF($I61="",AJ$3,MIN($I61,AJ$3)))-(MAX($H61,(EDATE(AJ$3,-12)+1)))+1)/(AJ$3-(EDATE(AJ$3,-12)+1)+1)))),MAX(0,AI61-$M61)))</f>
        <v/>
      </c>
      <c r="AK61" s="51">
        <f>IF($K61="","",IF(AND($I61&lt;&gt;"",$I61&lt;=AJ$3),0,AI61-AJ61))</f>
        <v/>
      </c>
      <c r="AL61" s="50">
        <f>IF(OR($K61="",$H61=""),"",MIN(MAX(0,IF($O61="WDV",AK61*$P61*MAX(0,(IF($I61="",AL$3,MIN($I61,AL$3)))-(MAX($H61,(EDATE(AL$3,-12)+1)))+1)/(AL$3-(EDATE(AL$3,-12)+1)+1),IF($N61=0,0,$Q61/$N61*MAX(0,(IF($I61="",AL$3,MIN($I61,AL$3)))-(MAX($H61,(EDATE(AL$3,-12)+1)))+1)/(AL$3-(EDATE(AL$3,-12)+1)+1)))),MAX(0,AK61-$M61)))</f>
        <v/>
      </c>
      <c r="AM61" s="51">
        <f>IF($K61="","",IF(AND($I61&lt;&gt;"",$I61&lt;=AL$3),0,AK61-AL61))</f>
        <v/>
      </c>
      <c r="AN61" s="50">
        <f>IF(OR($K61="",$H61=""),"",MIN(MAX(0,IF($O61="WDV",AM61*$P61*MAX(0,(IF($I61="",AN$3,MIN($I61,AN$3)))-(MAX($H61,(EDATE(AN$3,-12)+1)))+1)/(AN$3-(EDATE(AN$3,-12)+1)+1),IF($N61=0,0,$Q61/$N61*MAX(0,(IF($I61="",AN$3,MIN($I61,AN$3)))-(MAX($H61,(EDATE(AN$3,-12)+1)))+1)/(AN$3-(EDATE(AN$3,-12)+1)+1)))),MAX(0,AM61-$M61)))</f>
        <v/>
      </c>
      <c r="AO61" s="51">
        <f>IF($K61="","",IF(AND($I61&lt;&gt;"",$I61&lt;=AN$3),0,AM61-AN61))</f>
        <v/>
      </c>
      <c r="AP61" s="50">
        <f>IF(OR($K61="",$H61=""),"",MIN(MAX(0,IF($O61="WDV",AO61*$P61*MAX(0,(IF($I61="",AP$3,MIN($I61,AP$3)))-(MAX($H61,(EDATE(AP$3,-12)+1)))+1)/(AP$3-(EDATE(AP$3,-12)+1)+1),IF($N61=0,0,$Q61/$N61*MAX(0,(IF($I61="",AP$3,MIN($I61,AP$3)))-(MAX($H61,(EDATE(AP$3,-12)+1)))+1)/(AP$3-(EDATE(AP$3,-12)+1)+1)))),MAX(0,AO61-$M61)))</f>
        <v/>
      </c>
      <c r="AQ61" s="51">
        <f>IF($K61="","",IF(AND($I61&lt;&gt;"",$I61&lt;=AP$3),0,AO61-AP61))</f>
        <v/>
      </c>
      <c r="AR61" s="50">
        <f>IF(OR($K61="",$H61=""),"",MIN(MAX(0,IF($O61="WDV",AQ61*$P61*MAX(0,(IF($I61="",AR$3,MIN($I61,AR$3)))-(MAX($H61,(EDATE(AR$3,-12)+1)))+1)/(AR$3-(EDATE(AR$3,-12)+1)+1),IF($N61=0,0,$Q61/$N61*MAX(0,(IF($I61="",AR$3,MIN($I61,AR$3)))-(MAX($H61,(EDATE(AR$3,-12)+1)))+1)/(AR$3-(EDATE(AR$3,-12)+1)+1)))),MAX(0,AQ61-$M61)))</f>
        <v/>
      </c>
      <c r="AS61" s="51">
        <f>IF($K61="","",IF(AND($I61&lt;&gt;"",$I61&lt;=AR$3),0,AQ61-AR61))</f>
        <v/>
      </c>
      <c r="AT61" s="50">
        <f>IF(OR($K61="",$H61=""),"",MIN(MAX(0,IF($O61="WDV",AS61*$P61*MAX(0,(IF($I61="",AT$3,MIN($I61,AT$3)))-(MAX($H61,(EDATE(AT$3,-12)+1)))+1)/(AT$3-(EDATE(AT$3,-12)+1)+1),IF($N61=0,0,$Q61/$N61*MAX(0,(IF($I61="",AT$3,MIN($I61,AT$3)))-(MAX($H61,(EDATE(AT$3,-12)+1)))+1)/(AT$3-(EDATE(AT$3,-12)+1)+1)))),MAX(0,AS61-$M61)))</f>
        <v/>
      </c>
      <c r="AU61" s="51">
        <f>IF($K61="","",IF(AND($I61&lt;&gt;"",$I61&lt;=AT$3),0,AS61-AT61))</f>
        <v/>
      </c>
      <c r="AV61" s="50">
        <f>IF(OR($K61="",$H61=""),"",MIN(MAX(0,IF($O61="WDV",AU61*$P61*MAX(0,(IF($I61="",AV$3,MIN($I61,AV$3)))-(MAX($H61,(EDATE(AV$3,-12)+1)))+1)/(AV$3-(EDATE(AV$3,-12)+1)+1),IF($N61=0,0,$Q61/$N61*MAX(0,(IF($I61="",AV$3,MIN($I61,AV$3)))-(MAX($H61,(EDATE(AV$3,-12)+1)))+1)/(AV$3-(EDATE(AV$3,-12)+1)+1)))),MAX(0,AU61-$M61)))</f>
        <v/>
      </c>
      <c r="AW61" s="51">
        <f>IF($K61="","",IF(AND($I61&lt;&gt;"",$I61&lt;=AV$3),0,AU61-AV61))</f>
        <v/>
      </c>
      <c r="AX61" s="50">
        <f>IF(OR($K61="",$H61=""),"",MIN(MAX(0,IF($O61="WDV",AW61*$P61*MAX(0,(IF($I61="",AX$3,MIN($I61,AX$3)))-(MAX($H61,(EDATE(AX$3,-12)+1)))+1)/(AX$3-(EDATE(AX$3,-12)+1)+1),IF($N61=0,0,$Q61/$N61*MAX(0,(IF($I61="",AX$3,MIN($I61,AX$3)))-(MAX($H61,(EDATE(AX$3,-12)+1)))+1)/(AX$3-(EDATE(AX$3,-12)+1)+1)))),MAX(0,AW61-$M61)))</f>
        <v/>
      </c>
      <c r="AY61" s="51">
        <f>IF($K61="","",IF(AND($I61&lt;&gt;"",$I61&lt;=AX$3),0,AW61-AX61))</f>
        <v/>
      </c>
      <c r="AZ61" s="50">
        <f>IF(OR($K61="",$H61=""),"",MIN(MAX(0,IF($O61="WDV",AY61*$P61*MAX(0,(IF($I61="",AZ$3,MIN($I61,AZ$3)))-(MAX($H61,(EDATE(AZ$3,-12)+1)))+1)/(AZ$3-(EDATE(AZ$3,-12)+1)+1),IF($N61=0,0,$Q61/$N61*MAX(0,(IF($I61="",AZ$3,MIN($I61,AZ$3)))-(MAX($H61,(EDATE(AZ$3,-12)+1)))+1)/(AZ$3-(EDATE(AZ$3,-12)+1)+1)))),MAX(0,AY61-$M61)))</f>
        <v/>
      </c>
      <c r="BA61" s="51">
        <f>IF($K61="","",IF(AND($I61&lt;&gt;"",$I61&lt;=AZ$3),0,AY61-AZ61))</f>
        <v/>
      </c>
    </row>
    <row r="62">
      <c r="A62" s="52" t="n"/>
      <c r="B62" s="53" t="n"/>
      <c r="C62" s="53" t="n"/>
      <c r="D62" s="53" t="n"/>
      <c r="E62" s="19" t="n"/>
      <c r="F62" s="54" t="n"/>
      <c r="G62" s="55" t="n"/>
      <c r="H62" s="55" t="n"/>
      <c r="I62" s="56" t="n"/>
      <c r="J62" s="57" t="n"/>
      <c r="K62" s="58" t="n"/>
      <c r="L62" s="59">
        <f>DefaultResidual</f>
        <v/>
      </c>
      <c r="M62" s="60">
        <f>IF($K62="","",$K62*$L62)</f>
        <v/>
      </c>
      <c r="N62" s="20">
        <f>IF($C62="","",IFERROR(VLOOKUP($C62,ScheduleIITable,3,FALSE),"#N/A"))</f>
        <v/>
      </c>
      <c r="O62" s="61">
        <f>IF($K62="","",GlobalMethod)</f>
        <v/>
      </c>
      <c r="P62" s="21">
        <f>IF(OR($K62="",$N62="",$N62=0,$M62=0),0,1-($M62/$K62)^(1/$N62))</f>
        <v/>
      </c>
      <c r="Q62" s="60">
        <f>IF($K62="","",$K62-$M62)</f>
        <v/>
      </c>
      <c r="R62" s="62">
        <f>IF($K62="","",INDEX($V62:$BA62,1,MATCH(ReportingFYEnd,$V$3:$BA$3,0)))</f>
        <v/>
      </c>
      <c r="S62" s="60">
        <f>IF($K62="","",IF($U62="Disposed",0,$K62-$T62))</f>
        <v/>
      </c>
      <c r="T62" s="63">
        <f>IF($K62="","",INDEX($V62:$BA62,1,MATCH(ReportingFYEnd,$V$3:$BA$3,0)+1))</f>
        <v/>
      </c>
      <c r="U62" s="64">
        <f>IF($K62="","",IF(AND($I62&lt;&gt;"",$I62&lt;=ReportingFYEnd),"Disposed",IF(OR($H62="",$H62&gt;ReportingFYEnd),"Not Yet in Use","Active")))</f>
        <v/>
      </c>
      <c r="V62" s="65">
        <f>IF(OR($K62="",$H62=""),"",MIN(MAX(0,IF($O62="WDV",$K62*$P62*MAX(0,(IF($I62="",V$3,MIN($I62,V$3)))-(MAX($H62,(EDATE(V$3,-12)+1)))+1)/(V$3-(EDATE(V$3,-12)+1)+1),IF($N62=0,0,$Q62/$N62*MAX(0,(IF($I62="",V$3,MIN($I62,V$3)))-(MAX($H62,(EDATE(V$3,-12)+1)))+1)/(V$3-(EDATE(V$3,-12)+1)+1)))),MAX(0,$K62-$M62)))</f>
        <v/>
      </c>
      <c r="W62" s="65">
        <f>IF($K62="","",IF(AND($I62&lt;&gt;"",$I62&lt;=V$3),0,$K62-V62))</f>
        <v/>
      </c>
      <c r="X62" s="65">
        <f>IF(OR($K62="",$H62=""),"",MIN(MAX(0,IF($O62="WDV",W62*$P62*MAX(0,(IF($I62="",X$3,MIN($I62,X$3)))-(MAX($H62,(EDATE(X$3,-12)+1)))+1)/(X$3-(EDATE(X$3,-12)+1)+1),IF($N62=0,0,$Q62/$N62*MAX(0,(IF($I62="",X$3,MIN($I62,X$3)))-(MAX($H62,(EDATE(X$3,-12)+1)))+1)/(X$3-(EDATE(X$3,-12)+1)+1)))),MAX(0,W62-$M62)))</f>
        <v/>
      </c>
      <c r="Y62" s="65">
        <f>IF($K62="","",IF(AND($I62&lt;&gt;"",$I62&lt;=X$3),0,W62-X62))</f>
        <v/>
      </c>
      <c r="Z62" s="65">
        <f>IF(OR($K62="",$H62=""),"",MIN(MAX(0,IF($O62="WDV",Y62*$P62*MAX(0,(IF($I62="",Z$3,MIN($I62,Z$3)))-(MAX($H62,(EDATE(Z$3,-12)+1)))+1)/(Z$3-(EDATE(Z$3,-12)+1)+1),IF($N62=0,0,$Q62/$N62*MAX(0,(IF($I62="",Z$3,MIN($I62,Z$3)))-(MAX($H62,(EDATE(Z$3,-12)+1)))+1)/(Z$3-(EDATE(Z$3,-12)+1)+1)))),MAX(0,Y62-$M62)))</f>
        <v/>
      </c>
      <c r="AA62" s="65">
        <f>IF($K62="","",IF(AND($I62&lt;&gt;"",$I62&lt;=Z$3),0,Y62-Z62))</f>
        <v/>
      </c>
      <c r="AB62" s="65">
        <f>IF(OR($K62="",$H62=""),"",MIN(MAX(0,IF($O62="WDV",AA62*$P62*MAX(0,(IF($I62="",AB$3,MIN($I62,AB$3)))-(MAX($H62,(EDATE(AB$3,-12)+1)))+1)/(AB$3-(EDATE(AB$3,-12)+1)+1),IF($N62=0,0,$Q62/$N62*MAX(0,(IF($I62="",AB$3,MIN($I62,AB$3)))-(MAX($H62,(EDATE(AB$3,-12)+1)))+1)/(AB$3-(EDATE(AB$3,-12)+1)+1)))),MAX(0,AA62-$M62)))</f>
        <v/>
      </c>
      <c r="AC62" s="65">
        <f>IF($K62="","",IF(AND($I62&lt;&gt;"",$I62&lt;=AB$3),0,AA62-AB62))</f>
        <v/>
      </c>
      <c r="AD62" s="65">
        <f>IF(OR($K62="",$H62=""),"",MIN(MAX(0,IF($O62="WDV",AC62*$P62*MAX(0,(IF($I62="",AD$3,MIN($I62,AD$3)))-(MAX($H62,(EDATE(AD$3,-12)+1)))+1)/(AD$3-(EDATE(AD$3,-12)+1)+1),IF($N62=0,0,$Q62/$N62*MAX(0,(IF($I62="",AD$3,MIN($I62,AD$3)))-(MAX($H62,(EDATE(AD$3,-12)+1)))+1)/(AD$3-(EDATE(AD$3,-12)+1)+1)))),MAX(0,AC62-$M62)))</f>
        <v/>
      </c>
      <c r="AE62" s="65">
        <f>IF($K62="","",IF(AND($I62&lt;&gt;"",$I62&lt;=AD$3),0,AC62-AD62))</f>
        <v/>
      </c>
      <c r="AF62" s="65">
        <f>IF(OR($K62="",$H62=""),"",MIN(MAX(0,IF($O62="WDV",AE62*$P62*MAX(0,(IF($I62="",AF$3,MIN($I62,AF$3)))-(MAX($H62,(EDATE(AF$3,-12)+1)))+1)/(AF$3-(EDATE(AF$3,-12)+1)+1),IF($N62=0,0,$Q62/$N62*MAX(0,(IF($I62="",AF$3,MIN($I62,AF$3)))-(MAX($H62,(EDATE(AF$3,-12)+1)))+1)/(AF$3-(EDATE(AF$3,-12)+1)+1)))),MAX(0,AE62-$M62)))</f>
        <v/>
      </c>
      <c r="AG62" s="65">
        <f>IF($K62="","",IF(AND($I62&lt;&gt;"",$I62&lt;=AF$3),0,AE62-AF62))</f>
        <v/>
      </c>
      <c r="AH62" s="65">
        <f>IF(OR($K62="",$H62=""),"",MIN(MAX(0,IF($O62="WDV",AG62*$P62*MAX(0,(IF($I62="",AH$3,MIN($I62,AH$3)))-(MAX($H62,(EDATE(AH$3,-12)+1)))+1)/(AH$3-(EDATE(AH$3,-12)+1)+1),IF($N62=0,0,$Q62/$N62*MAX(0,(IF($I62="",AH$3,MIN($I62,AH$3)))-(MAX($H62,(EDATE(AH$3,-12)+1)))+1)/(AH$3-(EDATE(AH$3,-12)+1)+1)))),MAX(0,AG62-$M62)))</f>
        <v/>
      </c>
      <c r="AI62" s="65">
        <f>IF($K62="","",IF(AND($I62&lt;&gt;"",$I62&lt;=AH$3),0,AG62-AH62))</f>
        <v/>
      </c>
      <c r="AJ62" s="65">
        <f>IF(OR($K62="",$H62=""),"",MIN(MAX(0,IF($O62="WDV",AI62*$P62*MAX(0,(IF($I62="",AJ$3,MIN($I62,AJ$3)))-(MAX($H62,(EDATE(AJ$3,-12)+1)))+1)/(AJ$3-(EDATE(AJ$3,-12)+1)+1),IF($N62=0,0,$Q62/$N62*MAX(0,(IF($I62="",AJ$3,MIN($I62,AJ$3)))-(MAX($H62,(EDATE(AJ$3,-12)+1)))+1)/(AJ$3-(EDATE(AJ$3,-12)+1)+1)))),MAX(0,AI62-$M62)))</f>
        <v/>
      </c>
      <c r="AK62" s="65">
        <f>IF($K62="","",IF(AND($I62&lt;&gt;"",$I62&lt;=AJ$3),0,AI62-AJ62))</f>
        <v/>
      </c>
      <c r="AL62" s="65">
        <f>IF(OR($K62="",$H62=""),"",MIN(MAX(0,IF($O62="WDV",AK62*$P62*MAX(0,(IF($I62="",AL$3,MIN($I62,AL$3)))-(MAX($H62,(EDATE(AL$3,-12)+1)))+1)/(AL$3-(EDATE(AL$3,-12)+1)+1),IF($N62=0,0,$Q62/$N62*MAX(0,(IF($I62="",AL$3,MIN($I62,AL$3)))-(MAX($H62,(EDATE(AL$3,-12)+1)))+1)/(AL$3-(EDATE(AL$3,-12)+1)+1)))),MAX(0,AK62-$M62)))</f>
        <v/>
      </c>
      <c r="AM62" s="65">
        <f>IF($K62="","",IF(AND($I62&lt;&gt;"",$I62&lt;=AL$3),0,AK62-AL62))</f>
        <v/>
      </c>
      <c r="AN62" s="65">
        <f>IF(OR($K62="",$H62=""),"",MIN(MAX(0,IF($O62="WDV",AM62*$P62*MAX(0,(IF($I62="",AN$3,MIN($I62,AN$3)))-(MAX($H62,(EDATE(AN$3,-12)+1)))+1)/(AN$3-(EDATE(AN$3,-12)+1)+1),IF($N62=0,0,$Q62/$N62*MAX(0,(IF($I62="",AN$3,MIN($I62,AN$3)))-(MAX($H62,(EDATE(AN$3,-12)+1)))+1)/(AN$3-(EDATE(AN$3,-12)+1)+1)))),MAX(0,AM62-$M62)))</f>
        <v/>
      </c>
      <c r="AO62" s="65">
        <f>IF($K62="","",IF(AND($I62&lt;&gt;"",$I62&lt;=AN$3),0,AM62-AN62))</f>
        <v/>
      </c>
      <c r="AP62" s="65">
        <f>IF(OR($K62="",$H62=""),"",MIN(MAX(0,IF($O62="WDV",AO62*$P62*MAX(0,(IF($I62="",AP$3,MIN($I62,AP$3)))-(MAX($H62,(EDATE(AP$3,-12)+1)))+1)/(AP$3-(EDATE(AP$3,-12)+1)+1),IF($N62=0,0,$Q62/$N62*MAX(0,(IF($I62="",AP$3,MIN($I62,AP$3)))-(MAX($H62,(EDATE(AP$3,-12)+1)))+1)/(AP$3-(EDATE(AP$3,-12)+1)+1)))),MAX(0,AO62-$M62)))</f>
        <v/>
      </c>
      <c r="AQ62" s="65">
        <f>IF($K62="","",IF(AND($I62&lt;&gt;"",$I62&lt;=AP$3),0,AO62-AP62))</f>
        <v/>
      </c>
      <c r="AR62" s="65">
        <f>IF(OR($K62="",$H62=""),"",MIN(MAX(0,IF($O62="WDV",AQ62*$P62*MAX(0,(IF($I62="",AR$3,MIN($I62,AR$3)))-(MAX($H62,(EDATE(AR$3,-12)+1)))+1)/(AR$3-(EDATE(AR$3,-12)+1)+1),IF($N62=0,0,$Q62/$N62*MAX(0,(IF($I62="",AR$3,MIN($I62,AR$3)))-(MAX($H62,(EDATE(AR$3,-12)+1)))+1)/(AR$3-(EDATE(AR$3,-12)+1)+1)))),MAX(0,AQ62-$M62)))</f>
        <v/>
      </c>
      <c r="AS62" s="65">
        <f>IF($K62="","",IF(AND($I62&lt;&gt;"",$I62&lt;=AR$3),0,AQ62-AR62))</f>
        <v/>
      </c>
      <c r="AT62" s="65">
        <f>IF(OR($K62="",$H62=""),"",MIN(MAX(0,IF($O62="WDV",AS62*$P62*MAX(0,(IF($I62="",AT$3,MIN($I62,AT$3)))-(MAX($H62,(EDATE(AT$3,-12)+1)))+1)/(AT$3-(EDATE(AT$3,-12)+1)+1),IF($N62=0,0,$Q62/$N62*MAX(0,(IF($I62="",AT$3,MIN($I62,AT$3)))-(MAX($H62,(EDATE(AT$3,-12)+1)))+1)/(AT$3-(EDATE(AT$3,-12)+1)+1)))),MAX(0,AS62-$M62)))</f>
        <v/>
      </c>
      <c r="AU62" s="65">
        <f>IF($K62="","",IF(AND($I62&lt;&gt;"",$I62&lt;=AT$3),0,AS62-AT62))</f>
        <v/>
      </c>
      <c r="AV62" s="65">
        <f>IF(OR($K62="",$H62=""),"",MIN(MAX(0,IF($O62="WDV",AU62*$P62*MAX(0,(IF($I62="",AV$3,MIN($I62,AV$3)))-(MAX($H62,(EDATE(AV$3,-12)+1)))+1)/(AV$3-(EDATE(AV$3,-12)+1)+1),IF($N62=0,0,$Q62/$N62*MAX(0,(IF($I62="",AV$3,MIN($I62,AV$3)))-(MAX($H62,(EDATE(AV$3,-12)+1)))+1)/(AV$3-(EDATE(AV$3,-12)+1)+1)))),MAX(0,AU62-$M62)))</f>
        <v/>
      </c>
      <c r="AW62" s="65">
        <f>IF($K62="","",IF(AND($I62&lt;&gt;"",$I62&lt;=AV$3),0,AU62-AV62))</f>
        <v/>
      </c>
      <c r="AX62" s="65">
        <f>IF(OR($K62="",$H62=""),"",MIN(MAX(0,IF($O62="WDV",AW62*$P62*MAX(0,(IF($I62="",AX$3,MIN($I62,AX$3)))-(MAX($H62,(EDATE(AX$3,-12)+1)))+1)/(AX$3-(EDATE(AX$3,-12)+1)+1),IF($N62=0,0,$Q62/$N62*MAX(0,(IF($I62="",AX$3,MIN($I62,AX$3)))-(MAX($H62,(EDATE(AX$3,-12)+1)))+1)/(AX$3-(EDATE(AX$3,-12)+1)+1)))),MAX(0,AW62-$M62)))</f>
        <v/>
      </c>
      <c r="AY62" s="65">
        <f>IF($K62="","",IF(AND($I62&lt;&gt;"",$I62&lt;=AX$3),0,AW62-AX62))</f>
        <v/>
      </c>
      <c r="AZ62" s="65">
        <f>IF(OR($K62="",$H62=""),"",MIN(MAX(0,IF($O62="WDV",AY62*$P62*MAX(0,(IF($I62="",AZ$3,MIN($I62,AZ$3)))-(MAX($H62,(EDATE(AZ$3,-12)+1)))+1)/(AZ$3-(EDATE(AZ$3,-12)+1)+1),IF($N62=0,0,$Q62/$N62*MAX(0,(IF($I62="",AZ$3,MIN($I62,AZ$3)))-(MAX($H62,(EDATE(AZ$3,-12)+1)))+1)/(AZ$3-(EDATE(AZ$3,-12)+1)+1)))),MAX(0,AY62-$M62)))</f>
        <v/>
      </c>
      <c r="BA62" s="65">
        <f>IF($K62="","",IF(AND($I62&lt;&gt;"",$I62&lt;=AZ$3),0,AY62-AZ62))</f>
        <v/>
      </c>
    </row>
    <row r="63">
      <c r="A63" s="34" t="n"/>
      <c r="B63" s="35" t="n"/>
      <c r="C63" s="35" t="n"/>
      <c r="D63" s="35" t="n"/>
      <c r="E63" s="36" t="n"/>
      <c r="F63" s="37" t="n"/>
      <c r="G63" s="38" t="n"/>
      <c r="H63" s="38" t="n"/>
      <c r="I63" s="39" t="n"/>
      <c r="J63" s="40" t="n"/>
      <c r="K63" s="41" t="n"/>
      <c r="L63" s="42">
        <f>DefaultResidual</f>
        <v/>
      </c>
      <c r="M63" s="43">
        <f>IF($K63="","",$K63*$L63)</f>
        <v/>
      </c>
      <c r="N63" s="44">
        <f>IF($C63="","",IFERROR(VLOOKUP($C63,ScheduleIITable,3,FALSE),"#N/A"))</f>
        <v/>
      </c>
      <c r="O63" s="45">
        <f>IF($K63="","",GlobalMethod)</f>
        <v/>
      </c>
      <c r="P63" s="46">
        <f>IF(OR($K63="",$N63="",$N63=0,$M63=0),0,1-($M63/$K63)^(1/$N63))</f>
        <v/>
      </c>
      <c r="Q63" s="43">
        <f>IF($K63="","",$K63-$M63)</f>
        <v/>
      </c>
      <c r="R63" s="47">
        <f>IF($K63="","",INDEX($V63:$BA63,1,MATCH(ReportingFYEnd,$V$3:$BA$3,0)))</f>
        <v/>
      </c>
      <c r="S63" s="43">
        <f>IF($K63="","",IF($U63="Disposed",0,$K63-$T63))</f>
        <v/>
      </c>
      <c r="T63" s="48">
        <f>IF($K63="","",INDEX($V63:$BA63,1,MATCH(ReportingFYEnd,$V$3:$BA$3,0)+1))</f>
        <v/>
      </c>
      <c r="U63" s="49">
        <f>IF($K63="","",IF(AND($I63&lt;&gt;"",$I63&lt;=ReportingFYEnd),"Disposed",IF(OR($H63="",$H63&gt;ReportingFYEnd),"Not Yet in Use","Active")))</f>
        <v/>
      </c>
      <c r="V63" s="50">
        <f>IF(OR($K63="",$H63=""),"",MIN(MAX(0,IF($O63="WDV",$K63*$P63*MAX(0,(IF($I63="",V$3,MIN($I63,V$3)))-(MAX($H63,(EDATE(V$3,-12)+1)))+1)/(V$3-(EDATE(V$3,-12)+1)+1),IF($N63=0,0,$Q63/$N63*MAX(0,(IF($I63="",V$3,MIN($I63,V$3)))-(MAX($H63,(EDATE(V$3,-12)+1)))+1)/(V$3-(EDATE(V$3,-12)+1)+1)))),MAX(0,$K63-$M63)))</f>
        <v/>
      </c>
      <c r="W63" s="51">
        <f>IF($K63="","",IF(AND($I63&lt;&gt;"",$I63&lt;=V$3),0,$K63-V63))</f>
        <v/>
      </c>
      <c r="X63" s="50">
        <f>IF(OR($K63="",$H63=""),"",MIN(MAX(0,IF($O63="WDV",W63*$P63*MAX(0,(IF($I63="",X$3,MIN($I63,X$3)))-(MAX($H63,(EDATE(X$3,-12)+1)))+1)/(X$3-(EDATE(X$3,-12)+1)+1),IF($N63=0,0,$Q63/$N63*MAX(0,(IF($I63="",X$3,MIN($I63,X$3)))-(MAX($H63,(EDATE(X$3,-12)+1)))+1)/(X$3-(EDATE(X$3,-12)+1)+1)))),MAX(0,W63-$M63)))</f>
        <v/>
      </c>
      <c r="Y63" s="51">
        <f>IF($K63="","",IF(AND($I63&lt;&gt;"",$I63&lt;=X$3),0,W63-X63))</f>
        <v/>
      </c>
      <c r="Z63" s="50">
        <f>IF(OR($K63="",$H63=""),"",MIN(MAX(0,IF($O63="WDV",Y63*$P63*MAX(0,(IF($I63="",Z$3,MIN($I63,Z$3)))-(MAX($H63,(EDATE(Z$3,-12)+1)))+1)/(Z$3-(EDATE(Z$3,-12)+1)+1),IF($N63=0,0,$Q63/$N63*MAX(0,(IF($I63="",Z$3,MIN($I63,Z$3)))-(MAX($H63,(EDATE(Z$3,-12)+1)))+1)/(Z$3-(EDATE(Z$3,-12)+1)+1)))),MAX(0,Y63-$M63)))</f>
        <v/>
      </c>
      <c r="AA63" s="51">
        <f>IF($K63="","",IF(AND($I63&lt;&gt;"",$I63&lt;=Z$3),0,Y63-Z63))</f>
        <v/>
      </c>
      <c r="AB63" s="50">
        <f>IF(OR($K63="",$H63=""),"",MIN(MAX(0,IF($O63="WDV",AA63*$P63*MAX(0,(IF($I63="",AB$3,MIN($I63,AB$3)))-(MAX($H63,(EDATE(AB$3,-12)+1)))+1)/(AB$3-(EDATE(AB$3,-12)+1)+1),IF($N63=0,0,$Q63/$N63*MAX(0,(IF($I63="",AB$3,MIN($I63,AB$3)))-(MAX($H63,(EDATE(AB$3,-12)+1)))+1)/(AB$3-(EDATE(AB$3,-12)+1)+1)))),MAX(0,AA63-$M63)))</f>
        <v/>
      </c>
      <c r="AC63" s="51">
        <f>IF($K63="","",IF(AND($I63&lt;&gt;"",$I63&lt;=AB$3),0,AA63-AB63))</f>
        <v/>
      </c>
      <c r="AD63" s="50">
        <f>IF(OR($K63="",$H63=""),"",MIN(MAX(0,IF($O63="WDV",AC63*$P63*MAX(0,(IF($I63="",AD$3,MIN($I63,AD$3)))-(MAX($H63,(EDATE(AD$3,-12)+1)))+1)/(AD$3-(EDATE(AD$3,-12)+1)+1),IF($N63=0,0,$Q63/$N63*MAX(0,(IF($I63="",AD$3,MIN($I63,AD$3)))-(MAX($H63,(EDATE(AD$3,-12)+1)))+1)/(AD$3-(EDATE(AD$3,-12)+1)+1)))),MAX(0,AC63-$M63)))</f>
        <v/>
      </c>
      <c r="AE63" s="51">
        <f>IF($K63="","",IF(AND($I63&lt;&gt;"",$I63&lt;=AD$3),0,AC63-AD63))</f>
        <v/>
      </c>
      <c r="AF63" s="50">
        <f>IF(OR($K63="",$H63=""),"",MIN(MAX(0,IF($O63="WDV",AE63*$P63*MAX(0,(IF($I63="",AF$3,MIN($I63,AF$3)))-(MAX($H63,(EDATE(AF$3,-12)+1)))+1)/(AF$3-(EDATE(AF$3,-12)+1)+1),IF($N63=0,0,$Q63/$N63*MAX(0,(IF($I63="",AF$3,MIN($I63,AF$3)))-(MAX($H63,(EDATE(AF$3,-12)+1)))+1)/(AF$3-(EDATE(AF$3,-12)+1)+1)))),MAX(0,AE63-$M63)))</f>
        <v/>
      </c>
      <c r="AG63" s="51">
        <f>IF($K63="","",IF(AND($I63&lt;&gt;"",$I63&lt;=AF$3),0,AE63-AF63))</f>
        <v/>
      </c>
      <c r="AH63" s="50">
        <f>IF(OR($K63="",$H63=""),"",MIN(MAX(0,IF($O63="WDV",AG63*$P63*MAX(0,(IF($I63="",AH$3,MIN($I63,AH$3)))-(MAX($H63,(EDATE(AH$3,-12)+1)))+1)/(AH$3-(EDATE(AH$3,-12)+1)+1),IF($N63=0,0,$Q63/$N63*MAX(0,(IF($I63="",AH$3,MIN($I63,AH$3)))-(MAX($H63,(EDATE(AH$3,-12)+1)))+1)/(AH$3-(EDATE(AH$3,-12)+1)+1)))),MAX(0,AG63-$M63)))</f>
        <v/>
      </c>
      <c r="AI63" s="51">
        <f>IF($K63="","",IF(AND($I63&lt;&gt;"",$I63&lt;=AH$3),0,AG63-AH63))</f>
        <v/>
      </c>
      <c r="AJ63" s="50">
        <f>IF(OR($K63="",$H63=""),"",MIN(MAX(0,IF($O63="WDV",AI63*$P63*MAX(0,(IF($I63="",AJ$3,MIN($I63,AJ$3)))-(MAX($H63,(EDATE(AJ$3,-12)+1)))+1)/(AJ$3-(EDATE(AJ$3,-12)+1)+1),IF($N63=0,0,$Q63/$N63*MAX(0,(IF($I63="",AJ$3,MIN($I63,AJ$3)))-(MAX($H63,(EDATE(AJ$3,-12)+1)))+1)/(AJ$3-(EDATE(AJ$3,-12)+1)+1)))),MAX(0,AI63-$M63)))</f>
        <v/>
      </c>
      <c r="AK63" s="51">
        <f>IF($K63="","",IF(AND($I63&lt;&gt;"",$I63&lt;=AJ$3),0,AI63-AJ63))</f>
        <v/>
      </c>
      <c r="AL63" s="50">
        <f>IF(OR($K63="",$H63=""),"",MIN(MAX(0,IF($O63="WDV",AK63*$P63*MAX(0,(IF($I63="",AL$3,MIN($I63,AL$3)))-(MAX($H63,(EDATE(AL$3,-12)+1)))+1)/(AL$3-(EDATE(AL$3,-12)+1)+1),IF($N63=0,0,$Q63/$N63*MAX(0,(IF($I63="",AL$3,MIN($I63,AL$3)))-(MAX($H63,(EDATE(AL$3,-12)+1)))+1)/(AL$3-(EDATE(AL$3,-12)+1)+1)))),MAX(0,AK63-$M63)))</f>
        <v/>
      </c>
      <c r="AM63" s="51">
        <f>IF($K63="","",IF(AND($I63&lt;&gt;"",$I63&lt;=AL$3),0,AK63-AL63))</f>
        <v/>
      </c>
      <c r="AN63" s="50">
        <f>IF(OR($K63="",$H63=""),"",MIN(MAX(0,IF($O63="WDV",AM63*$P63*MAX(0,(IF($I63="",AN$3,MIN($I63,AN$3)))-(MAX($H63,(EDATE(AN$3,-12)+1)))+1)/(AN$3-(EDATE(AN$3,-12)+1)+1),IF($N63=0,0,$Q63/$N63*MAX(0,(IF($I63="",AN$3,MIN($I63,AN$3)))-(MAX($H63,(EDATE(AN$3,-12)+1)))+1)/(AN$3-(EDATE(AN$3,-12)+1)+1)))),MAX(0,AM63-$M63)))</f>
        <v/>
      </c>
      <c r="AO63" s="51">
        <f>IF($K63="","",IF(AND($I63&lt;&gt;"",$I63&lt;=AN$3),0,AM63-AN63))</f>
        <v/>
      </c>
      <c r="AP63" s="50">
        <f>IF(OR($K63="",$H63=""),"",MIN(MAX(0,IF($O63="WDV",AO63*$P63*MAX(0,(IF($I63="",AP$3,MIN($I63,AP$3)))-(MAX($H63,(EDATE(AP$3,-12)+1)))+1)/(AP$3-(EDATE(AP$3,-12)+1)+1),IF($N63=0,0,$Q63/$N63*MAX(0,(IF($I63="",AP$3,MIN($I63,AP$3)))-(MAX($H63,(EDATE(AP$3,-12)+1)))+1)/(AP$3-(EDATE(AP$3,-12)+1)+1)))),MAX(0,AO63-$M63)))</f>
        <v/>
      </c>
      <c r="AQ63" s="51">
        <f>IF($K63="","",IF(AND($I63&lt;&gt;"",$I63&lt;=AP$3),0,AO63-AP63))</f>
        <v/>
      </c>
      <c r="AR63" s="50">
        <f>IF(OR($K63="",$H63=""),"",MIN(MAX(0,IF($O63="WDV",AQ63*$P63*MAX(0,(IF($I63="",AR$3,MIN($I63,AR$3)))-(MAX($H63,(EDATE(AR$3,-12)+1)))+1)/(AR$3-(EDATE(AR$3,-12)+1)+1),IF($N63=0,0,$Q63/$N63*MAX(0,(IF($I63="",AR$3,MIN($I63,AR$3)))-(MAX($H63,(EDATE(AR$3,-12)+1)))+1)/(AR$3-(EDATE(AR$3,-12)+1)+1)))),MAX(0,AQ63-$M63)))</f>
        <v/>
      </c>
      <c r="AS63" s="51">
        <f>IF($K63="","",IF(AND($I63&lt;&gt;"",$I63&lt;=AR$3),0,AQ63-AR63))</f>
        <v/>
      </c>
      <c r="AT63" s="50">
        <f>IF(OR($K63="",$H63=""),"",MIN(MAX(0,IF($O63="WDV",AS63*$P63*MAX(0,(IF($I63="",AT$3,MIN($I63,AT$3)))-(MAX($H63,(EDATE(AT$3,-12)+1)))+1)/(AT$3-(EDATE(AT$3,-12)+1)+1),IF($N63=0,0,$Q63/$N63*MAX(0,(IF($I63="",AT$3,MIN($I63,AT$3)))-(MAX($H63,(EDATE(AT$3,-12)+1)))+1)/(AT$3-(EDATE(AT$3,-12)+1)+1)))),MAX(0,AS63-$M63)))</f>
        <v/>
      </c>
      <c r="AU63" s="51">
        <f>IF($K63="","",IF(AND($I63&lt;&gt;"",$I63&lt;=AT$3),0,AS63-AT63))</f>
        <v/>
      </c>
      <c r="AV63" s="50">
        <f>IF(OR($K63="",$H63=""),"",MIN(MAX(0,IF($O63="WDV",AU63*$P63*MAX(0,(IF($I63="",AV$3,MIN($I63,AV$3)))-(MAX($H63,(EDATE(AV$3,-12)+1)))+1)/(AV$3-(EDATE(AV$3,-12)+1)+1),IF($N63=0,0,$Q63/$N63*MAX(0,(IF($I63="",AV$3,MIN($I63,AV$3)))-(MAX($H63,(EDATE(AV$3,-12)+1)))+1)/(AV$3-(EDATE(AV$3,-12)+1)+1)))),MAX(0,AU63-$M63)))</f>
        <v/>
      </c>
      <c r="AW63" s="51">
        <f>IF($K63="","",IF(AND($I63&lt;&gt;"",$I63&lt;=AV$3),0,AU63-AV63))</f>
        <v/>
      </c>
      <c r="AX63" s="50">
        <f>IF(OR($K63="",$H63=""),"",MIN(MAX(0,IF($O63="WDV",AW63*$P63*MAX(0,(IF($I63="",AX$3,MIN($I63,AX$3)))-(MAX($H63,(EDATE(AX$3,-12)+1)))+1)/(AX$3-(EDATE(AX$3,-12)+1)+1),IF($N63=0,0,$Q63/$N63*MAX(0,(IF($I63="",AX$3,MIN($I63,AX$3)))-(MAX($H63,(EDATE(AX$3,-12)+1)))+1)/(AX$3-(EDATE(AX$3,-12)+1)+1)))),MAX(0,AW63-$M63)))</f>
        <v/>
      </c>
      <c r="AY63" s="51">
        <f>IF($K63="","",IF(AND($I63&lt;&gt;"",$I63&lt;=AX$3),0,AW63-AX63))</f>
        <v/>
      </c>
      <c r="AZ63" s="50">
        <f>IF(OR($K63="",$H63=""),"",MIN(MAX(0,IF($O63="WDV",AY63*$P63*MAX(0,(IF($I63="",AZ$3,MIN($I63,AZ$3)))-(MAX($H63,(EDATE(AZ$3,-12)+1)))+1)/(AZ$3-(EDATE(AZ$3,-12)+1)+1),IF($N63=0,0,$Q63/$N63*MAX(0,(IF($I63="",AZ$3,MIN($I63,AZ$3)))-(MAX($H63,(EDATE(AZ$3,-12)+1)))+1)/(AZ$3-(EDATE(AZ$3,-12)+1)+1)))),MAX(0,AY63-$M63)))</f>
        <v/>
      </c>
      <c r="BA63" s="51">
        <f>IF($K63="","",IF(AND($I63&lt;&gt;"",$I63&lt;=AZ$3),0,AY63-AZ63))</f>
        <v/>
      </c>
    </row>
    <row r="64">
      <c r="A64" s="52" t="n"/>
      <c r="B64" s="53" t="n"/>
      <c r="C64" s="53" t="n"/>
      <c r="D64" s="53" t="n"/>
      <c r="E64" s="19" t="n"/>
      <c r="F64" s="54" t="n"/>
      <c r="G64" s="55" t="n"/>
      <c r="H64" s="55" t="n"/>
      <c r="I64" s="56" t="n"/>
      <c r="J64" s="57" t="n"/>
      <c r="K64" s="58" t="n"/>
      <c r="L64" s="59">
        <f>DefaultResidual</f>
        <v/>
      </c>
      <c r="M64" s="60">
        <f>IF($K64="","",$K64*$L64)</f>
        <v/>
      </c>
      <c r="N64" s="20">
        <f>IF($C64="","",IFERROR(VLOOKUP($C64,ScheduleIITable,3,FALSE),"#N/A"))</f>
        <v/>
      </c>
      <c r="O64" s="61">
        <f>IF($K64="","",GlobalMethod)</f>
        <v/>
      </c>
      <c r="P64" s="21">
        <f>IF(OR($K64="",$N64="",$N64=0,$M64=0),0,1-($M64/$K64)^(1/$N64))</f>
        <v/>
      </c>
      <c r="Q64" s="60">
        <f>IF($K64="","",$K64-$M64)</f>
        <v/>
      </c>
      <c r="R64" s="62">
        <f>IF($K64="","",INDEX($V64:$BA64,1,MATCH(ReportingFYEnd,$V$3:$BA$3,0)))</f>
        <v/>
      </c>
      <c r="S64" s="60">
        <f>IF($K64="","",IF($U64="Disposed",0,$K64-$T64))</f>
        <v/>
      </c>
      <c r="T64" s="63">
        <f>IF($K64="","",INDEX($V64:$BA64,1,MATCH(ReportingFYEnd,$V$3:$BA$3,0)+1))</f>
        <v/>
      </c>
      <c r="U64" s="64">
        <f>IF($K64="","",IF(AND($I64&lt;&gt;"",$I64&lt;=ReportingFYEnd),"Disposed",IF(OR($H64="",$H64&gt;ReportingFYEnd),"Not Yet in Use","Active")))</f>
        <v/>
      </c>
      <c r="V64" s="65">
        <f>IF(OR($K64="",$H64=""),"",MIN(MAX(0,IF($O64="WDV",$K64*$P64*MAX(0,(IF($I64="",V$3,MIN($I64,V$3)))-(MAX($H64,(EDATE(V$3,-12)+1)))+1)/(V$3-(EDATE(V$3,-12)+1)+1),IF($N64=0,0,$Q64/$N64*MAX(0,(IF($I64="",V$3,MIN($I64,V$3)))-(MAX($H64,(EDATE(V$3,-12)+1)))+1)/(V$3-(EDATE(V$3,-12)+1)+1)))),MAX(0,$K64-$M64)))</f>
        <v/>
      </c>
      <c r="W64" s="65">
        <f>IF($K64="","",IF(AND($I64&lt;&gt;"",$I64&lt;=V$3),0,$K64-V64))</f>
        <v/>
      </c>
      <c r="X64" s="65">
        <f>IF(OR($K64="",$H64=""),"",MIN(MAX(0,IF($O64="WDV",W64*$P64*MAX(0,(IF($I64="",X$3,MIN($I64,X$3)))-(MAX($H64,(EDATE(X$3,-12)+1)))+1)/(X$3-(EDATE(X$3,-12)+1)+1),IF($N64=0,0,$Q64/$N64*MAX(0,(IF($I64="",X$3,MIN($I64,X$3)))-(MAX($H64,(EDATE(X$3,-12)+1)))+1)/(X$3-(EDATE(X$3,-12)+1)+1)))),MAX(0,W64-$M64)))</f>
        <v/>
      </c>
      <c r="Y64" s="65">
        <f>IF($K64="","",IF(AND($I64&lt;&gt;"",$I64&lt;=X$3),0,W64-X64))</f>
        <v/>
      </c>
      <c r="Z64" s="65">
        <f>IF(OR($K64="",$H64=""),"",MIN(MAX(0,IF($O64="WDV",Y64*$P64*MAX(0,(IF($I64="",Z$3,MIN($I64,Z$3)))-(MAX($H64,(EDATE(Z$3,-12)+1)))+1)/(Z$3-(EDATE(Z$3,-12)+1)+1),IF($N64=0,0,$Q64/$N64*MAX(0,(IF($I64="",Z$3,MIN($I64,Z$3)))-(MAX($H64,(EDATE(Z$3,-12)+1)))+1)/(Z$3-(EDATE(Z$3,-12)+1)+1)))),MAX(0,Y64-$M64)))</f>
        <v/>
      </c>
      <c r="AA64" s="65">
        <f>IF($K64="","",IF(AND($I64&lt;&gt;"",$I64&lt;=Z$3),0,Y64-Z64))</f>
        <v/>
      </c>
      <c r="AB64" s="65">
        <f>IF(OR($K64="",$H64=""),"",MIN(MAX(0,IF($O64="WDV",AA64*$P64*MAX(0,(IF($I64="",AB$3,MIN($I64,AB$3)))-(MAX($H64,(EDATE(AB$3,-12)+1)))+1)/(AB$3-(EDATE(AB$3,-12)+1)+1),IF($N64=0,0,$Q64/$N64*MAX(0,(IF($I64="",AB$3,MIN($I64,AB$3)))-(MAX($H64,(EDATE(AB$3,-12)+1)))+1)/(AB$3-(EDATE(AB$3,-12)+1)+1)))),MAX(0,AA64-$M64)))</f>
        <v/>
      </c>
      <c r="AC64" s="65">
        <f>IF($K64="","",IF(AND($I64&lt;&gt;"",$I64&lt;=AB$3),0,AA64-AB64))</f>
        <v/>
      </c>
      <c r="AD64" s="65">
        <f>IF(OR($K64="",$H64=""),"",MIN(MAX(0,IF($O64="WDV",AC64*$P64*MAX(0,(IF($I64="",AD$3,MIN($I64,AD$3)))-(MAX($H64,(EDATE(AD$3,-12)+1)))+1)/(AD$3-(EDATE(AD$3,-12)+1)+1),IF($N64=0,0,$Q64/$N64*MAX(0,(IF($I64="",AD$3,MIN($I64,AD$3)))-(MAX($H64,(EDATE(AD$3,-12)+1)))+1)/(AD$3-(EDATE(AD$3,-12)+1)+1)))),MAX(0,AC64-$M64)))</f>
        <v/>
      </c>
      <c r="AE64" s="65">
        <f>IF($K64="","",IF(AND($I64&lt;&gt;"",$I64&lt;=AD$3),0,AC64-AD64))</f>
        <v/>
      </c>
      <c r="AF64" s="65">
        <f>IF(OR($K64="",$H64=""),"",MIN(MAX(0,IF($O64="WDV",AE64*$P64*MAX(0,(IF($I64="",AF$3,MIN($I64,AF$3)))-(MAX($H64,(EDATE(AF$3,-12)+1)))+1)/(AF$3-(EDATE(AF$3,-12)+1)+1),IF($N64=0,0,$Q64/$N64*MAX(0,(IF($I64="",AF$3,MIN($I64,AF$3)))-(MAX($H64,(EDATE(AF$3,-12)+1)))+1)/(AF$3-(EDATE(AF$3,-12)+1)+1)))),MAX(0,AE64-$M64)))</f>
        <v/>
      </c>
      <c r="AG64" s="65">
        <f>IF($K64="","",IF(AND($I64&lt;&gt;"",$I64&lt;=AF$3),0,AE64-AF64))</f>
        <v/>
      </c>
      <c r="AH64" s="65">
        <f>IF(OR($K64="",$H64=""),"",MIN(MAX(0,IF($O64="WDV",AG64*$P64*MAX(0,(IF($I64="",AH$3,MIN($I64,AH$3)))-(MAX($H64,(EDATE(AH$3,-12)+1)))+1)/(AH$3-(EDATE(AH$3,-12)+1)+1),IF($N64=0,0,$Q64/$N64*MAX(0,(IF($I64="",AH$3,MIN($I64,AH$3)))-(MAX($H64,(EDATE(AH$3,-12)+1)))+1)/(AH$3-(EDATE(AH$3,-12)+1)+1)))),MAX(0,AG64-$M64)))</f>
        <v/>
      </c>
      <c r="AI64" s="65">
        <f>IF($K64="","",IF(AND($I64&lt;&gt;"",$I64&lt;=AH$3),0,AG64-AH64))</f>
        <v/>
      </c>
      <c r="AJ64" s="65">
        <f>IF(OR($K64="",$H64=""),"",MIN(MAX(0,IF($O64="WDV",AI64*$P64*MAX(0,(IF($I64="",AJ$3,MIN($I64,AJ$3)))-(MAX($H64,(EDATE(AJ$3,-12)+1)))+1)/(AJ$3-(EDATE(AJ$3,-12)+1)+1),IF($N64=0,0,$Q64/$N64*MAX(0,(IF($I64="",AJ$3,MIN($I64,AJ$3)))-(MAX($H64,(EDATE(AJ$3,-12)+1)))+1)/(AJ$3-(EDATE(AJ$3,-12)+1)+1)))),MAX(0,AI64-$M64)))</f>
        <v/>
      </c>
      <c r="AK64" s="65">
        <f>IF($K64="","",IF(AND($I64&lt;&gt;"",$I64&lt;=AJ$3),0,AI64-AJ64))</f>
        <v/>
      </c>
      <c r="AL64" s="65">
        <f>IF(OR($K64="",$H64=""),"",MIN(MAX(0,IF($O64="WDV",AK64*$P64*MAX(0,(IF($I64="",AL$3,MIN($I64,AL$3)))-(MAX($H64,(EDATE(AL$3,-12)+1)))+1)/(AL$3-(EDATE(AL$3,-12)+1)+1),IF($N64=0,0,$Q64/$N64*MAX(0,(IF($I64="",AL$3,MIN($I64,AL$3)))-(MAX($H64,(EDATE(AL$3,-12)+1)))+1)/(AL$3-(EDATE(AL$3,-12)+1)+1)))),MAX(0,AK64-$M64)))</f>
        <v/>
      </c>
      <c r="AM64" s="65">
        <f>IF($K64="","",IF(AND($I64&lt;&gt;"",$I64&lt;=AL$3),0,AK64-AL64))</f>
        <v/>
      </c>
      <c r="AN64" s="65">
        <f>IF(OR($K64="",$H64=""),"",MIN(MAX(0,IF($O64="WDV",AM64*$P64*MAX(0,(IF($I64="",AN$3,MIN($I64,AN$3)))-(MAX($H64,(EDATE(AN$3,-12)+1)))+1)/(AN$3-(EDATE(AN$3,-12)+1)+1),IF($N64=0,0,$Q64/$N64*MAX(0,(IF($I64="",AN$3,MIN($I64,AN$3)))-(MAX($H64,(EDATE(AN$3,-12)+1)))+1)/(AN$3-(EDATE(AN$3,-12)+1)+1)))),MAX(0,AM64-$M64)))</f>
        <v/>
      </c>
      <c r="AO64" s="65">
        <f>IF($K64="","",IF(AND($I64&lt;&gt;"",$I64&lt;=AN$3),0,AM64-AN64))</f>
        <v/>
      </c>
      <c r="AP64" s="65">
        <f>IF(OR($K64="",$H64=""),"",MIN(MAX(0,IF($O64="WDV",AO64*$P64*MAX(0,(IF($I64="",AP$3,MIN($I64,AP$3)))-(MAX($H64,(EDATE(AP$3,-12)+1)))+1)/(AP$3-(EDATE(AP$3,-12)+1)+1),IF($N64=0,0,$Q64/$N64*MAX(0,(IF($I64="",AP$3,MIN($I64,AP$3)))-(MAX($H64,(EDATE(AP$3,-12)+1)))+1)/(AP$3-(EDATE(AP$3,-12)+1)+1)))),MAX(0,AO64-$M64)))</f>
        <v/>
      </c>
      <c r="AQ64" s="65">
        <f>IF($K64="","",IF(AND($I64&lt;&gt;"",$I64&lt;=AP$3),0,AO64-AP64))</f>
        <v/>
      </c>
      <c r="AR64" s="65">
        <f>IF(OR($K64="",$H64=""),"",MIN(MAX(0,IF($O64="WDV",AQ64*$P64*MAX(0,(IF($I64="",AR$3,MIN($I64,AR$3)))-(MAX($H64,(EDATE(AR$3,-12)+1)))+1)/(AR$3-(EDATE(AR$3,-12)+1)+1),IF($N64=0,0,$Q64/$N64*MAX(0,(IF($I64="",AR$3,MIN($I64,AR$3)))-(MAX($H64,(EDATE(AR$3,-12)+1)))+1)/(AR$3-(EDATE(AR$3,-12)+1)+1)))),MAX(0,AQ64-$M64)))</f>
        <v/>
      </c>
      <c r="AS64" s="65">
        <f>IF($K64="","",IF(AND($I64&lt;&gt;"",$I64&lt;=AR$3),0,AQ64-AR64))</f>
        <v/>
      </c>
      <c r="AT64" s="65">
        <f>IF(OR($K64="",$H64=""),"",MIN(MAX(0,IF($O64="WDV",AS64*$P64*MAX(0,(IF($I64="",AT$3,MIN($I64,AT$3)))-(MAX($H64,(EDATE(AT$3,-12)+1)))+1)/(AT$3-(EDATE(AT$3,-12)+1)+1),IF($N64=0,0,$Q64/$N64*MAX(0,(IF($I64="",AT$3,MIN($I64,AT$3)))-(MAX($H64,(EDATE(AT$3,-12)+1)))+1)/(AT$3-(EDATE(AT$3,-12)+1)+1)))),MAX(0,AS64-$M64)))</f>
        <v/>
      </c>
      <c r="AU64" s="65">
        <f>IF($K64="","",IF(AND($I64&lt;&gt;"",$I64&lt;=AT$3),0,AS64-AT64))</f>
        <v/>
      </c>
      <c r="AV64" s="65">
        <f>IF(OR($K64="",$H64=""),"",MIN(MAX(0,IF($O64="WDV",AU64*$P64*MAX(0,(IF($I64="",AV$3,MIN($I64,AV$3)))-(MAX($H64,(EDATE(AV$3,-12)+1)))+1)/(AV$3-(EDATE(AV$3,-12)+1)+1),IF($N64=0,0,$Q64/$N64*MAX(0,(IF($I64="",AV$3,MIN($I64,AV$3)))-(MAX($H64,(EDATE(AV$3,-12)+1)))+1)/(AV$3-(EDATE(AV$3,-12)+1)+1)))),MAX(0,AU64-$M64)))</f>
        <v/>
      </c>
      <c r="AW64" s="65">
        <f>IF($K64="","",IF(AND($I64&lt;&gt;"",$I64&lt;=AV$3),0,AU64-AV64))</f>
        <v/>
      </c>
      <c r="AX64" s="65">
        <f>IF(OR($K64="",$H64=""),"",MIN(MAX(0,IF($O64="WDV",AW64*$P64*MAX(0,(IF($I64="",AX$3,MIN($I64,AX$3)))-(MAX($H64,(EDATE(AX$3,-12)+1)))+1)/(AX$3-(EDATE(AX$3,-12)+1)+1),IF($N64=0,0,$Q64/$N64*MAX(0,(IF($I64="",AX$3,MIN($I64,AX$3)))-(MAX($H64,(EDATE(AX$3,-12)+1)))+1)/(AX$3-(EDATE(AX$3,-12)+1)+1)))),MAX(0,AW64-$M64)))</f>
        <v/>
      </c>
      <c r="AY64" s="65">
        <f>IF($K64="","",IF(AND($I64&lt;&gt;"",$I64&lt;=AX$3),0,AW64-AX64))</f>
        <v/>
      </c>
      <c r="AZ64" s="65">
        <f>IF(OR($K64="",$H64=""),"",MIN(MAX(0,IF($O64="WDV",AY64*$P64*MAX(0,(IF($I64="",AZ$3,MIN($I64,AZ$3)))-(MAX($H64,(EDATE(AZ$3,-12)+1)))+1)/(AZ$3-(EDATE(AZ$3,-12)+1)+1),IF($N64=0,0,$Q64/$N64*MAX(0,(IF($I64="",AZ$3,MIN($I64,AZ$3)))-(MAX($H64,(EDATE(AZ$3,-12)+1)))+1)/(AZ$3-(EDATE(AZ$3,-12)+1)+1)))),MAX(0,AY64-$M64)))</f>
        <v/>
      </c>
      <c r="BA64" s="65">
        <f>IF($K64="","",IF(AND($I64&lt;&gt;"",$I64&lt;=AZ$3),0,AY64-AZ64))</f>
        <v/>
      </c>
    </row>
    <row r="65">
      <c r="A65" s="66" t="inlineStr">
        <is>
          <t>TOTAL</t>
        </is>
      </c>
      <c r="B65" s="67" t="inlineStr"/>
      <c r="C65" s="67" t="inlineStr"/>
      <c r="D65" s="67" t="inlineStr"/>
      <c r="E65" s="67" t="inlineStr"/>
      <c r="F65" s="67" t="inlineStr"/>
      <c r="G65" s="67" t="inlineStr"/>
      <c r="H65" s="67" t="inlineStr"/>
      <c r="I65" s="67" t="inlineStr"/>
      <c r="J65" s="68">
        <f>SUM(J5:J64)</f>
        <v/>
      </c>
      <c r="K65" s="68">
        <f>SUM(K5:K64)</f>
        <v/>
      </c>
      <c r="L65" s="67" t="inlineStr"/>
      <c r="M65" s="68">
        <f>SUM(M5:M64)</f>
        <v/>
      </c>
      <c r="N65" s="67" t="inlineStr"/>
      <c r="O65" s="67" t="inlineStr"/>
      <c r="P65" s="67" t="inlineStr"/>
      <c r="Q65" s="68">
        <f>SUM(Q5:Q64)</f>
        <v/>
      </c>
      <c r="R65" s="68">
        <f>SUM(R5:R64)</f>
        <v/>
      </c>
      <c r="S65" s="68">
        <f>SUM(S5:S64)</f>
        <v/>
      </c>
      <c r="T65" s="68">
        <f>SUM(T5:T64)</f>
        <v/>
      </c>
      <c r="U65" s="67" t="inlineStr"/>
      <c r="V65" s="69">
        <f>SUM(V5:V64)</f>
        <v/>
      </c>
      <c r="W65" s="69">
        <f>SUM(W5:W64)</f>
        <v/>
      </c>
      <c r="X65" s="69">
        <f>SUM(X5:X64)</f>
        <v/>
      </c>
      <c r="Y65" s="69">
        <f>SUM(Y5:Y64)</f>
        <v/>
      </c>
      <c r="Z65" s="69">
        <f>SUM(Z5:Z64)</f>
        <v/>
      </c>
      <c r="AA65" s="69">
        <f>SUM(AA5:AA64)</f>
        <v/>
      </c>
      <c r="AB65" s="69">
        <f>SUM(AB5:AB64)</f>
        <v/>
      </c>
      <c r="AC65" s="69">
        <f>SUM(AC5:AC64)</f>
        <v/>
      </c>
      <c r="AD65" s="69">
        <f>SUM(AD5:AD64)</f>
        <v/>
      </c>
      <c r="AE65" s="69">
        <f>SUM(AE5:AE64)</f>
        <v/>
      </c>
      <c r="AF65" s="69">
        <f>SUM(AF5:AF64)</f>
        <v/>
      </c>
      <c r="AG65" s="69">
        <f>SUM(AG5:AG64)</f>
        <v/>
      </c>
      <c r="AH65" s="69">
        <f>SUM(AH5:AH64)</f>
        <v/>
      </c>
      <c r="AI65" s="69">
        <f>SUM(AI5:AI64)</f>
        <v/>
      </c>
      <c r="AJ65" s="69">
        <f>SUM(AJ5:AJ64)</f>
        <v/>
      </c>
      <c r="AK65" s="69">
        <f>SUM(AK5:AK64)</f>
        <v/>
      </c>
      <c r="AL65" s="69">
        <f>SUM(AL5:AL64)</f>
        <v/>
      </c>
      <c r="AM65" s="69">
        <f>SUM(AM5:AM64)</f>
        <v/>
      </c>
      <c r="AN65" s="69">
        <f>SUM(AN5:AN64)</f>
        <v/>
      </c>
      <c r="AO65" s="69">
        <f>SUM(AO5:AO64)</f>
        <v/>
      </c>
      <c r="AP65" s="69">
        <f>SUM(AP5:AP64)</f>
        <v/>
      </c>
      <c r="AQ65" s="69">
        <f>SUM(AQ5:AQ64)</f>
        <v/>
      </c>
      <c r="AR65" s="69">
        <f>SUM(AR5:AR64)</f>
        <v/>
      </c>
      <c r="AS65" s="69">
        <f>SUM(AS5:AS64)</f>
        <v/>
      </c>
      <c r="AT65" s="69">
        <f>SUM(AT5:AT64)</f>
        <v/>
      </c>
      <c r="AU65" s="69">
        <f>SUM(AU5:AU64)</f>
        <v/>
      </c>
      <c r="AV65" s="69">
        <f>SUM(AV5:AV64)</f>
        <v/>
      </c>
      <c r="AW65" s="69">
        <f>SUM(AW5:AW64)</f>
        <v/>
      </c>
      <c r="AX65" s="69">
        <f>SUM(AX5:AX64)</f>
        <v/>
      </c>
      <c r="AY65" s="69">
        <f>SUM(AY5:AY64)</f>
        <v/>
      </c>
      <c r="AZ65" s="69">
        <f>SUM(AZ5:AZ64)</f>
        <v/>
      </c>
      <c r="BA65" s="69">
        <f>SUM(BA5:BA64)</f>
        <v/>
      </c>
    </row>
  </sheetData>
  <mergeCells count="6">
    <mergeCell ref="R3:U3"/>
    <mergeCell ref="A2:BA2"/>
    <mergeCell ref="K3:Q3"/>
    <mergeCell ref="J3"/>
    <mergeCell ref="A3:I3"/>
    <mergeCell ref="A1:BA1"/>
  </mergeCells>
  <conditionalFormatting sqref="A5:U64">
    <cfRule type="expression" priority="1" dxfId="0">
      <formula>$U5="Disposed"</formula>
    </cfRule>
  </conditionalFormatting>
  <conditionalFormatting sqref="N5:N64">
    <cfRule type="expression" priority="2" dxfId="1">
      <formula>$N5="#N/A"</formula>
    </cfRule>
  </conditionalFormatting>
  <dataValidations count="1">
    <dataValidation sqref="C5:C64" showDropDown="0" showInputMessage="0" showErrorMessage="0" allowBlank="1" error="Pick a category from the Schedule II master (Input sheet)." prompt="Select an asset category (drives useful life &amp; rate)." type="list">
      <formula1>AssetCategories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B2:R44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2" ht="26" customHeight="1">
      <c r="B2" s="70" t="inlineStr">
        <is>
          <t>DEPRECIATION REPORTS – YEAR-WISE SCHEDULE</t>
        </is>
      </c>
    </row>
    <row r="3">
      <c r="B3" s="71">
        <f>"Method: "&amp;GlobalMethod&amp;"   |   All figures auto-link to the FAR sheet"</f>
        <v/>
      </c>
    </row>
    <row r="5">
      <c r="B5" s="3" t="inlineStr">
        <is>
          <t>A.  YEAR-WISE DEPRECIATION &amp; NET BLOCK MOVEMENT</t>
        </is>
      </c>
      <c r="C5" s="72" t="n"/>
      <c r="D5" s="72" t="n"/>
      <c r="E5" s="72" t="n"/>
      <c r="F5" s="72" t="n"/>
      <c r="G5" s="72" t="n"/>
      <c r="H5" s="73" t="n"/>
    </row>
    <row r="6" ht="30" customHeight="1">
      <c r="B6" s="74" t="inlineStr">
        <is>
          <t>Financial Year</t>
        </is>
      </c>
      <c r="C6" s="74" t="inlineStr">
        <is>
          <t>Dep for the Year (Rs.)</t>
        </is>
      </c>
      <c r="D6" s="74" t="inlineStr">
        <is>
          <t>Cumulative Dep (Rs.)</t>
        </is>
      </c>
      <c r="E6" s="74" t="inlineStr">
        <is>
          <t>Closing Net Block / WDV (Rs.)</t>
        </is>
      </c>
    </row>
    <row r="7">
      <c r="B7" s="75">
        <f>"FY "&amp;TEXT(FAR!V$3,"yyyy")</f>
        <v/>
      </c>
      <c r="C7" s="76">
        <f>FAR!V65</f>
        <v/>
      </c>
      <c r="D7" s="76">
        <f>C7</f>
        <v/>
      </c>
      <c r="E7" s="77">
        <f>FAR!W65</f>
        <v/>
      </c>
    </row>
    <row r="8">
      <c r="B8" s="52">
        <f>"FY "&amp;TEXT(FAR!X$3,"yyyy")</f>
        <v/>
      </c>
      <c r="C8" s="60">
        <f>FAR!X65</f>
        <v/>
      </c>
      <c r="D8" s="60">
        <f>D7+C8</f>
        <v/>
      </c>
      <c r="E8" s="63">
        <f>FAR!Y65</f>
        <v/>
      </c>
    </row>
    <row r="9">
      <c r="B9" s="75">
        <f>"FY "&amp;TEXT(FAR!Z$3,"yyyy")</f>
        <v/>
      </c>
      <c r="C9" s="76">
        <f>FAR!Z65</f>
        <v/>
      </c>
      <c r="D9" s="76">
        <f>D8+C9</f>
        <v/>
      </c>
      <c r="E9" s="77">
        <f>FAR!AA65</f>
        <v/>
      </c>
    </row>
    <row r="10">
      <c r="B10" s="52">
        <f>"FY "&amp;TEXT(FAR!AB$3,"yyyy")</f>
        <v/>
      </c>
      <c r="C10" s="60">
        <f>FAR!AB65</f>
        <v/>
      </c>
      <c r="D10" s="60">
        <f>D9+C10</f>
        <v/>
      </c>
      <c r="E10" s="63">
        <f>FAR!AC65</f>
        <v/>
      </c>
    </row>
    <row r="11">
      <c r="B11" s="75">
        <f>"FY "&amp;TEXT(FAR!AD$3,"yyyy")</f>
        <v/>
      </c>
      <c r="C11" s="76">
        <f>FAR!AD65</f>
        <v/>
      </c>
      <c r="D11" s="76">
        <f>D10+C11</f>
        <v/>
      </c>
      <c r="E11" s="77">
        <f>FAR!AE65</f>
        <v/>
      </c>
    </row>
    <row r="12">
      <c r="B12" s="52">
        <f>"FY "&amp;TEXT(FAR!AF$3,"yyyy")</f>
        <v/>
      </c>
      <c r="C12" s="60">
        <f>FAR!AF65</f>
        <v/>
      </c>
      <c r="D12" s="60">
        <f>D11+C12</f>
        <v/>
      </c>
      <c r="E12" s="63">
        <f>FAR!AG65</f>
        <v/>
      </c>
    </row>
    <row r="13">
      <c r="B13" s="75">
        <f>"FY "&amp;TEXT(FAR!AH$3,"yyyy")</f>
        <v/>
      </c>
      <c r="C13" s="76">
        <f>FAR!AH65</f>
        <v/>
      </c>
      <c r="D13" s="76">
        <f>D12+C13</f>
        <v/>
      </c>
      <c r="E13" s="77">
        <f>FAR!AI65</f>
        <v/>
      </c>
    </row>
    <row r="14">
      <c r="B14" s="52">
        <f>"FY "&amp;TEXT(FAR!AJ$3,"yyyy")</f>
        <v/>
      </c>
      <c r="C14" s="60">
        <f>FAR!AJ65</f>
        <v/>
      </c>
      <c r="D14" s="60">
        <f>D13+C14</f>
        <v/>
      </c>
      <c r="E14" s="63">
        <f>FAR!AK65</f>
        <v/>
      </c>
    </row>
    <row r="15">
      <c r="B15" s="75">
        <f>"FY "&amp;TEXT(FAR!AL$3,"yyyy")</f>
        <v/>
      </c>
      <c r="C15" s="76">
        <f>FAR!AL65</f>
        <v/>
      </c>
      <c r="D15" s="76">
        <f>D14+C15</f>
        <v/>
      </c>
      <c r="E15" s="77">
        <f>FAR!AM65</f>
        <v/>
      </c>
    </row>
    <row r="16">
      <c r="B16" s="52">
        <f>"FY "&amp;TEXT(FAR!AN$3,"yyyy")</f>
        <v/>
      </c>
      <c r="C16" s="60">
        <f>FAR!AN65</f>
        <v/>
      </c>
      <c r="D16" s="60">
        <f>D15+C16</f>
        <v/>
      </c>
      <c r="E16" s="63">
        <f>FAR!AO65</f>
        <v/>
      </c>
    </row>
    <row r="17">
      <c r="B17" s="75">
        <f>"FY "&amp;TEXT(FAR!AP$3,"yyyy")</f>
        <v/>
      </c>
      <c r="C17" s="76">
        <f>FAR!AP65</f>
        <v/>
      </c>
      <c r="D17" s="76">
        <f>D16+C17</f>
        <v/>
      </c>
      <c r="E17" s="77">
        <f>FAR!AQ65</f>
        <v/>
      </c>
    </row>
    <row r="18">
      <c r="B18" s="52">
        <f>"FY "&amp;TEXT(FAR!AR$3,"yyyy")</f>
        <v/>
      </c>
      <c r="C18" s="60">
        <f>FAR!AR65</f>
        <v/>
      </c>
      <c r="D18" s="60">
        <f>D17+C18</f>
        <v/>
      </c>
      <c r="E18" s="63">
        <f>FAR!AS65</f>
        <v/>
      </c>
    </row>
    <row r="19">
      <c r="B19" s="75">
        <f>"FY "&amp;TEXT(FAR!AT$3,"yyyy")</f>
        <v/>
      </c>
      <c r="C19" s="76">
        <f>FAR!AT65</f>
        <v/>
      </c>
      <c r="D19" s="76">
        <f>D18+C19</f>
        <v/>
      </c>
      <c r="E19" s="77">
        <f>FAR!AU65</f>
        <v/>
      </c>
    </row>
    <row r="20">
      <c r="B20" s="52">
        <f>"FY "&amp;TEXT(FAR!AV$3,"yyyy")</f>
        <v/>
      </c>
      <c r="C20" s="60">
        <f>FAR!AV65</f>
        <v/>
      </c>
      <c r="D20" s="60">
        <f>D19+C20</f>
        <v/>
      </c>
      <c r="E20" s="63">
        <f>FAR!AW65</f>
        <v/>
      </c>
    </row>
    <row r="21">
      <c r="B21" s="75">
        <f>"FY "&amp;TEXT(FAR!AX$3,"yyyy")</f>
        <v/>
      </c>
      <c r="C21" s="76">
        <f>FAR!AX65</f>
        <v/>
      </c>
      <c r="D21" s="76">
        <f>D20+C21</f>
        <v/>
      </c>
      <c r="E21" s="77">
        <f>FAR!AY65</f>
        <v/>
      </c>
    </row>
    <row r="22">
      <c r="B22" s="52">
        <f>"FY "&amp;TEXT(FAR!AZ$3,"yyyy")</f>
        <v/>
      </c>
      <c r="C22" s="60">
        <f>FAR!AZ65</f>
        <v/>
      </c>
      <c r="D22" s="60">
        <f>D21+C22</f>
        <v/>
      </c>
      <c r="E22" s="63">
        <f>FAR!BA65</f>
        <v/>
      </c>
    </row>
    <row r="24">
      <c r="B24" s="10" t="inlineStr">
        <is>
          <t>B.  CATEGORY × YEAR DEPRECIATION MATRIX (Rs.)</t>
        </is>
      </c>
      <c r="C24" s="72" t="n"/>
      <c r="D24" s="72" t="n"/>
      <c r="E24" s="72" t="n"/>
      <c r="F24" s="72" t="n"/>
      <c r="G24" s="72" t="n"/>
      <c r="H24" s="72" t="n"/>
      <c r="I24" s="72" t="n"/>
      <c r="J24" s="72" t="n"/>
      <c r="K24" s="72" t="n"/>
      <c r="L24" s="72" t="n"/>
      <c r="M24" s="72" t="n"/>
      <c r="N24" s="72" t="n"/>
      <c r="O24" s="72" t="n"/>
      <c r="P24" s="72" t="n"/>
      <c r="Q24" s="72" t="n"/>
      <c r="R24" s="73" t="n"/>
    </row>
    <row r="25" ht="22" customHeight="1">
      <c r="B25" s="31" t="inlineStr">
        <is>
          <t>Asset Category</t>
        </is>
      </c>
      <c r="C25" s="30">
        <f>TEXT(FAR!V$3,"yyyy")</f>
        <v/>
      </c>
      <c r="D25" s="30">
        <f>TEXT(FAR!X$3,"yyyy")</f>
        <v/>
      </c>
      <c r="E25" s="30">
        <f>TEXT(FAR!Z$3,"yyyy")</f>
        <v/>
      </c>
      <c r="F25" s="30">
        <f>TEXT(FAR!AB$3,"yyyy")</f>
        <v/>
      </c>
      <c r="G25" s="30">
        <f>TEXT(FAR!AD$3,"yyyy")</f>
        <v/>
      </c>
      <c r="H25" s="30">
        <f>TEXT(FAR!AF$3,"yyyy")</f>
        <v/>
      </c>
      <c r="I25" s="30">
        <f>TEXT(FAR!AH$3,"yyyy")</f>
        <v/>
      </c>
      <c r="J25" s="30">
        <f>TEXT(FAR!AJ$3,"yyyy")</f>
        <v/>
      </c>
      <c r="K25" s="30">
        <f>TEXT(FAR!AL$3,"yyyy")</f>
        <v/>
      </c>
      <c r="L25" s="30">
        <f>TEXT(FAR!AN$3,"yyyy")</f>
        <v/>
      </c>
      <c r="M25" s="30">
        <f>TEXT(FAR!AP$3,"yyyy")</f>
        <v/>
      </c>
      <c r="N25" s="30">
        <f>TEXT(FAR!AR$3,"yyyy")</f>
        <v/>
      </c>
      <c r="O25" s="30">
        <f>TEXT(FAR!AT$3,"yyyy")</f>
        <v/>
      </c>
      <c r="P25" s="30">
        <f>TEXT(FAR!AV$3,"yyyy")</f>
        <v/>
      </c>
      <c r="Q25" s="30">
        <f>TEXT(FAR!AX$3,"yyyy")</f>
        <v/>
      </c>
      <c r="R25" s="30">
        <f>TEXT(FAR!AZ$3,"yyyy")</f>
        <v/>
      </c>
    </row>
    <row r="26">
      <c r="B26" s="78">
        <f>Input!C15</f>
        <v/>
      </c>
      <c r="C26" s="50">
        <f>SUMIF(FAR!$C$5:$C$64,$B26,FAR!V$5:V$64)</f>
        <v/>
      </c>
      <c r="D26" s="50">
        <f>SUMIF(FAR!$C$5:$C$64,$B26,FAR!X$5:X$64)</f>
        <v/>
      </c>
      <c r="E26" s="50">
        <f>SUMIF(FAR!$C$5:$C$64,$B26,FAR!Z$5:Z$64)</f>
        <v/>
      </c>
      <c r="F26" s="50">
        <f>SUMIF(FAR!$C$5:$C$64,$B26,FAR!AB$5:AB$64)</f>
        <v/>
      </c>
      <c r="G26" s="50">
        <f>SUMIF(FAR!$C$5:$C$64,$B26,FAR!AD$5:AD$64)</f>
        <v/>
      </c>
      <c r="H26" s="50">
        <f>SUMIF(FAR!$C$5:$C$64,$B26,FAR!AF$5:AF$64)</f>
        <v/>
      </c>
      <c r="I26" s="50">
        <f>SUMIF(FAR!$C$5:$C$64,$B26,FAR!AH$5:AH$64)</f>
        <v/>
      </c>
      <c r="J26" s="50">
        <f>SUMIF(FAR!$C$5:$C$64,$B26,FAR!AJ$5:AJ$64)</f>
        <v/>
      </c>
      <c r="K26" s="50">
        <f>SUMIF(FAR!$C$5:$C$64,$B26,FAR!AL$5:AL$64)</f>
        <v/>
      </c>
      <c r="L26" s="50">
        <f>SUMIF(FAR!$C$5:$C$64,$B26,FAR!AN$5:AN$64)</f>
        <v/>
      </c>
      <c r="M26" s="50">
        <f>SUMIF(FAR!$C$5:$C$64,$B26,FAR!AP$5:AP$64)</f>
        <v/>
      </c>
      <c r="N26" s="50">
        <f>SUMIF(FAR!$C$5:$C$64,$B26,FAR!AR$5:AR$64)</f>
        <v/>
      </c>
      <c r="O26" s="50">
        <f>SUMIF(FAR!$C$5:$C$64,$B26,FAR!AT$5:AT$64)</f>
        <v/>
      </c>
      <c r="P26" s="50">
        <f>SUMIF(FAR!$C$5:$C$64,$B26,FAR!AV$5:AV$64)</f>
        <v/>
      </c>
      <c r="Q26" s="50">
        <f>SUMIF(FAR!$C$5:$C$64,$B26,FAR!AX$5:AX$64)</f>
        <v/>
      </c>
      <c r="R26" s="50">
        <f>SUMIF(FAR!$C$5:$C$64,$B26,FAR!AZ$5:AZ$64)</f>
        <v/>
      </c>
    </row>
    <row r="27">
      <c r="B27" s="79">
        <f>Input!C16</f>
        <v/>
      </c>
      <c r="C27" s="65">
        <f>SUMIF(FAR!$C$5:$C$64,$B27,FAR!V$5:V$64)</f>
        <v/>
      </c>
      <c r="D27" s="65">
        <f>SUMIF(FAR!$C$5:$C$64,$B27,FAR!X$5:X$64)</f>
        <v/>
      </c>
      <c r="E27" s="65">
        <f>SUMIF(FAR!$C$5:$C$64,$B27,FAR!Z$5:Z$64)</f>
        <v/>
      </c>
      <c r="F27" s="65">
        <f>SUMIF(FAR!$C$5:$C$64,$B27,FAR!AB$5:AB$64)</f>
        <v/>
      </c>
      <c r="G27" s="65">
        <f>SUMIF(FAR!$C$5:$C$64,$B27,FAR!AD$5:AD$64)</f>
        <v/>
      </c>
      <c r="H27" s="65">
        <f>SUMIF(FAR!$C$5:$C$64,$B27,FAR!AF$5:AF$64)</f>
        <v/>
      </c>
      <c r="I27" s="65">
        <f>SUMIF(FAR!$C$5:$C$64,$B27,FAR!AH$5:AH$64)</f>
        <v/>
      </c>
      <c r="J27" s="65">
        <f>SUMIF(FAR!$C$5:$C$64,$B27,FAR!AJ$5:AJ$64)</f>
        <v/>
      </c>
      <c r="K27" s="65">
        <f>SUMIF(FAR!$C$5:$C$64,$B27,FAR!AL$5:AL$64)</f>
        <v/>
      </c>
      <c r="L27" s="65">
        <f>SUMIF(FAR!$C$5:$C$64,$B27,FAR!AN$5:AN$64)</f>
        <v/>
      </c>
      <c r="M27" s="65">
        <f>SUMIF(FAR!$C$5:$C$64,$B27,FAR!AP$5:AP$64)</f>
        <v/>
      </c>
      <c r="N27" s="65">
        <f>SUMIF(FAR!$C$5:$C$64,$B27,FAR!AR$5:AR$64)</f>
        <v/>
      </c>
      <c r="O27" s="65">
        <f>SUMIF(FAR!$C$5:$C$64,$B27,FAR!AT$5:AT$64)</f>
        <v/>
      </c>
      <c r="P27" s="65">
        <f>SUMIF(FAR!$C$5:$C$64,$B27,FAR!AV$5:AV$64)</f>
        <v/>
      </c>
      <c r="Q27" s="65">
        <f>SUMIF(FAR!$C$5:$C$64,$B27,FAR!AX$5:AX$64)</f>
        <v/>
      </c>
      <c r="R27" s="65">
        <f>SUMIF(FAR!$C$5:$C$64,$B27,FAR!AZ$5:AZ$64)</f>
        <v/>
      </c>
    </row>
    <row r="28">
      <c r="B28" s="78">
        <f>Input!C17</f>
        <v/>
      </c>
      <c r="C28" s="50">
        <f>SUMIF(FAR!$C$5:$C$64,$B28,FAR!V$5:V$64)</f>
        <v/>
      </c>
      <c r="D28" s="50">
        <f>SUMIF(FAR!$C$5:$C$64,$B28,FAR!X$5:X$64)</f>
        <v/>
      </c>
      <c r="E28" s="50">
        <f>SUMIF(FAR!$C$5:$C$64,$B28,FAR!Z$5:Z$64)</f>
        <v/>
      </c>
      <c r="F28" s="50">
        <f>SUMIF(FAR!$C$5:$C$64,$B28,FAR!AB$5:AB$64)</f>
        <v/>
      </c>
      <c r="G28" s="50">
        <f>SUMIF(FAR!$C$5:$C$64,$B28,FAR!AD$5:AD$64)</f>
        <v/>
      </c>
      <c r="H28" s="50">
        <f>SUMIF(FAR!$C$5:$C$64,$B28,FAR!AF$5:AF$64)</f>
        <v/>
      </c>
      <c r="I28" s="50">
        <f>SUMIF(FAR!$C$5:$C$64,$B28,FAR!AH$5:AH$64)</f>
        <v/>
      </c>
      <c r="J28" s="50">
        <f>SUMIF(FAR!$C$5:$C$64,$B28,FAR!AJ$5:AJ$64)</f>
        <v/>
      </c>
      <c r="K28" s="50">
        <f>SUMIF(FAR!$C$5:$C$64,$B28,FAR!AL$5:AL$64)</f>
        <v/>
      </c>
      <c r="L28" s="50">
        <f>SUMIF(FAR!$C$5:$C$64,$B28,FAR!AN$5:AN$64)</f>
        <v/>
      </c>
      <c r="M28" s="50">
        <f>SUMIF(FAR!$C$5:$C$64,$B28,FAR!AP$5:AP$64)</f>
        <v/>
      </c>
      <c r="N28" s="50">
        <f>SUMIF(FAR!$C$5:$C$64,$B28,FAR!AR$5:AR$64)</f>
        <v/>
      </c>
      <c r="O28" s="50">
        <f>SUMIF(FAR!$C$5:$C$64,$B28,FAR!AT$5:AT$64)</f>
        <v/>
      </c>
      <c r="P28" s="50">
        <f>SUMIF(FAR!$C$5:$C$64,$B28,FAR!AV$5:AV$64)</f>
        <v/>
      </c>
      <c r="Q28" s="50">
        <f>SUMIF(FAR!$C$5:$C$64,$B28,FAR!AX$5:AX$64)</f>
        <v/>
      </c>
      <c r="R28" s="50">
        <f>SUMIF(FAR!$C$5:$C$64,$B28,FAR!AZ$5:AZ$64)</f>
        <v/>
      </c>
    </row>
    <row r="29">
      <c r="B29" s="79">
        <f>Input!C18</f>
        <v/>
      </c>
      <c r="C29" s="65">
        <f>SUMIF(FAR!$C$5:$C$64,$B29,FAR!V$5:V$64)</f>
        <v/>
      </c>
      <c r="D29" s="65">
        <f>SUMIF(FAR!$C$5:$C$64,$B29,FAR!X$5:X$64)</f>
        <v/>
      </c>
      <c r="E29" s="65">
        <f>SUMIF(FAR!$C$5:$C$64,$B29,FAR!Z$5:Z$64)</f>
        <v/>
      </c>
      <c r="F29" s="65">
        <f>SUMIF(FAR!$C$5:$C$64,$B29,FAR!AB$5:AB$64)</f>
        <v/>
      </c>
      <c r="G29" s="65">
        <f>SUMIF(FAR!$C$5:$C$64,$B29,FAR!AD$5:AD$64)</f>
        <v/>
      </c>
      <c r="H29" s="65">
        <f>SUMIF(FAR!$C$5:$C$64,$B29,FAR!AF$5:AF$64)</f>
        <v/>
      </c>
      <c r="I29" s="65">
        <f>SUMIF(FAR!$C$5:$C$64,$B29,FAR!AH$5:AH$64)</f>
        <v/>
      </c>
      <c r="J29" s="65">
        <f>SUMIF(FAR!$C$5:$C$64,$B29,FAR!AJ$5:AJ$64)</f>
        <v/>
      </c>
      <c r="K29" s="65">
        <f>SUMIF(FAR!$C$5:$C$64,$B29,FAR!AL$5:AL$64)</f>
        <v/>
      </c>
      <c r="L29" s="65">
        <f>SUMIF(FAR!$C$5:$C$64,$B29,FAR!AN$5:AN$64)</f>
        <v/>
      </c>
      <c r="M29" s="65">
        <f>SUMIF(FAR!$C$5:$C$64,$B29,FAR!AP$5:AP$64)</f>
        <v/>
      </c>
      <c r="N29" s="65">
        <f>SUMIF(FAR!$C$5:$C$64,$B29,FAR!AR$5:AR$64)</f>
        <v/>
      </c>
      <c r="O29" s="65">
        <f>SUMIF(FAR!$C$5:$C$64,$B29,FAR!AT$5:AT$64)</f>
        <v/>
      </c>
      <c r="P29" s="65">
        <f>SUMIF(FAR!$C$5:$C$64,$B29,FAR!AV$5:AV$64)</f>
        <v/>
      </c>
      <c r="Q29" s="65">
        <f>SUMIF(FAR!$C$5:$C$64,$B29,FAR!AX$5:AX$64)</f>
        <v/>
      </c>
      <c r="R29" s="65">
        <f>SUMIF(FAR!$C$5:$C$64,$B29,FAR!AZ$5:AZ$64)</f>
        <v/>
      </c>
    </row>
    <row r="30">
      <c r="B30" s="78">
        <f>Input!C19</f>
        <v/>
      </c>
      <c r="C30" s="50">
        <f>SUMIF(FAR!$C$5:$C$64,$B30,FAR!V$5:V$64)</f>
        <v/>
      </c>
      <c r="D30" s="50">
        <f>SUMIF(FAR!$C$5:$C$64,$B30,FAR!X$5:X$64)</f>
        <v/>
      </c>
      <c r="E30" s="50">
        <f>SUMIF(FAR!$C$5:$C$64,$B30,FAR!Z$5:Z$64)</f>
        <v/>
      </c>
      <c r="F30" s="50">
        <f>SUMIF(FAR!$C$5:$C$64,$B30,FAR!AB$5:AB$64)</f>
        <v/>
      </c>
      <c r="G30" s="50">
        <f>SUMIF(FAR!$C$5:$C$64,$B30,FAR!AD$5:AD$64)</f>
        <v/>
      </c>
      <c r="H30" s="50">
        <f>SUMIF(FAR!$C$5:$C$64,$B30,FAR!AF$5:AF$64)</f>
        <v/>
      </c>
      <c r="I30" s="50">
        <f>SUMIF(FAR!$C$5:$C$64,$B30,FAR!AH$5:AH$64)</f>
        <v/>
      </c>
      <c r="J30" s="50">
        <f>SUMIF(FAR!$C$5:$C$64,$B30,FAR!AJ$5:AJ$64)</f>
        <v/>
      </c>
      <c r="K30" s="50">
        <f>SUMIF(FAR!$C$5:$C$64,$B30,FAR!AL$5:AL$64)</f>
        <v/>
      </c>
      <c r="L30" s="50">
        <f>SUMIF(FAR!$C$5:$C$64,$B30,FAR!AN$5:AN$64)</f>
        <v/>
      </c>
      <c r="M30" s="50">
        <f>SUMIF(FAR!$C$5:$C$64,$B30,FAR!AP$5:AP$64)</f>
        <v/>
      </c>
      <c r="N30" s="50">
        <f>SUMIF(FAR!$C$5:$C$64,$B30,FAR!AR$5:AR$64)</f>
        <v/>
      </c>
      <c r="O30" s="50">
        <f>SUMIF(FAR!$C$5:$C$64,$B30,FAR!AT$5:AT$64)</f>
        <v/>
      </c>
      <c r="P30" s="50">
        <f>SUMIF(FAR!$C$5:$C$64,$B30,FAR!AV$5:AV$64)</f>
        <v/>
      </c>
      <c r="Q30" s="50">
        <f>SUMIF(FAR!$C$5:$C$64,$B30,FAR!AX$5:AX$64)</f>
        <v/>
      </c>
      <c r="R30" s="50">
        <f>SUMIF(FAR!$C$5:$C$64,$B30,FAR!AZ$5:AZ$64)</f>
        <v/>
      </c>
    </row>
    <row r="31">
      <c r="B31" s="79">
        <f>Input!C20</f>
        <v/>
      </c>
      <c r="C31" s="65">
        <f>SUMIF(FAR!$C$5:$C$64,$B31,FAR!V$5:V$64)</f>
        <v/>
      </c>
      <c r="D31" s="65">
        <f>SUMIF(FAR!$C$5:$C$64,$B31,FAR!X$5:X$64)</f>
        <v/>
      </c>
      <c r="E31" s="65">
        <f>SUMIF(FAR!$C$5:$C$64,$B31,FAR!Z$5:Z$64)</f>
        <v/>
      </c>
      <c r="F31" s="65">
        <f>SUMIF(FAR!$C$5:$C$64,$B31,FAR!AB$5:AB$64)</f>
        <v/>
      </c>
      <c r="G31" s="65">
        <f>SUMIF(FAR!$C$5:$C$64,$B31,FAR!AD$5:AD$64)</f>
        <v/>
      </c>
      <c r="H31" s="65">
        <f>SUMIF(FAR!$C$5:$C$64,$B31,FAR!AF$5:AF$64)</f>
        <v/>
      </c>
      <c r="I31" s="65">
        <f>SUMIF(FAR!$C$5:$C$64,$B31,FAR!AH$5:AH$64)</f>
        <v/>
      </c>
      <c r="J31" s="65">
        <f>SUMIF(FAR!$C$5:$C$64,$B31,FAR!AJ$5:AJ$64)</f>
        <v/>
      </c>
      <c r="K31" s="65">
        <f>SUMIF(FAR!$C$5:$C$64,$B31,FAR!AL$5:AL$64)</f>
        <v/>
      </c>
      <c r="L31" s="65">
        <f>SUMIF(FAR!$C$5:$C$64,$B31,FAR!AN$5:AN$64)</f>
        <v/>
      </c>
      <c r="M31" s="65">
        <f>SUMIF(FAR!$C$5:$C$64,$B31,FAR!AP$5:AP$64)</f>
        <v/>
      </c>
      <c r="N31" s="65">
        <f>SUMIF(FAR!$C$5:$C$64,$B31,FAR!AR$5:AR$64)</f>
        <v/>
      </c>
      <c r="O31" s="65">
        <f>SUMIF(FAR!$C$5:$C$64,$B31,FAR!AT$5:AT$64)</f>
        <v/>
      </c>
      <c r="P31" s="65">
        <f>SUMIF(FAR!$C$5:$C$64,$B31,FAR!AV$5:AV$64)</f>
        <v/>
      </c>
      <c r="Q31" s="65">
        <f>SUMIF(FAR!$C$5:$C$64,$B31,FAR!AX$5:AX$64)</f>
        <v/>
      </c>
      <c r="R31" s="65">
        <f>SUMIF(FAR!$C$5:$C$64,$B31,FAR!AZ$5:AZ$64)</f>
        <v/>
      </c>
    </row>
    <row r="32">
      <c r="B32" s="78">
        <f>Input!C21</f>
        <v/>
      </c>
      <c r="C32" s="50">
        <f>SUMIF(FAR!$C$5:$C$64,$B32,FAR!V$5:V$64)</f>
        <v/>
      </c>
      <c r="D32" s="50">
        <f>SUMIF(FAR!$C$5:$C$64,$B32,FAR!X$5:X$64)</f>
        <v/>
      </c>
      <c r="E32" s="50">
        <f>SUMIF(FAR!$C$5:$C$64,$B32,FAR!Z$5:Z$64)</f>
        <v/>
      </c>
      <c r="F32" s="50">
        <f>SUMIF(FAR!$C$5:$C$64,$B32,FAR!AB$5:AB$64)</f>
        <v/>
      </c>
      <c r="G32" s="50">
        <f>SUMIF(FAR!$C$5:$C$64,$B32,FAR!AD$5:AD$64)</f>
        <v/>
      </c>
      <c r="H32" s="50">
        <f>SUMIF(FAR!$C$5:$C$64,$B32,FAR!AF$5:AF$64)</f>
        <v/>
      </c>
      <c r="I32" s="50">
        <f>SUMIF(FAR!$C$5:$C$64,$B32,FAR!AH$5:AH$64)</f>
        <v/>
      </c>
      <c r="J32" s="50">
        <f>SUMIF(FAR!$C$5:$C$64,$B32,FAR!AJ$5:AJ$64)</f>
        <v/>
      </c>
      <c r="K32" s="50">
        <f>SUMIF(FAR!$C$5:$C$64,$B32,FAR!AL$5:AL$64)</f>
        <v/>
      </c>
      <c r="L32" s="50">
        <f>SUMIF(FAR!$C$5:$C$64,$B32,FAR!AN$5:AN$64)</f>
        <v/>
      </c>
      <c r="M32" s="50">
        <f>SUMIF(FAR!$C$5:$C$64,$B32,FAR!AP$5:AP$64)</f>
        <v/>
      </c>
      <c r="N32" s="50">
        <f>SUMIF(FAR!$C$5:$C$64,$B32,FAR!AR$5:AR$64)</f>
        <v/>
      </c>
      <c r="O32" s="50">
        <f>SUMIF(FAR!$C$5:$C$64,$B32,FAR!AT$5:AT$64)</f>
        <v/>
      </c>
      <c r="P32" s="50">
        <f>SUMIF(FAR!$C$5:$C$64,$B32,FAR!AV$5:AV$64)</f>
        <v/>
      </c>
      <c r="Q32" s="50">
        <f>SUMIF(FAR!$C$5:$C$64,$B32,FAR!AX$5:AX$64)</f>
        <v/>
      </c>
      <c r="R32" s="50">
        <f>SUMIF(FAR!$C$5:$C$64,$B32,FAR!AZ$5:AZ$64)</f>
        <v/>
      </c>
    </row>
    <row r="33">
      <c r="B33" s="79">
        <f>Input!C22</f>
        <v/>
      </c>
      <c r="C33" s="65">
        <f>SUMIF(FAR!$C$5:$C$64,$B33,FAR!V$5:V$64)</f>
        <v/>
      </c>
      <c r="D33" s="65">
        <f>SUMIF(FAR!$C$5:$C$64,$B33,FAR!X$5:X$64)</f>
        <v/>
      </c>
      <c r="E33" s="65">
        <f>SUMIF(FAR!$C$5:$C$64,$B33,FAR!Z$5:Z$64)</f>
        <v/>
      </c>
      <c r="F33" s="65">
        <f>SUMIF(FAR!$C$5:$C$64,$B33,FAR!AB$5:AB$64)</f>
        <v/>
      </c>
      <c r="G33" s="65">
        <f>SUMIF(FAR!$C$5:$C$64,$B33,FAR!AD$5:AD$64)</f>
        <v/>
      </c>
      <c r="H33" s="65">
        <f>SUMIF(FAR!$C$5:$C$64,$B33,FAR!AF$5:AF$64)</f>
        <v/>
      </c>
      <c r="I33" s="65">
        <f>SUMIF(FAR!$C$5:$C$64,$B33,FAR!AH$5:AH$64)</f>
        <v/>
      </c>
      <c r="J33" s="65">
        <f>SUMIF(FAR!$C$5:$C$64,$B33,FAR!AJ$5:AJ$64)</f>
        <v/>
      </c>
      <c r="K33" s="65">
        <f>SUMIF(FAR!$C$5:$C$64,$B33,FAR!AL$5:AL$64)</f>
        <v/>
      </c>
      <c r="L33" s="65">
        <f>SUMIF(FAR!$C$5:$C$64,$B33,FAR!AN$5:AN$64)</f>
        <v/>
      </c>
      <c r="M33" s="65">
        <f>SUMIF(FAR!$C$5:$C$64,$B33,FAR!AP$5:AP$64)</f>
        <v/>
      </c>
      <c r="N33" s="65">
        <f>SUMIF(FAR!$C$5:$C$64,$B33,FAR!AR$5:AR$64)</f>
        <v/>
      </c>
      <c r="O33" s="65">
        <f>SUMIF(FAR!$C$5:$C$64,$B33,FAR!AT$5:AT$64)</f>
        <v/>
      </c>
      <c r="P33" s="65">
        <f>SUMIF(FAR!$C$5:$C$64,$B33,FAR!AV$5:AV$64)</f>
        <v/>
      </c>
      <c r="Q33" s="65">
        <f>SUMIF(FAR!$C$5:$C$64,$B33,FAR!AX$5:AX$64)</f>
        <v/>
      </c>
      <c r="R33" s="65">
        <f>SUMIF(FAR!$C$5:$C$64,$B33,FAR!AZ$5:AZ$64)</f>
        <v/>
      </c>
    </row>
    <row r="34">
      <c r="B34" s="78">
        <f>Input!C23</f>
        <v/>
      </c>
      <c r="C34" s="50">
        <f>SUMIF(FAR!$C$5:$C$64,$B34,FAR!V$5:V$64)</f>
        <v/>
      </c>
      <c r="D34" s="50">
        <f>SUMIF(FAR!$C$5:$C$64,$B34,FAR!X$5:X$64)</f>
        <v/>
      </c>
      <c r="E34" s="50">
        <f>SUMIF(FAR!$C$5:$C$64,$B34,FAR!Z$5:Z$64)</f>
        <v/>
      </c>
      <c r="F34" s="50">
        <f>SUMIF(FAR!$C$5:$C$64,$B34,FAR!AB$5:AB$64)</f>
        <v/>
      </c>
      <c r="G34" s="50">
        <f>SUMIF(FAR!$C$5:$C$64,$B34,FAR!AD$5:AD$64)</f>
        <v/>
      </c>
      <c r="H34" s="50">
        <f>SUMIF(FAR!$C$5:$C$64,$B34,FAR!AF$5:AF$64)</f>
        <v/>
      </c>
      <c r="I34" s="50">
        <f>SUMIF(FAR!$C$5:$C$64,$B34,FAR!AH$5:AH$64)</f>
        <v/>
      </c>
      <c r="J34" s="50">
        <f>SUMIF(FAR!$C$5:$C$64,$B34,FAR!AJ$5:AJ$64)</f>
        <v/>
      </c>
      <c r="K34" s="50">
        <f>SUMIF(FAR!$C$5:$C$64,$B34,FAR!AL$5:AL$64)</f>
        <v/>
      </c>
      <c r="L34" s="50">
        <f>SUMIF(FAR!$C$5:$C$64,$B34,FAR!AN$5:AN$64)</f>
        <v/>
      </c>
      <c r="M34" s="50">
        <f>SUMIF(FAR!$C$5:$C$64,$B34,FAR!AP$5:AP$64)</f>
        <v/>
      </c>
      <c r="N34" s="50">
        <f>SUMIF(FAR!$C$5:$C$64,$B34,FAR!AR$5:AR$64)</f>
        <v/>
      </c>
      <c r="O34" s="50">
        <f>SUMIF(FAR!$C$5:$C$64,$B34,FAR!AT$5:AT$64)</f>
        <v/>
      </c>
      <c r="P34" s="50">
        <f>SUMIF(FAR!$C$5:$C$64,$B34,FAR!AV$5:AV$64)</f>
        <v/>
      </c>
      <c r="Q34" s="50">
        <f>SUMIF(FAR!$C$5:$C$64,$B34,FAR!AX$5:AX$64)</f>
        <v/>
      </c>
      <c r="R34" s="50">
        <f>SUMIF(FAR!$C$5:$C$64,$B34,FAR!AZ$5:AZ$64)</f>
        <v/>
      </c>
    </row>
    <row r="35">
      <c r="B35" s="79">
        <f>Input!C24</f>
        <v/>
      </c>
      <c r="C35" s="65">
        <f>SUMIF(FAR!$C$5:$C$64,$B35,FAR!V$5:V$64)</f>
        <v/>
      </c>
      <c r="D35" s="65">
        <f>SUMIF(FAR!$C$5:$C$64,$B35,FAR!X$5:X$64)</f>
        <v/>
      </c>
      <c r="E35" s="65">
        <f>SUMIF(FAR!$C$5:$C$64,$B35,FAR!Z$5:Z$64)</f>
        <v/>
      </c>
      <c r="F35" s="65">
        <f>SUMIF(FAR!$C$5:$C$64,$B35,FAR!AB$5:AB$64)</f>
        <v/>
      </c>
      <c r="G35" s="65">
        <f>SUMIF(FAR!$C$5:$C$64,$B35,FAR!AD$5:AD$64)</f>
        <v/>
      </c>
      <c r="H35" s="65">
        <f>SUMIF(FAR!$C$5:$C$64,$B35,FAR!AF$5:AF$64)</f>
        <v/>
      </c>
      <c r="I35" s="65">
        <f>SUMIF(FAR!$C$5:$C$64,$B35,FAR!AH$5:AH$64)</f>
        <v/>
      </c>
      <c r="J35" s="65">
        <f>SUMIF(FAR!$C$5:$C$64,$B35,FAR!AJ$5:AJ$64)</f>
        <v/>
      </c>
      <c r="K35" s="65">
        <f>SUMIF(FAR!$C$5:$C$64,$B35,FAR!AL$5:AL$64)</f>
        <v/>
      </c>
      <c r="L35" s="65">
        <f>SUMIF(FAR!$C$5:$C$64,$B35,FAR!AN$5:AN$64)</f>
        <v/>
      </c>
      <c r="M35" s="65">
        <f>SUMIF(FAR!$C$5:$C$64,$B35,FAR!AP$5:AP$64)</f>
        <v/>
      </c>
      <c r="N35" s="65">
        <f>SUMIF(FAR!$C$5:$C$64,$B35,FAR!AR$5:AR$64)</f>
        <v/>
      </c>
      <c r="O35" s="65">
        <f>SUMIF(FAR!$C$5:$C$64,$B35,FAR!AT$5:AT$64)</f>
        <v/>
      </c>
      <c r="P35" s="65">
        <f>SUMIF(FAR!$C$5:$C$64,$B35,FAR!AV$5:AV$64)</f>
        <v/>
      </c>
      <c r="Q35" s="65">
        <f>SUMIF(FAR!$C$5:$C$64,$B35,FAR!AX$5:AX$64)</f>
        <v/>
      </c>
      <c r="R35" s="65">
        <f>SUMIF(FAR!$C$5:$C$64,$B35,FAR!AZ$5:AZ$64)</f>
        <v/>
      </c>
    </row>
    <row r="36">
      <c r="B36" s="78">
        <f>Input!C25</f>
        <v/>
      </c>
      <c r="C36" s="50">
        <f>SUMIF(FAR!$C$5:$C$64,$B36,FAR!V$5:V$64)</f>
        <v/>
      </c>
      <c r="D36" s="50">
        <f>SUMIF(FAR!$C$5:$C$64,$B36,FAR!X$5:X$64)</f>
        <v/>
      </c>
      <c r="E36" s="50">
        <f>SUMIF(FAR!$C$5:$C$64,$B36,FAR!Z$5:Z$64)</f>
        <v/>
      </c>
      <c r="F36" s="50">
        <f>SUMIF(FAR!$C$5:$C$64,$B36,FAR!AB$5:AB$64)</f>
        <v/>
      </c>
      <c r="G36" s="50">
        <f>SUMIF(FAR!$C$5:$C$64,$B36,FAR!AD$5:AD$64)</f>
        <v/>
      </c>
      <c r="H36" s="50">
        <f>SUMIF(FAR!$C$5:$C$64,$B36,FAR!AF$5:AF$64)</f>
        <v/>
      </c>
      <c r="I36" s="50">
        <f>SUMIF(FAR!$C$5:$C$64,$B36,FAR!AH$5:AH$64)</f>
        <v/>
      </c>
      <c r="J36" s="50">
        <f>SUMIF(FAR!$C$5:$C$64,$B36,FAR!AJ$5:AJ$64)</f>
        <v/>
      </c>
      <c r="K36" s="50">
        <f>SUMIF(FAR!$C$5:$C$64,$B36,FAR!AL$5:AL$64)</f>
        <v/>
      </c>
      <c r="L36" s="50">
        <f>SUMIF(FAR!$C$5:$C$64,$B36,FAR!AN$5:AN$64)</f>
        <v/>
      </c>
      <c r="M36" s="50">
        <f>SUMIF(FAR!$C$5:$C$64,$B36,FAR!AP$5:AP$64)</f>
        <v/>
      </c>
      <c r="N36" s="50">
        <f>SUMIF(FAR!$C$5:$C$64,$B36,FAR!AR$5:AR$64)</f>
        <v/>
      </c>
      <c r="O36" s="50">
        <f>SUMIF(FAR!$C$5:$C$64,$B36,FAR!AT$5:AT$64)</f>
        <v/>
      </c>
      <c r="P36" s="50">
        <f>SUMIF(FAR!$C$5:$C$64,$B36,FAR!AV$5:AV$64)</f>
        <v/>
      </c>
      <c r="Q36" s="50">
        <f>SUMIF(FAR!$C$5:$C$64,$B36,FAR!AX$5:AX$64)</f>
        <v/>
      </c>
      <c r="R36" s="50">
        <f>SUMIF(FAR!$C$5:$C$64,$B36,FAR!AZ$5:AZ$64)</f>
        <v/>
      </c>
    </row>
    <row r="37">
      <c r="B37" s="79">
        <f>Input!C26</f>
        <v/>
      </c>
      <c r="C37" s="65">
        <f>SUMIF(FAR!$C$5:$C$64,$B37,FAR!V$5:V$64)</f>
        <v/>
      </c>
      <c r="D37" s="65">
        <f>SUMIF(FAR!$C$5:$C$64,$B37,FAR!X$5:X$64)</f>
        <v/>
      </c>
      <c r="E37" s="65">
        <f>SUMIF(FAR!$C$5:$C$64,$B37,FAR!Z$5:Z$64)</f>
        <v/>
      </c>
      <c r="F37" s="65">
        <f>SUMIF(FAR!$C$5:$C$64,$B37,FAR!AB$5:AB$64)</f>
        <v/>
      </c>
      <c r="G37" s="65">
        <f>SUMIF(FAR!$C$5:$C$64,$B37,FAR!AD$5:AD$64)</f>
        <v/>
      </c>
      <c r="H37" s="65">
        <f>SUMIF(FAR!$C$5:$C$64,$B37,FAR!AF$5:AF$64)</f>
        <v/>
      </c>
      <c r="I37" s="65">
        <f>SUMIF(FAR!$C$5:$C$64,$B37,FAR!AH$5:AH$64)</f>
        <v/>
      </c>
      <c r="J37" s="65">
        <f>SUMIF(FAR!$C$5:$C$64,$B37,FAR!AJ$5:AJ$64)</f>
        <v/>
      </c>
      <c r="K37" s="65">
        <f>SUMIF(FAR!$C$5:$C$64,$B37,FAR!AL$5:AL$64)</f>
        <v/>
      </c>
      <c r="L37" s="65">
        <f>SUMIF(FAR!$C$5:$C$64,$B37,FAR!AN$5:AN$64)</f>
        <v/>
      </c>
      <c r="M37" s="65">
        <f>SUMIF(FAR!$C$5:$C$64,$B37,FAR!AP$5:AP$64)</f>
        <v/>
      </c>
      <c r="N37" s="65">
        <f>SUMIF(FAR!$C$5:$C$64,$B37,FAR!AR$5:AR$64)</f>
        <v/>
      </c>
      <c r="O37" s="65">
        <f>SUMIF(FAR!$C$5:$C$64,$B37,FAR!AT$5:AT$64)</f>
        <v/>
      </c>
      <c r="P37" s="65">
        <f>SUMIF(FAR!$C$5:$C$64,$B37,FAR!AV$5:AV$64)</f>
        <v/>
      </c>
      <c r="Q37" s="65">
        <f>SUMIF(FAR!$C$5:$C$64,$B37,FAR!AX$5:AX$64)</f>
        <v/>
      </c>
      <c r="R37" s="65">
        <f>SUMIF(FAR!$C$5:$C$64,$B37,FAR!AZ$5:AZ$64)</f>
        <v/>
      </c>
    </row>
    <row r="38">
      <c r="B38" s="78">
        <f>Input!C27</f>
        <v/>
      </c>
      <c r="C38" s="50">
        <f>SUMIF(FAR!$C$5:$C$64,$B38,FAR!V$5:V$64)</f>
        <v/>
      </c>
      <c r="D38" s="50">
        <f>SUMIF(FAR!$C$5:$C$64,$B38,FAR!X$5:X$64)</f>
        <v/>
      </c>
      <c r="E38" s="50">
        <f>SUMIF(FAR!$C$5:$C$64,$B38,FAR!Z$5:Z$64)</f>
        <v/>
      </c>
      <c r="F38" s="50">
        <f>SUMIF(FAR!$C$5:$C$64,$B38,FAR!AB$5:AB$64)</f>
        <v/>
      </c>
      <c r="G38" s="50">
        <f>SUMIF(FAR!$C$5:$C$64,$B38,FAR!AD$5:AD$64)</f>
        <v/>
      </c>
      <c r="H38" s="50">
        <f>SUMIF(FAR!$C$5:$C$64,$B38,FAR!AF$5:AF$64)</f>
        <v/>
      </c>
      <c r="I38" s="50">
        <f>SUMIF(FAR!$C$5:$C$64,$B38,FAR!AH$5:AH$64)</f>
        <v/>
      </c>
      <c r="J38" s="50">
        <f>SUMIF(FAR!$C$5:$C$64,$B38,FAR!AJ$5:AJ$64)</f>
        <v/>
      </c>
      <c r="K38" s="50">
        <f>SUMIF(FAR!$C$5:$C$64,$B38,FAR!AL$5:AL$64)</f>
        <v/>
      </c>
      <c r="L38" s="50">
        <f>SUMIF(FAR!$C$5:$C$64,$B38,FAR!AN$5:AN$64)</f>
        <v/>
      </c>
      <c r="M38" s="50">
        <f>SUMIF(FAR!$C$5:$C$64,$B38,FAR!AP$5:AP$64)</f>
        <v/>
      </c>
      <c r="N38" s="50">
        <f>SUMIF(FAR!$C$5:$C$64,$B38,FAR!AR$5:AR$64)</f>
        <v/>
      </c>
      <c r="O38" s="50">
        <f>SUMIF(FAR!$C$5:$C$64,$B38,FAR!AT$5:AT$64)</f>
        <v/>
      </c>
      <c r="P38" s="50">
        <f>SUMIF(FAR!$C$5:$C$64,$B38,FAR!AV$5:AV$64)</f>
        <v/>
      </c>
      <c r="Q38" s="50">
        <f>SUMIF(FAR!$C$5:$C$64,$B38,FAR!AX$5:AX$64)</f>
        <v/>
      </c>
      <c r="R38" s="50">
        <f>SUMIF(FAR!$C$5:$C$64,$B38,FAR!AZ$5:AZ$64)</f>
        <v/>
      </c>
    </row>
    <row r="39">
      <c r="B39" s="79">
        <f>Input!C28</f>
        <v/>
      </c>
      <c r="C39" s="65">
        <f>SUMIF(FAR!$C$5:$C$64,$B39,FAR!V$5:V$64)</f>
        <v/>
      </c>
      <c r="D39" s="65">
        <f>SUMIF(FAR!$C$5:$C$64,$B39,FAR!X$5:X$64)</f>
        <v/>
      </c>
      <c r="E39" s="65">
        <f>SUMIF(FAR!$C$5:$C$64,$B39,FAR!Z$5:Z$64)</f>
        <v/>
      </c>
      <c r="F39" s="65">
        <f>SUMIF(FAR!$C$5:$C$64,$B39,FAR!AB$5:AB$64)</f>
        <v/>
      </c>
      <c r="G39" s="65">
        <f>SUMIF(FAR!$C$5:$C$64,$B39,FAR!AD$5:AD$64)</f>
        <v/>
      </c>
      <c r="H39" s="65">
        <f>SUMIF(FAR!$C$5:$C$64,$B39,FAR!AF$5:AF$64)</f>
        <v/>
      </c>
      <c r="I39" s="65">
        <f>SUMIF(FAR!$C$5:$C$64,$B39,FAR!AH$5:AH$64)</f>
        <v/>
      </c>
      <c r="J39" s="65">
        <f>SUMIF(FAR!$C$5:$C$64,$B39,FAR!AJ$5:AJ$64)</f>
        <v/>
      </c>
      <c r="K39" s="65">
        <f>SUMIF(FAR!$C$5:$C$64,$B39,FAR!AL$5:AL$64)</f>
        <v/>
      </c>
      <c r="L39" s="65">
        <f>SUMIF(FAR!$C$5:$C$64,$B39,FAR!AN$5:AN$64)</f>
        <v/>
      </c>
      <c r="M39" s="65">
        <f>SUMIF(FAR!$C$5:$C$64,$B39,FAR!AP$5:AP$64)</f>
        <v/>
      </c>
      <c r="N39" s="65">
        <f>SUMIF(FAR!$C$5:$C$64,$B39,FAR!AR$5:AR$64)</f>
        <v/>
      </c>
      <c r="O39" s="65">
        <f>SUMIF(FAR!$C$5:$C$64,$B39,FAR!AT$5:AT$64)</f>
        <v/>
      </c>
      <c r="P39" s="65">
        <f>SUMIF(FAR!$C$5:$C$64,$B39,FAR!AV$5:AV$64)</f>
        <v/>
      </c>
      <c r="Q39" s="65">
        <f>SUMIF(FAR!$C$5:$C$64,$B39,FAR!AX$5:AX$64)</f>
        <v/>
      </c>
      <c r="R39" s="65">
        <f>SUMIF(FAR!$C$5:$C$64,$B39,FAR!AZ$5:AZ$64)</f>
        <v/>
      </c>
    </row>
    <row r="40">
      <c r="B40" s="78">
        <f>Input!C29</f>
        <v/>
      </c>
      <c r="C40" s="50">
        <f>SUMIF(FAR!$C$5:$C$64,$B40,FAR!V$5:V$64)</f>
        <v/>
      </c>
      <c r="D40" s="50">
        <f>SUMIF(FAR!$C$5:$C$64,$B40,FAR!X$5:X$64)</f>
        <v/>
      </c>
      <c r="E40" s="50">
        <f>SUMIF(FAR!$C$5:$C$64,$B40,FAR!Z$5:Z$64)</f>
        <v/>
      </c>
      <c r="F40" s="50">
        <f>SUMIF(FAR!$C$5:$C$64,$B40,FAR!AB$5:AB$64)</f>
        <v/>
      </c>
      <c r="G40" s="50">
        <f>SUMIF(FAR!$C$5:$C$64,$B40,FAR!AD$5:AD$64)</f>
        <v/>
      </c>
      <c r="H40" s="50">
        <f>SUMIF(FAR!$C$5:$C$64,$B40,FAR!AF$5:AF$64)</f>
        <v/>
      </c>
      <c r="I40" s="50">
        <f>SUMIF(FAR!$C$5:$C$64,$B40,FAR!AH$5:AH$64)</f>
        <v/>
      </c>
      <c r="J40" s="50">
        <f>SUMIF(FAR!$C$5:$C$64,$B40,FAR!AJ$5:AJ$64)</f>
        <v/>
      </c>
      <c r="K40" s="50">
        <f>SUMIF(FAR!$C$5:$C$64,$B40,FAR!AL$5:AL$64)</f>
        <v/>
      </c>
      <c r="L40" s="50">
        <f>SUMIF(FAR!$C$5:$C$64,$B40,FAR!AN$5:AN$64)</f>
        <v/>
      </c>
      <c r="M40" s="50">
        <f>SUMIF(FAR!$C$5:$C$64,$B40,FAR!AP$5:AP$64)</f>
        <v/>
      </c>
      <c r="N40" s="50">
        <f>SUMIF(FAR!$C$5:$C$64,$B40,FAR!AR$5:AR$64)</f>
        <v/>
      </c>
      <c r="O40" s="50">
        <f>SUMIF(FAR!$C$5:$C$64,$B40,FAR!AT$5:AT$64)</f>
        <v/>
      </c>
      <c r="P40" s="50">
        <f>SUMIF(FAR!$C$5:$C$64,$B40,FAR!AV$5:AV$64)</f>
        <v/>
      </c>
      <c r="Q40" s="50">
        <f>SUMIF(FAR!$C$5:$C$64,$B40,FAR!AX$5:AX$64)</f>
        <v/>
      </c>
      <c r="R40" s="50">
        <f>SUMIF(FAR!$C$5:$C$64,$B40,FAR!AZ$5:AZ$64)</f>
        <v/>
      </c>
    </row>
    <row r="41">
      <c r="B41" s="79">
        <f>Input!C30</f>
        <v/>
      </c>
      <c r="C41" s="65">
        <f>SUMIF(FAR!$C$5:$C$64,$B41,FAR!V$5:V$64)</f>
        <v/>
      </c>
      <c r="D41" s="65">
        <f>SUMIF(FAR!$C$5:$C$64,$B41,FAR!X$5:X$64)</f>
        <v/>
      </c>
      <c r="E41" s="65">
        <f>SUMIF(FAR!$C$5:$C$64,$B41,FAR!Z$5:Z$64)</f>
        <v/>
      </c>
      <c r="F41" s="65">
        <f>SUMIF(FAR!$C$5:$C$64,$B41,FAR!AB$5:AB$64)</f>
        <v/>
      </c>
      <c r="G41" s="65">
        <f>SUMIF(FAR!$C$5:$C$64,$B41,FAR!AD$5:AD$64)</f>
        <v/>
      </c>
      <c r="H41" s="65">
        <f>SUMIF(FAR!$C$5:$C$64,$B41,FAR!AF$5:AF$64)</f>
        <v/>
      </c>
      <c r="I41" s="65">
        <f>SUMIF(FAR!$C$5:$C$64,$B41,FAR!AH$5:AH$64)</f>
        <v/>
      </c>
      <c r="J41" s="65">
        <f>SUMIF(FAR!$C$5:$C$64,$B41,FAR!AJ$5:AJ$64)</f>
        <v/>
      </c>
      <c r="K41" s="65">
        <f>SUMIF(FAR!$C$5:$C$64,$B41,FAR!AL$5:AL$64)</f>
        <v/>
      </c>
      <c r="L41" s="65">
        <f>SUMIF(FAR!$C$5:$C$64,$B41,FAR!AN$5:AN$64)</f>
        <v/>
      </c>
      <c r="M41" s="65">
        <f>SUMIF(FAR!$C$5:$C$64,$B41,FAR!AP$5:AP$64)</f>
        <v/>
      </c>
      <c r="N41" s="65">
        <f>SUMIF(FAR!$C$5:$C$64,$B41,FAR!AR$5:AR$64)</f>
        <v/>
      </c>
      <c r="O41" s="65">
        <f>SUMIF(FAR!$C$5:$C$64,$B41,FAR!AT$5:AT$64)</f>
        <v/>
      </c>
      <c r="P41" s="65">
        <f>SUMIF(FAR!$C$5:$C$64,$B41,FAR!AV$5:AV$64)</f>
        <v/>
      </c>
      <c r="Q41" s="65">
        <f>SUMIF(FAR!$C$5:$C$64,$B41,FAR!AX$5:AX$64)</f>
        <v/>
      </c>
      <c r="R41" s="65">
        <f>SUMIF(FAR!$C$5:$C$64,$B41,FAR!AZ$5:AZ$64)</f>
        <v/>
      </c>
    </row>
    <row r="42">
      <c r="B42" s="78">
        <f>Input!C31</f>
        <v/>
      </c>
      <c r="C42" s="50">
        <f>SUMIF(FAR!$C$5:$C$64,$B42,FAR!V$5:V$64)</f>
        <v/>
      </c>
      <c r="D42" s="50">
        <f>SUMIF(FAR!$C$5:$C$64,$B42,FAR!X$5:X$64)</f>
        <v/>
      </c>
      <c r="E42" s="50">
        <f>SUMIF(FAR!$C$5:$C$64,$B42,FAR!Z$5:Z$64)</f>
        <v/>
      </c>
      <c r="F42" s="50">
        <f>SUMIF(FAR!$C$5:$C$64,$B42,FAR!AB$5:AB$64)</f>
        <v/>
      </c>
      <c r="G42" s="50">
        <f>SUMIF(FAR!$C$5:$C$64,$B42,FAR!AD$5:AD$64)</f>
        <v/>
      </c>
      <c r="H42" s="50">
        <f>SUMIF(FAR!$C$5:$C$64,$B42,FAR!AF$5:AF$64)</f>
        <v/>
      </c>
      <c r="I42" s="50">
        <f>SUMIF(FAR!$C$5:$C$64,$B42,FAR!AH$5:AH$64)</f>
        <v/>
      </c>
      <c r="J42" s="50">
        <f>SUMIF(FAR!$C$5:$C$64,$B42,FAR!AJ$5:AJ$64)</f>
        <v/>
      </c>
      <c r="K42" s="50">
        <f>SUMIF(FAR!$C$5:$C$64,$B42,FAR!AL$5:AL$64)</f>
        <v/>
      </c>
      <c r="L42" s="50">
        <f>SUMIF(FAR!$C$5:$C$64,$B42,FAR!AN$5:AN$64)</f>
        <v/>
      </c>
      <c r="M42" s="50">
        <f>SUMIF(FAR!$C$5:$C$64,$B42,FAR!AP$5:AP$64)</f>
        <v/>
      </c>
      <c r="N42" s="50">
        <f>SUMIF(FAR!$C$5:$C$64,$B42,FAR!AR$5:AR$64)</f>
        <v/>
      </c>
      <c r="O42" s="50">
        <f>SUMIF(FAR!$C$5:$C$64,$B42,FAR!AT$5:AT$64)</f>
        <v/>
      </c>
      <c r="P42" s="50">
        <f>SUMIF(FAR!$C$5:$C$64,$B42,FAR!AV$5:AV$64)</f>
        <v/>
      </c>
      <c r="Q42" s="50">
        <f>SUMIF(FAR!$C$5:$C$64,$B42,FAR!AX$5:AX$64)</f>
        <v/>
      </c>
      <c r="R42" s="50">
        <f>SUMIF(FAR!$C$5:$C$64,$B42,FAR!AZ$5:AZ$64)</f>
        <v/>
      </c>
    </row>
    <row r="43">
      <c r="B43" s="79">
        <f>Input!C32</f>
        <v/>
      </c>
      <c r="C43" s="65">
        <f>SUMIF(FAR!$C$5:$C$64,$B43,FAR!V$5:V$64)</f>
        <v/>
      </c>
      <c r="D43" s="65">
        <f>SUMIF(FAR!$C$5:$C$64,$B43,FAR!X$5:X$64)</f>
        <v/>
      </c>
      <c r="E43" s="65">
        <f>SUMIF(FAR!$C$5:$C$64,$B43,FAR!Z$5:Z$64)</f>
        <v/>
      </c>
      <c r="F43" s="65">
        <f>SUMIF(FAR!$C$5:$C$64,$B43,FAR!AB$5:AB$64)</f>
        <v/>
      </c>
      <c r="G43" s="65">
        <f>SUMIF(FAR!$C$5:$C$64,$B43,FAR!AD$5:AD$64)</f>
        <v/>
      </c>
      <c r="H43" s="65">
        <f>SUMIF(FAR!$C$5:$C$64,$B43,FAR!AF$5:AF$64)</f>
        <v/>
      </c>
      <c r="I43" s="65">
        <f>SUMIF(FAR!$C$5:$C$64,$B43,FAR!AH$5:AH$64)</f>
        <v/>
      </c>
      <c r="J43" s="65">
        <f>SUMIF(FAR!$C$5:$C$64,$B43,FAR!AJ$5:AJ$64)</f>
        <v/>
      </c>
      <c r="K43" s="65">
        <f>SUMIF(FAR!$C$5:$C$64,$B43,FAR!AL$5:AL$64)</f>
        <v/>
      </c>
      <c r="L43" s="65">
        <f>SUMIF(FAR!$C$5:$C$64,$B43,FAR!AN$5:AN$64)</f>
        <v/>
      </c>
      <c r="M43" s="65">
        <f>SUMIF(FAR!$C$5:$C$64,$B43,FAR!AP$5:AP$64)</f>
        <v/>
      </c>
      <c r="N43" s="65">
        <f>SUMIF(FAR!$C$5:$C$64,$B43,FAR!AR$5:AR$64)</f>
        <v/>
      </c>
      <c r="O43" s="65">
        <f>SUMIF(FAR!$C$5:$C$64,$B43,FAR!AT$5:AT$64)</f>
        <v/>
      </c>
      <c r="P43" s="65">
        <f>SUMIF(FAR!$C$5:$C$64,$B43,FAR!AV$5:AV$64)</f>
        <v/>
      </c>
      <c r="Q43" s="65">
        <f>SUMIF(FAR!$C$5:$C$64,$B43,FAR!AX$5:AX$64)</f>
        <v/>
      </c>
      <c r="R43" s="65">
        <f>SUMIF(FAR!$C$5:$C$64,$B43,FAR!AZ$5:AZ$64)</f>
        <v/>
      </c>
    </row>
    <row r="44">
      <c r="B44" s="80" t="inlineStr">
        <is>
          <t>TOTAL</t>
        </is>
      </c>
      <c r="C44" s="69">
        <f>SUM(C26:C43)</f>
        <v/>
      </c>
      <c r="D44" s="69">
        <f>SUM(D26:D43)</f>
        <v/>
      </c>
      <c r="E44" s="69">
        <f>SUM(E26:E43)</f>
        <v/>
      </c>
      <c r="F44" s="69">
        <f>SUM(F26:F43)</f>
        <v/>
      </c>
      <c r="G44" s="69">
        <f>SUM(G26:G43)</f>
        <v/>
      </c>
      <c r="H44" s="69">
        <f>SUM(H26:H43)</f>
        <v/>
      </c>
      <c r="I44" s="69">
        <f>SUM(I26:I43)</f>
        <v/>
      </c>
      <c r="J44" s="69">
        <f>SUM(J26:J43)</f>
        <v/>
      </c>
      <c r="K44" s="69">
        <f>SUM(K26:K43)</f>
        <v/>
      </c>
      <c r="L44" s="69">
        <f>SUM(L26:L43)</f>
        <v/>
      </c>
      <c r="M44" s="69">
        <f>SUM(M26:M43)</f>
        <v/>
      </c>
      <c r="N44" s="69">
        <f>SUM(N26:N43)</f>
        <v/>
      </c>
      <c r="O44" s="69">
        <f>SUM(O26:O43)</f>
        <v/>
      </c>
      <c r="P44" s="69">
        <f>SUM(P26:P43)</f>
        <v/>
      </c>
      <c r="Q44" s="69">
        <f>SUM(Q26:Q43)</f>
        <v/>
      </c>
      <c r="R44" s="69">
        <f>SUM(R26:R43)</f>
        <v/>
      </c>
    </row>
  </sheetData>
  <mergeCells count="4">
    <mergeCell ref="B24:R24"/>
    <mergeCell ref="B3:H3"/>
    <mergeCell ref="B5:H5"/>
    <mergeCell ref="B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9000"/>
    <outlinePr summaryBelow="1" summaryRight="1"/>
    <pageSetUpPr/>
  </sheetPr>
  <dimension ref="B2:H3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22" customWidth="1" min="3" max="3"/>
    <col width="20" customWidth="1" min="4" max="4"/>
    <col width="20" customWidth="1" min="5" max="5"/>
    <col width="20" customWidth="1" min="6" max="6"/>
  </cols>
  <sheetData>
    <row r="2" ht="26" customHeight="1">
      <c r="B2" s="81" t="inlineStr">
        <is>
          <t>FIXED ASSETS – SUMMARY / SCHEDULE TO ACCOUNTS</t>
        </is>
      </c>
    </row>
    <row r="3">
      <c r="B3" s="82">
        <f>"As on "&amp;TEXT(ReportingFYEnd,"dd-mmm-yyyy")&amp;"   |   Method: "&amp;GlobalMethod&amp;"   |   "&amp;Input!C6</f>
        <v/>
      </c>
    </row>
    <row r="5" ht="30" customHeight="1">
      <c r="B5" s="83" t="inlineStr">
        <is>
          <t>Asset Category</t>
        </is>
      </c>
      <c r="C5" s="83" t="inlineStr">
        <is>
          <t>Gross Block (Rs.)</t>
        </is>
      </c>
      <c r="D5" s="83" t="inlineStr">
        <is>
          <t>Dep for the Year (Rs.)</t>
        </is>
      </c>
      <c r="E5" s="83" t="inlineStr">
        <is>
          <t>Accumulated Dep (Rs.)</t>
        </is>
      </c>
      <c r="F5" s="83" t="inlineStr">
        <is>
          <t>Net Block / WDV (Rs.)</t>
        </is>
      </c>
    </row>
    <row r="6">
      <c r="B6" s="84">
        <f>Input!C15</f>
        <v/>
      </c>
      <c r="C6" s="85">
        <f>SUMIFS(FAR!$K$5:$K$64,FAR!$C$5:$C$64,$B6,FAR!$U$5:$U$64,"&lt;&gt;Disposed")</f>
        <v/>
      </c>
      <c r="D6" s="85">
        <f>SUMIFS(FAR!$R$5:$R$64,FAR!$C$5:$C$64,$B6,FAR!$U$5:$U$64,"&lt;&gt;Disposed")</f>
        <v/>
      </c>
      <c r="E6" s="85">
        <f>SUMIFS(FAR!$S$5:$S$64,FAR!$C$5:$C$64,$B6,FAR!$U$5:$U$64,"&lt;&gt;Disposed")</f>
        <v/>
      </c>
      <c r="F6" s="86">
        <f>SUMIFS(FAR!$T$5:$T$64,FAR!$C$5:$C$64,$B6,FAR!$U$5:$U$64,"&lt;&gt;Disposed")</f>
        <v/>
      </c>
    </row>
    <row r="7">
      <c r="B7" s="18">
        <f>Input!C16</f>
        <v/>
      </c>
      <c r="C7" s="60">
        <f>SUMIFS(FAR!$K$5:$K$64,FAR!$C$5:$C$64,$B7,FAR!$U$5:$U$64,"&lt;&gt;Disposed")</f>
        <v/>
      </c>
      <c r="D7" s="60">
        <f>SUMIFS(FAR!$R$5:$R$64,FAR!$C$5:$C$64,$B7,FAR!$U$5:$U$64,"&lt;&gt;Disposed")</f>
        <v/>
      </c>
      <c r="E7" s="60">
        <f>SUMIFS(FAR!$S$5:$S$64,FAR!$C$5:$C$64,$B7,FAR!$U$5:$U$64,"&lt;&gt;Disposed")</f>
        <v/>
      </c>
      <c r="F7" s="63">
        <f>SUMIFS(FAR!$T$5:$T$64,FAR!$C$5:$C$64,$B7,FAR!$U$5:$U$64,"&lt;&gt;Disposed")</f>
        <v/>
      </c>
    </row>
    <row r="8">
      <c r="B8" s="84">
        <f>Input!C17</f>
        <v/>
      </c>
      <c r="C8" s="85">
        <f>SUMIFS(FAR!$K$5:$K$64,FAR!$C$5:$C$64,$B8,FAR!$U$5:$U$64,"&lt;&gt;Disposed")</f>
        <v/>
      </c>
      <c r="D8" s="85">
        <f>SUMIFS(FAR!$R$5:$R$64,FAR!$C$5:$C$64,$B8,FAR!$U$5:$U$64,"&lt;&gt;Disposed")</f>
        <v/>
      </c>
      <c r="E8" s="85">
        <f>SUMIFS(FAR!$S$5:$S$64,FAR!$C$5:$C$64,$B8,FAR!$U$5:$U$64,"&lt;&gt;Disposed")</f>
        <v/>
      </c>
      <c r="F8" s="86">
        <f>SUMIFS(FAR!$T$5:$T$64,FAR!$C$5:$C$64,$B8,FAR!$U$5:$U$64,"&lt;&gt;Disposed")</f>
        <v/>
      </c>
    </row>
    <row r="9">
      <c r="B9" s="18">
        <f>Input!C18</f>
        <v/>
      </c>
      <c r="C9" s="60">
        <f>SUMIFS(FAR!$K$5:$K$64,FAR!$C$5:$C$64,$B9,FAR!$U$5:$U$64,"&lt;&gt;Disposed")</f>
        <v/>
      </c>
      <c r="D9" s="60">
        <f>SUMIFS(FAR!$R$5:$R$64,FAR!$C$5:$C$64,$B9,FAR!$U$5:$U$64,"&lt;&gt;Disposed")</f>
        <v/>
      </c>
      <c r="E9" s="60">
        <f>SUMIFS(FAR!$S$5:$S$64,FAR!$C$5:$C$64,$B9,FAR!$U$5:$U$64,"&lt;&gt;Disposed")</f>
        <v/>
      </c>
      <c r="F9" s="63">
        <f>SUMIFS(FAR!$T$5:$T$64,FAR!$C$5:$C$64,$B9,FAR!$U$5:$U$64,"&lt;&gt;Disposed")</f>
        <v/>
      </c>
    </row>
    <row r="10">
      <c r="B10" s="84">
        <f>Input!C19</f>
        <v/>
      </c>
      <c r="C10" s="85">
        <f>SUMIFS(FAR!$K$5:$K$64,FAR!$C$5:$C$64,$B10,FAR!$U$5:$U$64,"&lt;&gt;Disposed")</f>
        <v/>
      </c>
      <c r="D10" s="85">
        <f>SUMIFS(FAR!$R$5:$R$64,FAR!$C$5:$C$64,$B10,FAR!$U$5:$U$64,"&lt;&gt;Disposed")</f>
        <v/>
      </c>
      <c r="E10" s="85">
        <f>SUMIFS(FAR!$S$5:$S$64,FAR!$C$5:$C$64,$B10,FAR!$U$5:$U$64,"&lt;&gt;Disposed")</f>
        <v/>
      </c>
      <c r="F10" s="86">
        <f>SUMIFS(FAR!$T$5:$T$64,FAR!$C$5:$C$64,$B10,FAR!$U$5:$U$64,"&lt;&gt;Disposed")</f>
        <v/>
      </c>
    </row>
    <row r="11">
      <c r="B11" s="18">
        <f>Input!C20</f>
        <v/>
      </c>
      <c r="C11" s="60">
        <f>SUMIFS(FAR!$K$5:$K$64,FAR!$C$5:$C$64,$B11,FAR!$U$5:$U$64,"&lt;&gt;Disposed")</f>
        <v/>
      </c>
      <c r="D11" s="60">
        <f>SUMIFS(FAR!$R$5:$R$64,FAR!$C$5:$C$64,$B11,FAR!$U$5:$U$64,"&lt;&gt;Disposed")</f>
        <v/>
      </c>
      <c r="E11" s="60">
        <f>SUMIFS(FAR!$S$5:$S$64,FAR!$C$5:$C$64,$B11,FAR!$U$5:$U$64,"&lt;&gt;Disposed")</f>
        <v/>
      </c>
      <c r="F11" s="63">
        <f>SUMIFS(FAR!$T$5:$T$64,FAR!$C$5:$C$64,$B11,FAR!$U$5:$U$64,"&lt;&gt;Disposed")</f>
        <v/>
      </c>
    </row>
    <row r="12">
      <c r="B12" s="84">
        <f>Input!C21</f>
        <v/>
      </c>
      <c r="C12" s="85">
        <f>SUMIFS(FAR!$K$5:$K$64,FAR!$C$5:$C$64,$B12,FAR!$U$5:$U$64,"&lt;&gt;Disposed")</f>
        <v/>
      </c>
      <c r="D12" s="85">
        <f>SUMIFS(FAR!$R$5:$R$64,FAR!$C$5:$C$64,$B12,FAR!$U$5:$U$64,"&lt;&gt;Disposed")</f>
        <v/>
      </c>
      <c r="E12" s="85">
        <f>SUMIFS(FAR!$S$5:$S$64,FAR!$C$5:$C$64,$B12,FAR!$U$5:$U$64,"&lt;&gt;Disposed")</f>
        <v/>
      </c>
      <c r="F12" s="86">
        <f>SUMIFS(FAR!$T$5:$T$64,FAR!$C$5:$C$64,$B12,FAR!$U$5:$U$64,"&lt;&gt;Disposed")</f>
        <v/>
      </c>
    </row>
    <row r="13">
      <c r="B13" s="18">
        <f>Input!C22</f>
        <v/>
      </c>
      <c r="C13" s="60">
        <f>SUMIFS(FAR!$K$5:$K$64,FAR!$C$5:$C$64,$B13,FAR!$U$5:$U$64,"&lt;&gt;Disposed")</f>
        <v/>
      </c>
      <c r="D13" s="60">
        <f>SUMIFS(FAR!$R$5:$R$64,FAR!$C$5:$C$64,$B13,FAR!$U$5:$U$64,"&lt;&gt;Disposed")</f>
        <v/>
      </c>
      <c r="E13" s="60">
        <f>SUMIFS(FAR!$S$5:$S$64,FAR!$C$5:$C$64,$B13,FAR!$U$5:$U$64,"&lt;&gt;Disposed")</f>
        <v/>
      </c>
      <c r="F13" s="63">
        <f>SUMIFS(FAR!$T$5:$T$64,FAR!$C$5:$C$64,$B13,FAR!$U$5:$U$64,"&lt;&gt;Disposed")</f>
        <v/>
      </c>
    </row>
    <row r="14">
      <c r="B14" s="84">
        <f>Input!C23</f>
        <v/>
      </c>
      <c r="C14" s="85">
        <f>SUMIFS(FAR!$K$5:$K$64,FAR!$C$5:$C$64,$B14,FAR!$U$5:$U$64,"&lt;&gt;Disposed")</f>
        <v/>
      </c>
      <c r="D14" s="85">
        <f>SUMIFS(FAR!$R$5:$R$64,FAR!$C$5:$C$64,$B14,FAR!$U$5:$U$64,"&lt;&gt;Disposed")</f>
        <v/>
      </c>
      <c r="E14" s="85">
        <f>SUMIFS(FAR!$S$5:$S$64,FAR!$C$5:$C$64,$B14,FAR!$U$5:$U$64,"&lt;&gt;Disposed")</f>
        <v/>
      </c>
      <c r="F14" s="86">
        <f>SUMIFS(FAR!$T$5:$T$64,FAR!$C$5:$C$64,$B14,FAR!$U$5:$U$64,"&lt;&gt;Disposed")</f>
        <v/>
      </c>
    </row>
    <row r="15">
      <c r="B15" s="18">
        <f>Input!C24</f>
        <v/>
      </c>
      <c r="C15" s="60">
        <f>SUMIFS(FAR!$K$5:$K$64,FAR!$C$5:$C$64,$B15,FAR!$U$5:$U$64,"&lt;&gt;Disposed")</f>
        <v/>
      </c>
      <c r="D15" s="60">
        <f>SUMIFS(FAR!$R$5:$R$64,FAR!$C$5:$C$64,$B15,FAR!$U$5:$U$64,"&lt;&gt;Disposed")</f>
        <v/>
      </c>
      <c r="E15" s="60">
        <f>SUMIFS(FAR!$S$5:$S$64,FAR!$C$5:$C$64,$B15,FAR!$U$5:$U$64,"&lt;&gt;Disposed")</f>
        <v/>
      </c>
      <c r="F15" s="63">
        <f>SUMIFS(FAR!$T$5:$T$64,FAR!$C$5:$C$64,$B15,FAR!$U$5:$U$64,"&lt;&gt;Disposed")</f>
        <v/>
      </c>
    </row>
    <row r="16">
      <c r="B16" s="84">
        <f>Input!C25</f>
        <v/>
      </c>
      <c r="C16" s="85">
        <f>SUMIFS(FAR!$K$5:$K$64,FAR!$C$5:$C$64,$B16,FAR!$U$5:$U$64,"&lt;&gt;Disposed")</f>
        <v/>
      </c>
      <c r="D16" s="85">
        <f>SUMIFS(FAR!$R$5:$R$64,FAR!$C$5:$C$64,$B16,FAR!$U$5:$U$64,"&lt;&gt;Disposed")</f>
        <v/>
      </c>
      <c r="E16" s="85">
        <f>SUMIFS(FAR!$S$5:$S$64,FAR!$C$5:$C$64,$B16,FAR!$U$5:$U$64,"&lt;&gt;Disposed")</f>
        <v/>
      </c>
      <c r="F16" s="86">
        <f>SUMIFS(FAR!$T$5:$T$64,FAR!$C$5:$C$64,$B16,FAR!$U$5:$U$64,"&lt;&gt;Disposed")</f>
        <v/>
      </c>
    </row>
    <row r="17">
      <c r="B17" s="18">
        <f>Input!C26</f>
        <v/>
      </c>
      <c r="C17" s="60">
        <f>SUMIFS(FAR!$K$5:$K$64,FAR!$C$5:$C$64,$B17,FAR!$U$5:$U$64,"&lt;&gt;Disposed")</f>
        <v/>
      </c>
      <c r="D17" s="60">
        <f>SUMIFS(FAR!$R$5:$R$64,FAR!$C$5:$C$64,$B17,FAR!$U$5:$U$64,"&lt;&gt;Disposed")</f>
        <v/>
      </c>
      <c r="E17" s="60">
        <f>SUMIFS(FAR!$S$5:$S$64,FAR!$C$5:$C$64,$B17,FAR!$U$5:$U$64,"&lt;&gt;Disposed")</f>
        <v/>
      </c>
      <c r="F17" s="63">
        <f>SUMIFS(FAR!$T$5:$T$64,FAR!$C$5:$C$64,$B17,FAR!$U$5:$U$64,"&lt;&gt;Disposed")</f>
        <v/>
      </c>
    </row>
    <row r="18">
      <c r="B18" s="84">
        <f>Input!C27</f>
        <v/>
      </c>
      <c r="C18" s="85">
        <f>SUMIFS(FAR!$K$5:$K$64,FAR!$C$5:$C$64,$B18,FAR!$U$5:$U$64,"&lt;&gt;Disposed")</f>
        <v/>
      </c>
      <c r="D18" s="85">
        <f>SUMIFS(FAR!$R$5:$R$64,FAR!$C$5:$C$64,$B18,FAR!$U$5:$U$64,"&lt;&gt;Disposed")</f>
        <v/>
      </c>
      <c r="E18" s="85">
        <f>SUMIFS(FAR!$S$5:$S$64,FAR!$C$5:$C$64,$B18,FAR!$U$5:$U$64,"&lt;&gt;Disposed")</f>
        <v/>
      </c>
      <c r="F18" s="86">
        <f>SUMIFS(FAR!$T$5:$T$64,FAR!$C$5:$C$64,$B18,FAR!$U$5:$U$64,"&lt;&gt;Disposed")</f>
        <v/>
      </c>
    </row>
    <row r="19">
      <c r="B19" s="18">
        <f>Input!C28</f>
        <v/>
      </c>
      <c r="C19" s="60">
        <f>SUMIFS(FAR!$K$5:$K$64,FAR!$C$5:$C$64,$B19,FAR!$U$5:$U$64,"&lt;&gt;Disposed")</f>
        <v/>
      </c>
      <c r="D19" s="60">
        <f>SUMIFS(FAR!$R$5:$R$64,FAR!$C$5:$C$64,$B19,FAR!$U$5:$U$64,"&lt;&gt;Disposed")</f>
        <v/>
      </c>
      <c r="E19" s="60">
        <f>SUMIFS(FAR!$S$5:$S$64,FAR!$C$5:$C$64,$B19,FAR!$U$5:$U$64,"&lt;&gt;Disposed")</f>
        <v/>
      </c>
      <c r="F19" s="63">
        <f>SUMIFS(FAR!$T$5:$T$64,FAR!$C$5:$C$64,$B19,FAR!$U$5:$U$64,"&lt;&gt;Disposed")</f>
        <v/>
      </c>
    </row>
    <row r="20">
      <c r="B20" s="84">
        <f>Input!C29</f>
        <v/>
      </c>
      <c r="C20" s="85">
        <f>SUMIFS(FAR!$K$5:$K$64,FAR!$C$5:$C$64,$B20,FAR!$U$5:$U$64,"&lt;&gt;Disposed")</f>
        <v/>
      </c>
      <c r="D20" s="85">
        <f>SUMIFS(FAR!$R$5:$R$64,FAR!$C$5:$C$64,$B20,FAR!$U$5:$U$64,"&lt;&gt;Disposed")</f>
        <v/>
      </c>
      <c r="E20" s="85">
        <f>SUMIFS(FAR!$S$5:$S$64,FAR!$C$5:$C$64,$B20,FAR!$U$5:$U$64,"&lt;&gt;Disposed")</f>
        <v/>
      </c>
      <c r="F20" s="86">
        <f>SUMIFS(FAR!$T$5:$T$64,FAR!$C$5:$C$64,$B20,FAR!$U$5:$U$64,"&lt;&gt;Disposed")</f>
        <v/>
      </c>
    </row>
    <row r="21">
      <c r="B21" s="18">
        <f>Input!C30</f>
        <v/>
      </c>
      <c r="C21" s="60">
        <f>SUMIFS(FAR!$K$5:$K$64,FAR!$C$5:$C$64,$B21,FAR!$U$5:$U$64,"&lt;&gt;Disposed")</f>
        <v/>
      </c>
      <c r="D21" s="60">
        <f>SUMIFS(FAR!$R$5:$R$64,FAR!$C$5:$C$64,$B21,FAR!$U$5:$U$64,"&lt;&gt;Disposed")</f>
        <v/>
      </c>
      <c r="E21" s="60">
        <f>SUMIFS(FAR!$S$5:$S$64,FAR!$C$5:$C$64,$B21,FAR!$U$5:$U$64,"&lt;&gt;Disposed")</f>
        <v/>
      </c>
      <c r="F21" s="63">
        <f>SUMIFS(FAR!$T$5:$T$64,FAR!$C$5:$C$64,$B21,FAR!$U$5:$U$64,"&lt;&gt;Disposed")</f>
        <v/>
      </c>
    </row>
    <row r="22">
      <c r="B22" s="84">
        <f>Input!C31</f>
        <v/>
      </c>
      <c r="C22" s="85">
        <f>SUMIFS(FAR!$K$5:$K$64,FAR!$C$5:$C$64,$B22,FAR!$U$5:$U$64,"&lt;&gt;Disposed")</f>
        <v/>
      </c>
      <c r="D22" s="85">
        <f>SUMIFS(FAR!$R$5:$R$64,FAR!$C$5:$C$64,$B22,FAR!$U$5:$U$64,"&lt;&gt;Disposed")</f>
        <v/>
      </c>
      <c r="E22" s="85">
        <f>SUMIFS(FAR!$S$5:$S$64,FAR!$C$5:$C$64,$B22,FAR!$U$5:$U$64,"&lt;&gt;Disposed")</f>
        <v/>
      </c>
      <c r="F22" s="86">
        <f>SUMIFS(FAR!$T$5:$T$64,FAR!$C$5:$C$64,$B22,FAR!$U$5:$U$64,"&lt;&gt;Disposed")</f>
        <v/>
      </c>
    </row>
    <row r="23">
      <c r="B23" s="18">
        <f>Input!C32</f>
        <v/>
      </c>
      <c r="C23" s="60">
        <f>SUMIFS(FAR!$K$5:$K$64,FAR!$C$5:$C$64,$B23,FAR!$U$5:$U$64,"&lt;&gt;Disposed")</f>
        <v/>
      </c>
      <c r="D23" s="60">
        <f>SUMIFS(FAR!$R$5:$R$64,FAR!$C$5:$C$64,$B23,FAR!$U$5:$U$64,"&lt;&gt;Disposed")</f>
        <v/>
      </c>
      <c r="E23" s="60">
        <f>SUMIFS(FAR!$S$5:$S$64,FAR!$C$5:$C$64,$B23,FAR!$U$5:$U$64,"&lt;&gt;Disposed")</f>
        <v/>
      </c>
      <c r="F23" s="63">
        <f>SUMIFS(FAR!$T$5:$T$64,FAR!$C$5:$C$64,$B23,FAR!$U$5:$U$64,"&lt;&gt;Disposed")</f>
        <v/>
      </c>
    </row>
    <row r="24">
      <c r="B24" s="66" t="inlineStr">
        <is>
          <t>TOTAL</t>
        </is>
      </c>
      <c r="C24" s="68">
        <f>SUM(C6:C23)</f>
        <v/>
      </c>
      <c r="D24" s="68">
        <f>SUM(D6:D23)</f>
        <v/>
      </c>
      <c r="E24" s="68">
        <f>SUM(E6:E23)</f>
        <v/>
      </c>
      <c r="F24" s="68">
        <f>SUM(F6:F23)</f>
        <v/>
      </c>
    </row>
    <row r="26">
      <c r="B26" s="87" t="inlineStr">
        <is>
          <t>Check: Gross − Acc. Dep = Net Block</t>
        </is>
      </c>
      <c r="E26" s="88">
        <f>C24-E24</f>
        <v/>
      </c>
      <c r="F26" s="89">
        <f>IF(ROUND(E26-F24,0)=0,"OK ✓","CHECK")</f>
        <v/>
      </c>
    </row>
    <row r="28">
      <c r="B28" s="90" t="inlineStr">
        <is>
          <t>DISPOSALS DURING / UP TO REPORTING FY</t>
        </is>
      </c>
      <c r="C28" s="72" t="n"/>
      <c r="D28" s="72" t="n"/>
      <c r="E28" s="72" t="n"/>
      <c r="F28" s="73" t="n"/>
    </row>
    <row r="29">
      <c r="B29" s="31" t="inlineStr">
        <is>
          <t>Asset</t>
        </is>
      </c>
      <c r="C29" s="31" t="inlineStr">
        <is>
          <t>Category</t>
        </is>
      </c>
      <c r="D29" s="31" t="inlineStr">
        <is>
          <t>Disposal Date</t>
        </is>
      </c>
      <c r="E29" s="31" t="inlineStr">
        <is>
          <t>Gross Cost (Rs.)</t>
        </is>
      </c>
      <c r="F29" s="31" t="inlineStr">
        <is>
          <t>Sale Proceeds (Rs.)</t>
        </is>
      </c>
    </row>
    <row r="30">
      <c r="B30" s="91">
        <f>FAR!B14</f>
        <v/>
      </c>
      <c r="C30" s="92">
        <f>FAR!C14</f>
        <v/>
      </c>
      <c r="D30" s="93">
        <f>FAR!I14</f>
        <v/>
      </c>
      <c r="E30" s="94">
        <f>FAR!K14</f>
        <v/>
      </c>
      <c r="F30" s="94">
        <f>FAR!J14</f>
        <v/>
      </c>
    </row>
  </sheetData>
  <mergeCells count="4">
    <mergeCell ref="B26:D26"/>
    <mergeCell ref="B3:H3"/>
    <mergeCell ref="B2:H2"/>
    <mergeCell ref="B28:F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2026-06-25T18:27:58Z</dcterms:created>
  <dcterms:modified xsi:type="dcterms:W3CDTF">2026-06-25T18:27:58Z</dcterms:modified>
</cp:coreProperties>
</file>