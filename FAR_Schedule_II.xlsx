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FAR" sheetId="2" state="visible" r:id="rId2"/>
    <sheet name="Reports" sheetId="3" state="visible" r:id="rId3"/>
    <sheet name="Summary" sheetId="4" state="visible" r:id="rId4"/>
    <sheet name="Income-Tax Dep Chart" sheetId="5" state="visible" r:id="rId5"/>
    <sheet name="Notes &amp; Compliance" sheetId="6" state="visible" r:id="rId6"/>
    <sheet name="Book vs Tax (Def. Tax)" sheetId="7" state="visible" r:id="rId7"/>
  </sheets>
  <definedNames>
    <definedName name="GlobalCompany">Input!$C$6</definedName>
    <definedName name="GlobalMethod">Input!$C$8</definedName>
    <definedName name="DefaultResidual">Input!$C$9</definedName>
    <definedName name="FirstFYEnd">Input!$C$10</definedName>
    <definedName name="ReportingFYEnd">Input!$C$11</definedName>
    <definedName name="ScheduleIITable">Input!$C$15:$H$32</definedName>
    <definedName name="AssetCategories">Input!$C$15:$C$32</definedName>
    <definedName name="ITBlockTable">Input!$B$36:$F$47</definedName>
    <definedName name="ITBlockList">Input!$B$36:$B$47</definedName>
    <definedName name="ITFYEnd">'Income-Tax Dep Chart'!$E$5</definedName>
    <definedName name="TaxRate">'Book vs Tax (Def. Tax)'!$F$5</definedName>
    <definedName name="_xlnm.Print_Titles" localSheetId="1">'FAR'!$1:$4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-mmm-yyyy"/>
    <numFmt numFmtId="166" formatCode="#,##0;[Red](#,##0)"/>
    <numFmt numFmtId="167" formatCode="0.0"/>
    <numFmt numFmtId="168" formatCode="&quot;FY &quot;yyyy"/>
    <numFmt numFmtId="169" formatCode="&quot;Dep &quot;yyyy"/>
  </numFmts>
  <fonts count="4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b val="1"/>
      <color rgb="00BF9000"/>
      <sz val="10"/>
    </font>
    <font>
      <name val="Calibri"/>
      <i val="1"/>
      <color rgb="00808080"/>
      <sz val="8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F3864"/>
      <sz val="9"/>
    </font>
    <font>
      <name val="Calibri"/>
      <color rgb="00808080"/>
      <sz val="8"/>
    </font>
    <font>
      <name val="Calibri"/>
      <b val="1"/>
      <color rgb="00000000"/>
      <sz val="9"/>
    </font>
    <font>
      <name val="Calibri"/>
      <color rgb="00C55A11"/>
      <sz val="9"/>
    </font>
    <font>
      <name val="Calibri"/>
      <b val="1"/>
      <color rgb="00C55A11"/>
      <sz val="8"/>
    </font>
    <font>
      <name val="Calibri"/>
      <b val="1"/>
      <color rgb="00C00000"/>
      <sz val="9"/>
    </font>
    <font>
      <name val="Calibri"/>
      <b val="1"/>
      <color rgb="00FFFFFF"/>
      <sz val="18"/>
    </font>
    <font>
      <name val="Calibri"/>
      <b val="1"/>
      <color rgb="00FFFFFF"/>
      <sz val="8"/>
    </font>
    <font>
      <name val="Calibri"/>
      <color rgb="00808080"/>
      <sz val="9"/>
    </font>
    <font>
      <name val="Calibri"/>
      <b val="1"/>
      <color rgb="002E5496"/>
      <sz val="9"/>
    </font>
    <font>
      <name val="Calibri"/>
      <color rgb="00000000"/>
      <sz val="8"/>
    </font>
    <font>
      <name val="Calibri"/>
      <b val="1"/>
      <color rgb="00548235"/>
      <sz val="9"/>
    </font>
    <font>
      <name val="Calibri"/>
      <b val="1"/>
      <color rgb="00BF9000"/>
      <sz val="9"/>
    </font>
    <font>
      <name val="Calibri"/>
      <color rgb="002E5496"/>
      <sz val="9"/>
    </font>
    <font>
      <name val="Calibri"/>
      <b val="1"/>
      <color rgb="00FFFFFF"/>
      <sz val="10"/>
    </font>
    <font>
      <name val="Calibri"/>
      <b val="1"/>
      <color rgb="001F3864"/>
      <sz val="8"/>
    </font>
    <font>
      <name val="Calibri"/>
      <i val="1"/>
      <color rgb="00808080"/>
      <sz val="9"/>
    </font>
    <font>
      <name val="Calibri"/>
      <b val="1"/>
      <color rgb="00C00000"/>
      <sz val="8"/>
    </font>
    <font>
      <name val="Calibri"/>
      <b val="1"/>
      <color rgb="00BF9000"/>
      <sz val="8"/>
    </font>
    <font>
      <name val="Calibri"/>
      <color rgb="00C55A11"/>
      <sz val="8"/>
    </font>
    <font>
      <name val="Calibri"/>
      <b val="1"/>
      <color rgb="00000000"/>
      <sz val="8"/>
    </font>
    <font>
      <name val="Calibri"/>
      <i val="1"/>
      <color rgb="00C55A11"/>
      <sz val="7"/>
    </font>
    <font>
      <name val="Calibri"/>
      <b val="1"/>
      <color rgb="00FFFFFF"/>
      <sz val="15"/>
    </font>
    <font>
      <name val="Calibri"/>
      <b val="1"/>
      <color rgb="00808080"/>
      <sz val="9"/>
    </font>
    <font>
      <name val="Calibri"/>
      <b val="1"/>
      <color rgb="007030A0"/>
      <sz val="11"/>
    </font>
    <font>
      <name val="Calibri"/>
      <color rgb="001F3864"/>
      <sz val="10"/>
    </font>
    <font>
      <name val="Calibri"/>
      <b val="1"/>
      <color rgb="007030A0"/>
      <sz val="10"/>
    </font>
    <font>
      <name val="Calibri"/>
      <b val="1"/>
      <color rgb="00C55A11"/>
      <sz val="9"/>
    </font>
    <font>
      <name val="Calibri"/>
      <color rgb="00C00000"/>
      <sz val="9"/>
    </font>
    <font>
      <name val="Calibri"/>
      <b val="1"/>
      <color rgb="007030A0"/>
      <sz val="9"/>
    </font>
    <font>
      <name val="Calibri"/>
      <b val="1"/>
      <color rgb="00FFFFFF"/>
      <sz val="7"/>
    </font>
    <font>
      <name val="Calibri"/>
      <color rgb="00000000"/>
      <sz val="7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AF0F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C55A11"/>
      </patternFill>
    </fill>
    <fill>
      <patternFill patternType="solid">
        <fgColor rgb="00BF9000"/>
      </patternFill>
    </fill>
    <fill>
      <patternFill patternType="solid">
        <fgColor rgb="007030A0"/>
      </patternFill>
    </fill>
    <fill>
      <patternFill patternType="solid">
        <fgColor rgb="00E5DEF0"/>
      </patternFill>
    </fill>
  </fills>
  <borders count="7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  <border>
      <left/>
      <right/>
      <top style="thin">
        <color rgb="00B0B7C3"/>
      </top>
      <bottom/>
      <diagonal/>
    </border>
    <border>
      <left/>
      <right style="thin">
        <color rgb="00B0B7C3"/>
      </right>
      <top style="thin">
        <color rgb="00B0B7C3"/>
      </top>
      <bottom/>
      <diagonal/>
    </border>
    <border>
      <left/>
      <right/>
      <top style="thin">
        <color rgb="00B0B7C3"/>
      </top>
      <bottom style="thin">
        <color rgb="00B0B7C3"/>
      </bottom>
      <diagonal/>
    </border>
    <border>
      <left/>
      <right style="thin">
        <color rgb="00B0B7C3"/>
      </right>
      <top style="thin">
        <color rgb="00B0B7C3"/>
      </top>
      <bottom style="thin">
        <color rgb="00B0B7C3"/>
      </bottom>
      <diagonal/>
    </border>
  </borders>
  <cellStyleXfs count="1">
    <xf numFmtId="0" fontId="0" fillId="0" borderId="0"/>
  </cellStyleXfs>
  <cellXfs count="17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10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center" vertical="center"/>
    </xf>
    <xf numFmtId="1" fontId="5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1" fontId="11" fillId="8" borderId="2" applyAlignment="1" pivotButton="0" quotePrefix="0" xfId="0">
      <alignment horizontal="center" vertical="center"/>
    </xf>
    <xf numFmtId="10" fontId="12" fillId="8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left" vertical="center"/>
    </xf>
    <xf numFmtId="10" fontId="14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left" vertical="center"/>
    </xf>
    <xf numFmtId="1" fontId="11" fillId="9" borderId="2" applyAlignment="1" pivotButton="0" quotePrefix="0" xfId="0">
      <alignment horizontal="center" vertical="center"/>
    </xf>
    <xf numFmtId="10" fontId="12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/>
    </xf>
    <xf numFmtId="10" fontId="14" fillId="9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9" fillId="11" borderId="2" applyAlignment="1" pivotButton="0" quotePrefix="0" xfId="0">
      <alignment horizontal="left" vertical="center"/>
    </xf>
    <xf numFmtId="10" fontId="14" fillId="11" borderId="2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165" fontId="16" fillId="2" borderId="2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center" vertical="center"/>
    </xf>
    <xf numFmtId="165" fontId="8" fillId="4" borderId="2" applyAlignment="1" pivotButton="0" quotePrefix="0" xfId="0">
      <alignment horizontal="center" vertical="center"/>
    </xf>
    <xf numFmtId="165" fontId="12" fillId="4" borderId="2" applyAlignment="1" pivotButton="0" quotePrefix="0" xfId="0">
      <alignment horizontal="center" vertical="center"/>
    </xf>
    <xf numFmtId="166" fontId="12" fillId="4" borderId="2" applyAlignment="1" pivotButton="0" quotePrefix="0" xfId="0">
      <alignment horizontal="right" vertical="center"/>
    </xf>
    <xf numFmtId="166" fontId="11" fillId="4" borderId="2" applyAlignment="1" pivotButton="0" quotePrefix="0" xfId="0">
      <alignment horizontal="right" vertical="center"/>
    </xf>
    <xf numFmtId="10" fontId="8" fillId="4" borderId="2" applyAlignment="1" pivotButton="0" quotePrefix="0" xfId="0">
      <alignment horizontal="center" vertical="center"/>
    </xf>
    <xf numFmtId="166" fontId="8" fillId="4" borderId="2" applyAlignment="1" pivotButton="0" quotePrefix="0" xfId="0">
      <alignment horizontal="right" vertical="center"/>
    </xf>
    <xf numFmtId="1" fontId="11" fillId="4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/>
    </xf>
    <xf numFmtId="10" fontId="12" fillId="4" borderId="2" applyAlignment="1" pivotButton="0" quotePrefix="0" xfId="0">
      <alignment horizontal="center" vertical="center"/>
    </xf>
    <xf numFmtId="166" fontId="20" fillId="4" borderId="2" applyAlignment="1" pivotButton="0" quotePrefix="0" xfId="0">
      <alignment horizontal="right" vertical="center"/>
    </xf>
    <xf numFmtId="166" fontId="21" fillId="4" borderId="2" applyAlignment="1" pivotButton="0" quotePrefix="0" xfId="0">
      <alignment horizontal="right" vertical="center"/>
    </xf>
    <xf numFmtId="0" fontId="11" fillId="4" borderId="2" applyAlignment="1" pivotButton="0" quotePrefix="0" xfId="0">
      <alignment horizontal="center" vertical="center"/>
    </xf>
    <xf numFmtId="0" fontId="22" fillId="4" borderId="2" applyAlignment="1" pivotButton="0" quotePrefix="0" xfId="0">
      <alignment horizontal="center" vertical="center"/>
    </xf>
    <xf numFmtId="167" fontId="11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166" fontId="19" fillId="8" borderId="2" applyAlignment="1" pivotButton="0" quotePrefix="0" xfId="0">
      <alignment horizontal="right" vertical="center"/>
    </xf>
    <xf numFmtId="166" fontId="19" fillId="5" borderId="2" applyAlignment="1" pivotButton="0" quotePrefix="0" xfId="0">
      <alignment horizontal="right" vertical="center"/>
    </xf>
    <xf numFmtId="0" fontId="9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center" vertical="center"/>
    </xf>
    <xf numFmtId="165" fontId="8" fillId="9" borderId="2" applyAlignment="1" pivotButton="0" quotePrefix="0" xfId="0">
      <alignment horizontal="center" vertical="center"/>
    </xf>
    <xf numFmtId="165" fontId="12" fillId="9" borderId="2" applyAlignment="1" pivotButton="0" quotePrefix="0" xfId="0">
      <alignment horizontal="center" vertical="center"/>
    </xf>
    <xf numFmtId="166" fontId="12" fillId="9" borderId="2" applyAlignment="1" pivotButton="0" quotePrefix="0" xfId="0">
      <alignment horizontal="right" vertical="center"/>
    </xf>
    <xf numFmtId="166" fontId="11" fillId="9" borderId="2" applyAlignment="1" pivotButton="0" quotePrefix="0" xfId="0">
      <alignment horizontal="right" vertical="center"/>
    </xf>
    <xf numFmtId="10" fontId="8" fillId="9" borderId="2" applyAlignment="1" pivotButton="0" quotePrefix="0" xfId="0">
      <alignment horizontal="center" vertical="center"/>
    </xf>
    <xf numFmtId="166" fontId="8" fillId="9" borderId="2" applyAlignment="1" pivotButton="0" quotePrefix="0" xfId="0">
      <alignment horizontal="right" vertical="center"/>
    </xf>
    <xf numFmtId="0" fontId="18" fillId="9" borderId="2" applyAlignment="1" pivotButton="0" quotePrefix="0" xfId="0">
      <alignment horizontal="center" vertical="center"/>
    </xf>
    <xf numFmtId="166" fontId="20" fillId="9" borderId="2" applyAlignment="1" pivotButton="0" quotePrefix="0" xfId="0">
      <alignment horizontal="right" vertical="center"/>
    </xf>
    <xf numFmtId="166" fontId="21" fillId="9" borderId="2" applyAlignment="1" pivotButton="0" quotePrefix="0" xfId="0">
      <alignment horizontal="right" vertical="center"/>
    </xf>
    <xf numFmtId="0" fontId="11" fillId="9" borderId="2" applyAlignment="1" pivotButton="0" quotePrefix="0" xfId="0">
      <alignment horizontal="center" vertical="center"/>
    </xf>
    <xf numFmtId="0" fontId="22" fillId="9" borderId="2" applyAlignment="1" pivotButton="0" quotePrefix="0" xfId="0">
      <alignment horizontal="center" vertical="center"/>
    </xf>
    <xf numFmtId="167" fontId="11" fillId="9" borderId="2" applyAlignment="1" pivotButton="0" quotePrefix="0" xfId="0">
      <alignment horizontal="center" vertical="center"/>
    </xf>
    <xf numFmtId="166" fontId="19" fillId="9" borderId="2" applyAlignment="1" pivotButton="0" quotePrefix="0" xfId="0">
      <alignment horizontal="right" vertical="center"/>
    </xf>
    <xf numFmtId="0" fontId="23" fillId="2" borderId="2" applyAlignment="1" pivotButton="0" quotePrefix="0" xfId="0">
      <alignment horizontal="center" vertical="center"/>
    </xf>
    <xf numFmtId="0" fontId="0" fillId="2" borderId="2" pivotButton="0" quotePrefix="0" xfId="0"/>
    <xf numFmtId="166" fontId="23" fillId="2" borderId="2" applyAlignment="1" pivotButton="0" quotePrefix="0" xfId="0">
      <alignment horizontal="right" vertical="center"/>
    </xf>
    <xf numFmtId="166" fontId="16" fillId="2" borderId="2" applyAlignment="1" pivotButton="0" quotePrefix="0" xfId="0">
      <alignment horizontal="right" vertical="center"/>
    </xf>
    <xf numFmtId="0" fontId="1" fillId="7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3" fillId="2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/>
    </xf>
    <xf numFmtId="166" fontId="8" fillId="8" borderId="2" applyAlignment="1" pivotButton="0" quotePrefix="0" xfId="0">
      <alignment horizontal="right" vertical="center"/>
    </xf>
    <xf numFmtId="166" fontId="21" fillId="8" borderId="2" applyAlignment="1" pivotButton="0" quotePrefix="0" xfId="0">
      <alignment horizontal="right" vertical="center"/>
    </xf>
    <xf numFmtId="0" fontId="24" fillId="8" borderId="2" applyAlignment="1" pivotButton="0" quotePrefix="0" xfId="0">
      <alignment horizontal="left" vertical="center"/>
    </xf>
    <xf numFmtId="0" fontId="24" fillId="9" borderId="2" applyAlignment="1" pivotButton="0" quotePrefix="0" xfId="0">
      <alignment horizontal="left" vertical="center"/>
    </xf>
    <xf numFmtId="0" fontId="1" fillId="13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3" fillId="3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/>
    </xf>
    <xf numFmtId="166" fontId="8" fillId="5" borderId="2" applyAlignment="1" pivotButton="0" quotePrefix="0" xfId="0">
      <alignment horizontal="right" vertical="center"/>
    </xf>
    <xf numFmtId="166" fontId="21" fillId="5" borderId="2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166" fontId="11" fillId="6" borderId="2" applyAlignment="1" pivotButton="0" quotePrefix="0" xfId="0">
      <alignment horizontal="right" vertical="center"/>
    </xf>
    <xf numFmtId="0" fontId="20" fillId="8" borderId="2" applyAlignment="1" pivotButton="0" quotePrefix="0" xfId="0">
      <alignment horizontal="center" vertical="center"/>
    </xf>
    <xf numFmtId="0" fontId="3" fillId="12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left" vertical="center"/>
    </xf>
    <xf numFmtId="165" fontId="8" fillId="11" borderId="2" applyAlignment="1" pivotButton="0" quotePrefix="0" xfId="0">
      <alignment horizontal="center" vertical="center"/>
    </xf>
    <xf numFmtId="166" fontId="8" fillId="11" borderId="2" applyAlignment="1" pivotButton="0" quotePrefix="0" xfId="0">
      <alignment horizontal="right" vertical="center"/>
    </xf>
    <xf numFmtId="0" fontId="1" fillId="10" borderId="1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 wrapText="1"/>
    </xf>
    <xf numFmtId="0" fontId="24" fillId="11" borderId="2" applyAlignment="1" pivotButton="0" quotePrefix="0" xfId="0">
      <alignment horizontal="left" vertical="center"/>
    </xf>
    <xf numFmtId="10" fontId="26" fillId="11" borderId="2" applyAlignment="1" pivotButton="0" quotePrefix="0" xfId="0">
      <alignment horizontal="center" vertical="center"/>
    </xf>
    <xf numFmtId="166" fontId="27" fillId="5" borderId="2" applyAlignment="1" pivotButton="0" quotePrefix="0" xfId="0">
      <alignment horizontal="right" vertical="center"/>
    </xf>
    <xf numFmtId="166" fontId="19" fillId="11" borderId="2" applyAlignment="1" pivotButton="0" quotePrefix="0" xfId="0">
      <alignment horizontal="right" vertical="center"/>
    </xf>
    <xf numFmtId="166" fontId="28" fillId="11" borderId="2" applyAlignment="1" pivotButton="0" quotePrefix="0" xfId="0">
      <alignment horizontal="right" vertical="center"/>
    </xf>
    <xf numFmtId="166" fontId="29" fillId="11" borderId="2" applyAlignment="1" pivotButton="0" quotePrefix="0" xfId="0">
      <alignment horizontal="right" vertical="center"/>
    </xf>
    <xf numFmtId="166" fontId="26" fillId="11" borderId="2" applyAlignment="1" pivotButton="0" quotePrefix="0" xfId="0">
      <alignment horizontal="right" vertical="center"/>
    </xf>
    <xf numFmtId="166" fontId="24" fillId="11" borderId="2" applyAlignment="1" pivotButton="0" quotePrefix="0" xfId="0">
      <alignment horizontal="right" vertical="center"/>
    </xf>
    <xf numFmtId="0" fontId="30" fillId="11" borderId="2" applyAlignment="1" pivotButton="0" quotePrefix="0" xfId="0">
      <alignment horizontal="left" vertical="center"/>
    </xf>
    <xf numFmtId="10" fontId="26" fillId="9" borderId="2" applyAlignment="1" pivotButton="0" quotePrefix="0" xfId="0">
      <alignment horizontal="center" vertical="center"/>
    </xf>
    <xf numFmtId="166" fontId="28" fillId="9" borderId="2" applyAlignment="1" pivotButton="0" quotePrefix="0" xfId="0">
      <alignment horizontal="right" vertical="center"/>
    </xf>
    <xf numFmtId="166" fontId="29" fillId="9" borderId="2" applyAlignment="1" pivotButton="0" quotePrefix="0" xfId="0">
      <alignment horizontal="right" vertical="center"/>
    </xf>
    <xf numFmtId="166" fontId="26" fillId="9" borderId="2" applyAlignment="1" pivotButton="0" quotePrefix="0" xfId="0">
      <alignment horizontal="right" vertical="center"/>
    </xf>
    <xf numFmtId="166" fontId="24" fillId="9" borderId="2" applyAlignment="1" pivotButton="0" quotePrefix="0" xfId="0">
      <alignment horizontal="right" vertical="center"/>
    </xf>
    <xf numFmtId="0" fontId="30" fillId="9" borderId="2" applyAlignment="1" pivotButton="0" quotePrefix="0" xfId="0">
      <alignment horizontal="left" vertical="center"/>
    </xf>
    <xf numFmtId="166" fontId="7" fillId="2" borderId="2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0" fontId="29" fillId="8" borderId="2" applyAlignment="1" pivotButton="0" quotePrefix="0" xfId="0">
      <alignment horizontal="left" vertical="center"/>
    </xf>
    <xf numFmtId="0" fontId="28" fillId="8" borderId="2" applyAlignment="1" pivotButton="0" quotePrefix="0" xfId="0">
      <alignment horizontal="left" vertical="center"/>
    </xf>
    <xf numFmtId="165" fontId="19" fillId="8" borderId="2" applyAlignment="1" pivotButton="0" quotePrefix="0" xfId="0">
      <alignment horizontal="center" vertical="center"/>
    </xf>
    <xf numFmtId="1" fontId="29" fillId="8" borderId="2" applyAlignment="1" pivotButton="0" quotePrefix="0" xfId="0">
      <alignment horizontal="center" vertical="center"/>
    </xf>
    <xf numFmtId="165" fontId="29" fillId="8" borderId="2" applyAlignment="1" pivotButton="0" quotePrefix="0" xfId="0">
      <alignment horizontal="center" vertical="center"/>
    </xf>
    <xf numFmtId="166" fontId="29" fillId="8" borderId="2" applyAlignment="1" pivotButton="0" quotePrefix="0" xfId="0">
      <alignment horizontal="right" vertical="center"/>
    </xf>
    <xf numFmtId="0" fontId="29" fillId="9" borderId="2" applyAlignment="1" pivotButton="0" quotePrefix="0" xfId="0">
      <alignment horizontal="left" vertical="center"/>
    </xf>
    <xf numFmtId="0" fontId="28" fillId="9" borderId="2" applyAlignment="1" pivotButton="0" quotePrefix="0" xfId="0">
      <alignment horizontal="left" vertical="center"/>
    </xf>
    <xf numFmtId="165" fontId="19" fillId="9" borderId="2" applyAlignment="1" pivotButton="0" quotePrefix="0" xfId="0">
      <alignment horizontal="center" vertical="center"/>
    </xf>
    <xf numFmtId="1" fontId="29" fillId="9" borderId="2" applyAlignment="1" pivotButton="0" quotePrefix="0" xfId="0">
      <alignment horizontal="center" vertical="center"/>
    </xf>
    <xf numFmtId="165" fontId="29" fillId="9" borderId="2" applyAlignment="1" pivotButton="0" quotePrefix="0" xfId="0">
      <alignment horizontal="center" vertical="center"/>
    </xf>
    <xf numFmtId="0" fontId="31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left" vertical="top" wrapText="1"/>
    </xf>
    <xf numFmtId="0" fontId="3" fillId="10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left" vertical="center"/>
    </xf>
    <xf numFmtId="0" fontId="3" fillId="13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 wrapText="1"/>
    </xf>
    <xf numFmtId="0" fontId="1" fillId="14" borderId="1" applyAlignment="1" pivotButton="0" quotePrefix="0" xfId="0">
      <alignment horizontal="center" vertical="center"/>
    </xf>
    <xf numFmtId="0" fontId="4" fillId="15" borderId="2" applyAlignment="1" pivotButton="0" quotePrefix="0" xfId="0">
      <alignment horizontal="left" vertical="center"/>
    </xf>
    <xf numFmtId="10" fontId="33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3" fillId="14" borderId="2" applyAlignment="1" pivotButton="0" quotePrefix="0" xfId="0">
      <alignment horizontal="center" vertical="center"/>
    </xf>
    <xf numFmtId="0" fontId="34" fillId="15" borderId="2" applyAlignment="1" pivotButton="0" quotePrefix="0" xfId="0">
      <alignment horizontal="left" vertical="center"/>
    </xf>
    <xf numFmtId="166" fontId="35" fillId="9" borderId="2" applyAlignment="1" pivotButton="0" quotePrefix="0" xfId="0">
      <alignment horizontal="right" vertical="center"/>
    </xf>
    <xf numFmtId="10" fontId="35" fillId="9" borderId="2" applyAlignment="1" pivotButton="0" quotePrefix="0" xfId="0">
      <alignment horizontal="right" vertical="center"/>
    </xf>
    <xf numFmtId="0" fontId="23" fillId="14" borderId="2" applyAlignment="1" pivotButton="0" quotePrefix="0" xfId="0">
      <alignment horizontal="left" vertical="center"/>
    </xf>
    <xf numFmtId="166" fontId="3" fillId="14" borderId="2" applyAlignment="1" pivotButton="0" quotePrefix="0" xfId="0">
      <alignment horizontal="right" vertical="center"/>
    </xf>
    <xf numFmtId="0" fontId="36" fillId="0" borderId="0" applyAlignment="1" pivotButton="0" quotePrefix="0" xfId="0">
      <alignment horizontal="left" vertical="center"/>
    </xf>
    <xf numFmtId="168" fontId="9" fillId="15" borderId="2" applyAlignment="1" pivotButton="0" quotePrefix="0" xfId="0">
      <alignment horizontal="center" vertical="center"/>
    </xf>
    <xf numFmtId="166" fontId="8" fillId="15" borderId="2" applyAlignment="1" pivotButton="0" quotePrefix="0" xfId="0">
      <alignment horizontal="right" vertical="center"/>
    </xf>
    <xf numFmtId="166" fontId="37" fillId="15" borderId="2" applyAlignment="1" pivotButton="0" quotePrefix="0" xfId="0">
      <alignment horizontal="right" vertical="center"/>
    </xf>
    <xf numFmtId="166" fontId="38" fillId="15" borderId="2" applyAlignment="1" pivotButton="0" quotePrefix="0" xfId="0">
      <alignment horizontal="right" vertical="center"/>
    </xf>
    <xf numFmtId="166" fontId="9" fillId="15" borderId="2" applyAlignment="1" pivotButton="0" quotePrefix="0" xfId="0">
      <alignment horizontal="right" vertical="center"/>
    </xf>
    <xf numFmtId="0" fontId="11" fillId="15" borderId="2" applyAlignment="1" pivotButton="0" quotePrefix="0" xfId="0">
      <alignment horizontal="center" vertical="center"/>
    </xf>
    <xf numFmtId="168" fontId="9" fillId="9" borderId="2" applyAlignment="1" pivotButton="0" quotePrefix="0" xfId="0">
      <alignment horizontal="center" vertical="center"/>
    </xf>
    <xf numFmtId="166" fontId="37" fillId="9" borderId="2" applyAlignment="1" pivotButton="0" quotePrefix="0" xfId="0">
      <alignment horizontal="right" vertical="center"/>
    </xf>
    <xf numFmtId="166" fontId="38" fillId="9" borderId="2" applyAlignment="1" pivotButton="0" quotePrefix="0" xfId="0">
      <alignment horizontal="right" vertical="center"/>
    </xf>
    <xf numFmtId="166" fontId="9" fillId="9" borderId="2" applyAlignment="1" pivotButton="0" quotePrefix="0" xfId="0">
      <alignment horizontal="right" vertical="center"/>
    </xf>
    <xf numFmtId="0" fontId="23" fillId="10" borderId="2" applyAlignment="1" pivotButton="0" quotePrefix="0" xfId="0">
      <alignment horizontal="left" vertical="center"/>
    </xf>
    <xf numFmtId="169" fontId="39" fillId="10" borderId="2" applyAlignment="1" pivotButton="0" quotePrefix="0" xfId="0">
      <alignment horizontal="center" vertical="center"/>
    </xf>
    <xf numFmtId="0" fontId="39" fillId="13" borderId="2" applyAlignment="1" pivotButton="0" quotePrefix="0" xfId="0">
      <alignment horizontal="center" vertical="center"/>
    </xf>
    <xf numFmtId="10" fontId="29" fillId="8" borderId="2" applyAlignment="1" pivotButton="0" quotePrefix="0" xfId="0">
      <alignment horizontal="center" vertical="center"/>
    </xf>
    <xf numFmtId="167" fontId="29" fillId="8" borderId="2" applyAlignment="1" pivotButton="0" quotePrefix="0" xfId="0">
      <alignment horizontal="center" vertical="center"/>
    </xf>
    <xf numFmtId="166" fontId="40" fillId="8" borderId="2" applyAlignment="1" pivotButton="0" quotePrefix="0" xfId="0">
      <alignment horizontal="right" vertical="center"/>
    </xf>
    <xf numFmtId="166" fontId="40" fillId="5" borderId="2" applyAlignment="1" pivotButton="0" quotePrefix="0" xfId="0">
      <alignment horizontal="right" vertical="center"/>
    </xf>
    <xf numFmtId="10" fontId="29" fillId="9" borderId="2" applyAlignment="1" pivotButton="0" quotePrefix="0" xfId="0">
      <alignment horizontal="center" vertical="center"/>
    </xf>
    <xf numFmtId="167" fontId="29" fillId="9" borderId="2" applyAlignment="1" pivotButton="0" quotePrefix="0" xfId="0">
      <alignment horizontal="center" vertical="center"/>
    </xf>
    <xf numFmtId="166" fontId="40" fillId="9" borderId="2" applyAlignment="1" pivotButton="0" quotePrefix="0" xfId="0">
      <alignment horizontal="right" vertical="center"/>
    </xf>
    <xf numFmtId="166" fontId="39" fillId="2" borderId="2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Calibri"/>
        <i val="1"/>
        <color rgb="00C55A11"/>
        <sz val="9"/>
      </font>
      <fill>
        <patternFill patternType="solid">
          <fgColor rgb="00FCE4D6"/>
        </patternFill>
      </fill>
    </dxf>
    <dxf>
      <font>
        <name val="Calibri"/>
        <b val="1"/>
        <color rgb="00C00000"/>
        <sz val="9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H4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26" customWidth="1" min="3" max="3"/>
    <col width="30" customWidth="1" min="4" max="4"/>
    <col width="15" customWidth="1" min="5" max="5"/>
    <col width="14" customWidth="1" min="6" max="6"/>
    <col width="30" customWidth="1" min="7" max="7"/>
    <col width="11" customWidth="1" min="8" max="8"/>
  </cols>
  <sheetData>
    <row r="2" ht="26" customHeight="1">
      <c r="B2" s="1" t="inlineStr">
        <is>
          <t>FIXED ASSET REGISTER  |  CONTROL PANEL</t>
        </is>
      </c>
    </row>
    <row r="3" ht="16" customHeight="1">
      <c r="B3" s="2" t="inlineStr">
        <is>
          <t>Companies Act, 2013 – Schedule II  •  Single switch drives the whole register</t>
        </is>
      </c>
    </row>
    <row r="5">
      <c r="B5" s="3" t="inlineStr">
        <is>
          <t>A.  GLOBAL PARAMETERS  (edit the yellow cells)</t>
        </is>
      </c>
    </row>
    <row r="6">
      <c r="B6" s="4" t="inlineStr">
        <is>
          <t>Company Name</t>
        </is>
      </c>
      <c r="C6" s="5" t="inlineStr">
        <is>
          <t>ABC Manufacturing Pvt. Ltd.</t>
        </is>
      </c>
      <c r="E6" s="6" t="inlineStr">
        <is>
          <t>↳ free text</t>
        </is>
      </c>
    </row>
    <row r="7">
      <c r="B7" s="4" t="inlineStr">
        <is>
          <t>Reporting Currency</t>
        </is>
      </c>
      <c r="C7" s="5" t="inlineStr">
        <is>
          <t>INR (Rs.)</t>
        </is>
      </c>
      <c r="E7" s="6" t="inlineStr">
        <is>
          <t>display only</t>
        </is>
      </c>
    </row>
    <row r="8">
      <c r="B8" s="4" t="inlineStr">
        <is>
          <t>Depreciation Method (Global)</t>
        </is>
      </c>
      <c r="C8" s="5" t="inlineStr">
        <is>
          <t>WDV</t>
        </is>
      </c>
      <c r="E8" s="6" t="inlineStr">
        <is>
          <t>↳ pick SLM or WDV — recalculates everything</t>
        </is>
      </c>
    </row>
    <row r="9">
      <c r="B9" s="4" t="inlineStr">
        <is>
          <t>Default Residual Value %</t>
        </is>
      </c>
      <c r="C9" s="7" t="n">
        <v>0.05</v>
      </c>
      <c r="E9" s="6" t="inlineStr">
        <is>
          <t>↳ 5% per Schedule II guidance</t>
        </is>
      </c>
    </row>
    <row r="10">
      <c r="B10" s="4" t="inlineStr">
        <is>
          <t>First Financial Year End</t>
        </is>
      </c>
      <c r="C10" s="8" t="n">
        <v>44286</v>
      </c>
      <c r="E10" s="6" t="inlineStr">
        <is>
          <t>↳ anchor for the year columns</t>
        </is>
      </c>
    </row>
    <row r="11">
      <c r="B11" s="4" t="inlineStr">
        <is>
          <t>Reporting Financial Year End</t>
        </is>
      </c>
      <c r="C11" s="8" t="n">
        <v>45747</v>
      </c>
      <c r="E11" s="6" t="inlineStr">
        <is>
          <t>↳ must equal one of the FY columns</t>
        </is>
      </c>
    </row>
    <row r="12">
      <c r="B12" s="4" t="inlineStr">
        <is>
          <t>No. of Year Columns in FAR</t>
        </is>
      </c>
      <c r="C12" s="9" t="n">
        <v>16</v>
      </c>
      <c r="E12" s="6" t="inlineStr">
        <is>
          <t>↳ informational</t>
        </is>
      </c>
    </row>
    <row r="13">
      <c r="B13" s="10" t="inlineStr">
        <is>
          <t>B.  ASSET MASTER – SCHEDULE II USEFUL LIVES + INCOME-TAX BLOCK MAPPING</t>
        </is>
      </c>
    </row>
    <row r="14" ht="28" customHeight="1">
      <c r="B14" s="11" t="inlineStr">
        <is>
          <t>Sr.</t>
        </is>
      </c>
      <c r="C14" s="11" t="inlineStr">
        <is>
          <t>Asset Category</t>
        </is>
      </c>
      <c r="D14" s="11" t="inlineStr">
        <is>
          <t>Description / Notes</t>
        </is>
      </c>
      <c r="E14" s="11" t="inlineStr">
        <is>
          <t>Useful Life (Years)</t>
        </is>
      </c>
      <c r="F14" s="11" t="inlineStr">
        <is>
          <t>Indicative WDV Rate*</t>
        </is>
      </c>
      <c r="G14" s="11" t="inlineStr">
        <is>
          <t>Income-Tax Block</t>
        </is>
      </c>
      <c r="H14" s="11" t="inlineStr">
        <is>
          <t>IT Dep Rate</t>
        </is>
      </c>
    </row>
    <row r="15">
      <c r="B15" s="12" t="n">
        <v>1</v>
      </c>
      <c r="C15" s="13" t="inlineStr">
        <is>
          <t>Buildings - RCC Frame</t>
        </is>
      </c>
      <c r="D15" s="14" t="inlineStr">
        <is>
          <t>Buildings other than factory (RCC frame)</t>
        </is>
      </c>
      <c r="E15" s="15" t="n">
        <v>60</v>
      </c>
      <c r="F15" s="16">
        <f>IF(E15=0,0,1-(DefaultResidual)^(1/E15))</f>
        <v/>
      </c>
      <c r="G15" s="17" t="inlineStr">
        <is>
          <t>Building (General/Non-residential)</t>
        </is>
      </c>
      <c r="H15" s="18" t="n">
        <v>0.1</v>
      </c>
    </row>
    <row r="16">
      <c r="B16" s="19" t="n">
        <v>2</v>
      </c>
      <c r="C16" s="20" t="inlineStr">
        <is>
          <t>Buildings - Other than RCC</t>
        </is>
      </c>
      <c r="D16" s="21" t="inlineStr">
        <is>
          <t>Buildings other than factory (non-RCC)</t>
        </is>
      </c>
      <c r="E16" s="22" t="n">
        <v>30</v>
      </c>
      <c r="F16" s="23">
        <f>IF(E16=0,0,1-(DefaultResidual)^(1/E16))</f>
        <v/>
      </c>
      <c r="G16" s="24" t="inlineStr">
        <is>
          <t>Building (General/Non-residential)</t>
        </is>
      </c>
      <c r="H16" s="25" t="n">
        <v>0.1</v>
      </c>
    </row>
    <row r="17">
      <c r="B17" s="12" t="n">
        <v>3</v>
      </c>
      <c r="C17" s="13" t="inlineStr">
        <is>
          <t>Factory Building</t>
        </is>
      </c>
      <c r="D17" s="14" t="inlineStr">
        <is>
          <t>Factory buildings</t>
        </is>
      </c>
      <c r="E17" s="15" t="n">
        <v>30</v>
      </c>
      <c r="F17" s="16">
        <f>IF(E17=0,0,1-(DefaultResidual)^(1/E17))</f>
        <v/>
      </c>
      <c r="G17" s="17" t="inlineStr">
        <is>
          <t>Building (General/Non-residential)</t>
        </is>
      </c>
      <c r="H17" s="18" t="n">
        <v>0.1</v>
      </c>
    </row>
    <row r="18">
      <c r="B18" s="19" t="n">
        <v>4</v>
      </c>
      <c r="C18" s="20" t="inlineStr">
        <is>
          <t>Plant &amp; Machinery - General</t>
        </is>
      </c>
      <c r="D18" s="21" t="inlineStr">
        <is>
          <t>General rate plant &amp; machinery</t>
        </is>
      </c>
      <c r="E18" s="22" t="n">
        <v>15</v>
      </c>
      <c r="F18" s="23">
        <f>IF(E18=0,0,1-(DefaultResidual)^(1/E18))</f>
        <v/>
      </c>
      <c r="G18" s="24" t="inlineStr">
        <is>
          <t>Plant &amp; Machinery (General)</t>
        </is>
      </c>
      <c r="H18" s="25" t="n">
        <v>0.15</v>
      </c>
    </row>
    <row r="19">
      <c r="B19" s="12" t="n">
        <v>5</v>
      </c>
      <c r="C19" s="13" t="inlineStr">
        <is>
          <t>Plant &amp; Machinery - Continuous Process</t>
        </is>
      </c>
      <c r="D19" s="14" t="inlineStr">
        <is>
          <t>Continuous process plant</t>
        </is>
      </c>
      <c r="E19" s="15" t="n">
        <v>25</v>
      </c>
      <c r="F19" s="16">
        <f>IF(E19=0,0,1-(DefaultResidual)^(1/E19))</f>
        <v/>
      </c>
      <c r="G19" s="17" t="inlineStr">
        <is>
          <t>Plant &amp; Machinery (General)</t>
        </is>
      </c>
      <c r="H19" s="18" t="n">
        <v>0.15</v>
      </c>
    </row>
    <row r="20">
      <c r="B20" s="19" t="n">
        <v>6</v>
      </c>
      <c r="C20" s="20" t="inlineStr">
        <is>
          <t>Furniture &amp; Fittings</t>
        </is>
      </c>
      <c r="D20" s="21" t="inlineStr">
        <is>
          <t>General furniture and fittings</t>
        </is>
      </c>
      <c r="E20" s="22" t="n">
        <v>10</v>
      </c>
      <c r="F20" s="23">
        <f>IF(E20=0,0,1-(DefaultResidual)^(1/E20))</f>
        <v/>
      </c>
      <c r="G20" s="24" t="inlineStr">
        <is>
          <t>Furniture &amp; Fittings</t>
        </is>
      </c>
      <c r="H20" s="25" t="n">
        <v>0.1</v>
      </c>
    </row>
    <row r="21">
      <c r="B21" s="12" t="n">
        <v>7</v>
      </c>
      <c r="C21" s="13" t="inlineStr">
        <is>
          <t>Office Equipment</t>
        </is>
      </c>
      <c r="D21" s="14" t="inlineStr">
        <is>
          <t>General office equipment</t>
        </is>
      </c>
      <c r="E21" s="15" t="n">
        <v>5</v>
      </c>
      <c r="F21" s="16">
        <f>IF(E21=0,0,1-(DefaultResidual)^(1/E21))</f>
        <v/>
      </c>
      <c r="G21" s="17" t="inlineStr">
        <is>
          <t>Plant &amp; Machinery (General)</t>
        </is>
      </c>
      <c r="H21" s="18" t="n">
        <v>0.15</v>
      </c>
    </row>
    <row r="22">
      <c r="B22" s="19" t="n">
        <v>8</v>
      </c>
      <c r="C22" s="20" t="inlineStr">
        <is>
          <t>Computers - End User Devices</t>
        </is>
      </c>
      <c r="D22" s="21" t="inlineStr">
        <is>
          <t>Laptops, desktops, printers</t>
        </is>
      </c>
      <c r="E22" s="22" t="n">
        <v>3</v>
      </c>
      <c r="F22" s="23">
        <f>IF(E22=0,0,1-(DefaultResidual)^(1/E22))</f>
        <v/>
      </c>
      <c r="G22" s="24" t="inlineStr">
        <is>
          <t>Computers &amp; Software</t>
        </is>
      </c>
      <c r="H22" s="25" t="n">
        <v>0.4</v>
      </c>
    </row>
    <row r="23">
      <c r="B23" s="12" t="n">
        <v>9</v>
      </c>
      <c r="C23" s="13" t="inlineStr">
        <is>
          <t>Computers - Servers &amp; Networks</t>
        </is>
      </c>
      <c r="D23" s="14" t="inlineStr">
        <is>
          <t>Servers and network equipment</t>
        </is>
      </c>
      <c r="E23" s="15" t="n">
        <v>6</v>
      </c>
      <c r="F23" s="16">
        <f>IF(E23=0,0,1-(DefaultResidual)^(1/E23))</f>
        <v/>
      </c>
      <c r="G23" s="17" t="inlineStr">
        <is>
          <t>Computers &amp; Software</t>
        </is>
      </c>
      <c r="H23" s="18" t="n">
        <v>0.4</v>
      </c>
    </row>
    <row r="24">
      <c r="B24" s="19" t="n">
        <v>10</v>
      </c>
      <c r="C24" s="20" t="inlineStr">
        <is>
          <t>Electrical Installations</t>
        </is>
      </c>
      <c r="D24" s="21" t="inlineStr">
        <is>
          <t>Electrical installations &amp; equipment</t>
        </is>
      </c>
      <c r="E24" s="22" t="n">
        <v>10</v>
      </c>
      <c r="F24" s="23">
        <f>IF(E24=0,0,1-(DefaultResidual)^(1/E24))</f>
        <v/>
      </c>
      <c r="G24" s="24" t="inlineStr">
        <is>
          <t>Plant &amp; Machinery (General)</t>
        </is>
      </c>
      <c r="H24" s="25" t="n">
        <v>0.15</v>
      </c>
    </row>
    <row r="25">
      <c r="B25" s="12" t="n">
        <v>11</v>
      </c>
      <c r="C25" s="13" t="inlineStr">
        <is>
          <t>Motor Vehicles - Motor Cars</t>
        </is>
      </c>
      <c r="D25" s="14" t="inlineStr">
        <is>
          <t>Cars (other than used in hire business)</t>
        </is>
      </c>
      <c r="E25" s="15" t="n">
        <v>8</v>
      </c>
      <c r="F25" s="16">
        <f>IF(E25=0,0,1-(DefaultResidual)^(1/E25))</f>
        <v/>
      </c>
      <c r="G25" s="17" t="inlineStr">
        <is>
          <t>Motor Vehicles (Non-hire)</t>
        </is>
      </c>
      <c r="H25" s="18" t="n">
        <v>0.15</v>
      </c>
    </row>
    <row r="26">
      <c r="B26" s="19" t="n">
        <v>12</v>
      </c>
      <c r="C26" s="20" t="inlineStr">
        <is>
          <t>Motor Vehicles - Commercial</t>
        </is>
      </c>
      <c r="D26" s="21" t="inlineStr">
        <is>
          <t>Buses/lorries used in business of hire</t>
        </is>
      </c>
      <c r="E26" s="22" t="n">
        <v>6</v>
      </c>
      <c r="F26" s="23">
        <f>IF(E26=0,0,1-(DefaultResidual)^(1/E26))</f>
        <v/>
      </c>
      <c r="G26" s="24" t="inlineStr">
        <is>
          <t>Motor Vehicles (Hire/Commercial)</t>
        </is>
      </c>
      <c r="H26" s="25" t="n">
        <v>0.3</v>
      </c>
    </row>
    <row r="27">
      <c r="B27" s="12" t="n">
        <v>13</v>
      </c>
      <c r="C27" s="13" t="inlineStr">
        <is>
          <t>Motor Vehicles - Two Wheelers</t>
        </is>
      </c>
      <c r="D27" s="14" t="inlineStr">
        <is>
          <t>Motor cycles, scooters</t>
        </is>
      </c>
      <c r="E27" s="15" t="n">
        <v>10</v>
      </c>
      <c r="F27" s="16">
        <f>IF(E27=0,0,1-(DefaultResidual)^(1/E27))</f>
        <v/>
      </c>
      <c r="G27" s="17" t="inlineStr">
        <is>
          <t>Motor Vehicles (Non-hire)</t>
        </is>
      </c>
      <c r="H27" s="18" t="n">
        <v>0.15</v>
      </c>
    </row>
    <row r="28">
      <c r="B28" s="19" t="n">
        <v>14</v>
      </c>
      <c r="C28" s="20" t="inlineStr">
        <is>
          <t>Laboratory Equipment - General</t>
        </is>
      </c>
      <c r="D28" s="21" t="inlineStr">
        <is>
          <t>General laboratory equipment</t>
        </is>
      </c>
      <c r="E28" s="22" t="n">
        <v>10</v>
      </c>
      <c r="F28" s="23">
        <f>IF(E28=0,0,1-(DefaultResidual)^(1/E28))</f>
        <v/>
      </c>
      <c r="G28" s="24" t="inlineStr">
        <is>
          <t>Plant &amp; Machinery (General)</t>
        </is>
      </c>
      <c r="H28" s="25" t="n">
        <v>0.15</v>
      </c>
    </row>
    <row r="29">
      <c r="B29" s="12" t="n">
        <v>15</v>
      </c>
      <c r="C29" s="13" t="inlineStr">
        <is>
          <t>Plant &amp; Machinery - Moulds/Dies</t>
        </is>
      </c>
      <c r="D29" s="14" t="inlineStr">
        <is>
          <t>Moulds, jigs, dies and tooling</t>
        </is>
      </c>
      <c r="E29" s="15" t="n">
        <v>8</v>
      </c>
      <c r="F29" s="16">
        <f>IF(E29=0,0,1-(DefaultResidual)^(1/E29))</f>
        <v/>
      </c>
      <c r="G29" s="17" t="inlineStr">
        <is>
          <t>Plant &amp; Machinery (General)</t>
        </is>
      </c>
      <c r="H29" s="18" t="n">
        <v>0.15</v>
      </c>
    </row>
    <row r="30">
      <c r="B30" s="19" t="n">
        <v>16</v>
      </c>
      <c r="C30" s="20" t="inlineStr">
        <is>
          <t>Air Conditioning Plant</t>
        </is>
      </c>
      <c r="D30" s="21" t="inlineStr">
        <is>
          <t>AC plant (treated as P&amp;M)</t>
        </is>
      </c>
      <c r="E30" s="22" t="n">
        <v>5</v>
      </c>
      <c r="F30" s="23">
        <f>IF(E30=0,0,1-(DefaultResidual)^(1/E30))</f>
        <v/>
      </c>
      <c r="G30" s="24" t="inlineStr">
        <is>
          <t>Plant &amp; Machinery (General)</t>
        </is>
      </c>
      <c r="H30" s="25" t="n">
        <v>0.15</v>
      </c>
    </row>
    <row r="31">
      <c r="B31" s="12" t="n">
        <v>17</v>
      </c>
      <c r="C31" s="13" t="inlineStr">
        <is>
          <t>Intangible Assets - Software</t>
        </is>
      </c>
      <c r="D31" s="14" t="inlineStr">
        <is>
          <t>Computer software (computers block)</t>
        </is>
      </c>
      <c r="E31" s="15" t="n">
        <v>5</v>
      </c>
      <c r="F31" s="16">
        <f>IF(E31=0,0,1-(DefaultResidual)^(1/E31))</f>
        <v/>
      </c>
      <c r="G31" s="17" t="inlineStr">
        <is>
          <t>Computers &amp; Software</t>
        </is>
      </c>
      <c r="H31" s="18" t="n">
        <v>0.4</v>
      </c>
    </row>
    <row r="32">
      <c r="B32" s="19" t="n">
        <v>18</v>
      </c>
      <c r="C32" s="20" t="inlineStr">
        <is>
          <t>Leasehold Improvements</t>
        </is>
      </c>
      <c r="D32" s="21" t="inlineStr">
        <is>
          <t>Over primary lease period (illustrative)</t>
        </is>
      </c>
      <c r="E32" s="22" t="n">
        <v>10</v>
      </c>
      <c r="F32" s="23">
        <f>IF(E32=0,0,1-(DefaultResidual)^(1/E32))</f>
        <v/>
      </c>
      <c r="G32" s="24" t="inlineStr">
        <is>
          <t>Building (General/Non-residential)</t>
        </is>
      </c>
      <c r="H32" s="25" t="n">
        <v>0.1</v>
      </c>
    </row>
    <row r="33" ht="28" customHeight="1">
      <c r="B33" s="26" t="inlineStr">
        <is>
          <t>*Companies Act indicative WDV rate = 1 − (Residual)^(1/Useful Life). The Income-Tax block &amp; rate (Sec. 32 / Appendix I, WDV) drive the Income-Tax Depreciation Chart. Edit rows freely – FAR &amp; charts follow.</t>
        </is>
      </c>
    </row>
    <row r="34">
      <c r="B34" s="27" t="inlineStr">
        <is>
          <t>C.  INCOME-TAX BLOCK OF ASSETS – WDV RATES (Sec. 32, Appendix I)</t>
        </is>
      </c>
    </row>
    <row r="35">
      <c r="B35" s="28" t="inlineStr">
        <is>
          <t>Block of Assets</t>
        </is>
      </c>
      <c r="C35" s="29" t="n"/>
      <c r="D35" s="29" t="n"/>
      <c r="E35" s="30" t="n"/>
      <c r="F35" s="28" t="inlineStr">
        <is>
          <t>WDV Rate</t>
        </is>
      </c>
    </row>
    <row r="36">
      <c r="B36" s="31" t="inlineStr">
        <is>
          <t>Building (Residential)</t>
        </is>
      </c>
      <c r="F36" s="32" t="n">
        <v>0.05</v>
      </c>
    </row>
    <row r="37">
      <c r="B37" s="20" t="inlineStr">
        <is>
          <t>Building (General/Non-residential)</t>
        </is>
      </c>
      <c r="F37" s="25" t="n">
        <v>0.1</v>
      </c>
    </row>
    <row r="38">
      <c r="B38" s="31" t="inlineStr">
        <is>
          <t>Building (Temporary Structures)</t>
        </is>
      </c>
      <c r="F38" s="32" t="n">
        <v>0.4</v>
      </c>
    </row>
    <row r="39">
      <c r="B39" s="20" t="inlineStr">
        <is>
          <t>Furniture &amp; Fittings</t>
        </is>
      </c>
      <c r="F39" s="25" t="n">
        <v>0.1</v>
      </c>
    </row>
    <row r="40">
      <c r="B40" s="31" t="inlineStr">
        <is>
          <t>Plant &amp; Machinery (General)</t>
        </is>
      </c>
      <c r="F40" s="32" t="n">
        <v>0.15</v>
      </c>
    </row>
    <row r="41">
      <c r="B41" s="20" t="inlineStr">
        <is>
          <t>Plant &amp; Machinery (Energy-saving/Pollution)</t>
        </is>
      </c>
      <c r="F41" s="25" t="n">
        <v>0.4</v>
      </c>
    </row>
    <row r="42">
      <c r="B42" s="31" t="inlineStr">
        <is>
          <t>Motor Vehicles (Non-hire)</t>
        </is>
      </c>
      <c r="F42" s="32" t="n">
        <v>0.15</v>
      </c>
    </row>
    <row r="43">
      <c r="B43" s="20" t="inlineStr">
        <is>
          <t>Motor Vehicles (Hire/Commercial)</t>
        </is>
      </c>
      <c r="F43" s="25" t="n">
        <v>0.3</v>
      </c>
    </row>
    <row r="44">
      <c r="B44" s="31" t="inlineStr">
        <is>
          <t>Computers &amp; Software</t>
        </is>
      </c>
      <c r="F44" s="32" t="n">
        <v>0.4</v>
      </c>
    </row>
    <row r="45">
      <c r="B45" s="20" t="inlineStr">
        <is>
          <t>Intangible Assets</t>
        </is>
      </c>
      <c r="F45" s="25" t="n">
        <v>0.25</v>
      </c>
    </row>
    <row r="46">
      <c r="B46" s="31" t="inlineStr">
        <is>
          <t>Ships</t>
        </is>
      </c>
      <c r="F46" s="32" t="n">
        <v>0.2</v>
      </c>
    </row>
    <row r="47">
      <c r="B47" s="20" t="inlineStr">
        <is>
          <t>Books (annual publications / lending library)</t>
        </is>
      </c>
      <c r="F47" s="25" t="n">
        <v>0.4</v>
      </c>
    </row>
  </sheetData>
  <mergeCells count="33">
    <mergeCell ref="E12:F12"/>
    <mergeCell ref="B40:E40"/>
    <mergeCell ref="C6:D6"/>
    <mergeCell ref="B3:F3"/>
    <mergeCell ref="B33:H33"/>
    <mergeCell ref="E8:F8"/>
    <mergeCell ref="B36:E36"/>
    <mergeCell ref="B45:E45"/>
    <mergeCell ref="B41:E41"/>
    <mergeCell ref="C10:D10"/>
    <mergeCell ref="B35:E35"/>
    <mergeCell ref="B2:F2"/>
    <mergeCell ref="E10:F10"/>
    <mergeCell ref="B47:E47"/>
    <mergeCell ref="C9:D9"/>
    <mergeCell ref="E9:F9"/>
    <mergeCell ref="B46:E46"/>
    <mergeCell ref="C12:D12"/>
    <mergeCell ref="E6:F6"/>
    <mergeCell ref="B43:E43"/>
    <mergeCell ref="C11:D11"/>
    <mergeCell ref="E11:F11"/>
    <mergeCell ref="B39:E39"/>
    <mergeCell ref="B42:E42"/>
    <mergeCell ref="C8:D8"/>
    <mergeCell ref="C7:D7"/>
    <mergeCell ref="B13:H13"/>
    <mergeCell ref="E7:F7"/>
    <mergeCell ref="B38:E38"/>
    <mergeCell ref="B5:F5"/>
    <mergeCell ref="B44:E44"/>
    <mergeCell ref="B37:E37"/>
    <mergeCell ref="B34:H34"/>
  </mergeCells>
  <dataValidations count="1">
    <dataValidation sqref="C8" showDropDown="0" showInputMessage="0" showErrorMessage="0" allowBlank="0" error="Choose SLM (Straight Line) or WDV (Written Down Value)." prompt="Select depreciation method" type="list">
      <formula1>"SLM,WDV"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496"/>
    <outlinePr summaryBelow="1" summaryRight="1"/>
    <pageSetUpPr/>
  </sheetPr>
  <dimension ref="A1:BF65"/>
  <sheetViews>
    <sheetView showGridLines="0"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0" customWidth="1" min="4" max="4"/>
    <col width="20" customWidth="1" min="5" max="5"/>
    <col width="14" customWidth="1" min="6" max="6"/>
    <col width="15" customWidth="1" min="7" max="7"/>
    <col width="15" customWidth="1" min="8" max="8"/>
    <col width="16" customWidth="1" min="9" max="9"/>
    <col width="15" customWidth="1" min="10" max="10"/>
    <col width="16" customWidth="1" min="11" max="11"/>
    <col width="11" customWidth="1" min="12" max="12"/>
    <col width="15" customWidth="1" min="13" max="13"/>
    <col width="12" customWidth="1" min="14" max="14"/>
    <col width="9" customWidth="1" min="15" max="15"/>
    <col width="10" customWidth="1" min="16" max="16"/>
    <col width="16" customWidth="1" min="17" max="17"/>
    <col width="16" customWidth="1" min="18" max="18"/>
    <col width="16" customWidth="1" min="19" max="19"/>
    <col width="16" customWidth="1" min="20" max="20"/>
    <col width="13" customWidth="1" min="21" max="21"/>
    <col width="12" customWidth="1" min="22" max="22"/>
    <col width="10" customWidth="1" min="23" max="23"/>
    <col width="15" customWidth="1" min="24" max="24"/>
    <col width="13" customWidth="1" min="25" max="25"/>
    <col width="26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</cols>
  <sheetData>
    <row r="1" ht="30" customHeight="1">
      <c r="A1" s="33" t="inlineStr">
        <is>
          <t>REGISTER OF FIXED ASSETS  (FAR)</t>
        </is>
      </c>
    </row>
    <row r="2" ht="18" customHeight="1">
      <c r="A2" s="34">
        <f>Input!C6&amp;"   |   Depreciation Method: "&amp;GlobalMethod&amp;"   |   Reporting FY ending: "&amp;TEXT(ReportingFYEnd,"dd-mmm-yyyy")&amp;"   |   Default Residual: "&amp;TEXT(DefaultResidual,"0%")&amp;"   |   Companies Act, 2013 – Schedule II  (see Income-Tax Chart sheet for Sec. 32)"</f>
        <v/>
      </c>
    </row>
    <row r="3">
      <c r="A3" s="35" t="inlineStr">
        <is>
          <t>ASSET MASTER DETAILS</t>
        </is>
      </c>
      <c r="J3" s="36" t="inlineStr">
        <is>
          <t>DISPOSAL</t>
        </is>
      </c>
      <c r="K3" s="37" t="inlineStr">
        <is>
          <t>COST &amp; DEPRECIATION BASIS</t>
        </is>
      </c>
      <c r="R3" s="38" t="inlineStr">
        <is>
          <t>POSITION AS ON REPORTING FY</t>
        </is>
      </c>
      <c r="V3" s="36" t="inlineStr">
        <is>
          <t>EXTRA-SHIFT (SCH. II) &amp; CARO 2020 COMPLIANCE</t>
        </is>
      </c>
      <c r="AA3" s="39">
        <f>EDATE(FirstFYEnd,12*0)</f>
        <v/>
      </c>
      <c r="AB3" s="40" t="inlineStr"/>
      <c r="AC3" s="39">
        <f>EDATE(FirstFYEnd,12*1)</f>
        <v/>
      </c>
      <c r="AD3" s="40" t="inlineStr"/>
      <c r="AE3" s="39">
        <f>EDATE(FirstFYEnd,12*2)</f>
        <v/>
      </c>
      <c r="AF3" s="40" t="inlineStr"/>
      <c r="AG3" s="39">
        <f>EDATE(FirstFYEnd,12*3)</f>
        <v/>
      </c>
      <c r="AH3" s="40" t="inlineStr"/>
      <c r="AI3" s="39">
        <f>EDATE(FirstFYEnd,12*4)</f>
        <v/>
      </c>
      <c r="AJ3" s="40" t="inlineStr"/>
      <c r="AK3" s="39">
        <f>EDATE(FirstFYEnd,12*5)</f>
        <v/>
      </c>
      <c r="AL3" s="40" t="inlineStr"/>
      <c r="AM3" s="39">
        <f>EDATE(FirstFYEnd,12*6)</f>
        <v/>
      </c>
      <c r="AN3" s="40" t="inlineStr"/>
      <c r="AO3" s="39">
        <f>EDATE(FirstFYEnd,12*7)</f>
        <v/>
      </c>
      <c r="AP3" s="40" t="inlineStr"/>
      <c r="AQ3" s="39">
        <f>EDATE(FirstFYEnd,12*8)</f>
        <v/>
      </c>
      <c r="AR3" s="40" t="inlineStr"/>
      <c r="AS3" s="39">
        <f>EDATE(FirstFYEnd,12*9)</f>
        <v/>
      </c>
      <c r="AT3" s="40" t="inlineStr"/>
      <c r="AU3" s="39">
        <f>EDATE(FirstFYEnd,12*10)</f>
        <v/>
      </c>
      <c r="AV3" s="40" t="inlineStr"/>
      <c r="AW3" s="39">
        <f>EDATE(FirstFYEnd,12*11)</f>
        <v/>
      </c>
      <c r="AX3" s="40" t="inlineStr"/>
      <c r="AY3" s="39">
        <f>EDATE(FirstFYEnd,12*12)</f>
        <v/>
      </c>
      <c r="AZ3" s="40" t="inlineStr"/>
      <c r="BA3" s="39">
        <f>EDATE(FirstFYEnd,12*13)</f>
        <v/>
      </c>
      <c r="BB3" s="40" t="inlineStr"/>
      <c r="BC3" s="39">
        <f>EDATE(FirstFYEnd,12*14)</f>
        <v/>
      </c>
      <c r="BD3" s="40" t="inlineStr"/>
      <c r="BE3" s="39">
        <f>EDATE(FirstFYEnd,12*15)</f>
        <v/>
      </c>
      <c r="BF3" s="40" t="inlineStr"/>
    </row>
    <row r="4" ht="38" customHeight="1">
      <c r="A4" s="41" t="inlineStr">
        <is>
          <t>Asset ID</t>
        </is>
      </c>
      <c r="B4" s="41" t="inlineStr">
        <is>
          <t>Asset Description</t>
        </is>
      </c>
      <c r="C4" s="41" t="inlineStr">
        <is>
          <t>Asset Category</t>
        </is>
      </c>
      <c r="D4" s="41" t="inlineStr">
        <is>
          <t>Location / Cost Centre</t>
        </is>
      </c>
      <c r="E4" s="41" t="inlineStr">
        <is>
          <t>Supplier / Vendor</t>
        </is>
      </c>
      <c r="F4" s="41" t="inlineStr">
        <is>
          <t>Invoice No.</t>
        </is>
      </c>
      <c r="G4" s="41" t="inlineStr">
        <is>
          <t>Date of Purchase</t>
        </is>
      </c>
      <c r="H4" s="41" t="inlineStr">
        <is>
          <t>Date Put to Use</t>
        </is>
      </c>
      <c r="I4" s="41" t="inlineStr">
        <is>
          <t>Date of Sale / Disposal</t>
        </is>
      </c>
      <c r="J4" s="41" t="inlineStr">
        <is>
          <t>Sale Proceeds (Rs.)</t>
        </is>
      </c>
      <c r="K4" s="41" t="inlineStr">
        <is>
          <t>Gross Cost (Rs.)</t>
        </is>
      </c>
      <c r="L4" s="41" t="inlineStr">
        <is>
          <t>Residual %</t>
        </is>
      </c>
      <c r="M4" s="41" t="inlineStr">
        <is>
          <t>Residual Value (Rs.)</t>
        </is>
      </c>
      <c r="N4" s="41" t="inlineStr">
        <is>
          <t>Useful Life (Yrs)</t>
        </is>
      </c>
      <c r="O4" s="41" t="inlineStr">
        <is>
          <t>Method</t>
        </is>
      </c>
      <c r="P4" s="41" t="inlineStr">
        <is>
          <t>WDV Rate</t>
        </is>
      </c>
      <c r="Q4" s="41" t="inlineStr">
        <is>
          <t>Depreciable Amt (Rs.)</t>
        </is>
      </c>
      <c r="R4" s="41" t="inlineStr">
        <is>
          <t>Dep – Reporting FY (Rs.)</t>
        </is>
      </c>
      <c r="S4" s="41" t="inlineStr">
        <is>
          <t>Acc. Dep – Rep. FY (Rs.)</t>
        </is>
      </c>
      <c r="T4" s="41" t="inlineStr">
        <is>
          <t>WDV – Reporting FY (Rs.)</t>
        </is>
      </c>
      <c r="U4" s="41" t="inlineStr">
        <is>
          <t>Status</t>
        </is>
      </c>
      <c r="V4" s="41" t="inlineStr">
        <is>
          <t>Shift Basis</t>
        </is>
      </c>
      <c r="W4" s="41" t="inlineStr">
        <is>
          <t>Shift Factor</t>
        </is>
      </c>
      <c r="X4" s="41" t="inlineStr">
        <is>
          <t>Date of Physical Verif.</t>
        </is>
      </c>
      <c r="Y4" s="41" t="inlineStr">
        <is>
          <t>Title Deed in Co. Name?</t>
        </is>
      </c>
      <c r="Z4" s="41" t="inlineStr">
        <is>
          <t>Remarks / Components</t>
        </is>
      </c>
      <c r="AA4" s="42">
        <f>"Dep "&amp;TEXT(EDATE(FirstFYEnd,12*0),"yyyy")</f>
        <v/>
      </c>
      <c r="AB4" s="43">
        <f>"WDV "&amp;TEXT(EDATE(FirstFYEnd,12*0),"yyyy")</f>
        <v/>
      </c>
      <c r="AC4" s="42">
        <f>"Dep "&amp;TEXT(EDATE(FirstFYEnd,12*1),"yyyy")</f>
        <v/>
      </c>
      <c r="AD4" s="43">
        <f>"WDV "&amp;TEXT(EDATE(FirstFYEnd,12*1),"yyyy")</f>
        <v/>
      </c>
      <c r="AE4" s="42">
        <f>"Dep "&amp;TEXT(EDATE(FirstFYEnd,12*2),"yyyy")</f>
        <v/>
      </c>
      <c r="AF4" s="43">
        <f>"WDV "&amp;TEXT(EDATE(FirstFYEnd,12*2),"yyyy")</f>
        <v/>
      </c>
      <c r="AG4" s="42">
        <f>"Dep "&amp;TEXT(EDATE(FirstFYEnd,12*3),"yyyy")</f>
        <v/>
      </c>
      <c r="AH4" s="43">
        <f>"WDV "&amp;TEXT(EDATE(FirstFYEnd,12*3),"yyyy")</f>
        <v/>
      </c>
      <c r="AI4" s="42">
        <f>"Dep "&amp;TEXT(EDATE(FirstFYEnd,12*4),"yyyy")</f>
        <v/>
      </c>
      <c r="AJ4" s="43">
        <f>"WDV "&amp;TEXT(EDATE(FirstFYEnd,12*4),"yyyy")</f>
        <v/>
      </c>
      <c r="AK4" s="42">
        <f>"Dep "&amp;TEXT(EDATE(FirstFYEnd,12*5),"yyyy")</f>
        <v/>
      </c>
      <c r="AL4" s="43">
        <f>"WDV "&amp;TEXT(EDATE(FirstFYEnd,12*5),"yyyy")</f>
        <v/>
      </c>
      <c r="AM4" s="42">
        <f>"Dep "&amp;TEXT(EDATE(FirstFYEnd,12*6),"yyyy")</f>
        <v/>
      </c>
      <c r="AN4" s="43">
        <f>"WDV "&amp;TEXT(EDATE(FirstFYEnd,12*6),"yyyy")</f>
        <v/>
      </c>
      <c r="AO4" s="42">
        <f>"Dep "&amp;TEXT(EDATE(FirstFYEnd,12*7),"yyyy")</f>
        <v/>
      </c>
      <c r="AP4" s="43">
        <f>"WDV "&amp;TEXT(EDATE(FirstFYEnd,12*7),"yyyy")</f>
        <v/>
      </c>
      <c r="AQ4" s="42">
        <f>"Dep "&amp;TEXT(EDATE(FirstFYEnd,12*8),"yyyy")</f>
        <v/>
      </c>
      <c r="AR4" s="43">
        <f>"WDV "&amp;TEXT(EDATE(FirstFYEnd,12*8),"yyyy")</f>
        <v/>
      </c>
      <c r="AS4" s="42">
        <f>"Dep "&amp;TEXT(EDATE(FirstFYEnd,12*9),"yyyy")</f>
        <v/>
      </c>
      <c r="AT4" s="43">
        <f>"WDV "&amp;TEXT(EDATE(FirstFYEnd,12*9),"yyyy")</f>
        <v/>
      </c>
      <c r="AU4" s="42">
        <f>"Dep "&amp;TEXT(EDATE(FirstFYEnd,12*10),"yyyy")</f>
        <v/>
      </c>
      <c r="AV4" s="43">
        <f>"WDV "&amp;TEXT(EDATE(FirstFYEnd,12*10),"yyyy")</f>
        <v/>
      </c>
      <c r="AW4" s="42">
        <f>"Dep "&amp;TEXT(EDATE(FirstFYEnd,12*11),"yyyy")</f>
        <v/>
      </c>
      <c r="AX4" s="43">
        <f>"WDV "&amp;TEXT(EDATE(FirstFYEnd,12*11),"yyyy")</f>
        <v/>
      </c>
      <c r="AY4" s="42">
        <f>"Dep "&amp;TEXT(EDATE(FirstFYEnd,12*12),"yyyy")</f>
        <v/>
      </c>
      <c r="AZ4" s="43">
        <f>"WDV "&amp;TEXT(EDATE(FirstFYEnd,12*12),"yyyy")</f>
        <v/>
      </c>
      <c r="BA4" s="42">
        <f>"Dep "&amp;TEXT(EDATE(FirstFYEnd,12*13),"yyyy")</f>
        <v/>
      </c>
      <c r="BB4" s="43">
        <f>"WDV "&amp;TEXT(EDATE(FirstFYEnd,12*13),"yyyy")</f>
        <v/>
      </c>
      <c r="BC4" s="42">
        <f>"Dep "&amp;TEXT(EDATE(FirstFYEnd,12*14),"yyyy")</f>
        <v/>
      </c>
      <c r="BD4" s="43">
        <f>"WDV "&amp;TEXT(EDATE(FirstFYEnd,12*14),"yyyy")</f>
        <v/>
      </c>
      <c r="BE4" s="42">
        <f>"Dep "&amp;TEXT(EDATE(FirstFYEnd,12*15),"yyyy")</f>
        <v/>
      </c>
      <c r="BF4" s="43">
        <f>"WDV "&amp;TEXT(EDATE(FirstFYEnd,12*15),"yyyy")</f>
        <v/>
      </c>
    </row>
    <row r="5">
      <c r="A5" s="44" t="inlineStr">
        <is>
          <t>FA-001</t>
        </is>
      </c>
      <c r="B5" s="45" t="inlineStr">
        <is>
          <t>Head Office Building</t>
        </is>
      </c>
      <c r="C5" s="45" t="inlineStr">
        <is>
          <t>Buildings - RCC Frame</t>
        </is>
      </c>
      <c r="D5" s="45" t="inlineStr">
        <is>
          <t>Mumbai HO</t>
        </is>
      </c>
      <c r="E5" s="46" t="inlineStr">
        <is>
          <t>Skyline Constructions</t>
        </is>
      </c>
      <c r="F5" s="47" t="inlineStr">
        <is>
          <t>INV-HO-001</t>
        </is>
      </c>
      <c r="G5" s="48" t="n">
        <v>43922</v>
      </c>
      <c r="H5" s="48" t="n">
        <v>43922</v>
      </c>
      <c r="I5" s="49" t="n"/>
      <c r="J5" s="50" t="n"/>
      <c r="K5" s="51" t="n">
        <v>50000000</v>
      </c>
      <c r="L5" s="52">
        <f>DefaultResidual</f>
        <v/>
      </c>
      <c r="M5" s="53">
        <f>IF($K5="","",$K5*$L5)</f>
        <v/>
      </c>
      <c r="N5" s="54">
        <f>IF($C5="","",IFERROR(VLOOKUP($C5,ScheduleIITable,3,FALSE),"#N/A"))</f>
        <v/>
      </c>
      <c r="O5" s="55">
        <f>IF($K5="","",GlobalMethod)</f>
        <v/>
      </c>
      <c r="P5" s="56">
        <f>IF(OR($K5="",$N5="",$N5=0,$M5=0),0,1-($M5/$K5)^(1/$N5))</f>
        <v/>
      </c>
      <c r="Q5" s="53">
        <f>IF($K5="","",$K5-$M5)</f>
        <v/>
      </c>
      <c r="R5" s="57">
        <f>IF($K5="","",INDEX($AA5:$BF5,1,MATCH(ReportingFYEnd,$AA$3:$BF$3,0)))</f>
        <v/>
      </c>
      <c r="S5" s="53">
        <f>IF($K5="","",IF($U5="Disposed",0,$K5-$T5))</f>
        <v/>
      </c>
      <c r="T5" s="58">
        <f>IF($K5="","",INDEX($AA5:$BF5,1,MATCH(ReportingFYEnd,$AA$3:$BF$3,0)+1))</f>
        <v/>
      </c>
      <c r="U5" s="59">
        <f>IF($K5="","",IF(AND($I5&lt;&gt;"",$I5&lt;=ReportingFYEnd),"Disposed",IF(OR($H5="",$H5&gt;ReportingFYEnd),"Not Yet in Use","Active")))</f>
        <v/>
      </c>
      <c r="V5" s="60" t="inlineStr">
        <is>
          <t>Single</t>
        </is>
      </c>
      <c r="W5" s="61">
        <f>IF($V5="Double",1.5,IF($V5="Triple",2,1))</f>
        <v/>
      </c>
      <c r="X5" s="48" t="n"/>
      <c r="Y5" s="59">
        <f>IF($K5="","",IF(OR(ISNUMBER(SEARCH("Build",$C5)),ISNUMBER(SEARCH("Lease",$C5))),"Yes","NA"))</f>
        <v/>
      </c>
      <c r="Z5" s="62" t="n"/>
      <c r="AA5" s="63">
        <f>IF(OR($K5="",$H5=""),"",MIN(MAX(0,IF($O5="WDV",$K5*$P5*MAX(0,(IF($I5="",AA$3,MIN($I5,AA$3)))-(MAX($H5,(EDATE(AA$3,-12)+1)))+1)/(AA$3-(EDATE(AA$3,-12)+1)+1),IF($N5=0,0,$Q5/$N5*MAX(0,(IF($I5="",AA$3,MIN($I5,AA$3)))-(MAX($H5,(EDATE(AA$3,-12)+1)))+1)/(AA$3-(EDATE(AA$3,-12)+1)+1)))*$W5),MAX(0,$K5-$M5)))</f>
        <v/>
      </c>
      <c r="AB5" s="64">
        <f>IF($K5="","",IF(AND($I5&lt;&gt;"",$I5&lt;=AA$3),0,$K5-AA5))</f>
        <v/>
      </c>
      <c r="AC5" s="63">
        <f>IF(OR($K5="",$H5=""),"",MIN(MAX(0,IF($O5="WDV",AB5*$P5*MAX(0,(IF($I5="",AC$3,MIN($I5,AC$3)))-(MAX($H5,(EDATE(AC$3,-12)+1)))+1)/(AC$3-(EDATE(AC$3,-12)+1)+1),IF($N5=0,0,$Q5/$N5*MAX(0,(IF($I5="",AC$3,MIN($I5,AC$3)))-(MAX($H5,(EDATE(AC$3,-12)+1)))+1)/(AC$3-(EDATE(AC$3,-12)+1)+1)))*$W5),MAX(0,AB5-$M5)))</f>
        <v/>
      </c>
      <c r="AD5" s="64">
        <f>IF($K5="","",IF(AND($I5&lt;&gt;"",$I5&lt;=AC$3),0,AB5-AC5))</f>
        <v/>
      </c>
      <c r="AE5" s="63">
        <f>IF(OR($K5="",$H5=""),"",MIN(MAX(0,IF($O5="WDV",AD5*$P5*MAX(0,(IF($I5="",AE$3,MIN($I5,AE$3)))-(MAX($H5,(EDATE(AE$3,-12)+1)))+1)/(AE$3-(EDATE(AE$3,-12)+1)+1),IF($N5=0,0,$Q5/$N5*MAX(0,(IF($I5="",AE$3,MIN($I5,AE$3)))-(MAX($H5,(EDATE(AE$3,-12)+1)))+1)/(AE$3-(EDATE(AE$3,-12)+1)+1)))*$W5),MAX(0,AD5-$M5)))</f>
        <v/>
      </c>
      <c r="AF5" s="64">
        <f>IF($K5="","",IF(AND($I5&lt;&gt;"",$I5&lt;=AE$3),0,AD5-AE5))</f>
        <v/>
      </c>
      <c r="AG5" s="63">
        <f>IF(OR($K5="",$H5=""),"",MIN(MAX(0,IF($O5="WDV",AF5*$P5*MAX(0,(IF($I5="",AG$3,MIN($I5,AG$3)))-(MAX($H5,(EDATE(AG$3,-12)+1)))+1)/(AG$3-(EDATE(AG$3,-12)+1)+1),IF($N5=0,0,$Q5/$N5*MAX(0,(IF($I5="",AG$3,MIN($I5,AG$3)))-(MAX($H5,(EDATE(AG$3,-12)+1)))+1)/(AG$3-(EDATE(AG$3,-12)+1)+1)))*$W5),MAX(0,AF5-$M5)))</f>
        <v/>
      </c>
      <c r="AH5" s="64">
        <f>IF($K5="","",IF(AND($I5&lt;&gt;"",$I5&lt;=AG$3),0,AF5-AG5))</f>
        <v/>
      </c>
      <c r="AI5" s="63">
        <f>IF(OR($K5="",$H5=""),"",MIN(MAX(0,IF($O5="WDV",AH5*$P5*MAX(0,(IF($I5="",AI$3,MIN($I5,AI$3)))-(MAX($H5,(EDATE(AI$3,-12)+1)))+1)/(AI$3-(EDATE(AI$3,-12)+1)+1),IF($N5=0,0,$Q5/$N5*MAX(0,(IF($I5="",AI$3,MIN($I5,AI$3)))-(MAX($H5,(EDATE(AI$3,-12)+1)))+1)/(AI$3-(EDATE(AI$3,-12)+1)+1)))*$W5),MAX(0,AH5-$M5)))</f>
        <v/>
      </c>
      <c r="AJ5" s="64">
        <f>IF($K5="","",IF(AND($I5&lt;&gt;"",$I5&lt;=AI$3),0,AH5-AI5))</f>
        <v/>
      </c>
      <c r="AK5" s="63">
        <f>IF(OR($K5="",$H5=""),"",MIN(MAX(0,IF($O5="WDV",AJ5*$P5*MAX(0,(IF($I5="",AK$3,MIN($I5,AK$3)))-(MAX($H5,(EDATE(AK$3,-12)+1)))+1)/(AK$3-(EDATE(AK$3,-12)+1)+1),IF($N5=0,0,$Q5/$N5*MAX(0,(IF($I5="",AK$3,MIN($I5,AK$3)))-(MAX($H5,(EDATE(AK$3,-12)+1)))+1)/(AK$3-(EDATE(AK$3,-12)+1)+1)))*$W5),MAX(0,AJ5-$M5)))</f>
        <v/>
      </c>
      <c r="AL5" s="64">
        <f>IF($K5="","",IF(AND($I5&lt;&gt;"",$I5&lt;=AK$3),0,AJ5-AK5))</f>
        <v/>
      </c>
      <c r="AM5" s="63">
        <f>IF(OR($K5="",$H5=""),"",MIN(MAX(0,IF($O5="WDV",AL5*$P5*MAX(0,(IF($I5="",AM$3,MIN($I5,AM$3)))-(MAX($H5,(EDATE(AM$3,-12)+1)))+1)/(AM$3-(EDATE(AM$3,-12)+1)+1),IF($N5=0,0,$Q5/$N5*MAX(0,(IF($I5="",AM$3,MIN($I5,AM$3)))-(MAX($H5,(EDATE(AM$3,-12)+1)))+1)/(AM$3-(EDATE(AM$3,-12)+1)+1)))*$W5),MAX(0,AL5-$M5)))</f>
        <v/>
      </c>
      <c r="AN5" s="64">
        <f>IF($K5="","",IF(AND($I5&lt;&gt;"",$I5&lt;=AM$3),0,AL5-AM5))</f>
        <v/>
      </c>
      <c r="AO5" s="63">
        <f>IF(OR($K5="",$H5=""),"",MIN(MAX(0,IF($O5="WDV",AN5*$P5*MAX(0,(IF($I5="",AO$3,MIN($I5,AO$3)))-(MAX($H5,(EDATE(AO$3,-12)+1)))+1)/(AO$3-(EDATE(AO$3,-12)+1)+1),IF($N5=0,0,$Q5/$N5*MAX(0,(IF($I5="",AO$3,MIN($I5,AO$3)))-(MAX($H5,(EDATE(AO$3,-12)+1)))+1)/(AO$3-(EDATE(AO$3,-12)+1)+1)))*$W5),MAX(0,AN5-$M5)))</f>
        <v/>
      </c>
      <c r="AP5" s="64">
        <f>IF($K5="","",IF(AND($I5&lt;&gt;"",$I5&lt;=AO$3),0,AN5-AO5))</f>
        <v/>
      </c>
      <c r="AQ5" s="63">
        <f>IF(OR($K5="",$H5=""),"",MIN(MAX(0,IF($O5="WDV",AP5*$P5*MAX(0,(IF($I5="",AQ$3,MIN($I5,AQ$3)))-(MAX($H5,(EDATE(AQ$3,-12)+1)))+1)/(AQ$3-(EDATE(AQ$3,-12)+1)+1),IF($N5=0,0,$Q5/$N5*MAX(0,(IF($I5="",AQ$3,MIN($I5,AQ$3)))-(MAX($H5,(EDATE(AQ$3,-12)+1)))+1)/(AQ$3-(EDATE(AQ$3,-12)+1)+1)))*$W5),MAX(0,AP5-$M5)))</f>
        <v/>
      </c>
      <c r="AR5" s="64">
        <f>IF($K5="","",IF(AND($I5&lt;&gt;"",$I5&lt;=AQ$3),0,AP5-AQ5))</f>
        <v/>
      </c>
      <c r="AS5" s="63">
        <f>IF(OR($K5="",$H5=""),"",MIN(MAX(0,IF($O5="WDV",AR5*$P5*MAX(0,(IF($I5="",AS$3,MIN($I5,AS$3)))-(MAX($H5,(EDATE(AS$3,-12)+1)))+1)/(AS$3-(EDATE(AS$3,-12)+1)+1),IF($N5=0,0,$Q5/$N5*MAX(0,(IF($I5="",AS$3,MIN($I5,AS$3)))-(MAX($H5,(EDATE(AS$3,-12)+1)))+1)/(AS$3-(EDATE(AS$3,-12)+1)+1)))*$W5),MAX(0,AR5-$M5)))</f>
        <v/>
      </c>
      <c r="AT5" s="64">
        <f>IF($K5="","",IF(AND($I5&lt;&gt;"",$I5&lt;=AS$3),0,AR5-AS5))</f>
        <v/>
      </c>
      <c r="AU5" s="63">
        <f>IF(OR($K5="",$H5=""),"",MIN(MAX(0,IF($O5="WDV",AT5*$P5*MAX(0,(IF($I5="",AU$3,MIN($I5,AU$3)))-(MAX($H5,(EDATE(AU$3,-12)+1)))+1)/(AU$3-(EDATE(AU$3,-12)+1)+1),IF($N5=0,0,$Q5/$N5*MAX(0,(IF($I5="",AU$3,MIN($I5,AU$3)))-(MAX($H5,(EDATE(AU$3,-12)+1)))+1)/(AU$3-(EDATE(AU$3,-12)+1)+1)))*$W5),MAX(0,AT5-$M5)))</f>
        <v/>
      </c>
      <c r="AV5" s="64">
        <f>IF($K5="","",IF(AND($I5&lt;&gt;"",$I5&lt;=AU$3),0,AT5-AU5))</f>
        <v/>
      </c>
      <c r="AW5" s="63">
        <f>IF(OR($K5="",$H5=""),"",MIN(MAX(0,IF($O5="WDV",AV5*$P5*MAX(0,(IF($I5="",AW$3,MIN($I5,AW$3)))-(MAX($H5,(EDATE(AW$3,-12)+1)))+1)/(AW$3-(EDATE(AW$3,-12)+1)+1),IF($N5=0,0,$Q5/$N5*MAX(0,(IF($I5="",AW$3,MIN($I5,AW$3)))-(MAX($H5,(EDATE(AW$3,-12)+1)))+1)/(AW$3-(EDATE(AW$3,-12)+1)+1)))*$W5),MAX(0,AV5-$M5)))</f>
        <v/>
      </c>
      <c r="AX5" s="64">
        <f>IF($K5="","",IF(AND($I5&lt;&gt;"",$I5&lt;=AW$3),0,AV5-AW5))</f>
        <v/>
      </c>
      <c r="AY5" s="63">
        <f>IF(OR($K5="",$H5=""),"",MIN(MAX(0,IF($O5="WDV",AX5*$P5*MAX(0,(IF($I5="",AY$3,MIN($I5,AY$3)))-(MAX($H5,(EDATE(AY$3,-12)+1)))+1)/(AY$3-(EDATE(AY$3,-12)+1)+1),IF($N5=0,0,$Q5/$N5*MAX(0,(IF($I5="",AY$3,MIN($I5,AY$3)))-(MAX($H5,(EDATE(AY$3,-12)+1)))+1)/(AY$3-(EDATE(AY$3,-12)+1)+1)))*$W5),MAX(0,AX5-$M5)))</f>
        <v/>
      </c>
      <c r="AZ5" s="64">
        <f>IF($K5="","",IF(AND($I5&lt;&gt;"",$I5&lt;=AY$3),0,AX5-AY5))</f>
        <v/>
      </c>
      <c r="BA5" s="63">
        <f>IF(OR($K5="",$H5=""),"",MIN(MAX(0,IF($O5="WDV",AZ5*$P5*MAX(0,(IF($I5="",BA$3,MIN($I5,BA$3)))-(MAX($H5,(EDATE(BA$3,-12)+1)))+1)/(BA$3-(EDATE(BA$3,-12)+1)+1),IF($N5=0,0,$Q5/$N5*MAX(0,(IF($I5="",BA$3,MIN($I5,BA$3)))-(MAX($H5,(EDATE(BA$3,-12)+1)))+1)/(BA$3-(EDATE(BA$3,-12)+1)+1)))*$W5),MAX(0,AZ5-$M5)))</f>
        <v/>
      </c>
      <c r="BB5" s="64">
        <f>IF($K5="","",IF(AND($I5&lt;&gt;"",$I5&lt;=BA$3),0,AZ5-BA5))</f>
        <v/>
      </c>
      <c r="BC5" s="63">
        <f>IF(OR($K5="",$H5=""),"",MIN(MAX(0,IF($O5="WDV",BB5*$P5*MAX(0,(IF($I5="",BC$3,MIN($I5,BC$3)))-(MAX($H5,(EDATE(BC$3,-12)+1)))+1)/(BC$3-(EDATE(BC$3,-12)+1)+1),IF($N5=0,0,$Q5/$N5*MAX(0,(IF($I5="",BC$3,MIN($I5,BC$3)))-(MAX($H5,(EDATE(BC$3,-12)+1)))+1)/(BC$3-(EDATE(BC$3,-12)+1)+1)))*$W5),MAX(0,BB5-$M5)))</f>
        <v/>
      </c>
      <c r="BD5" s="64">
        <f>IF($K5="","",IF(AND($I5&lt;&gt;"",$I5&lt;=BC$3),0,BB5-BC5))</f>
        <v/>
      </c>
      <c r="BE5" s="63">
        <f>IF(OR($K5="",$H5=""),"",MIN(MAX(0,IF($O5="WDV",BD5*$P5*MAX(0,(IF($I5="",BE$3,MIN($I5,BE$3)))-(MAX($H5,(EDATE(BE$3,-12)+1)))+1)/(BE$3-(EDATE(BE$3,-12)+1)+1),IF($N5=0,0,$Q5/$N5*MAX(0,(IF($I5="",BE$3,MIN($I5,BE$3)))-(MAX($H5,(EDATE(BE$3,-12)+1)))+1)/(BE$3-(EDATE(BE$3,-12)+1)+1)))*$W5),MAX(0,BD5-$M5)))</f>
        <v/>
      </c>
      <c r="BF5" s="64">
        <f>IF($K5="","",IF(AND($I5&lt;&gt;"",$I5&lt;=BE$3),0,BD5-BE5))</f>
        <v/>
      </c>
    </row>
    <row r="6">
      <c r="A6" s="65" t="inlineStr">
        <is>
          <t>FA-002</t>
        </is>
      </c>
      <c r="B6" s="66" t="inlineStr">
        <is>
          <t>Factory Shed - Unit 1</t>
        </is>
      </c>
      <c r="C6" s="66" t="inlineStr">
        <is>
          <t>Factory Building</t>
        </is>
      </c>
      <c r="D6" s="66" t="inlineStr">
        <is>
          <t>Pune Plant</t>
        </is>
      </c>
      <c r="E6" s="67" t="inlineStr">
        <is>
          <t>BuildWell Ltd</t>
        </is>
      </c>
      <c r="F6" s="68" t="inlineStr">
        <is>
          <t>INV-FB-014</t>
        </is>
      </c>
      <c r="G6" s="69" t="n">
        <v>44027</v>
      </c>
      <c r="H6" s="69" t="n">
        <v>44044</v>
      </c>
      <c r="I6" s="70" t="n"/>
      <c r="J6" s="71" t="n"/>
      <c r="K6" s="72" t="n">
        <v>18000000</v>
      </c>
      <c r="L6" s="73">
        <f>DefaultResidual</f>
        <v/>
      </c>
      <c r="M6" s="74">
        <f>IF($K6="","",$K6*$L6)</f>
        <v/>
      </c>
      <c r="N6" s="22">
        <f>IF($C6="","",IFERROR(VLOOKUP($C6,ScheduleIITable,3,FALSE),"#N/A"))</f>
        <v/>
      </c>
      <c r="O6" s="75">
        <f>IF($K6="","",GlobalMethod)</f>
        <v/>
      </c>
      <c r="P6" s="23">
        <f>IF(OR($K6="",$N6="",$N6=0,$M6=0),0,1-($M6/$K6)^(1/$N6))</f>
        <v/>
      </c>
      <c r="Q6" s="74">
        <f>IF($K6="","",$K6-$M6)</f>
        <v/>
      </c>
      <c r="R6" s="76">
        <f>IF($K6="","",INDEX($AA6:$BF6,1,MATCH(ReportingFYEnd,$AA$3:$BF$3,0)))</f>
        <v/>
      </c>
      <c r="S6" s="74">
        <f>IF($K6="","",IF($U6="Disposed",0,$K6-$T6))</f>
        <v/>
      </c>
      <c r="T6" s="77">
        <f>IF($K6="","",INDEX($AA6:$BF6,1,MATCH(ReportingFYEnd,$AA$3:$BF$3,0)+1))</f>
        <v/>
      </c>
      <c r="U6" s="78">
        <f>IF($K6="","",IF(AND($I6&lt;&gt;"",$I6&lt;=ReportingFYEnd),"Disposed",IF(OR($H6="",$H6&gt;ReportingFYEnd),"Not Yet in Use","Active")))</f>
        <v/>
      </c>
      <c r="V6" s="79" t="inlineStr">
        <is>
          <t>Single</t>
        </is>
      </c>
      <c r="W6" s="80">
        <f>IF($V6="Double",1.5,IF($V6="Triple",2,1))</f>
        <v/>
      </c>
      <c r="X6" s="69" t="n"/>
      <c r="Y6" s="78">
        <f>IF($K6="","",IF(OR(ISNUMBER(SEARCH("Build",$C6)),ISNUMBER(SEARCH("Lease",$C6))),"Yes","NA"))</f>
        <v/>
      </c>
      <c r="Z6" s="21" t="n"/>
      <c r="AA6" s="81">
        <f>IF(OR($K6="",$H6=""),"",MIN(MAX(0,IF($O6="WDV",$K6*$P6*MAX(0,(IF($I6="",AA$3,MIN($I6,AA$3)))-(MAX($H6,(EDATE(AA$3,-12)+1)))+1)/(AA$3-(EDATE(AA$3,-12)+1)+1),IF($N6=0,0,$Q6/$N6*MAX(0,(IF($I6="",AA$3,MIN($I6,AA$3)))-(MAX($H6,(EDATE(AA$3,-12)+1)))+1)/(AA$3-(EDATE(AA$3,-12)+1)+1)))*$W6),MAX(0,$K6-$M6)))</f>
        <v/>
      </c>
      <c r="AB6" s="81">
        <f>IF($K6="","",IF(AND($I6&lt;&gt;"",$I6&lt;=AA$3),0,$K6-AA6))</f>
        <v/>
      </c>
      <c r="AC6" s="81">
        <f>IF(OR($K6="",$H6=""),"",MIN(MAX(0,IF($O6="WDV",AB6*$P6*MAX(0,(IF($I6="",AC$3,MIN($I6,AC$3)))-(MAX($H6,(EDATE(AC$3,-12)+1)))+1)/(AC$3-(EDATE(AC$3,-12)+1)+1),IF($N6=0,0,$Q6/$N6*MAX(0,(IF($I6="",AC$3,MIN($I6,AC$3)))-(MAX($H6,(EDATE(AC$3,-12)+1)))+1)/(AC$3-(EDATE(AC$3,-12)+1)+1)))*$W6),MAX(0,AB6-$M6)))</f>
        <v/>
      </c>
      <c r="AD6" s="81">
        <f>IF($K6="","",IF(AND($I6&lt;&gt;"",$I6&lt;=AC$3),0,AB6-AC6))</f>
        <v/>
      </c>
      <c r="AE6" s="81">
        <f>IF(OR($K6="",$H6=""),"",MIN(MAX(0,IF($O6="WDV",AD6*$P6*MAX(0,(IF($I6="",AE$3,MIN($I6,AE$3)))-(MAX($H6,(EDATE(AE$3,-12)+1)))+1)/(AE$3-(EDATE(AE$3,-12)+1)+1),IF($N6=0,0,$Q6/$N6*MAX(0,(IF($I6="",AE$3,MIN($I6,AE$3)))-(MAX($H6,(EDATE(AE$3,-12)+1)))+1)/(AE$3-(EDATE(AE$3,-12)+1)+1)))*$W6),MAX(0,AD6-$M6)))</f>
        <v/>
      </c>
      <c r="AF6" s="81">
        <f>IF($K6="","",IF(AND($I6&lt;&gt;"",$I6&lt;=AE$3),0,AD6-AE6))</f>
        <v/>
      </c>
      <c r="AG6" s="81">
        <f>IF(OR($K6="",$H6=""),"",MIN(MAX(0,IF($O6="WDV",AF6*$P6*MAX(0,(IF($I6="",AG$3,MIN($I6,AG$3)))-(MAX($H6,(EDATE(AG$3,-12)+1)))+1)/(AG$3-(EDATE(AG$3,-12)+1)+1),IF($N6=0,0,$Q6/$N6*MAX(0,(IF($I6="",AG$3,MIN($I6,AG$3)))-(MAX($H6,(EDATE(AG$3,-12)+1)))+1)/(AG$3-(EDATE(AG$3,-12)+1)+1)))*$W6),MAX(0,AF6-$M6)))</f>
        <v/>
      </c>
      <c r="AH6" s="81">
        <f>IF($K6="","",IF(AND($I6&lt;&gt;"",$I6&lt;=AG$3),0,AF6-AG6))</f>
        <v/>
      </c>
      <c r="AI6" s="81">
        <f>IF(OR($K6="",$H6=""),"",MIN(MAX(0,IF($O6="WDV",AH6*$P6*MAX(0,(IF($I6="",AI$3,MIN($I6,AI$3)))-(MAX($H6,(EDATE(AI$3,-12)+1)))+1)/(AI$3-(EDATE(AI$3,-12)+1)+1),IF($N6=0,0,$Q6/$N6*MAX(0,(IF($I6="",AI$3,MIN($I6,AI$3)))-(MAX($H6,(EDATE(AI$3,-12)+1)))+1)/(AI$3-(EDATE(AI$3,-12)+1)+1)))*$W6),MAX(0,AH6-$M6)))</f>
        <v/>
      </c>
      <c r="AJ6" s="81">
        <f>IF($K6="","",IF(AND($I6&lt;&gt;"",$I6&lt;=AI$3),0,AH6-AI6))</f>
        <v/>
      </c>
      <c r="AK6" s="81">
        <f>IF(OR($K6="",$H6=""),"",MIN(MAX(0,IF($O6="WDV",AJ6*$P6*MAX(0,(IF($I6="",AK$3,MIN($I6,AK$3)))-(MAX($H6,(EDATE(AK$3,-12)+1)))+1)/(AK$3-(EDATE(AK$3,-12)+1)+1),IF($N6=0,0,$Q6/$N6*MAX(0,(IF($I6="",AK$3,MIN($I6,AK$3)))-(MAX($H6,(EDATE(AK$3,-12)+1)))+1)/(AK$3-(EDATE(AK$3,-12)+1)+1)))*$W6),MAX(0,AJ6-$M6)))</f>
        <v/>
      </c>
      <c r="AL6" s="81">
        <f>IF($K6="","",IF(AND($I6&lt;&gt;"",$I6&lt;=AK$3),0,AJ6-AK6))</f>
        <v/>
      </c>
      <c r="AM6" s="81">
        <f>IF(OR($K6="",$H6=""),"",MIN(MAX(0,IF($O6="WDV",AL6*$P6*MAX(0,(IF($I6="",AM$3,MIN($I6,AM$3)))-(MAX($H6,(EDATE(AM$3,-12)+1)))+1)/(AM$3-(EDATE(AM$3,-12)+1)+1),IF($N6=0,0,$Q6/$N6*MAX(0,(IF($I6="",AM$3,MIN($I6,AM$3)))-(MAX($H6,(EDATE(AM$3,-12)+1)))+1)/(AM$3-(EDATE(AM$3,-12)+1)+1)))*$W6),MAX(0,AL6-$M6)))</f>
        <v/>
      </c>
      <c r="AN6" s="81">
        <f>IF($K6="","",IF(AND($I6&lt;&gt;"",$I6&lt;=AM$3),0,AL6-AM6))</f>
        <v/>
      </c>
      <c r="AO6" s="81">
        <f>IF(OR($K6="",$H6=""),"",MIN(MAX(0,IF($O6="WDV",AN6*$P6*MAX(0,(IF($I6="",AO$3,MIN($I6,AO$3)))-(MAX($H6,(EDATE(AO$3,-12)+1)))+1)/(AO$3-(EDATE(AO$3,-12)+1)+1),IF($N6=0,0,$Q6/$N6*MAX(0,(IF($I6="",AO$3,MIN($I6,AO$3)))-(MAX($H6,(EDATE(AO$3,-12)+1)))+1)/(AO$3-(EDATE(AO$3,-12)+1)+1)))*$W6),MAX(0,AN6-$M6)))</f>
        <v/>
      </c>
      <c r="AP6" s="81">
        <f>IF($K6="","",IF(AND($I6&lt;&gt;"",$I6&lt;=AO$3),0,AN6-AO6))</f>
        <v/>
      </c>
      <c r="AQ6" s="81">
        <f>IF(OR($K6="",$H6=""),"",MIN(MAX(0,IF($O6="WDV",AP6*$P6*MAX(0,(IF($I6="",AQ$3,MIN($I6,AQ$3)))-(MAX($H6,(EDATE(AQ$3,-12)+1)))+1)/(AQ$3-(EDATE(AQ$3,-12)+1)+1),IF($N6=0,0,$Q6/$N6*MAX(0,(IF($I6="",AQ$3,MIN($I6,AQ$3)))-(MAX($H6,(EDATE(AQ$3,-12)+1)))+1)/(AQ$3-(EDATE(AQ$3,-12)+1)+1)))*$W6),MAX(0,AP6-$M6)))</f>
        <v/>
      </c>
      <c r="AR6" s="81">
        <f>IF($K6="","",IF(AND($I6&lt;&gt;"",$I6&lt;=AQ$3),0,AP6-AQ6))</f>
        <v/>
      </c>
      <c r="AS6" s="81">
        <f>IF(OR($K6="",$H6=""),"",MIN(MAX(0,IF($O6="WDV",AR6*$P6*MAX(0,(IF($I6="",AS$3,MIN($I6,AS$3)))-(MAX($H6,(EDATE(AS$3,-12)+1)))+1)/(AS$3-(EDATE(AS$3,-12)+1)+1),IF($N6=0,0,$Q6/$N6*MAX(0,(IF($I6="",AS$3,MIN($I6,AS$3)))-(MAX($H6,(EDATE(AS$3,-12)+1)))+1)/(AS$3-(EDATE(AS$3,-12)+1)+1)))*$W6),MAX(0,AR6-$M6)))</f>
        <v/>
      </c>
      <c r="AT6" s="81">
        <f>IF($K6="","",IF(AND($I6&lt;&gt;"",$I6&lt;=AS$3),0,AR6-AS6))</f>
        <v/>
      </c>
      <c r="AU6" s="81">
        <f>IF(OR($K6="",$H6=""),"",MIN(MAX(0,IF($O6="WDV",AT6*$P6*MAX(0,(IF($I6="",AU$3,MIN($I6,AU$3)))-(MAX($H6,(EDATE(AU$3,-12)+1)))+1)/(AU$3-(EDATE(AU$3,-12)+1)+1),IF($N6=0,0,$Q6/$N6*MAX(0,(IF($I6="",AU$3,MIN($I6,AU$3)))-(MAX($H6,(EDATE(AU$3,-12)+1)))+1)/(AU$3-(EDATE(AU$3,-12)+1)+1)))*$W6),MAX(0,AT6-$M6)))</f>
        <v/>
      </c>
      <c r="AV6" s="81">
        <f>IF($K6="","",IF(AND($I6&lt;&gt;"",$I6&lt;=AU$3),0,AT6-AU6))</f>
        <v/>
      </c>
      <c r="AW6" s="81">
        <f>IF(OR($K6="",$H6=""),"",MIN(MAX(0,IF($O6="WDV",AV6*$P6*MAX(0,(IF($I6="",AW$3,MIN($I6,AW$3)))-(MAX($H6,(EDATE(AW$3,-12)+1)))+1)/(AW$3-(EDATE(AW$3,-12)+1)+1),IF($N6=0,0,$Q6/$N6*MAX(0,(IF($I6="",AW$3,MIN($I6,AW$3)))-(MAX($H6,(EDATE(AW$3,-12)+1)))+1)/(AW$3-(EDATE(AW$3,-12)+1)+1)))*$W6),MAX(0,AV6-$M6)))</f>
        <v/>
      </c>
      <c r="AX6" s="81">
        <f>IF($K6="","",IF(AND($I6&lt;&gt;"",$I6&lt;=AW$3),0,AV6-AW6))</f>
        <v/>
      </c>
      <c r="AY6" s="81">
        <f>IF(OR($K6="",$H6=""),"",MIN(MAX(0,IF($O6="WDV",AX6*$P6*MAX(0,(IF($I6="",AY$3,MIN($I6,AY$3)))-(MAX($H6,(EDATE(AY$3,-12)+1)))+1)/(AY$3-(EDATE(AY$3,-12)+1)+1),IF($N6=0,0,$Q6/$N6*MAX(0,(IF($I6="",AY$3,MIN($I6,AY$3)))-(MAX($H6,(EDATE(AY$3,-12)+1)))+1)/(AY$3-(EDATE(AY$3,-12)+1)+1)))*$W6),MAX(0,AX6-$M6)))</f>
        <v/>
      </c>
      <c r="AZ6" s="81">
        <f>IF($K6="","",IF(AND($I6&lt;&gt;"",$I6&lt;=AY$3),0,AX6-AY6))</f>
        <v/>
      </c>
      <c r="BA6" s="81">
        <f>IF(OR($K6="",$H6=""),"",MIN(MAX(0,IF($O6="WDV",AZ6*$P6*MAX(0,(IF($I6="",BA$3,MIN($I6,BA$3)))-(MAX($H6,(EDATE(BA$3,-12)+1)))+1)/(BA$3-(EDATE(BA$3,-12)+1)+1),IF($N6=0,0,$Q6/$N6*MAX(0,(IF($I6="",BA$3,MIN($I6,BA$3)))-(MAX($H6,(EDATE(BA$3,-12)+1)))+1)/(BA$3-(EDATE(BA$3,-12)+1)+1)))*$W6),MAX(0,AZ6-$M6)))</f>
        <v/>
      </c>
      <c r="BB6" s="81">
        <f>IF($K6="","",IF(AND($I6&lt;&gt;"",$I6&lt;=BA$3),0,AZ6-BA6))</f>
        <v/>
      </c>
      <c r="BC6" s="81">
        <f>IF(OR($K6="",$H6=""),"",MIN(MAX(0,IF($O6="WDV",BB6*$P6*MAX(0,(IF($I6="",BC$3,MIN($I6,BC$3)))-(MAX($H6,(EDATE(BC$3,-12)+1)))+1)/(BC$3-(EDATE(BC$3,-12)+1)+1),IF($N6=0,0,$Q6/$N6*MAX(0,(IF($I6="",BC$3,MIN($I6,BC$3)))-(MAX($H6,(EDATE(BC$3,-12)+1)))+1)/(BC$3-(EDATE(BC$3,-12)+1)+1)))*$W6),MAX(0,BB6-$M6)))</f>
        <v/>
      </c>
      <c r="BD6" s="81">
        <f>IF($K6="","",IF(AND($I6&lt;&gt;"",$I6&lt;=BC$3),0,BB6-BC6))</f>
        <v/>
      </c>
      <c r="BE6" s="81">
        <f>IF(OR($K6="",$H6=""),"",MIN(MAX(0,IF($O6="WDV",BD6*$P6*MAX(0,(IF($I6="",BE$3,MIN($I6,BE$3)))-(MAX($H6,(EDATE(BE$3,-12)+1)))+1)/(BE$3-(EDATE(BE$3,-12)+1)+1),IF($N6=0,0,$Q6/$N6*MAX(0,(IF($I6="",BE$3,MIN($I6,BE$3)))-(MAX($H6,(EDATE(BE$3,-12)+1)))+1)/(BE$3-(EDATE(BE$3,-12)+1)+1)))*$W6),MAX(0,BD6-$M6)))</f>
        <v/>
      </c>
      <c r="BF6" s="81">
        <f>IF($K6="","",IF(AND($I6&lt;&gt;"",$I6&lt;=BE$3),0,BD6-BE6))</f>
        <v/>
      </c>
    </row>
    <row r="7">
      <c r="A7" s="44" t="inlineStr">
        <is>
          <t>FA-003</t>
        </is>
      </c>
      <c r="B7" s="45" t="inlineStr">
        <is>
          <t>CNC Machine</t>
        </is>
      </c>
      <c r="C7" s="45" t="inlineStr">
        <is>
          <t>Plant &amp; Machinery - General</t>
        </is>
      </c>
      <c r="D7" s="45" t="inlineStr">
        <is>
          <t>Pune Plant</t>
        </is>
      </c>
      <c r="E7" s="46" t="inlineStr">
        <is>
          <t>TechMach India</t>
        </is>
      </c>
      <c r="F7" s="47" t="inlineStr">
        <is>
          <t>INV-PM-203</t>
        </is>
      </c>
      <c r="G7" s="48" t="n">
        <v>44326</v>
      </c>
      <c r="H7" s="48" t="n">
        <v>44348</v>
      </c>
      <c r="I7" s="49" t="n"/>
      <c r="J7" s="50" t="n"/>
      <c r="K7" s="51" t="n">
        <v>6500000</v>
      </c>
      <c r="L7" s="52">
        <f>DefaultResidual</f>
        <v/>
      </c>
      <c r="M7" s="53">
        <f>IF($K7="","",$K7*$L7)</f>
        <v/>
      </c>
      <c r="N7" s="54">
        <f>IF($C7="","",IFERROR(VLOOKUP($C7,ScheduleIITable,3,FALSE),"#N/A"))</f>
        <v/>
      </c>
      <c r="O7" s="55">
        <f>IF($K7="","",GlobalMethod)</f>
        <v/>
      </c>
      <c r="P7" s="56">
        <f>IF(OR($K7="",$N7="",$N7=0,$M7=0),0,1-($M7/$K7)^(1/$N7))</f>
        <v/>
      </c>
      <c r="Q7" s="53">
        <f>IF($K7="","",$K7-$M7)</f>
        <v/>
      </c>
      <c r="R7" s="57">
        <f>IF($K7="","",INDEX($AA7:$BF7,1,MATCH(ReportingFYEnd,$AA$3:$BF$3,0)))</f>
        <v/>
      </c>
      <c r="S7" s="53">
        <f>IF($K7="","",IF($U7="Disposed",0,$K7-$T7))</f>
        <v/>
      </c>
      <c r="T7" s="58">
        <f>IF($K7="","",INDEX($AA7:$BF7,1,MATCH(ReportingFYEnd,$AA$3:$BF$3,0)+1))</f>
        <v/>
      </c>
      <c r="U7" s="59">
        <f>IF($K7="","",IF(AND($I7&lt;&gt;"",$I7&lt;=ReportingFYEnd),"Disposed",IF(OR($H7="",$H7&gt;ReportingFYEnd),"Not Yet in Use","Active")))</f>
        <v/>
      </c>
      <c r="V7" s="60" t="inlineStr">
        <is>
          <t>Single</t>
        </is>
      </c>
      <c r="W7" s="61">
        <f>IF($V7="Double",1.5,IF($V7="Triple",2,1))</f>
        <v/>
      </c>
      <c r="X7" s="48" t="n"/>
      <c r="Y7" s="59">
        <f>IF($K7="","",IF(OR(ISNUMBER(SEARCH("Build",$C7)),ISNUMBER(SEARCH("Lease",$C7))),"Yes","NA"))</f>
        <v/>
      </c>
      <c r="Z7" s="62" t="n"/>
      <c r="AA7" s="63">
        <f>IF(OR($K7="",$H7=""),"",MIN(MAX(0,IF($O7="WDV",$K7*$P7*MAX(0,(IF($I7="",AA$3,MIN($I7,AA$3)))-(MAX($H7,(EDATE(AA$3,-12)+1)))+1)/(AA$3-(EDATE(AA$3,-12)+1)+1),IF($N7=0,0,$Q7/$N7*MAX(0,(IF($I7="",AA$3,MIN($I7,AA$3)))-(MAX($H7,(EDATE(AA$3,-12)+1)))+1)/(AA$3-(EDATE(AA$3,-12)+1)+1)))*$W7),MAX(0,$K7-$M7)))</f>
        <v/>
      </c>
      <c r="AB7" s="64">
        <f>IF($K7="","",IF(AND($I7&lt;&gt;"",$I7&lt;=AA$3),0,$K7-AA7))</f>
        <v/>
      </c>
      <c r="AC7" s="63">
        <f>IF(OR($K7="",$H7=""),"",MIN(MAX(0,IF($O7="WDV",AB7*$P7*MAX(0,(IF($I7="",AC$3,MIN($I7,AC$3)))-(MAX($H7,(EDATE(AC$3,-12)+1)))+1)/(AC$3-(EDATE(AC$3,-12)+1)+1),IF($N7=0,0,$Q7/$N7*MAX(0,(IF($I7="",AC$3,MIN($I7,AC$3)))-(MAX($H7,(EDATE(AC$3,-12)+1)))+1)/(AC$3-(EDATE(AC$3,-12)+1)+1)))*$W7),MAX(0,AB7-$M7)))</f>
        <v/>
      </c>
      <c r="AD7" s="64">
        <f>IF($K7="","",IF(AND($I7&lt;&gt;"",$I7&lt;=AC$3),0,AB7-AC7))</f>
        <v/>
      </c>
      <c r="AE7" s="63">
        <f>IF(OR($K7="",$H7=""),"",MIN(MAX(0,IF($O7="WDV",AD7*$P7*MAX(0,(IF($I7="",AE$3,MIN($I7,AE$3)))-(MAX($H7,(EDATE(AE$3,-12)+1)))+1)/(AE$3-(EDATE(AE$3,-12)+1)+1),IF($N7=0,0,$Q7/$N7*MAX(0,(IF($I7="",AE$3,MIN($I7,AE$3)))-(MAX($H7,(EDATE(AE$3,-12)+1)))+1)/(AE$3-(EDATE(AE$3,-12)+1)+1)))*$W7),MAX(0,AD7-$M7)))</f>
        <v/>
      </c>
      <c r="AF7" s="64">
        <f>IF($K7="","",IF(AND($I7&lt;&gt;"",$I7&lt;=AE$3),0,AD7-AE7))</f>
        <v/>
      </c>
      <c r="AG7" s="63">
        <f>IF(OR($K7="",$H7=""),"",MIN(MAX(0,IF($O7="WDV",AF7*$P7*MAX(0,(IF($I7="",AG$3,MIN($I7,AG$3)))-(MAX($H7,(EDATE(AG$3,-12)+1)))+1)/(AG$3-(EDATE(AG$3,-12)+1)+1),IF($N7=0,0,$Q7/$N7*MAX(0,(IF($I7="",AG$3,MIN($I7,AG$3)))-(MAX($H7,(EDATE(AG$3,-12)+1)))+1)/(AG$3-(EDATE(AG$3,-12)+1)+1)))*$W7),MAX(0,AF7-$M7)))</f>
        <v/>
      </c>
      <c r="AH7" s="64">
        <f>IF($K7="","",IF(AND($I7&lt;&gt;"",$I7&lt;=AG$3),0,AF7-AG7))</f>
        <v/>
      </c>
      <c r="AI7" s="63">
        <f>IF(OR($K7="",$H7=""),"",MIN(MAX(0,IF($O7="WDV",AH7*$P7*MAX(0,(IF($I7="",AI$3,MIN($I7,AI$3)))-(MAX($H7,(EDATE(AI$3,-12)+1)))+1)/(AI$3-(EDATE(AI$3,-12)+1)+1),IF($N7=0,0,$Q7/$N7*MAX(0,(IF($I7="",AI$3,MIN($I7,AI$3)))-(MAX($H7,(EDATE(AI$3,-12)+1)))+1)/(AI$3-(EDATE(AI$3,-12)+1)+1)))*$W7),MAX(0,AH7-$M7)))</f>
        <v/>
      </c>
      <c r="AJ7" s="64">
        <f>IF($K7="","",IF(AND($I7&lt;&gt;"",$I7&lt;=AI$3),0,AH7-AI7))</f>
        <v/>
      </c>
      <c r="AK7" s="63">
        <f>IF(OR($K7="",$H7=""),"",MIN(MAX(0,IF($O7="WDV",AJ7*$P7*MAX(0,(IF($I7="",AK$3,MIN($I7,AK$3)))-(MAX($H7,(EDATE(AK$3,-12)+1)))+1)/(AK$3-(EDATE(AK$3,-12)+1)+1),IF($N7=0,0,$Q7/$N7*MAX(0,(IF($I7="",AK$3,MIN($I7,AK$3)))-(MAX($H7,(EDATE(AK$3,-12)+1)))+1)/(AK$3-(EDATE(AK$3,-12)+1)+1)))*$W7),MAX(0,AJ7-$M7)))</f>
        <v/>
      </c>
      <c r="AL7" s="64">
        <f>IF($K7="","",IF(AND($I7&lt;&gt;"",$I7&lt;=AK$3),0,AJ7-AK7))</f>
        <v/>
      </c>
      <c r="AM7" s="63">
        <f>IF(OR($K7="",$H7=""),"",MIN(MAX(0,IF($O7="WDV",AL7*$P7*MAX(0,(IF($I7="",AM$3,MIN($I7,AM$3)))-(MAX($H7,(EDATE(AM$3,-12)+1)))+1)/(AM$3-(EDATE(AM$3,-12)+1)+1),IF($N7=0,0,$Q7/$N7*MAX(0,(IF($I7="",AM$3,MIN($I7,AM$3)))-(MAX($H7,(EDATE(AM$3,-12)+1)))+1)/(AM$3-(EDATE(AM$3,-12)+1)+1)))*$W7),MAX(0,AL7-$M7)))</f>
        <v/>
      </c>
      <c r="AN7" s="64">
        <f>IF($K7="","",IF(AND($I7&lt;&gt;"",$I7&lt;=AM$3),0,AL7-AM7))</f>
        <v/>
      </c>
      <c r="AO7" s="63">
        <f>IF(OR($K7="",$H7=""),"",MIN(MAX(0,IF($O7="WDV",AN7*$P7*MAX(0,(IF($I7="",AO$3,MIN($I7,AO$3)))-(MAX($H7,(EDATE(AO$3,-12)+1)))+1)/(AO$3-(EDATE(AO$3,-12)+1)+1),IF($N7=0,0,$Q7/$N7*MAX(0,(IF($I7="",AO$3,MIN($I7,AO$3)))-(MAX($H7,(EDATE(AO$3,-12)+1)))+1)/(AO$3-(EDATE(AO$3,-12)+1)+1)))*$W7),MAX(0,AN7-$M7)))</f>
        <v/>
      </c>
      <c r="AP7" s="64">
        <f>IF($K7="","",IF(AND($I7&lt;&gt;"",$I7&lt;=AO$3),0,AN7-AO7))</f>
        <v/>
      </c>
      <c r="AQ7" s="63">
        <f>IF(OR($K7="",$H7=""),"",MIN(MAX(0,IF($O7="WDV",AP7*$P7*MAX(0,(IF($I7="",AQ$3,MIN($I7,AQ$3)))-(MAX($H7,(EDATE(AQ$3,-12)+1)))+1)/(AQ$3-(EDATE(AQ$3,-12)+1)+1),IF($N7=0,0,$Q7/$N7*MAX(0,(IF($I7="",AQ$3,MIN($I7,AQ$3)))-(MAX($H7,(EDATE(AQ$3,-12)+1)))+1)/(AQ$3-(EDATE(AQ$3,-12)+1)+1)))*$W7),MAX(0,AP7-$M7)))</f>
        <v/>
      </c>
      <c r="AR7" s="64">
        <f>IF($K7="","",IF(AND($I7&lt;&gt;"",$I7&lt;=AQ$3),0,AP7-AQ7))</f>
        <v/>
      </c>
      <c r="AS7" s="63">
        <f>IF(OR($K7="",$H7=""),"",MIN(MAX(0,IF($O7="WDV",AR7*$P7*MAX(0,(IF($I7="",AS$3,MIN($I7,AS$3)))-(MAX($H7,(EDATE(AS$3,-12)+1)))+1)/(AS$3-(EDATE(AS$3,-12)+1)+1),IF($N7=0,0,$Q7/$N7*MAX(0,(IF($I7="",AS$3,MIN($I7,AS$3)))-(MAX($H7,(EDATE(AS$3,-12)+1)))+1)/(AS$3-(EDATE(AS$3,-12)+1)+1)))*$W7),MAX(0,AR7-$M7)))</f>
        <v/>
      </c>
      <c r="AT7" s="64">
        <f>IF($K7="","",IF(AND($I7&lt;&gt;"",$I7&lt;=AS$3),0,AR7-AS7))</f>
        <v/>
      </c>
      <c r="AU7" s="63">
        <f>IF(OR($K7="",$H7=""),"",MIN(MAX(0,IF($O7="WDV",AT7*$P7*MAX(0,(IF($I7="",AU$3,MIN($I7,AU$3)))-(MAX($H7,(EDATE(AU$3,-12)+1)))+1)/(AU$3-(EDATE(AU$3,-12)+1)+1),IF($N7=0,0,$Q7/$N7*MAX(0,(IF($I7="",AU$3,MIN($I7,AU$3)))-(MAX($H7,(EDATE(AU$3,-12)+1)))+1)/(AU$3-(EDATE(AU$3,-12)+1)+1)))*$W7),MAX(0,AT7-$M7)))</f>
        <v/>
      </c>
      <c r="AV7" s="64">
        <f>IF($K7="","",IF(AND($I7&lt;&gt;"",$I7&lt;=AU$3),0,AT7-AU7))</f>
        <v/>
      </c>
      <c r="AW7" s="63">
        <f>IF(OR($K7="",$H7=""),"",MIN(MAX(0,IF($O7="WDV",AV7*$P7*MAX(0,(IF($I7="",AW$3,MIN($I7,AW$3)))-(MAX($H7,(EDATE(AW$3,-12)+1)))+1)/(AW$3-(EDATE(AW$3,-12)+1)+1),IF($N7=0,0,$Q7/$N7*MAX(0,(IF($I7="",AW$3,MIN($I7,AW$3)))-(MAX($H7,(EDATE(AW$3,-12)+1)))+1)/(AW$3-(EDATE(AW$3,-12)+1)+1)))*$W7),MAX(0,AV7-$M7)))</f>
        <v/>
      </c>
      <c r="AX7" s="64">
        <f>IF($K7="","",IF(AND($I7&lt;&gt;"",$I7&lt;=AW$3),0,AV7-AW7))</f>
        <v/>
      </c>
      <c r="AY7" s="63">
        <f>IF(OR($K7="",$H7=""),"",MIN(MAX(0,IF($O7="WDV",AX7*$P7*MAX(0,(IF($I7="",AY$3,MIN($I7,AY$3)))-(MAX($H7,(EDATE(AY$3,-12)+1)))+1)/(AY$3-(EDATE(AY$3,-12)+1)+1),IF($N7=0,0,$Q7/$N7*MAX(0,(IF($I7="",AY$3,MIN($I7,AY$3)))-(MAX($H7,(EDATE(AY$3,-12)+1)))+1)/(AY$3-(EDATE(AY$3,-12)+1)+1)))*$W7),MAX(0,AX7-$M7)))</f>
        <v/>
      </c>
      <c r="AZ7" s="64">
        <f>IF($K7="","",IF(AND($I7&lt;&gt;"",$I7&lt;=AY$3),0,AX7-AY7))</f>
        <v/>
      </c>
      <c r="BA7" s="63">
        <f>IF(OR($K7="",$H7=""),"",MIN(MAX(0,IF($O7="WDV",AZ7*$P7*MAX(0,(IF($I7="",BA$3,MIN($I7,BA$3)))-(MAX($H7,(EDATE(BA$3,-12)+1)))+1)/(BA$3-(EDATE(BA$3,-12)+1)+1),IF($N7=0,0,$Q7/$N7*MAX(0,(IF($I7="",BA$3,MIN($I7,BA$3)))-(MAX($H7,(EDATE(BA$3,-12)+1)))+1)/(BA$3-(EDATE(BA$3,-12)+1)+1)))*$W7),MAX(0,AZ7-$M7)))</f>
        <v/>
      </c>
      <c r="BB7" s="64">
        <f>IF($K7="","",IF(AND($I7&lt;&gt;"",$I7&lt;=BA$3),0,AZ7-BA7))</f>
        <v/>
      </c>
      <c r="BC7" s="63">
        <f>IF(OR($K7="",$H7=""),"",MIN(MAX(0,IF($O7="WDV",BB7*$P7*MAX(0,(IF($I7="",BC$3,MIN($I7,BC$3)))-(MAX($H7,(EDATE(BC$3,-12)+1)))+1)/(BC$3-(EDATE(BC$3,-12)+1)+1),IF($N7=0,0,$Q7/$N7*MAX(0,(IF($I7="",BC$3,MIN($I7,BC$3)))-(MAX($H7,(EDATE(BC$3,-12)+1)))+1)/(BC$3-(EDATE(BC$3,-12)+1)+1)))*$W7),MAX(0,BB7-$M7)))</f>
        <v/>
      </c>
      <c r="BD7" s="64">
        <f>IF($K7="","",IF(AND($I7&lt;&gt;"",$I7&lt;=BC$3),0,BB7-BC7))</f>
        <v/>
      </c>
      <c r="BE7" s="63">
        <f>IF(OR($K7="",$H7=""),"",MIN(MAX(0,IF($O7="WDV",BD7*$P7*MAX(0,(IF($I7="",BE$3,MIN($I7,BE$3)))-(MAX($H7,(EDATE(BE$3,-12)+1)))+1)/(BE$3-(EDATE(BE$3,-12)+1)+1),IF($N7=0,0,$Q7/$N7*MAX(0,(IF($I7="",BE$3,MIN($I7,BE$3)))-(MAX($H7,(EDATE(BE$3,-12)+1)))+1)/(BE$3-(EDATE(BE$3,-12)+1)+1)))*$W7),MAX(0,BD7-$M7)))</f>
        <v/>
      </c>
      <c r="BF7" s="64">
        <f>IF($K7="","",IF(AND($I7&lt;&gt;"",$I7&lt;=BE$3),0,BD7-BE7))</f>
        <v/>
      </c>
    </row>
    <row r="8">
      <c r="A8" s="65" t="inlineStr">
        <is>
          <t>FA-004</t>
        </is>
      </c>
      <c r="B8" s="66" t="inlineStr">
        <is>
          <t>Office Furniture (lot)</t>
        </is>
      </c>
      <c r="C8" s="66" t="inlineStr">
        <is>
          <t>Furniture &amp; Fittings</t>
        </is>
      </c>
      <c r="D8" s="66" t="inlineStr">
        <is>
          <t>Mumbai HO</t>
        </is>
      </c>
      <c r="E8" s="67" t="inlineStr">
        <is>
          <t>Featherlite</t>
        </is>
      </c>
      <c r="F8" s="68" t="inlineStr">
        <is>
          <t>INV-FF-099</t>
        </is>
      </c>
      <c r="G8" s="69" t="n">
        <v>44306</v>
      </c>
      <c r="H8" s="69" t="n">
        <v>44306</v>
      </c>
      <c r="I8" s="70" t="n"/>
      <c r="J8" s="71" t="n"/>
      <c r="K8" s="72" t="n">
        <v>850000</v>
      </c>
      <c r="L8" s="73">
        <f>DefaultResidual</f>
        <v/>
      </c>
      <c r="M8" s="74">
        <f>IF($K8="","",$K8*$L8)</f>
        <v/>
      </c>
      <c r="N8" s="22">
        <f>IF($C8="","",IFERROR(VLOOKUP($C8,ScheduleIITable,3,FALSE),"#N/A"))</f>
        <v/>
      </c>
      <c r="O8" s="75">
        <f>IF($K8="","",GlobalMethod)</f>
        <v/>
      </c>
      <c r="P8" s="23">
        <f>IF(OR($K8="",$N8="",$N8=0,$M8=0),0,1-($M8/$K8)^(1/$N8))</f>
        <v/>
      </c>
      <c r="Q8" s="74">
        <f>IF($K8="","",$K8-$M8)</f>
        <v/>
      </c>
      <c r="R8" s="76">
        <f>IF($K8="","",INDEX($AA8:$BF8,1,MATCH(ReportingFYEnd,$AA$3:$BF$3,0)))</f>
        <v/>
      </c>
      <c r="S8" s="74">
        <f>IF($K8="","",IF($U8="Disposed",0,$K8-$T8))</f>
        <v/>
      </c>
      <c r="T8" s="77">
        <f>IF($K8="","",INDEX($AA8:$BF8,1,MATCH(ReportingFYEnd,$AA$3:$BF$3,0)+1))</f>
        <v/>
      </c>
      <c r="U8" s="78">
        <f>IF($K8="","",IF(AND($I8&lt;&gt;"",$I8&lt;=ReportingFYEnd),"Disposed",IF(OR($H8="",$H8&gt;ReportingFYEnd),"Not Yet in Use","Active")))</f>
        <v/>
      </c>
      <c r="V8" s="79" t="inlineStr">
        <is>
          <t>Single</t>
        </is>
      </c>
      <c r="W8" s="80">
        <f>IF($V8="Double",1.5,IF($V8="Triple",2,1))</f>
        <v/>
      </c>
      <c r="X8" s="69" t="n"/>
      <c r="Y8" s="78">
        <f>IF($K8="","",IF(OR(ISNUMBER(SEARCH("Build",$C8)),ISNUMBER(SEARCH("Lease",$C8))),"Yes","NA"))</f>
        <v/>
      </c>
      <c r="Z8" s="21" t="n"/>
      <c r="AA8" s="81">
        <f>IF(OR($K8="",$H8=""),"",MIN(MAX(0,IF($O8="WDV",$K8*$P8*MAX(0,(IF($I8="",AA$3,MIN($I8,AA$3)))-(MAX($H8,(EDATE(AA$3,-12)+1)))+1)/(AA$3-(EDATE(AA$3,-12)+1)+1),IF($N8=0,0,$Q8/$N8*MAX(0,(IF($I8="",AA$3,MIN($I8,AA$3)))-(MAX($H8,(EDATE(AA$3,-12)+1)))+1)/(AA$3-(EDATE(AA$3,-12)+1)+1)))*$W8),MAX(0,$K8-$M8)))</f>
        <v/>
      </c>
      <c r="AB8" s="81">
        <f>IF($K8="","",IF(AND($I8&lt;&gt;"",$I8&lt;=AA$3),0,$K8-AA8))</f>
        <v/>
      </c>
      <c r="AC8" s="81">
        <f>IF(OR($K8="",$H8=""),"",MIN(MAX(0,IF($O8="WDV",AB8*$P8*MAX(0,(IF($I8="",AC$3,MIN($I8,AC$3)))-(MAX($H8,(EDATE(AC$3,-12)+1)))+1)/(AC$3-(EDATE(AC$3,-12)+1)+1),IF($N8=0,0,$Q8/$N8*MAX(0,(IF($I8="",AC$3,MIN($I8,AC$3)))-(MAX($H8,(EDATE(AC$3,-12)+1)))+1)/(AC$3-(EDATE(AC$3,-12)+1)+1)))*$W8),MAX(0,AB8-$M8)))</f>
        <v/>
      </c>
      <c r="AD8" s="81">
        <f>IF($K8="","",IF(AND($I8&lt;&gt;"",$I8&lt;=AC$3),0,AB8-AC8))</f>
        <v/>
      </c>
      <c r="AE8" s="81">
        <f>IF(OR($K8="",$H8=""),"",MIN(MAX(0,IF($O8="WDV",AD8*$P8*MAX(0,(IF($I8="",AE$3,MIN($I8,AE$3)))-(MAX($H8,(EDATE(AE$3,-12)+1)))+1)/(AE$3-(EDATE(AE$3,-12)+1)+1),IF($N8=0,0,$Q8/$N8*MAX(0,(IF($I8="",AE$3,MIN($I8,AE$3)))-(MAX($H8,(EDATE(AE$3,-12)+1)))+1)/(AE$3-(EDATE(AE$3,-12)+1)+1)))*$W8),MAX(0,AD8-$M8)))</f>
        <v/>
      </c>
      <c r="AF8" s="81">
        <f>IF($K8="","",IF(AND($I8&lt;&gt;"",$I8&lt;=AE$3),0,AD8-AE8))</f>
        <v/>
      </c>
      <c r="AG8" s="81">
        <f>IF(OR($K8="",$H8=""),"",MIN(MAX(0,IF($O8="WDV",AF8*$P8*MAX(0,(IF($I8="",AG$3,MIN($I8,AG$3)))-(MAX($H8,(EDATE(AG$3,-12)+1)))+1)/(AG$3-(EDATE(AG$3,-12)+1)+1),IF($N8=0,0,$Q8/$N8*MAX(0,(IF($I8="",AG$3,MIN($I8,AG$3)))-(MAX($H8,(EDATE(AG$3,-12)+1)))+1)/(AG$3-(EDATE(AG$3,-12)+1)+1)))*$W8),MAX(0,AF8-$M8)))</f>
        <v/>
      </c>
      <c r="AH8" s="81">
        <f>IF($K8="","",IF(AND($I8&lt;&gt;"",$I8&lt;=AG$3),0,AF8-AG8))</f>
        <v/>
      </c>
      <c r="AI8" s="81">
        <f>IF(OR($K8="",$H8=""),"",MIN(MAX(0,IF($O8="WDV",AH8*$P8*MAX(0,(IF($I8="",AI$3,MIN($I8,AI$3)))-(MAX($H8,(EDATE(AI$3,-12)+1)))+1)/(AI$3-(EDATE(AI$3,-12)+1)+1),IF($N8=0,0,$Q8/$N8*MAX(0,(IF($I8="",AI$3,MIN($I8,AI$3)))-(MAX($H8,(EDATE(AI$3,-12)+1)))+1)/(AI$3-(EDATE(AI$3,-12)+1)+1)))*$W8),MAX(0,AH8-$M8)))</f>
        <v/>
      </c>
      <c r="AJ8" s="81">
        <f>IF($K8="","",IF(AND($I8&lt;&gt;"",$I8&lt;=AI$3),0,AH8-AI8))</f>
        <v/>
      </c>
      <c r="AK8" s="81">
        <f>IF(OR($K8="",$H8=""),"",MIN(MAX(0,IF($O8="WDV",AJ8*$P8*MAX(0,(IF($I8="",AK$3,MIN($I8,AK$3)))-(MAX($H8,(EDATE(AK$3,-12)+1)))+1)/(AK$3-(EDATE(AK$3,-12)+1)+1),IF($N8=0,0,$Q8/$N8*MAX(0,(IF($I8="",AK$3,MIN($I8,AK$3)))-(MAX($H8,(EDATE(AK$3,-12)+1)))+1)/(AK$3-(EDATE(AK$3,-12)+1)+1)))*$W8),MAX(0,AJ8-$M8)))</f>
        <v/>
      </c>
      <c r="AL8" s="81">
        <f>IF($K8="","",IF(AND($I8&lt;&gt;"",$I8&lt;=AK$3),0,AJ8-AK8))</f>
        <v/>
      </c>
      <c r="AM8" s="81">
        <f>IF(OR($K8="",$H8=""),"",MIN(MAX(0,IF($O8="WDV",AL8*$P8*MAX(0,(IF($I8="",AM$3,MIN($I8,AM$3)))-(MAX($H8,(EDATE(AM$3,-12)+1)))+1)/(AM$3-(EDATE(AM$3,-12)+1)+1),IF($N8=0,0,$Q8/$N8*MAX(0,(IF($I8="",AM$3,MIN($I8,AM$3)))-(MAX($H8,(EDATE(AM$3,-12)+1)))+1)/(AM$3-(EDATE(AM$3,-12)+1)+1)))*$W8),MAX(0,AL8-$M8)))</f>
        <v/>
      </c>
      <c r="AN8" s="81">
        <f>IF($K8="","",IF(AND($I8&lt;&gt;"",$I8&lt;=AM$3),0,AL8-AM8))</f>
        <v/>
      </c>
      <c r="AO8" s="81">
        <f>IF(OR($K8="",$H8=""),"",MIN(MAX(0,IF($O8="WDV",AN8*$P8*MAX(0,(IF($I8="",AO$3,MIN($I8,AO$3)))-(MAX($H8,(EDATE(AO$3,-12)+1)))+1)/(AO$3-(EDATE(AO$3,-12)+1)+1),IF($N8=0,0,$Q8/$N8*MAX(0,(IF($I8="",AO$3,MIN($I8,AO$3)))-(MAX($H8,(EDATE(AO$3,-12)+1)))+1)/(AO$3-(EDATE(AO$3,-12)+1)+1)))*$W8),MAX(0,AN8-$M8)))</f>
        <v/>
      </c>
      <c r="AP8" s="81">
        <f>IF($K8="","",IF(AND($I8&lt;&gt;"",$I8&lt;=AO$3),0,AN8-AO8))</f>
        <v/>
      </c>
      <c r="AQ8" s="81">
        <f>IF(OR($K8="",$H8=""),"",MIN(MAX(0,IF($O8="WDV",AP8*$P8*MAX(0,(IF($I8="",AQ$3,MIN($I8,AQ$3)))-(MAX($H8,(EDATE(AQ$3,-12)+1)))+1)/(AQ$3-(EDATE(AQ$3,-12)+1)+1),IF($N8=0,0,$Q8/$N8*MAX(0,(IF($I8="",AQ$3,MIN($I8,AQ$3)))-(MAX($H8,(EDATE(AQ$3,-12)+1)))+1)/(AQ$3-(EDATE(AQ$3,-12)+1)+1)))*$W8),MAX(0,AP8-$M8)))</f>
        <v/>
      </c>
      <c r="AR8" s="81">
        <f>IF($K8="","",IF(AND($I8&lt;&gt;"",$I8&lt;=AQ$3),0,AP8-AQ8))</f>
        <v/>
      </c>
      <c r="AS8" s="81">
        <f>IF(OR($K8="",$H8=""),"",MIN(MAX(0,IF($O8="WDV",AR8*$P8*MAX(0,(IF($I8="",AS$3,MIN($I8,AS$3)))-(MAX($H8,(EDATE(AS$3,-12)+1)))+1)/(AS$3-(EDATE(AS$3,-12)+1)+1),IF($N8=0,0,$Q8/$N8*MAX(0,(IF($I8="",AS$3,MIN($I8,AS$3)))-(MAX($H8,(EDATE(AS$3,-12)+1)))+1)/(AS$3-(EDATE(AS$3,-12)+1)+1)))*$W8),MAX(0,AR8-$M8)))</f>
        <v/>
      </c>
      <c r="AT8" s="81">
        <f>IF($K8="","",IF(AND($I8&lt;&gt;"",$I8&lt;=AS$3),0,AR8-AS8))</f>
        <v/>
      </c>
      <c r="AU8" s="81">
        <f>IF(OR($K8="",$H8=""),"",MIN(MAX(0,IF($O8="WDV",AT8*$P8*MAX(0,(IF($I8="",AU$3,MIN($I8,AU$3)))-(MAX($H8,(EDATE(AU$3,-12)+1)))+1)/(AU$3-(EDATE(AU$3,-12)+1)+1),IF($N8=0,0,$Q8/$N8*MAX(0,(IF($I8="",AU$3,MIN($I8,AU$3)))-(MAX($H8,(EDATE(AU$3,-12)+1)))+1)/(AU$3-(EDATE(AU$3,-12)+1)+1)))*$W8),MAX(0,AT8-$M8)))</f>
        <v/>
      </c>
      <c r="AV8" s="81">
        <f>IF($K8="","",IF(AND($I8&lt;&gt;"",$I8&lt;=AU$3),0,AT8-AU8))</f>
        <v/>
      </c>
      <c r="AW8" s="81">
        <f>IF(OR($K8="",$H8=""),"",MIN(MAX(0,IF($O8="WDV",AV8*$P8*MAX(0,(IF($I8="",AW$3,MIN($I8,AW$3)))-(MAX($H8,(EDATE(AW$3,-12)+1)))+1)/(AW$3-(EDATE(AW$3,-12)+1)+1),IF($N8=0,0,$Q8/$N8*MAX(0,(IF($I8="",AW$3,MIN($I8,AW$3)))-(MAX($H8,(EDATE(AW$3,-12)+1)))+1)/(AW$3-(EDATE(AW$3,-12)+1)+1)))*$W8),MAX(0,AV8-$M8)))</f>
        <v/>
      </c>
      <c r="AX8" s="81">
        <f>IF($K8="","",IF(AND($I8&lt;&gt;"",$I8&lt;=AW$3),0,AV8-AW8))</f>
        <v/>
      </c>
      <c r="AY8" s="81">
        <f>IF(OR($K8="",$H8=""),"",MIN(MAX(0,IF($O8="WDV",AX8*$P8*MAX(0,(IF($I8="",AY$3,MIN($I8,AY$3)))-(MAX($H8,(EDATE(AY$3,-12)+1)))+1)/(AY$3-(EDATE(AY$3,-12)+1)+1),IF($N8=0,0,$Q8/$N8*MAX(0,(IF($I8="",AY$3,MIN($I8,AY$3)))-(MAX($H8,(EDATE(AY$3,-12)+1)))+1)/(AY$3-(EDATE(AY$3,-12)+1)+1)))*$W8),MAX(0,AX8-$M8)))</f>
        <v/>
      </c>
      <c r="AZ8" s="81">
        <f>IF($K8="","",IF(AND($I8&lt;&gt;"",$I8&lt;=AY$3),0,AX8-AY8))</f>
        <v/>
      </c>
      <c r="BA8" s="81">
        <f>IF(OR($K8="",$H8=""),"",MIN(MAX(0,IF($O8="WDV",AZ8*$P8*MAX(0,(IF($I8="",BA$3,MIN($I8,BA$3)))-(MAX($H8,(EDATE(BA$3,-12)+1)))+1)/(BA$3-(EDATE(BA$3,-12)+1)+1),IF($N8=0,0,$Q8/$N8*MAX(0,(IF($I8="",BA$3,MIN($I8,BA$3)))-(MAX($H8,(EDATE(BA$3,-12)+1)))+1)/(BA$3-(EDATE(BA$3,-12)+1)+1)))*$W8),MAX(0,AZ8-$M8)))</f>
        <v/>
      </c>
      <c r="BB8" s="81">
        <f>IF($K8="","",IF(AND($I8&lt;&gt;"",$I8&lt;=BA$3),0,AZ8-BA8))</f>
        <v/>
      </c>
      <c r="BC8" s="81">
        <f>IF(OR($K8="",$H8=""),"",MIN(MAX(0,IF($O8="WDV",BB8*$P8*MAX(0,(IF($I8="",BC$3,MIN($I8,BC$3)))-(MAX($H8,(EDATE(BC$3,-12)+1)))+1)/(BC$3-(EDATE(BC$3,-12)+1)+1),IF($N8=0,0,$Q8/$N8*MAX(0,(IF($I8="",BC$3,MIN($I8,BC$3)))-(MAX($H8,(EDATE(BC$3,-12)+1)))+1)/(BC$3-(EDATE(BC$3,-12)+1)+1)))*$W8),MAX(0,BB8-$M8)))</f>
        <v/>
      </c>
      <c r="BD8" s="81">
        <f>IF($K8="","",IF(AND($I8&lt;&gt;"",$I8&lt;=BC$3),0,BB8-BC8))</f>
        <v/>
      </c>
      <c r="BE8" s="81">
        <f>IF(OR($K8="",$H8=""),"",MIN(MAX(0,IF($O8="WDV",BD8*$P8*MAX(0,(IF($I8="",BE$3,MIN($I8,BE$3)))-(MAX($H8,(EDATE(BE$3,-12)+1)))+1)/(BE$3-(EDATE(BE$3,-12)+1)+1),IF($N8=0,0,$Q8/$N8*MAX(0,(IF($I8="",BE$3,MIN($I8,BE$3)))-(MAX($H8,(EDATE(BE$3,-12)+1)))+1)/(BE$3-(EDATE(BE$3,-12)+1)+1)))*$W8),MAX(0,BD8-$M8)))</f>
        <v/>
      </c>
      <c r="BF8" s="81">
        <f>IF($K8="","",IF(AND($I8&lt;&gt;"",$I8&lt;=BE$3),0,BD8-BE8))</f>
        <v/>
      </c>
    </row>
    <row r="9">
      <c r="A9" s="44" t="inlineStr">
        <is>
          <t>FA-005</t>
        </is>
      </c>
      <c r="B9" s="45" t="inlineStr">
        <is>
          <t>Laptops (25 nos.)</t>
        </is>
      </c>
      <c r="C9" s="45" t="inlineStr">
        <is>
          <t>Computers - End User Devices</t>
        </is>
      </c>
      <c r="D9" s="45" t="inlineStr">
        <is>
          <t>Mumbai HO</t>
        </is>
      </c>
      <c r="E9" s="46" t="inlineStr">
        <is>
          <t>Dell India</t>
        </is>
      </c>
      <c r="F9" s="47" t="inlineStr">
        <is>
          <t>INV-IT-451</t>
        </is>
      </c>
      <c r="G9" s="48" t="n">
        <v>44713</v>
      </c>
      <c r="H9" s="48" t="n">
        <v>44717</v>
      </c>
      <c r="I9" s="49" t="n"/>
      <c r="J9" s="50" t="n"/>
      <c r="K9" s="51" t="n">
        <v>1750000</v>
      </c>
      <c r="L9" s="52">
        <f>DefaultResidual</f>
        <v/>
      </c>
      <c r="M9" s="53">
        <f>IF($K9="","",$K9*$L9)</f>
        <v/>
      </c>
      <c r="N9" s="54">
        <f>IF($C9="","",IFERROR(VLOOKUP($C9,ScheduleIITable,3,FALSE),"#N/A"))</f>
        <v/>
      </c>
      <c r="O9" s="55">
        <f>IF($K9="","",GlobalMethod)</f>
        <v/>
      </c>
      <c r="P9" s="56">
        <f>IF(OR($K9="",$N9="",$N9=0,$M9=0),0,1-($M9/$K9)^(1/$N9))</f>
        <v/>
      </c>
      <c r="Q9" s="53">
        <f>IF($K9="","",$K9-$M9)</f>
        <v/>
      </c>
      <c r="R9" s="57">
        <f>IF($K9="","",INDEX($AA9:$BF9,1,MATCH(ReportingFYEnd,$AA$3:$BF$3,0)))</f>
        <v/>
      </c>
      <c r="S9" s="53">
        <f>IF($K9="","",IF($U9="Disposed",0,$K9-$T9))</f>
        <v/>
      </c>
      <c r="T9" s="58">
        <f>IF($K9="","",INDEX($AA9:$BF9,1,MATCH(ReportingFYEnd,$AA$3:$BF$3,0)+1))</f>
        <v/>
      </c>
      <c r="U9" s="59">
        <f>IF($K9="","",IF(AND($I9&lt;&gt;"",$I9&lt;=ReportingFYEnd),"Disposed",IF(OR($H9="",$H9&gt;ReportingFYEnd),"Not Yet in Use","Active")))</f>
        <v/>
      </c>
      <c r="V9" s="60" t="inlineStr">
        <is>
          <t>Single</t>
        </is>
      </c>
      <c r="W9" s="61">
        <f>IF($V9="Double",1.5,IF($V9="Triple",2,1))</f>
        <v/>
      </c>
      <c r="X9" s="48" t="n"/>
      <c r="Y9" s="59">
        <f>IF($K9="","",IF(OR(ISNUMBER(SEARCH("Build",$C9)),ISNUMBER(SEARCH("Lease",$C9))),"Yes","NA"))</f>
        <v/>
      </c>
      <c r="Z9" s="62" t="n"/>
      <c r="AA9" s="63">
        <f>IF(OR($K9="",$H9=""),"",MIN(MAX(0,IF($O9="WDV",$K9*$P9*MAX(0,(IF($I9="",AA$3,MIN($I9,AA$3)))-(MAX($H9,(EDATE(AA$3,-12)+1)))+1)/(AA$3-(EDATE(AA$3,-12)+1)+1),IF($N9=0,0,$Q9/$N9*MAX(0,(IF($I9="",AA$3,MIN($I9,AA$3)))-(MAX($H9,(EDATE(AA$3,-12)+1)))+1)/(AA$3-(EDATE(AA$3,-12)+1)+1)))*$W9),MAX(0,$K9-$M9)))</f>
        <v/>
      </c>
      <c r="AB9" s="64">
        <f>IF($K9="","",IF(AND($I9&lt;&gt;"",$I9&lt;=AA$3),0,$K9-AA9))</f>
        <v/>
      </c>
      <c r="AC9" s="63">
        <f>IF(OR($K9="",$H9=""),"",MIN(MAX(0,IF($O9="WDV",AB9*$P9*MAX(0,(IF($I9="",AC$3,MIN($I9,AC$3)))-(MAX($H9,(EDATE(AC$3,-12)+1)))+1)/(AC$3-(EDATE(AC$3,-12)+1)+1),IF($N9=0,0,$Q9/$N9*MAX(0,(IF($I9="",AC$3,MIN($I9,AC$3)))-(MAX($H9,(EDATE(AC$3,-12)+1)))+1)/(AC$3-(EDATE(AC$3,-12)+1)+1)))*$W9),MAX(0,AB9-$M9)))</f>
        <v/>
      </c>
      <c r="AD9" s="64">
        <f>IF($K9="","",IF(AND($I9&lt;&gt;"",$I9&lt;=AC$3),0,AB9-AC9))</f>
        <v/>
      </c>
      <c r="AE9" s="63">
        <f>IF(OR($K9="",$H9=""),"",MIN(MAX(0,IF($O9="WDV",AD9*$P9*MAX(0,(IF($I9="",AE$3,MIN($I9,AE$3)))-(MAX($H9,(EDATE(AE$3,-12)+1)))+1)/(AE$3-(EDATE(AE$3,-12)+1)+1),IF($N9=0,0,$Q9/$N9*MAX(0,(IF($I9="",AE$3,MIN($I9,AE$3)))-(MAX($H9,(EDATE(AE$3,-12)+1)))+1)/(AE$3-(EDATE(AE$3,-12)+1)+1)))*$W9),MAX(0,AD9-$M9)))</f>
        <v/>
      </c>
      <c r="AF9" s="64">
        <f>IF($K9="","",IF(AND($I9&lt;&gt;"",$I9&lt;=AE$3),0,AD9-AE9))</f>
        <v/>
      </c>
      <c r="AG9" s="63">
        <f>IF(OR($K9="",$H9=""),"",MIN(MAX(0,IF($O9="WDV",AF9*$P9*MAX(0,(IF($I9="",AG$3,MIN($I9,AG$3)))-(MAX($H9,(EDATE(AG$3,-12)+1)))+1)/(AG$3-(EDATE(AG$3,-12)+1)+1),IF($N9=0,0,$Q9/$N9*MAX(0,(IF($I9="",AG$3,MIN($I9,AG$3)))-(MAX($H9,(EDATE(AG$3,-12)+1)))+1)/(AG$3-(EDATE(AG$3,-12)+1)+1)))*$W9),MAX(0,AF9-$M9)))</f>
        <v/>
      </c>
      <c r="AH9" s="64">
        <f>IF($K9="","",IF(AND($I9&lt;&gt;"",$I9&lt;=AG$3),0,AF9-AG9))</f>
        <v/>
      </c>
      <c r="AI9" s="63">
        <f>IF(OR($K9="",$H9=""),"",MIN(MAX(0,IF($O9="WDV",AH9*$P9*MAX(0,(IF($I9="",AI$3,MIN($I9,AI$3)))-(MAX($H9,(EDATE(AI$3,-12)+1)))+1)/(AI$3-(EDATE(AI$3,-12)+1)+1),IF($N9=0,0,$Q9/$N9*MAX(0,(IF($I9="",AI$3,MIN($I9,AI$3)))-(MAX($H9,(EDATE(AI$3,-12)+1)))+1)/(AI$3-(EDATE(AI$3,-12)+1)+1)))*$W9),MAX(0,AH9-$M9)))</f>
        <v/>
      </c>
      <c r="AJ9" s="64">
        <f>IF($K9="","",IF(AND($I9&lt;&gt;"",$I9&lt;=AI$3),0,AH9-AI9))</f>
        <v/>
      </c>
      <c r="AK9" s="63">
        <f>IF(OR($K9="",$H9=""),"",MIN(MAX(0,IF($O9="WDV",AJ9*$P9*MAX(0,(IF($I9="",AK$3,MIN($I9,AK$3)))-(MAX($H9,(EDATE(AK$3,-12)+1)))+1)/(AK$3-(EDATE(AK$3,-12)+1)+1),IF($N9=0,0,$Q9/$N9*MAX(0,(IF($I9="",AK$3,MIN($I9,AK$3)))-(MAX($H9,(EDATE(AK$3,-12)+1)))+1)/(AK$3-(EDATE(AK$3,-12)+1)+1)))*$W9),MAX(0,AJ9-$M9)))</f>
        <v/>
      </c>
      <c r="AL9" s="64">
        <f>IF($K9="","",IF(AND($I9&lt;&gt;"",$I9&lt;=AK$3),0,AJ9-AK9))</f>
        <v/>
      </c>
      <c r="AM9" s="63">
        <f>IF(OR($K9="",$H9=""),"",MIN(MAX(0,IF($O9="WDV",AL9*$P9*MAX(0,(IF($I9="",AM$3,MIN($I9,AM$3)))-(MAX($H9,(EDATE(AM$3,-12)+1)))+1)/(AM$3-(EDATE(AM$3,-12)+1)+1),IF($N9=0,0,$Q9/$N9*MAX(0,(IF($I9="",AM$3,MIN($I9,AM$3)))-(MAX($H9,(EDATE(AM$3,-12)+1)))+1)/(AM$3-(EDATE(AM$3,-12)+1)+1)))*$W9),MAX(0,AL9-$M9)))</f>
        <v/>
      </c>
      <c r="AN9" s="64">
        <f>IF($K9="","",IF(AND($I9&lt;&gt;"",$I9&lt;=AM$3),0,AL9-AM9))</f>
        <v/>
      </c>
      <c r="AO9" s="63">
        <f>IF(OR($K9="",$H9=""),"",MIN(MAX(0,IF($O9="WDV",AN9*$P9*MAX(0,(IF($I9="",AO$3,MIN($I9,AO$3)))-(MAX($H9,(EDATE(AO$3,-12)+1)))+1)/(AO$3-(EDATE(AO$3,-12)+1)+1),IF($N9=0,0,$Q9/$N9*MAX(0,(IF($I9="",AO$3,MIN($I9,AO$3)))-(MAX($H9,(EDATE(AO$3,-12)+1)))+1)/(AO$3-(EDATE(AO$3,-12)+1)+1)))*$W9),MAX(0,AN9-$M9)))</f>
        <v/>
      </c>
      <c r="AP9" s="64">
        <f>IF($K9="","",IF(AND($I9&lt;&gt;"",$I9&lt;=AO$3),0,AN9-AO9))</f>
        <v/>
      </c>
      <c r="AQ9" s="63">
        <f>IF(OR($K9="",$H9=""),"",MIN(MAX(0,IF($O9="WDV",AP9*$P9*MAX(0,(IF($I9="",AQ$3,MIN($I9,AQ$3)))-(MAX($H9,(EDATE(AQ$3,-12)+1)))+1)/(AQ$3-(EDATE(AQ$3,-12)+1)+1),IF($N9=0,0,$Q9/$N9*MAX(0,(IF($I9="",AQ$3,MIN($I9,AQ$3)))-(MAX($H9,(EDATE(AQ$3,-12)+1)))+1)/(AQ$3-(EDATE(AQ$3,-12)+1)+1)))*$W9),MAX(0,AP9-$M9)))</f>
        <v/>
      </c>
      <c r="AR9" s="64">
        <f>IF($K9="","",IF(AND($I9&lt;&gt;"",$I9&lt;=AQ$3),0,AP9-AQ9))</f>
        <v/>
      </c>
      <c r="AS9" s="63">
        <f>IF(OR($K9="",$H9=""),"",MIN(MAX(0,IF($O9="WDV",AR9*$P9*MAX(0,(IF($I9="",AS$3,MIN($I9,AS$3)))-(MAX($H9,(EDATE(AS$3,-12)+1)))+1)/(AS$3-(EDATE(AS$3,-12)+1)+1),IF($N9=0,0,$Q9/$N9*MAX(0,(IF($I9="",AS$3,MIN($I9,AS$3)))-(MAX($H9,(EDATE(AS$3,-12)+1)))+1)/(AS$3-(EDATE(AS$3,-12)+1)+1)))*$W9),MAX(0,AR9-$M9)))</f>
        <v/>
      </c>
      <c r="AT9" s="64">
        <f>IF($K9="","",IF(AND($I9&lt;&gt;"",$I9&lt;=AS$3),0,AR9-AS9))</f>
        <v/>
      </c>
      <c r="AU9" s="63">
        <f>IF(OR($K9="",$H9=""),"",MIN(MAX(0,IF($O9="WDV",AT9*$P9*MAX(0,(IF($I9="",AU$3,MIN($I9,AU$3)))-(MAX($H9,(EDATE(AU$3,-12)+1)))+1)/(AU$3-(EDATE(AU$3,-12)+1)+1),IF($N9=0,0,$Q9/$N9*MAX(0,(IF($I9="",AU$3,MIN($I9,AU$3)))-(MAX($H9,(EDATE(AU$3,-12)+1)))+1)/(AU$3-(EDATE(AU$3,-12)+1)+1)))*$W9),MAX(0,AT9-$M9)))</f>
        <v/>
      </c>
      <c r="AV9" s="64">
        <f>IF($K9="","",IF(AND($I9&lt;&gt;"",$I9&lt;=AU$3),0,AT9-AU9))</f>
        <v/>
      </c>
      <c r="AW9" s="63">
        <f>IF(OR($K9="",$H9=""),"",MIN(MAX(0,IF($O9="WDV",AV9*$P9*MAX(0,(IF($I9="",AW$3,MIN($I9,AW$3)))-(MAX($H9,(EDATE(AW$3,-12)+1)))+1)/(AW$3-(EDATE(AW$3,-12)+1)+1),IF($N9=0,0,$Q9/$N9*MAX(0,(IF($I9="",AW$3,MIN($I9,AW$3)))-(MAX($H9,(EDATE(AW$3,-12)+1)))+1)/(AW$3-(EDATE(AW$3,-12)+1)+1)))*$W9),MAX(0,AV9-$M9)))</f>
        <v/>
      </c>
      <c r="AX9" s="64">
        <f>IF($K9="","",IF(AND($I9&lt;&gt;"",$I9&lt;=AW$3),0,AV9-AW9))</f>
        <v/>
      </c>
      <c r="AY9" s="63">
        <f>IF(OR($K9="",$H9=""),"",MIN(MAX(0,IF($O9="WDV",AX9*$P9*MAX(0,(IF($I9="",AY$3,MIN($I9,AY$3)))-(MAX($H9,(EDATE(AY$3,-12)+1)))+1)/(AY$3-(EDATE(AY$3,-12)+1)+1),IF($N9=0,0,$Q9/$N9*MAX(0,(IF($I9="",AY$3,MIN($I9,AY$3)))-(MAX($H9,(EDATE(AY$3,-12)+1)))+1)/(AY$3-(EDATE(AY$3,-12)+1)+1)))*$W9),MAX(0,AX9-$M9)))</f>
        <v/>
      </c>
      <c r="AZ9" s="64">
        <f>IF($K9="","",IF(AND($I9&lt;&gt;"",$I9&lt;=AY$3),0,AX9-AY9))</f>
        <v/>
      </c>
      <c r="BA9" s="63">
        <f>IF(OR($K9="",$H9=""),"",MIN(MAX(0,IF($O9="WDV",AZ9*$P9*MAX(0,(IF($I9="",BA$3,MIN($I9,BA$3)))-(MAX($H9,(EDATE(BA$3,-12)+1)))+1)/(BA$3-(EDATE(BA$3,-12)+1)+1),IF($N9=0,0,$Q9/$N9*MAX(0,(IF($I9="",BA$3,MIN($I9,BA$3)))-(MAX($H9,(EDATE(BA$3,-12)+1)))+1)/(BA$3-(EDATE(BA$3,-12)+1)+1)))*$W9),MAX(0,AZ9-$M9)))</f>
        <v/>
      </c>
      <c r="BB9" s="64">
        <f>IF($K9="","",IF(AND($I9&lt;&gt;"",$I9&lt;=BA$3),0,AZ9-BA9))</f>
        <v/>
      </c>
      <c r="BC9" s="63">
        <f>IF(OR($K9="",$H9=""),"",MIN(MAX(0,IF($O9="WDV",BB9*$P9*MAX(0,(IF($I9="",BC$3,MIN($I9,BC$3)))-(MAX($H9,(EDATE(BC$3,-12)+1)))+1)/(BC$3-(EDATE(BC$3,-12)+1)+1),IF($N9=0,0,$Q9/$N9*MAX(0,(IF($I9="",BC$3,MIN($I9,BC$3)))-(MAX($H9,(EDATE(BC$3,-12)+1)))+1)/(BC$3-(EDATE(BC$3,-12)+1)+1)))*$W9),MAX(0,BB9-$M9)))</f>
        <v/>
      </c>
      <c r="BD9" s="64">
        <f>IF($K9="","",IF(AND($I9&lt;&gt;"",$I9&lt;=BC$3),0,BB9-BC9))</f>
        <v/>
      </c>
      <c r="BE9" s="63">
        <f>IF(OR($K9="",$H9=""),"",MIN(MAX(0,IF($O9="WDV",BD9*$P9*MAX(0,(IF($I9="",BE$3,MIN($I9,BE$3)))-(MAX($H9,(EDATE(BE$3,-12)+1)))+1)/(BE$3-(EDATE(BE$3,-12)+1)+1),IF($N9=0,0,$Q9/$N9*MAX(0,(IF($I9="",BE$3,MIN($I9,BE$3)))-(MAX($H9,(EDATE(BE$3,-12)+1)))+1)/(BE$3-(EDATE(BE$3,-12)+1)+1)))*$W9),MAX(0,BD9-$M9)))</f>
        <v/>
      </c>
      <c r="BF9" s="64">
        <f>IF($K9="","",IF(AND($I9&lt;&gt;"",$I9&lt;=BE$3),0,BD9-BE9))</f>
        <v/>
      </c>
    </row>
    <row r="10">
      <c r="A10" s="65" t="inlineStr">
        <is>
          <t>FA-006</t>
        </is>
      </c>
      <c r="B10" s="66" t="inlineStr">
        <is>
          <t>Application Server</t>
        </is>
      </c>
      <c r="C10" s="66" t="inlineStr">
        <is>
          <t>Computers - Servers &amp; Networks</t>
        </is>
      </c>
      <c r="D10" s="66" t="inlineStr">
        <is>
          <t>Mumbai HO</t>
        </is>
      </c>
      <c r="E10" s="67" t="inlineStr">
        <is>
          <t>HPE</t>
        </is>
      </c>
      <c r="F10" s="68" t="inlineStr">
        <is>
          <t>INV-IT-460</t>
        </is>
      </c>
      <c r="G10" s="69" t="n">
        <v>44816</v>
      </c>
      <c r="H10" s="69" t="n">
        <v>44824</v>
      </c>
      <c r="I10" s="70" t="n"/>
      <c r="J10" s="71" t="n"/>
      <c r="K10" s="72" t="n">
        <v>1200000</v>
      </c>
      <c r="L10" s="73">
        <f>DefaultResidual</f>
        <v/>
      </c>
      <c r="M10" s="74">
        <f>IF($K10="","",$K10*$L10)</f>
        <v/>
      </c>
      <c r="N10" s="22">
        <f>IF($C10="","",IFERROR(VLOOKUP($C10,ScheduleIITable,3,FALSE),"#N/A"))</f>
        <v/>
      </c>
      <c r="O10" s="75">
        <f>IF($K10="","",GlobalMethod)</f>
        <v/>
      </c>
      <c r="P10" s="23">
        <f>IF(OR($K10="",$N10="",$N10=0,$M10=0),0,1-($M10/$K10)^(1/$N10))</f>
        <v/>
      </c>
      <c r="Q10" s="74">
        <f>IF($K10="","",$K10-$M10)</f>
        <v/>
      </c>
      <c r="R10" s="76">
        <f>IF($K10="","",INDEX($AA10:$BF10,1,MATCH(ReportingFYEnd,$AA$3:$BF$3,0)))</f>
        <v/>
      </c>
      <c r="S10" s="74">
        <f>IF($K10="","",IF($U10="Disposed",0,$K10-$T10))</f>
        <v/>
      </c>
      <c r="T10" s="77">
        <f>IF($K10="","",INDEX($AA10:$BF10,1,MATCH(ReportingFYEnd,$AA$3:$BF$3,0)+1))</f>
        <v/>
      </c>
      <c r="U10" s="78">
        <f>IF($K10="","",IF(AND($I10&lt;&gt;"",$I10&lt;=ReportingFYEnd),"Disposed",IF(OR($H10="",$H10&gt;ReportingFYEnd),"Not Yet in Use","Active")))</f>
        <v/>
      </c>
      <c r="V10" s="79" t="inlineStr">
        <is>
          <t>Single</t>
        </is>
      </c>
      <c r="W10" s="80">
        <f>IF($V10="Double",1.5,IF($V10="Triple",2,1))</f>
        <v/>
      </c>
      <c r="X10" s="69" t="n"/>
      <c r="Y10" s="78">
        <f>IF($K10="","",IF(OR(ISNUMBER(SEARCH("Build",$C10)),ISNUMBER(SEARCH("Lease",$C10))),"Yes","NA"))</f>
        <v/>
      </c>
      <c r="Z10" s="21" t="n"/>
      <c r="AA10" s="81">
        <f>IF(OR($K10="",$H10=""),"",MIN(MAX(0,IF($O10="WDV",$K10*$P10*MAX(0,(IF($I10="",AA$3,MIN($I10,AA$3)))-(MAX($H10,(EDATE(AA$3,-12)+1)))+1)/(AA$3-(EDATE(AA$3,-12)+1)+1),IF($N10=0,0,$Q10/$N10*MAX(0,(IF($I10="",AA$3,MIN($I10,AA$3)))-(MAX($H10,(EDATE(AA$3,-12)+1)))+1)/(AA$3-(EDATE(AA$3,-12)+1)+1)))*$W10),MAX(0,$K10-$M10)))</f>
        <v/>
      </c>
      <c r="AB10" s="81">
        <f>IF($K10="","",IF(AND($I10&lt;&gt;"",$I10&lt;=AA$3),0,$K10-AA10))</f>
        <v/>
      </c>
      <c r="AC10" s="81">
        <f>IF(OR($K10="",$H10=""),"",MIN(MAX(0,IF($O10="WDV",AB10*$P10*MAX(0,(IF($I10="",AC$3,MIN($I10,AC$3)))-(MAX($H10,(EDATE(AC$3,-12)+1)))+1)/(AC$3-(EDATE(AC$3,-12)+1)+1),IF($N10=0,0,$Q10/$N10*MAX(0,(IF($I10="",AC$3,MIN($I10,AC$3)))-(MAX($H10,(EDATE(AC$3,-12)+1)))+1)/(AC$3-(EDATE(AC$3,-12)+1)+1)))*$W10),MAX(0,AB10-$M10)))</f>
        <v/>
      </c>
      <c r="AD10" s="81">
        <f>IF($K10="","",IF(AND($I10&lt;&gt;"",$I10&lt;=AC$3),0,AB10-AC10))</f>
        <v/>
      </c>
      <c r="AE10" s="81">
        <f>IF(OR($K10="",$H10=""),"",MIN(MAX(0,IF($O10="WDV",AD10*$P10*MAX(0,(IF($I10="",AE$3,MIN($I10,AE$3)))-(MAX($H10,(EDATE(AE$3,-12)+1)))+1)/(AE$3-(EDATE(AE$3,-12)+1)+1),IF($N10=0,0,$Q10/$N10*MAX(0,(IF($I10="",AE$3,MIN($I10,AE$3)))-(MAX($H10,(EDATE(AE$3,-12)+1)))+1)/(AE$3-(EDATE(AE$3,-12)+1)+1)))*$W10),MAX(0,AD10-$M10)))</f>
        <v/>
      </c>
      <c r="AF10" s="81">
        <f>IF($K10="","",IF(AND($I10&lt;&gt;"",$I10&lt;=AE$3),0,AD10-AE10))</f>
        <v/>
      </c>
      <c r="AG10" s="81">
        <f>IF(OR($K10="",$H10=""),"",MIN(MAX(0,IF($O10="WDV",AF10*$P10*MAX(0,(IF($I10="",AG$3,MIN($I10,AG$3)))-(MAX($H10,(EDATE(AG$3,-12)+1)))+1)/(AG$3-(EDATE(AG$3,-12)+1)+1),IF($N10=0,0,$Q10/$N10*MAX(0,(IF($I10="",AG$3,MIN($I10,AG$3)))-(MAX($H10,(EDATE(AG$3,-12)+1)))+1)/(AG$3-(EDATE(AG$3,-12)+1)+1)))*$W10),MAX(0,AF10-$M10)))</f>
        <v/>
      </c>
      <c r="AH10" s="81">
        <f>IF($K10="","",IF(AND($I10&lt;&gt;"",$I10&lt;=AG$3),0,AF10-AG10))</f>
        <v/>
      </c>
      <c r="AI10" s="81">
        <f>IF(OR($K10="",$H10=""),"",MIN(MAX(0,IF($O10="WDV",AH10*$P10*MAX(0,(IF($I10="",AI$3,MIN($I10,AI$3)))-(MAX($H10,(EDATE(AI$3,-12)+1)))+1)/(AI$3-(EDATE(AI$3,-12)+1)+1),IF($N10=0,0,$Q10/$N10*MAX(0,(IF($I10="",AI$3,MIN($I10,AI$3)))-(MAX($H10,(EDATE(AI$3,-12)+1)))+1)/(AI$3-(EDATE(AI$3,-12)+1)+1)))*$W10),MAX(0,AH10-$M10)))</f>
        <v/>
      </c>
      <c r="AJ10" s="81">
        <f>IF($K10="","",IF(AND($I10&lt;&gt;"",$I10&lt;=AI$3),0,AH10-AI10))</f>
        <v/>
      </c>
      <c r="AK10" s="81">
        <f>IF(OR($K10="",$H10=""),"",MIN(MAX(0,IF($O10="WDV",AJ10*$P10*MAX(0,(IF($I10="",AK$3,MIN($I10,AK$3)))-(MAX($H10,(EDATE(AK$3,-12)+1)))+1)/(AK$3-(EDATE(AK$3,-12)+1)+1),IF($N10=0,0,$Q10/$N10*MAX(0,(IF($I10="",AK$3,MIN($I10,AK$3)))-(MAX($H10,(EDATE(AK$3,-12)+1)))+1)/(AK$3-(EDATE(AK$3,-12)+1)+1)))*$W10),MAX(0,AJ10-$M10)))</f>
        <v/>
      </c>
      <c r="AL10" s="81">
        <f>IF($K10="","",IF(AND($I10&lt;&gt;"",$I10&lt;=AK$3),0,AJ10-AK10))</f>
        <v/>
      </c>
      <c r="AM10" s="81">
        <f>IF(OR($K10="",$H10=""),"",MIN(MAX(0,IF($O10="WDV",AL10*$P10*MAX(0,(IF($I10="",AM$3,MIN($I10,AM$3)))-(MAX($H10,(EDATE(AM$3,-12)+1)))+1)/(AM$3-(EDATE(AM$3,-12)+1)+1),IF($N10=0,0,$Q10/$N10*MAX(0,(IF($I10="",AM$3,MIN($I10,AM$3)))-(MAX($H10,(EDATE(AM$3,-12)+1)))+1)/(AM$3-(EDATE(AM$3,-12)+1)+1)))*$W10),MAX(0,AL10-$M10)))</f>
        <v/>
      </c>
      <c r="AN10" s="81">
        <f>IF($K10="","",IF(AND($I10&lt;&gt;"",$I10&lt;=AM$3),0,AL10-AM10))</f>
        <v/>
      </c>
      <c r="AO10" s="81">
        <f>IF(OR($K10="",$H10=""),"",MIN(MAX(0,IF($O10="WDV",AN10*$P10*MAX(0,(IF($I10="",AO$3,MIN($I10,AO$3)))-(MAX($H10,(EDATE(AO$3,-12)+1)))+1)/(AO$3-(EDATE(AO$3,-12)+1)+1),IF($N10=0,0,$Q10/$N10*MAX(0,(IF($I10="",AO$3,MIN($I10,AO$3)))-(MAX($H10,(EDATE(AO$3,-12)+1)))+1)/(AO$3-(EDATE(AO$3,-12)+1)+1)))*$W10),MAX(0,AN10-$M10)))</f>
        <v/>
      </c>
      <c r="AP10" s="81">
        <f>IF($K10="","",IF(AND($I10&lt;&gt;"",$I10&lt;=AO$3),0,AN10-AO10))</f>
        <v/>
      </c>
      <c r="AQ10" s="81">
        <f>IF(OR($K10="",$H10=""),"",MIN(MAX(0,IF($O10="WDV",AP10*$P10*MAX(0,(IF($I10="",AQ$3,MIN($I10,AQ$3)))-(MAX($H10,(EDATE(AQ$3,-12)+1)))+1)/(AQ$3-(EDATE(AQ$3,-12)+1)+1),IF($N10=0,0,$Q10/$N10*MAX(0,(IF($I10="",AQ$3,MIN($I10,AQ$3)))-(MAX($H10,(EDATE(AQ$3,-12)+1)))+1)/(AQ$3-(EDATE(AQ$3,-12)+1)+1)))*$W10),MAX(0,AP10-$M10)))</f>
        <v/>
      </c>
      <c r="AR10" s="81">
        <f>IF($K10="","",IF(AND($I10&lt;&gt;"",$I10&lt;=AQ$3),0,AP10-AQ10))</f>
        <v/>
      </c>
      <c r="AS10" s="81">
        <f>IF(OR($K10="",$H10=""),"",MIN(MAX(0,IF($O10="WDV",AR10*$P10*MAX(0,(IF($I10="",AS$3,MIN($I10,AS$3)))-(MAX($H10,(EDATE(AS$3,-12)+1)))+1)/(AS$3-(EDATE(AS$3,-12)+1)+1),IF($N10=0,0,$Q10/$N10*MAX(0,(IF($I10="",AS$3,MIN($I10,AS$3)))-(MAX($H10,(EDATE(AS$3,-12)+1)))+1)/(AS$3-(EDATE(AS$3,-12)+1)+1)))*$W10),MAX(0,AR10-$M10)))</f>
        <v/>
      </c>
      <c r="AT10" s="81">
        <f>IF($K10="","",IF(AND($I10&lt;&gt;"",$I10&lt;=AS$3),0,AR10-AS10))</f>
        <v/>
      </c>
      <c r="AU10" s="81">
        <f>IF(OR($K10="",$H10=""),"",MIN(MAX(0,IF($O10="WDV",AT10*$P10*MAX(0,(IF($I10="",AU$3,MIN($I10,AU$3)))-(MAX($H10,(EDATE(AU$3,-12)+1)))+1)/(AU$3-(EDATE(AU$3,-12)+1)+1),IF($N10=0,0,$Q10/$N10*MAX(0,(IF($I10="",AU$3,MIN($I10,AU$3)))-(MAX($H10,(EDATE(AU$3,-12)+1)))+1)/(AU$3-(EDATE(AU$3,-12)+1)+1)))*$W10),MAX(0,AT10-$M10)))</f>
        <v/>
      </c>
      <c r="AV10" s="81">
        <f>IF($K10="","",IF(AND($I10&lt;&gt;"",$I10&lt;=AU$3),0,AT10-AU10))</f>
        <v/>
      </c>
      <c r="AW10" s="81">
        <f>IF(OR($K10="",$H10=""),"",MIN(MAX(0,IF($O10="WDV",AV10*$P10*MAX(0,(IF($I10="",AW$3,MIN($I10,AW$3)))-(MAX($H10,(EDATE(AW$3,-12)+1)))+1)/(AW$3-(EDATE(AW$3,-12)+1)+1),IF($N10=0,0,$Q10/$N10*MAX(0,(IF($I10="",AW$3,MIN($I10,AW$3)))-(MAX($H10,(EDATE(AW$3,-12)+1)))+1)/(AW$3-(EDATE(AW$3,-12)+1)+1)))*$W10),MAX(0,AV10-$M10)))</f>
        <v/>
      </c>
      <c r="AX10" s="81">
        <f>IF($K10="","",IF(AND($I10&lt;&gt;"",$I10&lt;=AW$3),0,AV10-AW10))</f>
        <v/>
      </c>
      <c r="AY10" s="81">
        <f>IF(OR($K10="",$H10=""),"",MIN(MAX(0,IF($O10="WDV",AX10*$P10*MAX(0,(IF($I10="",AY$3,MIN($I10,AY$3)))-(MAX($H10,(EDATE(AY$3,-12)+1)))+1)/(AY$3-(EDATE(AY$3,-12)+1)+1),IF($N10=0,0,$Q10/$N10*MAX(0,(IF($I10="",AY$3,MIN($I10,AY$3)))-(MAX($H10,(EDATE(AY$3,-12)+1)))+1)/(AY$3-(EDATE(AY$3,-12)+1)+1)))*$W10),MAX(0,AX10-$M10)))</f>
        <v/>
      </c>
      <c r="AZ10" s="81">
        <f>IF($K10="","",IF(AND($I10&lt;&gt;"",$I10&lt;=AY$3),0,AX10-AY10))</f>
        <v/>
      </c>
      <c r="BA10" s="81">
        <f>IF(OR($K10="",$H10=""),"",MIN(MAX(0,IF($O10="WDV",AZ10*$P10*MAX(0,(IF($I10="",BA$3,MIN($I10,BA$3)))-(MAX($H10,(EDATE(BA$3,-12)+1)))+1)/(BA$3-(EDATE(BA$3,-12)+1)+1),IF($N10=0,0,$Q10/$N10*MAX(0,(IF($I10="",BA$3,MIN($I10,BA$3)))-(MAX($H10,(EDATE(BA$3,-12)+1)))+1)/(BA$3-(EDATE(BA$3,-12)+1)+1)))*$W10),MAX(0,AZ10-$M10)))</f>
        <v/>
      </c>
      <c r="BB10" s="81">
        <f>IF($K10="","",IF(AND($I10&lt;&gt;"",$I10&lt;=BA$3),0,AZ10-BA10))</f>
        <v/>
      </c>
      <c r="BC10" s="81">
        <f>IF(OR($K10="",$H10=""),"",MIN(MAX(0,IF($O10="WDV",BB10*$P10*MAX(0,(IF($I10="",BC$3,MIN($I10,BC$3)))-(MAX($H10,(EDATE(BC$3,-12)+1)))+1)/(BC$3-(EDATE(BC$3,-12)+1)+1),IF($N10=0,0,$Q10/$N10*MAX(0,(IF($I10="",BC$3,MIN($I10,BC$3)))-(MAX($H10,(EDATE(BC$3,-12)+1)))+1)/(BC$3-(EDATE(BC$3,-12)+1)+1)))*$W10),MAX(0,BB10-$M10)))</f>
        <v/>
      </c>
      <c r="BD10" s="81">
        <f>IF($K10="","",IF(AND($I10&lt;&gt;"",$I10&lt;=BC$3),0,BB10-BC10))</f>
        <v/>
      </c>
      <c r="BE10" s="81">
        <f>IF(OR($K10="",$H10=""),"",MIN(MAX(0,IF($O10="WDV",BD10*$P10*MAX(0,(IF($I10="",BE$3,MIN($I10,BE$3)))-(MAX($H10,(EDATE(BE$3,-12)+1)))+1)/(BE$3-(EDATE(BE$3,-12)+1)+1),IF($N10=0,0,$Q10/$N10*MAX(0,(IF($I10="",BE$3,MIN($I10,BE$3)))-(MAX($H10,(EDATE(BE$3,-12)+1)))+1)/(BE$3-(EDATE(BE$3,-12)+1)+1)))*$W10),MAX(0,BD10-$M10)))</f>
        <v/>
      </c>
      <c r="BF10" s="81">
        <f>IF($K10="","",IF(AND($I10&lt;&gt;"",$I10&lt;=BE$3),0,BD10-BE10))</f>
        <v/>
      </c>
    </row>
    <row r="11">
      <c r="A11" s="44" t="inlineStr">
        <is>
          <t>FA-007</t>
        </is>
      </c>
      <c r="B11" s="45" t="inlineStr">
        <is>
          <t>Director's Car</t>
        </is>
      </c>
      <c r="C11" s="45" t="inlineStr">
        <is>
          <t>Motor Vehicles - Motor Cars</t>
        </is>
      </c>
      <c r="D11" s="45" t="inlineStr">
        <is>
          <t>Mumbai HO</t>
        </is>
      </c>
      <c r="E11" s="46" t="inlineStr">
        <is>
          <t>Toyota</t>
        </is>
      </c>
      <c r="F11" s="47" t="inlineStr">
        <is>
          <t>INV-MV-011</t>
        </is>
      </c>
      <c r="G11" s="48" t="n">
        <v>44941</v>
      </c>
      <c r="H11" s="48" t="n">
        <v>44941</v>
      </c>
      <c r="I11" s="49" t="n"/>
      <c r="J11" s="50" t="n"/>
      <c r="K11" s="51" t="n">
        <v>2800000</v>
      </c>
      <c r="L11" s="52">
        <f>DefaultResidual</f>
        <v/>
      </c>
      <c r="M11" s="53">
        <f>IF($K11="","",$K11*$L11)</f>
        <v/>
      </c>
      <c r="N11" s="54">
        <f>IF($C11="","",IFERROR(VLOOKUP($C11,ScheduleIITable,3,FALSE),"#N/A"))</f>
        <v/>
      </c>
      <c r="O11" s="55">
        <f>IF($K11="","",GlobalMethod)</f>
        <v/>
      </c>
      <c r="P11" s="56">
        <f>IF(OR($K11="",$N11="",$N11=0,$M11=0),0,1-($M11/$K11)^(1/$N11))</f>
        <v/>
      </c>
      <c r="Q11" s="53">
        <f>IF($K11="","",$K11-$M11)</f>
        <v/>
      </c>
      <c r="R11" s="57">
        <f>IF($K11="","",INDEX($AA11:$BF11,1,MATCH(ReportingFYEnd,$AA$3:$BF$3,0)))</f>
        <v/>
      </c>
      <c r="S11" s="53">
        <f>IF($K11="","",IF($U11="Disposed",0,$K11-$T11))</f>
        <v/>
      </c>
      <c r="T11" s="58">
        <f>IF($K11="","",INDEX($AA11:$BF11,1,MATCH(ReportingFYEnd,$AA$3:$BF$3,0)+1))</f>
        <v/>
      </c>
      <c r="U11" s="59">
        <f>IF($K11="","",IF(AND($I11&lt;&gt;"",$I11&lt;=ReportingFYEnd),"Disposed",IF(OR($H11="",$H11&gt;ReportingFYEnd),"Not Yet in Use","Active")))</f>
        <v/>
      </c>
      <c r="V11" s="60" t="inlineStr">
        <is>
          <t>Single</t>
        </is>
      </c>
      <c r="W11" s="61">
        <f>IF($V11="Double",1.5,IF($V11="Triple",2,1))</f>
        <v/>
      </c>
      <c r="X11" s="48" t="n"/>
      <c r="Y11" s="59">
        <f>IF($K11="","",IF(OR(ISNUMBER(SEARCH("Build",$C11)),ISNUMBER(SEARCH("Lease",$C11))),"Yes","NA"))</f>
        <v/>
      </c>
      <c r="Z11" s="62" t="n"/>
      <c r="AA11" s="63">
        <f>IF(OR($K11="",$H11=""),"",MIN(MAX(0,IF($O11="WDV",$K11*$P11*MAX(0,(IF($I11="",AA$3,MIN($I11,AA$3)))-(MAX($H11,(EDATE(AA$3,-12)+1)))+1)/(AA$3-(EDATE(AA$3,-12)+1)+1),IF($N11=0,0,$Q11/$N11*MAX(0,(IF($I11="",AA$3,MIN($I11,AA$3)))-(MAX($H11,(EDATE(AA$3,-12)+1)))+1)/(AA$3-(EDATE(AA$3,-12)+1)+1)))*$W11),MAX(0,$K11-$M11)))</f>
        <v/>
      </c>
      <c r="AB11" s="64">
        <f>IF($K11="","",IF(AND($I11&lt;&gt;"",$I11&lt;=AA$3),0,$K11-AA11))</f>
        <v/>
      </c>
      <c r="AC11" s="63">
        <f>IF(OR($K11="",$H11=""),"",MIN(MAX(0,IF($O11="WDV",AB11*$P11*MAX(0,(IF($I11="",AC$3,MIN($I11,AC$3)))-(MAX($H11,(EDATE(AC$3,-12)+1)))+1)/(AC$3-(EDATE(AC$3,-12)+1)+1),IF($N11=0,0,$Q11/$N11*MAX(0,(IF($I11="",AC$3,MIN($I11,AC$3)))-(MAX($H11,(EDATE(AC$3,-12)+1)))+1)/(AC$3-(EDATE(AC$3,-12)+1)+1)))*$W11),MAX(0,AB11-$M11)))</f>
        <v/>
      </c>
      <c r="AD11" s="64">
        <f>IF($K11="","",IF(AND($I11&lt;&gt;"",$I11&lt;=AC$3),0,AB11-AC11))</f>
        <v/>
      </c>
      <c r="AE11" s="63">
        <f>IF(OR($K11="",$H11=""),"",MIN(MAX(0,IF($O11="WDV",AD11*$P11*MAX(0,(IF($I11="",AE$3,MIN($I11,AE$3)))-(MAX($H11,(EDATE(AE$3,-12)+1)))+1)/(AE$3-(EDATE(AE$3,-12)+1)+1),IF($N11=0,0,$Q11/$N11*MAX(0,(IF($I11="",AE$3,MIN($I11,AE$3)))-(MAX($H11,(EDATE(AE$3,-12)+1)))+1)/(AE$3-(EDATE(AE$3,-12)+1)+1)))*$W11),MAX(0,AD11-$M11)))</f>
        <v/>
      </c>
      <c r="AF11" s="64">
        <f>IF($K11="","",IF(AND($I11&lt;&gt;"",$I11&lt;=AE$3),0,AD11-AE11))</f>
        <v/>
      </c>
      <c r="AG11" s="63">
        <f>IF(OR($K11="",$H11=""),"",MIN(MAX(0,IF($O11="WDV",AF11*$P11*MAX(0,(IF($I11="",AG$3,MIN($I11,AG$3)))-(MAX($H11,(EDATE(AG$3,-12)+1)))+1)/(AG$3-(EDATE(AG$3,-12)+1)+1),IF($N11=0,0,$Q11/$N11*MAX(0,(IF($I11="",AG$3,MIN($I11,AG$3)))-(MAX($H11,(EDATE(AG$3,-12)+1)))+1)/(AG$3-(EDATE(AG$3,-12)+1)+1)))*$W11),MAX(0,AF11-$M11)))</f>
        <v/>
      </c>
      <c r="AH11" s="64">
        <f>IF($K11="","",IF(AND($I11&lt;&gt;"",$I11&lt;=AG$3),0,AF11-AG11))</f>
        <v/>
      </c>
      <c r="AI11" s="63">
        <f>IF(OR($K11="",$H11=""),"",MIN(MAX(0,IF($O11="WDV",AH11*$P11*MAX(0,(IF($I11="",AI$3,MIN($I11,AI$3)))-(MAX($H11,(EDATE(AI$3,-12)+1)))+1)/(AI$3-(EDATE(AI$3,-12)+1)+1),IF($N11=0,0,$Q11/$N11*MAX(0,(IF($I11="",AI$3,MIN($I11,AI$3)))-(MAX($H11,(EDATE(AI$3,-12)+1)))+1)/(AI$3-(EDATE(AI$3,-12)+1)+1)))*$W11),MAX(0,AH11-$M11)))</f>
        <v/>
      </c>
      <c r="AJ11" s="64">
        <f>IF($K11="","",IF(AND($I11&lt;&gt;"",$I11&lt;=AI$3),0,AH11-AI11))</f>
        <v/>
      </c>
      <c r="AK11" s="63">
        <f>IF(OR($K11="",$H11=""),"",MIN(MAX(0,IF($O11="WDV",AJ11*$P11*MAX(0,(IF($I11="",AK$3,MIN($I11,AK$3)))-(MAX($H11,(EDATE(AK$3,-12)+1)))+1)/(AK$3-(EDATE(AK$3,-12)+1)+1),IF($N11=0,0,$Q11/$N11*MAX(0,(IF($I11="",AK$3,MIN($I11,AK$3)))-(MAX($H11,(EDATE(AK$3,-12)+1)))+1)/(AK$3-(EDATE(AK$3,-12)+1)+1)))*$W11),MAX(0,AJ11-$M11)))</f>
        <v/>
      </c>
      <c r="AL11" s="64">
        <f>IF($K11="","",IF(AND($I11&lt;&gt;"",$I11&lt;=AK$3),0,AJ11-AK11))</f>
        <v/>
      </c>
      <c r="AM11" s="63">
        <f>IF(OR($K11="",$H11=""),"",MIN(MAX(0,IF($O11="WDV",AL11*$P11*MAX(0,(IF($I11="",AM$3,MIN($I11,AM$3)))-(MAX($H11,(EDATE(AM$3,-12)+1)))+1)/(AM$3-(EDATE(AM$3,-12)+1)+1),IF($N11=0,0,$Q11/$N11*MAX(0,(IF($I11="",AM$3,MIN($I11,AM$3)))-(MAX($H11,(EDATE(AM$3,-12)+1)))+1)/(AM$3-(EDATE(AM$3,-12)+1)+1)))*$W11),MAX(0,AL11-$M11)))</f>
        <v/>
      </c>
      <c r="AN11" s="64">
        <f>IF($K11="","",IF(AND($I11&lt;&gt;"",$I11&lt;=AM$3),0,AL11-AM11))</f>
        <v/>
      </c>
      <c r="AO11" s="63">
        <f>IF(OR($K11="",$H11=""),"",MIN(MAX(0,IF($O11="WDV",AN11*$P11*MAX(0,(IF($I11="",AO$3,MIN($I11,AO$3)))-(MAX($H11,(EDATE(AO$3,-12)+1)))+1)/(AO$3-(EDATE(AO$3,-12)+1)+1),IF($N11=0,0,$Q11/$N11*MAX(0,(IF($I11="",AO$3,MIN($I11,AO$3)))-(MAX($H11,(EDATE(AO$3,-12)+1)))+1)/(AO$3-(EDATE(AO$3,-12)+1)+1)))*$W11),MAX(0,AN11-$M11)))</f>
        <v/>
      </c>
      <c r="AP11" s="64">
        <f>IF($K11="","",IF(AND($I11&lt;&gt;"",$I11&lt;=AO$3),0,AN11-AO11))</f>
        <v/>
      </c>
      <c r="AQ11" s="63">
        <f>IF(OR($K11="",$H11=""),"",MIN(MAX(0,IF($O11="WDV",AP11*$P11*MAX(0,(IF($I11="",AQ$3,MIN($I11,AQ$3)))-(MAX($H11,(EDATE(AQ$3,-12)+1)))+1)/(AQ$3-(EDATE(AQ$3,-12)+1)+1),IF($N11=0,0,$Q11/$N11*MAX(0,(IF($I11="",AQ$3,MIN($I11,AQ$3)))-(MAX($H11,(EDATE(AQ$3,-12)+1)))+1)/(AQ$3-(EDATE(AQ$3,-12)+1)+1)))*$W11),MAX(0,AP11-$M11)))</f>
        <v/>
      </c>
      <c r="AR11" s="64">
        <f>IF($K11="","",IF(AND($I11&lt;&gt;"",$I11&lt;=AQ$3),0,AP11-AQ11))</f>
        <v/>
      </c>
      <c r="AS11" s="63">
        <f>IF(OR($K11="",$H11=""),"",MIN(MAX(0,IF($O11="WDV",AR11*$P11*MAX(0,(IF($I11="",AS$3,MIN($I11,AS$3)))-(MAX($H11,(EDATE(AS$3,-12)+1)))+1)/(AS$3-(EDATE(AS$3,-12)+1)+1),IF($N11=0,0,$Q11/$N11*MAX(0,(IF($I11="",AS$3,MIN($I11,AS$3)))-(MAX($H11,(EDATE(AS$3,-12)+1)))+1)/(AS$3-(EDATE(AS$3,-12)+1)+1)))*$W11),MAX(0,AR11-$M11)))</f>
        <v/>
      </c>
      <c r="AT11" s="64">
        <f>IF($K11="","",IF(AND($I11&lt;&gt;"",$I11&lt;=AS$3),0,AR11-AS11))</f>
        <v/>
      </c>
      <c r="AU11" s="63">
        <f>IF(OR($K11="",$H11=""),"",MIN(MAX(0,IF($O11="WDV",AT11*$P11*MAX(0,(IF($I11="",AU$3,MIN($I11,AU$3)))-(MAX($H11,(EDATE(AU$3,-12)+1)))+1)/(AU$3-(EDATE(AU$3,-12)+1)+1),IF($N11=0,0,$Q11/$N11*MAX(0,(IF($I11="",AU$3,MIN($I11,AU$3)))-(MAX($H11,(EDATE(AU$3,-12)+1)))+1)/(AU$3-(EDATE(AU$3,-12)+1)+1)))*$W11),MAX(0,AT11-$M11)))</f>
        <v/>
      </c>
      <c r="AV11" s="64">
        <f>IF($K11="","",IF(AND($I11&lt;&gt;"",$I11&lt;=AU$3),0,AT11-AU11))</f>
        <v/>
      </c>
      <c r="AW11" s="63">
        <f>IF(OR($K11="",$H11=""),"",MIN(MAX(0,IF($O11="WDV",AV11*$P11*MAX(0,(IF($I11="",AW$3,MIN($I11,AW$3)))-(MAX($H11,(EDATE(AW$3,-12)+1)))+1)/(AW$3-(EDATE(AW$3,-12)+1)+1),IF($N11=0,0,$Q11/$N11*MAX(0,(IF($I11="",AW$3,MIN($I11,AW$3)))-(MAX($H11,(EDATE(AW$3,-12)+1)))+1)/(AW$3-(EDATE(AW$3,-12)+1)+1)))*$W11),MAX(0,AV11-$M11)))</f>
        <v/>
      </c>
      <c r="AX11" s="64">
        <f>IF($K11="","",IF(AND($I11&lt;&gt;"",$I11&lt;=AW$3),0,AV11-AW11))</f>
        <v/>
      </c>
      <c r="AY11" s="63">
        <f>IF(OR($K11="",$H11=""),"",MIN(MAX(0,IF($O11="WDV",AX11*$P11*MAX(0,(IF($I11="",AY$3,MIN($I11,AY$3)))-(MAX($H11,(EDATE(AY$3,-12)+1)))+1)/(AY$3-(EDATE(AY$3,-12)+1)+1),IF($N11=0,0,$Q11/$N11*MAX(0,(IF($I11="",AY$3,MIN($I11,AY$3)))-(MAX($H11,(EDATE(AY$3,-12)+1)))+1)/(AY$3-(EDATE(AY$3,-12)+1)+1)))*$W11),MAX(0,AX11-$M11)))</f>
        <v/>
      </c>
      <c r="AZ11" s="64">
        <f>IF($K11="","",IF(AND($I11&lt;&gt;"",$I11&lt;=AY$3),0,AX11-AY11))</f>
        <v/>
      </c>
      <c r="BA11" s="63">
        <f>IF(OR($K11="",$H11=""),"",MIN(MAX(0,IF($O11="WDV",AZ11*$P11*MAX(0,(IF($I11="",BA$3,MIN($I11,BA$3)))-(MAX($H11,(EDATE(BA$3,-12)+1)))+1)/(BA$3-(EDATE(BA$3,-12)+1)+1),IF($N11=0,0,$Q11/$N11*MAX(0,(IF($I11="",BA$3,MIN($I11,BA$3)))-(MAX($H11,(EDATE(BA$3,-12)+1)))+1)/(BA$3-(EDATE(BA$3,-12)+1)+1)))*$W11),MAX(0,AZ11-$M11)))</f>
        <v/>
      </c>
      <c r="BB11" s="64">
        <f>IF($K11="","",IF(AND($I11&lt;&gt;"",$I11&lt;=BA$3),0,AZ11-BA11))</f>
        <v/>
      </c>
      <c r="BC11" s="63">
        <f>IF(OR($K11="",$H11=""),"",MIN(MAX(0,IF($O11="WDV",BB11*$P11*MAX(0,(IF($I11="",BC$3,MIN($I11,BC$3)))-(MAX($H11,(EDATE(BC$3,-12)+1)))+1)/(BC$3-(EDATE(BC$3,-12)+1)+1),IF($N11=0,0,$Q11/$N11*MAX(0,(IF($I11="",BC$3,MIN($I11,BC$3)))-(MAX($H11,(EDATE(BC$3,-12)+1)))+1)/(BC$3-(EDATE(BC$3,-12)+1)+1)))*$W11),MAX(0,BB11-$M11)))</f>
        <v/>
      </c>
      <c r="BD11" s="64">
        <f>IF($K11="","",IF(AND($I11&lt;&gt;"",$I11&lt;=BC$3),0,BB11-BC11))</f>
        <v/>
      </c>
      <c r="BE11" s="63">
        <f>IF(OR($K11="",$H11=""),"",MIN(MAX(0,IF($O11="WDV",BD11*$P11*MAX(0,(IF($I11="",BE$3,MIN($I11,BE$3)))-(MAX($H11,(EDATE(BE$3,-12)+1)))+1)/(BE$3-(EDATE(BE$3,-12)+1)+1),IF($N11=0,0,$Q11/$N11*MAX(0,(IF($I11="",BE$3,MIN($I11,BE$3)))-(MAX($H11,(EDATE(BE$3,-12)+1)))+1)/(BE$3-(EDATE(BE$3,-12)+1)+1)))*$W11),MAX(0,BD11-$M11)))</f>
        <v/>
      </c>
      <c r="BF11" s="64">
        <f>IF($K11="","",IF(AND($I11&lt;&gt;"",$I11&lt;=BE$3),0,BD11-BE11))</f>
        <v/>
      </c>
    </row>
    <row r="12">
      <c r="A12" s="65" t="inlineStr">
        <is>
          <t>FA-008</t>
        </is>
      </c>
      <c r="B12" s="66" t="inlineStr">
        <is>
          <t>Central AC Plant</t>
        </is>
      </c>
      <c r="C12" s="66" t="inlineStr">
        <is>
          <t>Air Conditioning Plant</t>
        </is>
      </c>
      <c r="D12" s="66" t="inlineStr">
        <is>
          <t>Mumbai HO</t>
        </is>
      </c>
      <c r="E12" s="67" t="inlineStr">
        <is>
          <t>Blue Star</t>
        </is>
      </c>
      <c r="F12" s="68" t="inlineStr">
        <is>
          <t>INV-AC-007</t>
        </is>
      </c>
      <c r="G12" s="69" t="n">
        <v>44256</v>
      </c>
      <c r="H12" s="69" t="n">
        <v>44265</v>
      </c>
      <c r="I12" s="70" t="n"/>
      <c r="J12" s="71" t="n"/>
      <c r="K12" s="72" t="n">
        <v>1500000</v>
      </c>
      <c r="L12" s="73">
        <f>DefaultResidual</f>
        <v/>
      </c>
      <c r="M12" s="74">
        <f>IF($K12="","",$K12*$L12)</f>
        <v/>
      </c>
      <c r="N12" s="22">
        <f>IF($C12="","",IFERROR(VLOOKUP($C12,ScheduleIITable,3,FALSE),"#N/A"))</f>
        <v/>
      </c>
      <c r="O12" s="75">
        <f>IF($K12="","",GlobalMethod)</f>
        <v/>
      </c>
      <c r="P12" s="23">
        <f>IF(OR($K12="",$N12="",$N12=0,$M12=0),0,1-($M12/$K12)^(1/$N12))</f>
        <v/>
      </c>
      <c r="Q12" s="74">
        <f>IF($K12="","",$K12-$M12)</f>
        <v/>
      </c>
      <c r="R12" s="76">
        <f>IF($K12="","",INDEX($AA12:$BF12,1,MATCH(ReportingFYEnd,$AA$3:$BF$3,0)))</f>
        <v/>
      </c>
      <c r="S12" s="74">
        <f>IF($K12="","",IF($U12="Disposed",0,$K12-$T12))</f>
        <v/>
      </c>
      <c r="T12" s="77">
        <f>IF($K12="","",INDEX($AA12:$BF12,1,MATCH(ReportingFYEnd,$AA$3:$BF$3,0)+1))</f>
        <v/>
      </c>
      <c r="U12" s="78">
        <f>IF($K12="","",IF(AND($I12&lt;&gt;"",$I12&lt;=ReportingFYEnd),"Disposed",IF(OR($H12="",$H12&gt;ReportingFYEnd),"Not Yet in Use","Active")))</f>
        <v/>
      </c>
      <c r="V12" s="79" t="inlineStr">
        <is>
          <t>Single</t>
        </is>
      </c>
      <c r="W12" s="80">
        <f>IF($V12="Double",1.5,IF($V12="Triple",2,1))</f>
        <v/>
      </c>
      <c r="X12" s="69" t="n"/>
      <c r="Y12" s="78">
        <f>IF($K12="","",IF(OR(ISNUMBER(SEARCH("Build",$C12)),ISNUMBER(SEARCH("Lease",$C12))),"Yes","NA"))</f>
        <v/>
      </c>
      <c r="Z12" s="21" t="n"/>
      <c r="AA12" s="81">
        <f>IF(OR($K12="",$H12=""),"",MIN(MAX(0,IF($O12="WDV",$K12*$P12*MAX(0,(IF($I12="",AA$3,MIN($I12,AA$3)))-(MAX($H12,(EDATE(AA$3,-12)+1)))+1)/(AA$3-(EDATE(AA$3,-12)+1)+1),IF($N12=0,0,$Q12/$N12*MAX(0,(IF($I12="",AA$3,MIN($I12,AA$3)))-(MAX($H12,(EDATE(AA$3,-12)+1)))+1)/(AA$3-(EDATE(AA$3,-12)+1)+1)))*$W12),MAX(0,$K12-$M12)))</f>
        <v/>
      </c>
      <c r="AB12" s="81">
        <f>IF($K12="","",IF(AND($I12&lt;&gt;"",$I12&lt;=AA$3),0,$K12-AA12))</f>
        <v/>
      </c>
      <c r="AC12" s="81">
        <f>IF(OR($K12="",$H12=""),"",MIN(MAX(0,IF($O12="WDV",AB12*$P12*MAX(0,(IF($I12="",AC$3,MIN($I12,AC$3)))-(MAX($H12,(EDATE(AC$3,-12)+1)))+1)/(AC$3-(EDATE(AC$3,-12)+1)+1),IF($N12=0,0,$Q12/$N12*MAX(0,(IF($I12="",AC$3,MIN($I12,AC$3)))-(MAX($H12,(EDATE(AC$3,-12)+1)))+1)/(AC$3-(EDATE(AC$3,-12)+1)+1)))*$W12),MAX(0,AB12-$M12)))</f>
        <v/>
      </c>
      <c r="AD12" s="81">
        <f>IF($K12="","",IF(AND($I12&lt;&gt;"",$I12&lt;=AC$3),0,AB12-AC12))</f>
        <v/>
      </c>
      <c r="AE12" s="81">
        <f>IF(OR($K12="",$H12=""),"",MIN(MAX(0,IF($O12="WDV",AD12*$P12*MAX(0,(IF($I12="",AE$3,MIN($I12,AE$3)))-(MAX($H12,(EDATE(AE$3,-12)+1)))+1)/(AE$3-(EDATE(AE$3,-12)+1)+1),IF($N12=0,0,$Q12/$N12*MAX(0,(IF($I12="",AE$3,MIN($I12,AE$3)))-(MAX($H12,(EDATE(AE$3,-12)+1)))+1)/(AE$3-(EDATE(AE$3,-12)+1)+1)))*$W12),MAX(0,AD12-$M12)))</f>
        <v/>
      </c>
      <c r="AF12" s="81">
        <f>IF($K12="","",IF(AND($I12&lt;&gt;"",$I12&lt;=AE$3),0,AD12-AE12))</f>
        <v/>
      </c>
      <c r="AG12" s="81">
        <f>IF(OR($K12="",$H12=""),"",MIN(MAX(0,IF($O12="WDV",AF12*$P12*MAX(0,(IF($I12="",AG$3,MIN($I12,AG$3)))-(MAX($H12,(EDATE(AG$3,-12)+1)))+1)/(AG$3-(EDATE(AG$3,-12)+1)+1),IF($N12=0,0,$Q12/$N12*MAX(0,(IF($I12="",AG$3,MIN($I12,AG$3)))-(MAX($H12,(EDATE(AG$3,-12)+1)))+1)/(AG$3-(EDATE(AG$3,-12)+1)+1)))*$W12),MAX(0,AF12-$M12)))</f>
        <v/>
      </c>
      <c r="AH12" s="81">
        <f>IF($K12="","",IF(AND($I12&lt;&gt;"",$I12&lt;=AG$3),0,AF12-AG12))</f>
        <v/>
      </c>
      <c r="AI12" s="81">
        <f>IF(OR($K12="",$H12=""),"",MIN(MAX(0,IF($O12="WDV",AH12*$P12*MAX(0,(IF($I12="",AI$3,MIN($I12,AI$3)))-(MAX($H12,(EDATE(AI$3,-12)+1)))+1)/(AI$3-(EDATE(AI$3,-12)+1)+1),IF($N12=0,0,$Q12/$N12*MAX(0,(IF($I12="",AI$3,MIN($I12,AI$3)))-(MAX($H12,(EDATE(AI$3,-12)+1)))+1)/(AI$3-(EDATE(AI$3,-12)+1)+1)))*$W12),MAX(0,AH12-$M12)))</f>
        <v/>
      </c>
      <c r="AJ12" s="81">
        <f>IF($K12="","",IF(AND($I12&lt;&gt;"",$I12&lt;=AI$3),0,AH12-AI12))</f>
        <v/>
      </c>
      <c r="AK12" s="81">
        <f>IF(OR($K12="",$H12=""),"",MIN(MAX(0,IF($O12="WDV",AJ12*$P12*MAX(0,(IF($I12="",AK$3,MIN($I12,AK$3)))-(MAX($H12,(EDATE(AK$3,-12)+1)))+1)/(AK$3-(EDATE(AK$3,-12)+1)+1),IF($N12=0,0,$Q12/$N12*MAX(0,(IF($I12="",AK$3,MIN($I12,AK$3)))-(MAX($H12,(EDATE(AK$3,-12)+1)))+1)/(AK$3-(EDATE(AK$3,-12)+1)+1)))*$W12),MAX(0,AJ12-$M12)))</f>
        <v/>
      </c>
      <c r="AL12" s="81">
        <f>IF($K12="","",IF(AND($I12&lt;&gt;"",$I12&lt;=AK$3),0,AJ12-AK12))</f>
        <v/>
      </c>
      <c r="AM12" s="81">
        <f>IF(OR($K12="",$H12=""),"",MIN(MAX(0,IF($O12="WDV",AL12*$P12*MAX(0,(IF($I12="",AM$3,MIN($I12,AM$3)))-(MAX($H12,(EDATE(AM$3,-12)+1)))+1)/(AM$3-(EDATE(AM$3,-12)+1)+1),IF($N12=0,0,$Q12/$N12*MAX(0,(IF($I12="",AM$3,MIN($I12,AM$3)))-(MAX($H12,(EDATE(AM$3,-12)+1)))+1)/(AM$3-(EDATE(AM$3,-12)+1)+1)))*$W12),MAX(0,AL12-$M12)))</f>
        <v/>
      </c>
      <c r="AN12" s="81">
        <f>IF($K12="","",IF(AND($I12&lt;&gt;"",$I12&lt;=AM$3),0,AL12-AM12))</f>
        <v/>
      </c>
      <c r="AO12" s="81">
        <f>IF(OR($K12="",$H12=""),"",MIN(MAX(0,IF($O12="WDV",AN12*$P12*MAX(0,(IF($I12="",AO$3,MIN($I12,AO$3)))-(MAX($H12,(EDATE(AO$3,-12)+1)))+1)/(AO$3-(EDATE(AO$3,-12)+1)+1),IF($N12=0,0,$Q12/$N12*MAX(0,(IF($I12="",AO$3,MIN($I12,AO$3)))-(MAX($H12,(EDATE(AO$3,-12)+1)))+1)/(AO$3-(EDATE(AO$3,-12)+1)+1)))*$W12),MAX(0,AN12-$M12)))</f>
        <v/>
      </c>
      <c r="AP12" s="81">
        <f>IF($K12="","",IF(AND($I12&lt;&gt;"",$I12&lt;=AO$3),0,AN12-AO12))</f>
        <v/>
      </c>
      <c r="AQ12" s="81">
        <f>IF(OR($K12="",$H12=""),"",MIN(MAX(0,IF($O12="WDV",AP12*$P12*MAX(0,(IF($I12="",AQ$3,MIN($I12,AQ$3)))-(MAX($H12,(EDATE(AQ$3,-12)+1)))+1)/(AQ$3-(EDATE(AQ$3,-12)+1)+1),IF($N12=0,0,$Q12/$N12*MAX(0,(IF($I12="",AQ$3,MIN($I12,AQ$3)))-(MAX($H12,(EDATE(AQ$3,-12)+1)))+1)/(AQ$3-(EDATE(AQ$3,-12)+1)+1)))*$W12),MAX(0,AP12-$M12)))</f>
        <v/>
      </c>
      <c r="AR12" s="81">
        <f>IF($K12="","",IF(AND($I12&lt;&gt;"",$I12&lt;=AQ$3),0,AP12-AQ12))</f>
        <v/>
      </c>
      <c r="AS12" s="81">
        <f>IF(OR($K12="",$H12=""),"",MIN(MAX(0,IF($O12="WDV",AR12*$P12*MAX(0,(IF($I12="",AS$3,MIN($I12,AS$3)))-(MAX($H12,(EDATE(AS$3,-12)+1)))+1)/(AS$3-(EDATE(AS$3,-12)+1)+1),IF($N12=0,0,$Q12/$N12*MAX(0,(IF($I12="",AS$3,MIN($I12,AS$3)))-(MAX($H12,(EDATE(AS$3,-12)+1)))+1)/(AS$3-(EDATE(AS$3,-12)+1)+1)))*$W12),MAX(0,AR12-$M12)))</f>
        <v/>
      </c>
      <c r="AT12" s="81">
        <f>IF($K12="","",IF(AND($I12&lt;&gt;"",$I12&lt;=AS$3),0,AR12-AS12))</f>
        <v/>
      </c>
      <c r="AU12" s="81">
        <f>IF(OR($K12="",$H12=""),"",MIN(MAX(0,IF($O12="WDV",AT12*$P12*MAX(0,(IF($I12="",AU$3,MIN($I12,AU$3)))-(MAX($H12,(EDATE(AU$3,-12)+1)))+1)/(AU$3-(EDATE(AU$3,-12)+1)+1),IF($N12=0,0,$Q12/$N12*MAX(0,(IF($I12="",AU$3,MIN($I12,AU$3)))-(MAX($H12,(EDATE(AU$3,-12)+1)))+1)/(AU$3-(EDATE(AU$3,-12)+1)+1)))*$W12),MAX(0,AT12-$M12)))</f>
        <v/>
      </c>
      <c r="AV12" s="81">
        <f>IF($K12="","",IF(AND($I12&lt;&gt;"",$I12&lt;=AU$3),0,AT12-AU12))</f>
        <v/>
      </c>
      <c r="AW12" s="81">
        <f>IF(OR($K12="",$H12=""),"",MIN(MAX(0,IF($O12="WDV",AV12*$P12*MAX(0,(IF($I12="",AW$3,MIN($I12,AW$3)))-(MAX($H12,(EDATE(AW$3,-12)+1)))+1)/(AW$3-(EDATE(AW$3,-12)+1)+1),IF($N12=0,0,$Q12/$N12*MAX(0,(IF($I12="",AW$3,MIN($I12,AW$3)))-(MAX($H12,(EDATE(AW$3,-12)+1)))+1)/(AW$3-(EDATE(AW$3,-12)+1)+1)))*$W12),MAX(0,AV12-$M12)))</f>
        <v/>
      </c>
      <c r="AX12" s="81">
        <f>IF($K12="","",IF(AND($I12&lt;&gt;"",$I12&lt;=AW$3),0,AV12-AW12))</f>
        <v/>
      </c>
      <c r="AY12" s="81">
        <f>IF(OR($K12="",$H12=""),"",MIN(MAX(0,IF($O12="WDV",AX12*$P12*MAX(0,(IF($I12="",AY$3,MIN($I12,AY$3)))-(MAX($H12,(EDATE(AY$3,-12)+1)))+1)/(AY$3-(EDATE(AY$3,-12)+1)+1),IF($N12=0,0,$Q12/$N12*MAX(0,(IF($I12="",AY$3,MIN($I12,AY$3)))-(MAX($H12,(EDATE(AY$3,-12)+1)))+1)/(AY$3-(EDATE(AY$3,-12)+1)+1)))*$W12),MAX(0,AX12-$M12)))</f>
        <v/>
      </c>
      <c r="AZ12" s="81">
        <f>IF($K12="","",IF(AND($I12&lt;&gt;"",$I12&lt;=AY$3),0,AX12-AY12))</f>
        <v/>
      </c>
      <c r="BA12" s="81">
        <f>IF(OR($K12="",$H12=""),"",MIN(MAX(0,IF($O12="WDV",AZ12*$P12*MAX(0,(IF($I12="",BA$3,MIN($I12,BA$3)))-(MAX($H12,(EDATE(BA$3,-12)+1)))+1)/(BA$3-(EDATE(BA$3,-12)+1)+1),IF($N12=0,0,$Q12/$N12*MAX(0,(IF($I12="",BA$3,MIN($I12,BA$3)))-(MAX($H12,(EDATE(BA$3,-12)+1)))+1)/(BA$3-(EDATE(BA$3,-12)+1)+1)))*$W12),MAX(0,AZ12-$M12)))</f>
        <v/>
      </c>
      <c r="BB12" s="81">
        <f>IF($K12="","",IF(AND($I12&lt;&gt;"",$I12&lt;=BA$3),0,AZ12-BA12))</f>
        <v/>
      </c>
      <c r="BC12" s="81">
        <f>IF(OR($K12="",$H12=""),"",MIN(MAX(0,IF($O12="WDV",BB12*$P12*MAX(0,(IF($I12="",BC$3,MIN($I12,BC$3)))-(MAX($H12,(EDATE(BC$3,-12)+1)))+1)/(BC$3-(EDATE(BC$3,-12)+1)+1),IF($N12=0,0,$Q12/$N12*MAX(0,(IF($I12="",BC$3,MIN($I12,BC$3)))-(MAX($H12,(EDATE(BC$3,-12)+1)))+1)/(BC$3-(EDATE(BC$3,-12)+1)+1)))*$W12),MAX(0,BB12-$M12)))</f>
        <v/>
      </c>
      <c r="BD12" s="81">
        <f>IF($K12="","",IF(AND($I12&lt;&gt;"",$I12&lt;=BC$3),0,BB12-BC12))</f>
        <v/>
      </c>
      <c r="BE12" s="81">
        <f>IF(OR($K12="",$H12=""),"",MIN(MAX(0,IF($O12="WDV",BD12*$P12*MAX(0,(IF($I12="",BE$3,MIN($I12,BE$3)))-(MAX($H12,(EDATE(BE$3,-12)+1)))+1)/(BE$3-(EDATE(BE$3,-12)+1)+1),IF($N12=0,0,$Q12/$N12*MAX(0,(IF($I12="",BE$3,MIN($I12,BE$3)))-(MAX($H12,(EDATE(BE$3,-12)+1)))+1)/(BE$3-(EDATE(BE$3,-12)+1)+1)))*$W12),MAX(0,BD12-$M12)))</f>
        <v/>
      </c>
      <c r="BF12" s="81">
        <f>IF($K12="","",IF(AND($I12&lt;&gt;"",$I12&lt;=BE$3),0,BD12-BE12))</f>
        <v/>
      </c>
    </row>
    <row r="13">
      <c r="A13" s="44" t="inlineStr">
        <is>
          <t>FA-009</t>
        </is>
      </c>
      <c r="B13" s="45" t="inlineStr">
        <is>
          <t>Electrical Installation</t>
        </is>
      </c>
      <c r="C13" s="45" t="inlineStr">
        <is>
          <t>Electrical Installations</t>
        </is>
      </c>
      <c r="D13" s="45" t="inlineStr">
        <is>
          <t>Pune Plant</t>
        </is>
      </c>
      <c r="E13" s="46" t="inlineStr">
        <is>
          <t>Schneider</t>
        </is>
      </c>
      <c r="F13" s="47" t="inlineStr">
        <is>
          <t>INV-EL-033</t>
        </is>
      </c>
      <c r="G13" s="48" t="n">
        <v>44044</v>
      </c>
      <c r="H13" s="48" t="n">
        <v>44075</v>
      </c>
      <c r="I13" s="49" t="n"/>
      <c r="J13" s="50" t="n"/>
      <c r="K13" s="51" t="n">
        <v>2200000</v>
      </c>
      <c r="L13" s="52">
        <f>DefaultResidual</f>
        <v/>
      </c>
      <c r="M13" s="53">
        <f>IF($K13="","",$K13*$L13)</f>
        <v/>
      </c>
      <c r="N13" s="54">
        <f>IF($C13="","",IFERROR(VLOOKUP($C13,ScheduleIITable,3,FALSE),"#N/A"))</f>
        <v/>
      </c>
      <c r="O13" s="55">
        <f>IF($K13="","",GlobalMethod)</f>
        <v/>
      </c>
      <c r="P13" s="56">
        <f>IF(OR($K13="",$N13="",$N13=0,$M13=0),0,1-($M13/$K13)^(1/$N13))</f>
        <v/>
      </c>
      <c r="Q13" s="53">
        <f>IF($K13="","",$K13-$M13)</f>
        <v/>
      </c>
      <c r="R13" s="57">
        <f>IF($K13="","",INDEX($AA13:$BF13,1,MATCH(ReportingFYEnd,$AA$3:$BF$3,0)))</f>
        <v/>
      </c>
      <c r="S13" s="53">
        <f>IF($K13="","",IF($U13="Disposed",0,$K13-$T13))</f>
        <v/>
      </c>
      <c r="T13" s="58">
        <f>IF($K13="","",INDEX($AA13:$BF13,1,MATCH(ReportingFYEnd,$AA$3:$BF$3,0)+1))</f>
        <v/>
      </c>
      <c r="U13" s="59">
        <f>IF($K13="","",IF(AND($I13&lt;&gt;"",$I13&lt;=ReportingFYEnd),"Disposed",IF(OR($H13="",$H13&gt;ReportingFYEnd),"Not Yet in Use","Active")))</f>
        <v/>
      </c>
      <c r="V13" s="60" t="inlineStr">
        <is>
          <t>Single</t>
        </is>
      </c>
      <c r="W13" s="61">
        <f>IF($V13="Double",1.5,IF($V13="Triple",2,1))</f>
        <v/>
      </c>
      <c r="X13" s="48" t="n"/>
      <c r="Y13" s="59">
        <f>IF($K13="","",IF(OR(ISNUMBER(SEARCH("Build",$C13)),ISNUMBER(SEARCH("Lease",$C13))),"Yes","NA"))</f>
        <v/>
      </c>
      <c r="Z13" s="62" t="n"/>
      <c r="AA13" s="63">
        <f>IF(OR($K13="",$H13=""),"",MIN(MAX(0,IF($O13="WDV",$K13*$P13*MAX(0,(IF($I13="",AA$3,MIN($I13,AA$3)))-(MAX($H13,(EDATE(AA$3,-12)+1)))+1)/(AA$3-(EDATE(AA$3,-12)+1)+1),IF($N13=0,0,$Q13/$N13*MAX(0,(IF($I13="",AA$3,MIN($I13,AA$3)))-(MAX($H13,(EDATE(AA$3,-12)+1)))+1)/(AA$3-(EDATE(AA$3,-12)+1)+1)))*$W13),MAX(0,$K13-$M13)))</f>
        <v/>
      </c>
      <c r="AB13" s="64">
        <f>IF($K13="","",IF(AND($I13&lt;&gt;"",$I13&lt;=AA$3),0,$K13-AA13))</f>
        <v/>
      </c>
      <c r="AC13" s="63">
        <f>IF(OR($K13="",$H13=""),"",MIN(MAX(0,IF($O13="WDV",AB13*$P13*MAX(0,(IF($I13="",AC$3,MIN($I13,AC$3)))-(MAX($H13,(EDATE(AC$3,-12)+1)))+1)/(AC$3-(EDATE(AC$3,-12)+1)+1),IF($N13=0,0,$Q13/$N13*MAX(0,(IF($I13="",AC$3,MIN($I13,AC$3)))-(MAX($H13,(EDATE(AC$3,-12)+1)))+1)/(AC$3-(EDATE(AC$3,-12)+1)+1)))*$W13),MAX(0,AB13-$M13)))</f>
        <v/>
      </c>
      <c r="AD13" s="64">
        <f>IF($K13="","",IF(AND($I13&lt;&gt;"",$I13&lt;=AC$3),0,AB13-AC13))</f>
        <v/>
      </c>
      <c r="AE13" s="63">
        <f>IF(OR($K13="",$H13=""),"",MIN(MAX(0,IF($O13="WDV",AD13*$P13*MAX(0,(IF($I13="",AE$3,MIN($I13,AE$3)))-(MAX($H13,(EDATE(AE$3,-12)+1)))+1)/(AE$3-(EDATE(AE$3,-12)+1)+1),IF($N13=0,0,$Q13/$N13*MAX(0,(IF($I13="",AE$3,MIN($I13,AE$3)))-(MAX($H13,(EDATE(AE$3,-12)+1)))+1)/(AE$3-(EDATE(AE$3,-12)+1)+1)))*$W13),MAX(0,AD13-$M13)))</f>
        <v/>
      </c>
      <c r="AF13" s="64">
        <f>IF($K13="","",IF(AND($I13&lt;&gt;"",$I13&lt;=AE$3),0,AD13-AE13))</f>
        <v/>
      </c>
      <c r="AG13" s="63">
        <f>IF(OR($K13="",$H13=""),"",MIN(MAX(0,IF($O13="WDV",AF13*$P13*MAX(0,(IF($I13="",AG$3,MIN($I13,AG$3)))-(MAX($H13,(EDATE(AG$3,-12)+1)))+1)/(AG$3-(EDATE(AG$3,-12)+1)+1),IF($N13=0,0,$Q13/$N13*MAX(0,(IF($I13="",AG$3,MIN($I13,AG$3)))-(MAX($H13,(EDATE(AG$3,-12)+1)))+1)/(AG$3-(EDATE(AG$3,-12)+1)+1)))*$W13),MAX(0,AF13-$M13)))</f>
        <v/>
      </c>
      <c r="AH13" s="64">
        <f>IF($K13="","",IF(AND($I13&lt;&gt;"",$I13&lt;=AG$3),0,AF13-AG13))</f>
        <v/>
      </c>
      <c r="AI13" s="63">
        <f>IF(OR($K13="",$H13=""),"",MIN(MAX(0,IF($O13="WDV",AH13*$P13*MAX(0,(IF($I13="",AI$3,MIN($I13,AI$3)))-(MAX($H13,(EDATE(AI$3,-12)+1)))+1)/(AI$3-(EDATE(AI$3,-12)+1)+1),IF($N13=0,0,$Q13/$N13*MAX(0,(IF($I13="",AI$3,MIN($I13,AI$3)))-(MAX($H13,(EDATE(AI$3,-12)+1)))+1)/(AI$3-(EDATE(AI$3,-12)+1)+1)))*$W13),MAX(0,AH13-$M13)))</f>
        <v/>
      </c>
      <c r="AJ13" s="64">
        <f>IF($K13="","",IF(AND($I13&lt;&gt;"",$I13&lt;=AI$3),0,AH13-AI13))</f>
        <v/>
      </c>
      <c r="AK13" s="63">
        <f>IF(OR($K13="",$H13=""),"",MIN(MAX(0,IF($O13="WDV",AJ13*$P13*MAX(0,(IF($I13="",AK$3,MIN($I13,AK$3)))-(MAX($H13,(EDATE(AK$3,-12)+1)))+1)/(AK$3-(EDATE(AK$3,-12)+1)+1),IF($N13=0,0,$Q13/$N13*MAX(0,(IF($I13="",AK$3,MIN($I13,AK$3)))-(MAX($H13,(EDATE(AK$3,-12)+1)))+1)/(AK$3-(EDATE(AK$3,-12)+1)+1)))*$W13),MAX(0,AJ13-$M13)))</f>
        <v/>
      </c>
      <c r="AL13" s="64">
        <f>IF($K13="","",IF(AND($I13&lt;&gt;"",$I13&lt;=AK$3),0,AJ13-AK13))</f>
        <v/>
      </c>
      <c r="AM13" s="63">
        <f>IF(OR($K13="",$H13=""),"",MIN(MAX(0,IF($O13="WDV",AL13*$P13*MAX(0,(IF($I13="",AM$3,MIN($I13,AM$3)))-(MAX($H13,(EDATE(AM$3,-12)+1)))+1)/(AM$3-(EDATE(AM$3,-12)+1)+1),IF($N13=0,0,$Q13/$N13*MAX(0,(IF($I13="",AM$3,MIN($I13,AM$3)))-(MAX($H13,(EDATE(AM$3,-12)+1)))+1)/(AM$3-(EDATE(AM$3,-12)+1)+1)))*$W13),MAX(0,AL13-$M13)))</f>
        <v/>
      </c>
      <c r="AN13" s="64">
        <f>IF($K13="","",IF(AND($I13&lt;&gt;"",$I13&lt;=AM$3),0,AL13-AM13))</f>
        <v/>
      </c>
      <c r="AO13" s="63">
        <f>IF(OR($K13="",$H13=""),"",MIN(MAX(0,IF($O13="WDV",AN13*$P13*MAX(0,(IF($I13="",AO$3,MIN($I13,AO$3)))-(MAX($H13,(EDATE(AO$3,-12)+1)))+1)/(AO$3-(EDATE(AO$3,-12)+1)+1),IF($N13=0,0,$Q13/$N13*MAX(0,(IF($I13="",AO$3,MIN($I13,AO$3)))-(MAX($H13,(EDATE(AO$3,-12)+1)))+1)/(AO$3-(EDATE(AO$3,-12)+1)+1)))*$W13),MAX(0,AN13-$M13)))</f>
        <v/>
      </c>
      <c r="AP13" s="64">
        <f>IF($K13="","",IF(AND($I13&lt;&gt;"",$I13&lt;=AO$3),0,AN13-AO13))</f>
        <v/>
      </c>
      <c r="AQ13" s="63">
        <f>IF(OR($K13="",$H13=""),"",MIN(MAX(0,IF($O13="WDV",AP13*$P13*MAX(0,(IF($I13="",AQ$3,MIN($I13,AQ$3)))-(MAX($H13,(EDATE(AQ$3,-12)+1)))+1)/(AQ$3-(EDATE(AQ$3,-12)+1)+1),IF($N13=0,0,$Q13/$N13*MAX(0,(IF($I13="",AQ$3,MIN($I13,AQ$3)))-(MAX($H13,(EDATE(AQ$3,-12)+1)))+1)/(AQ$3-(EDATE(AQ$3,-12)+1)+1)))*$W13),MAX(0,AP13-$M13)))</f>
        <v/>
      </c>
      <c r="AR13" s="64">
        <f>IF($K13="","",IF(AND($I13&lt;&gt;"",$I13&lt;=AQ$3),0,AP13-AQ13))</f>
        <v/>
      </c>
      <c r="AS13" s="63">
        <f>IF(OR($K13="",$H13=""),"",MIN(MAX(0,IF($O13="WDV",AR13*$P13*MAX(0,(IF($I13="",AS$3,MIN($I13,AS$3)))-(MAX($H13,(EDATE(AS$3,-12)+1)))+1)/(AS$3-(EDATE(AS$3,-12)+1)+1),IF($N13=0,0,$Q13/$N13*MAX(0,(IF($I13="",AS$3,MIN($I13,AS$3)))-(MAX($H13,(EDATE(AS$3,-12)+1)))+1)/(AS$3-(EDATE(AS$3,-12)+1)+1)))*$W13),MAX(0,AR13-$M13)))</f>
        <v/>
      </c>
      <c r="AT13" s="64">
        <f>IF($K13="","",IF(AND($I13&lt;&gt;"",$I13&lt;=AS$3),0,AR13-AS13))</f>
        <v/>
      </c>
      <c r="AU13" s="63">
        <f>IF(OR($K13="",$H13=""),"",MIN(MAX(0,IF($O13="WDV",AT13*$P13*MAX(0,(IF($I13="",AU$3,MIN($I13,AU$3)))-(MAX($H13,(EDATE(AU$3,-12)+1)))+1)/(AU$3-(EDATE(AU$3,-12)+1)+1),IF($N13=0,0,$Q13/$N13*MAX(0,(IF($I13="",AU$3,MIN($I13,AU$3)))-(MAX($H13,(EDATE(AU$3,-12)+1)))+1)/(AU$3-(EDATE(AU$3,-12)+1)+1)))*$W13),MAX(0,AT13-$M13)))</f>
        <v/>
      </c>
      <c r="AV13" s="64">
        <f>IF($K13="","",IF(AND($I13&lt;&gt;"",$I13&lt;=AU$3),0,AT13-AU13))</f>
        <v/>
      </c>
      <c r="AW13" s="63">
        <f>IF(OR($K13="",$H13=""),"",MIN(MAX(0,IF($O13="WDV",AV13*$P13*MAX(0,(IF($I13="",AW$3,MIN($I13,AW$3)))-(MAX($H13,(EDATE(AW$3,-12)+1)))+1)/(AW$3-(EDATE(AW$3,-12)+1)+1),IF($N13=0,0,$Q13/$N13*MAX(0,(IF($I13="",AW$3,MIN($I13,AW$3)))-(MAX($H13,(EDATE(AW$3,-12)+1)))+1)/(AW$3-(EDATE(AW$3,-12)+1)+1)))*$W13),MAX(0,AV13-$M13)))</f>
        <v/>
      </c>
      <c r="AX13" s="64">
        <f>IF($K13="","",IF(AND($I13&lt;&gt;"",$I13&lt;=AW$3),0,AV13-AW13))</f>
        <v/>
      </c>
      <c r="AY13" s="63">
        <f>IF(OR($K13="",$H13=""),"",MIN(MAX(0,IF($O13="WDV",AX13*$P13*MAX(0,(IF($I13="",AY$3,MIN($I13,AY$3)))-(MAX($H13,(EDATE(AY$3,-12)+1)))+1)/(AY$3-(EDATE(AY$3,-12)+1)+1),IF($N13=0,0,$Q13/$N13*MAX(0,(IF($I13="",AY$3,MIN($I13,AY$3)))-(MAX($H13,(EDATE(AY$3,-12)+1)))+1)/(AY$3-(EDATE(AY$3,-12)+1)+1)))*$W13),MAX(0,AX13-$M13)))</f>
        <v/>
      </c>
      <c r="AZ13" s="64">
        <f>IF($K13="","",IF(AND($I13&lt;&gt;"",$I13&lt;=AY$3),0,AX13-AY13))</f>
        <v/>
      </c>
      <c r="BA13" s="63">
        <f>IF(OR($K13="",$H13=""),"",MIN(MAX(0,IF($O13="WDV",AZ13*$P13*MAX(0,(IF($I13="",BA$3,MIN($I13,BA$3)))-(MAX($H13,(EDATE(BA$3,-12)+1)))+1)/(BA$3-(EDATE(BA$3,-12)+1)+1),IF($N13=0,0,$Q13/$N13*MAX(0,(IF($I13="",BA$3,MIN($I13,BA$3)))-(MAX($H13,(EDATE(BA$3,-12)+1)))+1)/(BA$3-(EDATE(BA$3,-12)+1)+1)))*$W13),MAX(0,AZ13-$M13)))</f>
        <v/>
      </c>
      <c r="BB13" s="64">
        <f>IF($K13="","",IF(AND($I13&lt;&gt;"",$I13&lt;=BA$3),0,AZ13-BA13))</f>
        <v/>
      </c>
      <c r="BC13" s="63">
        <f>IF(OR($K13="",$H13=""),"",MIN(MAX(0,IF($O13="WDV",BB13*$P13*MAX(0,(IF($I13="",BC$3,MIN($I13,BC$3)))-(MAX($H13,(EDATE(BC$3,-12)+1)))+1)/(BC$3-(EDATE(BC$3,-12)+1)+1),IF($N13=0,0,$Q13/$N13*MAX(0,(IF($I13="",BC$3,MIN($I13,BC$3)))-(MAX($H13,(EDATE(BC$3,-12)+1)))+1)/(BC$3-(EDATE(BC$3,-12)+1)+1)))*$W13),MAX(0,BB13-$M13)))</f>
        <v/>
      </c>
      <c r="BD13" s="64">
        <f>IF($K13="","",IF(AND($I13&lt;&gt;"",$I13&lt;=BC$3),0,BB13-BC13))</f>
        <v/>
      </c>
      <c r="BE13" s="63">
        <f>IF(OR($K13="",$H13=""),"",MIN(MAX(0,IF($O13="WDV",BD13*$P13*MAX(0,(IF($I13="",BE$3,MIN($I13,BE$3)))-(MAX($H13,(EDATE(BE$3,-12)+1)))+1)/(BE$3-(EDATE(BE$3,-12)+1)+1),IF($N13=0,0,$Q13/$N13*MAX(0,(IF($I13="",BE$3,MIN($I13,BE$3)))-(MAX($H13,(EDATE(BE$3,-12)+1)))+1)/(BE$3-(EDATE(BE$3,-12)+1)+1)))*$W13),MAX(0,BD13-$M13)))</f>
        <v/>
      </c>
      <c r="BF13" s="64">
        <f>IF($K13="","",IF(AND($I13&lt;&gt;"",$I13&lt;=BE$3),0,BD13-BE13))</f>
        <v/>
      </c>
    </row>
    <row r="14">
      <c r="A14" s="65" t="inlineStr">
        <is>
          <t>FA-010</t>
        </is>
      </c>
      <c r="B14" s="66" t="inlineStr">
        <is>
          <t>Delivery Van (disposed)</t>
        </is>
      </c>
      <c r="C14" s="66" t="inlineStr">
        <is>
          <t>Motor Vehicles - Commercial</t>
        </is>
      </c>
      <c r="D14" s="66" t="inlineStr">
        <is>
          <t>Pune Plant</t>
        </is>
      </c>
      <c r="E14" s="67" t="inlineStr">
        <is>
          <t>Tata Motors</t>
        </is>
      </c>
      <c r="F14" s="68" t="inlineStr">
        <is>
          <t>INV-MV-020</t>
        </is>
      </c>
      <c r="G14" s="69" t="n">
        <v>43983</v>
      </c>
      <c r="H14" s="69" t="n">
        <v>43992</v>
      </c>
      <c r="I14" s="70" t="n">
        <v>45565</v>
      </c>
      <c r="J14" s="71" t="n">
        <v>350000</v>
      </c>
      <c r="K14" s="72" t="n">
        <v>1400000</v>
      </c>
      <c r="L14" s="73">
        <f>DefaultResidual</f>
        <v/>
      </c>
      <c r="M14" s="74">
        <f>IF($K14="","",$K14*$L14)</f>
        <v/>
      </c>
      <c r="N14" s="22">
        <f>IF($C14="","",IFERROR(VLOOKUP($C14,ScheduleIITable,3,FALSE),"#N/A"))</f>
        <v/>
      </c>
      <c r="O14" s="75">
        <f>IF($K14="","",GlobalMethod)</f>
        <v/>
      </c>
      <c r="P14" s="23">
        <f>IF(OR($K14="",$N14="",$N14=0,$M14=0),0,1-($M14/$K14)^(1/$N14))</f>
        <v/>
      </c>
      <c r="Q14" s="74">
        <f>IF($K14="","",$K14-$M14)</f>
        <v/>
      </c>
      <c r="R14" s="76">
        <f>IF($K14="","",INDEX($AA14:$BF14,1,MATCH(ReportingFYEnd,$AA$3:$BF$3,0)))</f>
        <v/>
      </c>
      <c r="S14" s="74">
        <f>IF($K14="","",IF($U14="Disposed",0,$K14-$T14))</f>
        <v/>
      </c>
      <c r="T14" s="77">
        <f>IF($K14="","",INDEX($AA14:$BF14,1,MATCH(ReportingFYEnd,$AA$3:$BF$3,0)+1))</f>
        <v/>
      </c>
      <c r="U14" s="78">
        <f>IF($K14="","",IF(AND($I14&lt;&gt;"",$I14&lt;=ReportingFYEnd),"Disposed",IF(OR($H14="",$H14&gt;ReportingFYEnd),"Not Yet in Use","Active")))</f>
        <v/>
      </c>
      <c r="V14" s="79" t="inlineStr">
        <is>
          <t>Single</t>
        </is>
      </c>
      <c r="W14" s="80">
        <f>IF($V14="Double",1.5,IF($V14="Triple",2,1))</f>
        <v/>
      </c>
      <c r="X14" s="69" t="n"/>
      <c r="Y14" s="78">
        <f>IF($K14="","",IF(OR(ISNUMBER(SEARCH("Build",$C14)),ISNUMBER(SEARCH("Lease",$C14))),"Yes","NA"))</f>
        <v/>
      </c>
      <c r="Z14" s="21" t="n"/>
      <c r="AA14" s="81">
        <f>IF(OR($K14="",$H14=""),"",MIN(MAX(0,IF($O14="WDV",$K14*$P14*MAX(0,(IF($I14="",AA$3,MIN($I14,AA$3)))-(MAX($H14,(EDATE(AA$3,-12)+1)))+1)/(AA$3-(EDATE(AA$3,-12)+1)+1),IF($N14=0,0,$Q14/$N14*MAX(0,(IF($I14="",AA$3,MIN($I14,AA$3)))-(MAX($H14,(EDATE(AA$3,-12)+1)))+1)/(AA$3-(EDATE(AA$3,-12)+1)+1)))*$W14),MAX(0,$K14-$M14)))</f>
        <v/>
      </c>
      <c r="AB14" s="81">
        <f>IF($K14="","",IF(AND($I14&lt;&gt;"",$I14&lt;=AA$3),0,$K14-AA14))</f>
        <v/>
      </c>
      <c r="AC14" s="81">
        <f>IF(OR($K14="",$H14=""),"",MIN(MAX(0,IF($O14="WDV",AB14*$P14*MAX(0,(IF($I14="",AC$3,MIN($I14,AC$3)))-(MAX($H14,(EDATE(AC$3,-12)+1)))+1)/(AC$3-(EDATE(AC$3,-12)+1)+1),IF($N14=0,0,$Q14/$N14*MAX(0,(IF($I14="",AC$3,MIN($I14,AC$3)))-(MAX($H14,(EDATE(AC$3,-12)+1)))+1)/(AC$3-(EDATE(AC$3,-12)+1)+1)))*$W14),MAX(0,AB14-$M14)))</f>
        <v/>
      </c>
      <c r="AD14" s="81">
        <f>IF($K14="","",IF(AND($I14&lt;&gt;"",$I14&lt;=AC$3),0,AB14-AC14))</f>
        <v/>
      </c>
      <c r="AE14" s="81">
        <f>IF(OR($K14="",$H14=""),"",MIN(MAX(0,IF($O14="WDV",AD14*$P14*MAX(0,(IF($I14="",AE$3,MIN($I14,AE$3)))-(MAX($H14,(EDATE(AE$3,-12)+1)))+1)/(AE$3-(EDATE(AE$3,-12)+1)+1),IF($N14=0,0,$Q14/$N14*MAX(0,(IF($I14="",AE$3,MIN($I14,AE$3)))-(MAX($H14,(EDATE(AE$3,-12)+1)))+1)/(AE$3-(EDATE(AE$3,-12)+1)+1)))*$W14),MAX(0,AD14-$M14)))</f>
        <v/>
      </c>
      <c r="AF14" s="81">
        <f>IF($K14="","",IF(AND($I14&lt;&gt;"",$I14&lt;=AE$3),0,AD14-AE14))</f>
        <v/>
      </c>
      <c r="AG14" s="81">
        <f>IF(OR($K14="",$H14=""),"",MIN(MAX(0,IF($O14="WDV",AF14*$P14*MAX(0,(IF($I14="",AG$3,MIN($I14,AG$3)))-(MAX($H14,(EDATE(AG$3,-12)+1)))+1)/(AG$3-(EDATE(AG$3,-12)+1)+1),IF($N14=0,0,$Q14/$N14*MAX(0,(IF($I14="",AG$3,MIN($I14,AG$3)))-(MAX($H14,(EDATE(AG$3,-12)+1)))+1)/(AG$3-(EDATE(AG$3,-12)+1)+1)))*$W14),MAX(0,AF14-$M14)))</f>
        <v/>
      </c>
      <c r="AH14" s="81">
        <f>IF($K14="","",IF(AND($I14&lt;&gt;"",$I14&lt;=AG$3),0,AF14-AG14))</f>
        <v/>
      </c>
      <c r="AI14" s="81">
        <f>IF(OR($K14="",$H14=""),"",MIN(MAX(0,IF($O14="WDV",AH14*$P14*MAX(0,(IF($I14="",AI$3,MIN($I14,AI$3)))-(MAX($H14,(EDATE(AI$3,-12)+1)))+1)/(AI$3-(EDATE(AI$3,-12)+1)+1),IF($N14=0,0,$Q14/$N14*MAX(0,(IF($I14="",AI$3,MIN($I14,AI$3)))-(MAX($H14,(EDATE(AI$3,-12)+1)))+1)/(AI$3-(EDATE(AI$3,-12)+1)+1)))*$W14),MAX(0,AH14-$M14)))</f>
        <v/>
      </c>
      <c r="AJ14" s="81">
        <f>IF($K14="","",IF(AND($I14&lt;&gt;"",$I14&lt;=AI$3),0,AH14-AI14))</f>
        <v/>
      </c>
      <c r="AK14" s="81">
        <f>IF(OR($K14="",$H14=""),"",MIN(MAX(0,IF($O14="WDV",AJ14*$P14*MAX(0,(IF($I14="",AK$3,MIN($I14,AK$3)))-(MAX($H14,(EDATE(AK$3,-12)+1)))+1)/(AK$3-(EDATE(AK$3,-12)+1)+1),IF($N14=0,0,$Q14/$N14*MAX(0,(IF($I14="",AK$3,MIN($I14,AK$3)))-(MAX($H14,(EDATE(AK$3,-12)+1)))+1)/(AK$3-(EDATE(AK$3,-12)+1)+1)))*$W14),MAX(0,AJ14-$M14)))</f>
        <v/>
      </c>
      <c r="AL14" s="81">
        <f>IF($K14="","",IF(AND($I14&lt;&gt;"",$I14&lt;=AK$3),0,AJ14-AK14))</f>
        <v/>
      </c>
      <c r="AM14" s="81">
        <f>IF(OR($K14="",$H14=""),"",MIN(MAX(0,IF($O14="WDV",AL14*$P14*MAX(0,(IF($I14="",AM$3,MIN($I14,AM$3)))-(MAX($H14,(EDATE(AM$3,-12)+1)))+1)/(AM$3-(EDATE(AM$3,-12)+1)+1),IF($N14=0,0,$Q14/$N14*MAX(0,(IF($I14="",AM$3,MIN($I14,AM$3)))-(MAX($H14,(EDATE(AM$3,-12)+1)))+1)/(AM$3-(EDATE(AM$3,-12)+1)+1)))*$W14),MAX(0,AL14-$M14)))</f>
        <v/>
      </c>
      <c r="AN14" s="81">
        <f>IF($K14="","",IF(AND($I14&lt;&gt;"",$I14&lt;=AM$3),0,AL14-AM14))</f>
        <v/>
      </c>
      <c r="AO14" s="81">
        <f>IF(OR($K14="",$H14=""),"",MIN(MAX(0,IF($O14="WDV",AN14*$P14*MAX(0,(IF($I14="",AO$3,MIN($I14,AO$3)))-(MAX($H14,(EDATE(AO$3,-12)+1)))+1)/(AO$3-(EDATE(AO$3,-12)+1)+1),IF($N14=0,0,$Q14/$N14*MAX(0,(IF($I14="",AO$3,MIN($I14,AO$3)))-(MAX($H14,(EDATE(AO$3,-12)+1)))+1)/(AO$3-(EDATE(AO$3,-12)+1)+1)))*$W14),MAX(0,AN14-$M14)))</f>
        <v/>
      </c>
      <c r="AP14" s="81">
        <f>IF($K14="","",IF(AND($I14&lt;&gt;"",$I14&lt;=AO$3),0,AN14-AO14))</f>
        <v/>
      </c>
      <c r="AQ14" s="81">
        <f>IF(OR($K14="",$H14=""),"",MIN(MAX(0,IF($O14="WDV",AP14*$P14*MAX(0,(IF($I14="",AQ$3,MIN($I14,AQ$3)))-(MAX($H14,(EDATE(AQ$3,-12)+1)))+1)/(AQ$3-(EDATE(AQ$3,-12)+1)+1),IF($N14=0,0,$Q14/$N14*MAX(0,(IF($I14="",AQ$3,MIN($I14,AQ$3)))-(MAX($H14,(EDATE(AQ$3,-12)+1)))+1)/(AQ$3-(EDATE(AQ$3,-12)+1)+1)))*$W14),MAX(0,AP14-$M14)))</f>
        <v/>
      </c>
      <c r="AR14" s="81">
        <f>IF($K14="","",IF(AND($I14&lt;&gt;"",$I14&lt;=AQ$3),0,AP14-AQ14))</f>
        <v/>
      </c>
      <c r="AS14" s="81">
        <f>IF(OR($K14="",$H14=""),"",MIN(MAX(0,IF($O14="WDV",AR14*$P14*MAX(0,(IF($I14="",AS$3,MIN($I14,AS$3)))-(MAX($H14,(EDATE(AS$3,-12)+1)))+1)/(AS$3-(EDATE(AS$3,-12)+1)+1),IF($N14=0,0,$Q14/$N14*MAX(0,(IF($I14="",AS$3,MIN($I14,AS$3)))-(MAX($H14,(EDATE(AS$3,-12)+1)))+1)/(AS$3-(EDATE(AS$3,-12)+1)+1)))*$W14),MAX(0,AR14-$M14)))</f>
        <v/>
      </c>
      <c r="AT14" s="81">
        <f>IF($K14="","",IF(AND($I14&lt;&gt;"",$I14&lt;=AS$3),0,AR14-AS14))</f>
        <v/>
      </c>
      <c r="AU14" s="81">
        <f>IF(OR($K14="",$H14=""),"",MIN(MAX(0,IF($O14="WDV",AT14*$P14*MAX(0,(IF($I14="",AU$3,MIN($I14,AU$3)))-(MAX($H14,(EDATE(AU$3,-12)+1)))+1)/(AU$3-(EDATE(AU$3,-12)+1)+1),IF($N14=0,0,$Q14/$N14*MAX(0,(IF($I14="",AU$3,MIN($I14,AU$3)))-(MAX($H14,(EDATE(AU$3,-12)+1)))+1)/(AU$3-(EDATE(AU$3,-12)+1)+1)))*$W14),MAX(0,AT14-$M14)))</f>
        <v/>
      </c>
      <c r="AV14" s="81">
        <f>IF($K14="","",IF(AND($I14&lt;&gt;"",$I14&lt;=AU$3),0,AT14-AU14))</f>
        <v/>
      </c>
      <c r="AW14" s="81">
        <f>IF(OR($K14="",$H14=""),"",MIN(MAX(0,IF($O14="WDV",AV14*$P14*MAX(0,(IF($I14="",AW$3,MIN($I14,AW$3)))-(MAX($H14,(EDATE(AW$3,-12)+1)))+1)/(AW$3-(EDATE(AW$3,-12)+1)+1),IF($N14=0,0,$Q14/$N14*MAX(0,(IF($I14="",AW$3,MIN($I14,AW$3)))-(MAX($H14,(EDATE(AW$3,-12)+1)))+1)/(AW$3-(EDATE(AW$3,-12)+1)+1)))*$W14),MAX(0,AV14-$M14)))</f>
        <v/>
      </c>
      <c r="AX14" s="81">
        <f>IF($K14="","",IF(AND($I14&lt;&gt;"",$I14&lt;=AW$3),0,AV14-AW14))</f>
        <v/>
      </c>
      <c r="AY14" s="81">
        <f>IF(OR($K14="",$H14=""),"",MIN(MAX(0,IF($O14="WDV",AX14*$P14*MAX(0,(IF($I14="",AY$3,MIN($I14,AY$3)))-(MAX($H14,(EDATE(AY$3,-12)+1)))+1)/(AY$3-(EDATE(AY$3,-12)+1)+1),IF($N14=0,0,$Q14/$N14*MAX(0,(IF($I14="",AY$3,MIN($I14,AY$3)))-(MAX($H14,(EDATE(AY$3,-12)+1)))+1)/(AY$3-(EDATE(AY$3,-12)+1)+1)))*$W14),MAX(0,AX14-$M14)))</f>
        <v/>
      </c>
      <c r="AZ14" s="81">
        <f>IF($K14="","",IF(AND($I14&lt;&gt;"",$I14&lt;=AY$3),0,AX14-AY14))</f>
        <v/>
      </c>
      <c r="BA14" s="81">
        <f>IF(OR($K14="",$H14=""),"",MIN(MAX(0,IF($O14="WDV",AZ14*$P14*MAX(0,(IF($I14="",BA$3,MIN($I14,BA$3)))-(MAX($H14,(EDATE(BA$3,-12)+1)))+1)/(BA$3-(EDATE(BA$3,-12)+1)+1),IF($N14=0,0,$Q14/$N14*MAX(0,(IF($I14="",BA$3,MIN($I14,BA$3)))-(MAX($H14,(EDATE(BA$3,-12)+1)))+1)/(BA$3-(EDATE(BA$3,-12)+1)+1)))*$W14),MAX(0,AZ14-$M14)))</f>
        <v/>
      </c>
      <c r="BB14" s="81">
        <f>IF($K14="","",IF(AND($I14&lt;&gt;"",$I14&lt;=BA$3),0,AZ14-BA14))</f>
        <v/>
      </c>
      <c r="BC14" s="81">
        <f>IF(OR($K14="",$H14=""),"",MIN(MAX(0,IF($O14="WDV",BB14*$P14*MAX(0,(IF($I14="",BC$3,MIN($I14,BC$3)))-(MAX($H14,(EDATE(BC$3,-12)+1)))+1)/(BC$3-(EDATE(BC$3,-12)+1)+1),IF($N14=0,0,$Q14/$N14*MAX(0,(IF($I14="",BC$3,MIN($I14,BC$3)))-(MAX($H14,(EDATE(BC$3,-12)+1)))+1)/(BC$3-(EDATE(BC$3,-12)+1)+1)))*$W14),MAX(0,BB14-$M14)))</f>
        <v/>
      </c>
      <c r="BD14" s="81">
        <f>IF($K14="","",IF(AND($I14&lt;&gt;"",$I14&lt;=BC$3),0,BB14-BC14))</f>
        <v/>
      </c>
      <c r="BE14" s="81">
        <f>IF(OR($K14="",$H14=""),"",MIN(MAX(0,IF($O14="WDV",BD14*$P14*MAX(0,(IF($I14="",BE$3,MIN($I14,BE$3)))-(MAX($H14,(EDATE(BE$3,-12)+1)))+1)/(BE$3-(EDATE(BE$3,-12)+1)+1),IF($N14=0,0,$Q14/$N14*MAX(0,(IF($I14="",BE$3,MIN($I14,BE$3)))-(MAX($H14,(EDATE(BE$3,-12)+1)))+1)/(BE$3-(EDATE(BE$3,-12)+1)+1)))*$W14),MAX(0,BD14-$M14)))</f>
        <v/>
      </c>
      <c r="BF14" s="81">
        <f>IF($K14="","",IF(AND($I14&lt;&gt;"",$I14&lt;=BE$3),0,BD14-BE14))</f>
        <v/>
      </c>
    </row>
    <row r="15">
      <c r="A15" s="44" t="n"/>
      <c r="B15" s="45" t="n"/>
      <c r="C15" s="45" t="n"/>
      <c r="D15" s="45" t="n"/>
      <c r="E15" s="46" t="n"/>
      <c r="F15" s="47" t="n"/>
      <c r="G15" s="48" t="n"/>
      <c r="H15" s="48" t="n"/>
      <c r="I15" s="49" t="n"/>
      <c r="J15" s="50" t="n"/>
      <c r="K15" s="51" t="n"/>
      <c r="L15" s="52">
        <f>DefaultResidual</f>
        <v/>
      </c>
      <c r="M15" s="53">
        <f>IF($K15="","",$K15*$L15)</f>
        <v/>
      </c>
      <c r="N15" s="54">
        <f>IF($C15="","",IFERROR(VLOOKUP($C15,ScheduleIITable,3,FALSE),"#N/A"))</f>
        <v/>
      </c>
      <c r="O15" s="55">
        <f>IF($K15="","",GlobalMethod)</f>
        <v/>
      </c>
      <c r="P15" s="56">
        <f>IF(OR($K15="",$N15="",$N15=0,$M15=0),0,1-($M15/$K15)^(1/$N15))</f>
        <v/>
      </c>
      <c r="Q15" s="53">
        <f>IF($K15="","",$K15-$M15)</f>
        <v/>
      </c>
      <c r="R15" s="57">
        <f>IF($K15="","",INDEX($AA15:$BF15,1,MATCH(ReportingFYEnd,$AA$3:$BF$3,0)))</f>
        <v/>
      </c>
      <c r="S15" s="53">
        <f>IF($K15="","",IF($U15="Disposed",0,$K15-$T15))</f>
        <v/>
      </c>
      <c r="T15" s="58">
        <f>IF($K15="","",INDEX($AA15:$BF15,1,MATCH(ReportingFYEnd,$AA$3:$BF$3,0)+1))</f>
        <v/>
      </c>
      <c r="U15" s="59">
        <f>IF($K15="","",IF(AND($I15&lt;&gt;"",$I15&lt;=ReportingFYEnd),"Disposed",IF(OR($H15="",$H15&gt;ReportingFYEnd),"Not Yet in Use","Active")))</f>
        <v/>
      </c>
      <c r="V15" s="60" t="n"/>
      <c r="W15" s="61">
        <f>IF($V15="Double",1.5,IF($V15="Triple",2,1))</f>
        <v/>
      </c>
      <c r="X15" s="48" t="n"/>
      <c r="Y15" s="59">
        <f>IF($K15="","",IF(OR(ISNUMBER(SEARCH("Build",$C15)),ISNUMBER(SEARCH("Lease",$C15))),"Yes","NA"))</f>
        <v/>
      </c>
      <c r="Z15" s="62" t="n"/>
      <c r="AA15" s="63">
        <f>IF(OR($K15="",$H15=""),"",MIN(MAX(0,IF($O15="WDV",$K15*$P15*MAX(0,(IF($I15="",AA$3,MIN($I15,AA$3)))-(MAX($H15,(EDATE(AA$3,-12)+1)))+1)/(AA$3-(EDATE(AA$3,-12)+1)+1),IF($N15=0,0,$Q15/$N15*MAX(0,(IF($I15="",AA$3,MIN($I15,AA$3)))-(MAX($H15,(EDATE(AA$3,-12)+1)))+1)/(AA$3-(EDATE(AA$3,-12)+1)+1)))*$W15),MAX(0,$K15-$M15)))</f>
        <v/>
      </c>
      <c r="AB15" s="64">
        <f>IF($K15="","",IF(AND($I15&lt;&gt;"",$I15&lt;=AA$3),0,$K15-AA15))</f>
        <v/>
      </c>
      <c r="AC15" s="63">
        <f>IF(OR($K15="",$H15=""),"",MIN(MAX(0,IF($O15="WDV",AB15*$P15*MAX(0,(IF($I15="",AC$3,MIN($I15,AC$3)))-(MAX($H15,(EDATE(AC$3,-12)+1)))+1)/(AC$3-(EDATE(AC$3,-12)+1)+1),IF($N15=0,0,$Q15/$N15*MAX(0,(IF($I15="",AC$3,MIN($I15,AC$3)))-(MAX($H15,(EDATE(AC$3,-12)+1)))+1)/(AC$3-(EDATE(AC$3,-12)+1)+1)))*$W15),MAX(0,AB15-$M15)))</f>
        <v/>
      </c>
      <c r="AD15" s="64">
        <f>IF($K15="","",IF(AND($I15&lt;&gt;"",$I15&lt;=AC$3),0,AB15-AC15))</f>
        <v/>
      </c>
      <c r="AE15" s="63">
        <f>IF(OR($K15="",$H15=""),"",MIN(MAX(0,IF($O15="WDV",AD15*$P15*MAX(0,(IF($I15="",AE$3,MIN($I15,AE$3)))-(MAX($H15,(EDATE(AE$3,-12)+1)))+1)/(AE$3-(EDATE(AE$3,-12)+1)+1),IF($N15=0,0,$Q15/$N15*MAX(0,(IF($I15="",AE$3,MIN($I15,AE$3)))-(MAX($H15,(EDATE(AE$3,-12)+1)))+1)/(AE$3-(EDATE(AE$3,-12)+1)+1)))*$W15),MAX(0,AD15-$M15)))</f>
        <v/>
      </c>
      <c r="AF15" s="64">
        <f>IF($K15="","",IF(AND($I15&lt;&gt;"",$I15&lt;=AE$3),0,AD15-AE15))</f>
        <v/>
      </c>
      <c r="AG15" s="63">
        <f>IF(OR($K15="",$H15=""),"",MIN(MAX(0,IF($O15="WDV",AF15*$P15*MAX(0,(IF($I15="",AG$3,MIN($I15,AG$3)))-(MAX($H15,(EDATE(AG$3,-12)+1)))+1)/(AG$3-(EDATE(AG$3,-12)+1)+1),IF($N15=0,0,$Q15/$N15*MAX(0,(IF($I15="",AG$3,MIN($I15,AG$3)))-(MAX($H15,(EDATE(AG$3,-12)+1)))+1)/(AG$3-(EDATE(AG$3,-12)+1)+1)))*$W15),MAX(0,AF15-$M15)))</f>
        <v/>
      </c>
      <c r="AH15" s="64">
        <f>IF($K15="","",IF(AND($I15&lt;&gt;"",$I15&lt;=AG$3),0,AF15-AG15))</f>
        <v/>
      </c>
      <c r="AI15" s="63">
        <f>IF(OR($K15="",$H15=""),"",MIN(MAX(0,IF($O15="WDV",AH15*$P15*MAX(0,(IF($I15="",AI$3,MIN($I15,AI$3)))-(MAX($H15,(EDATE(AI$3,-12)+1)))+1)/(AI$3-(EDATE(AI$3,-12)+1)+1),IF($N15=0,0,$Q15/$N15*MAX(0,(IF($I15="",AI$3,MIN($I15,AI$3)))-(MAX($H15,(EDATE(AI$3,-12)+1)))+1)/(AI$3-(EDATE(AI$3,-12)+1)+1)))*$W15),MAX(0,AH15-$M15)))</f>
        <v/>
      </c>
      <c r="AJ15" s="64">
        <f>IF($K15="","",IF(AND($I15&lt;&gt;"",$I15&lt;=AI$3),0,AH15-AI15))</f>
        <v/>
      </c>
      <c r="AK15" s="63">
        <f>IF(OR($K15="",$H15=""),"",MIN(MAX(0,IF($O15="WDV",AJ15*$P15*MAX(0,(IF($I15="",AK$3,MIN($I15,AK$3)))-(MAX($H15,(EDATE(AK$3,-12)+1)))+1)/(AK$3-(EDATE(AK$3,-12)+1)+1),IF($N15=0,0,$Q15/$N15*MAX(0,(IF($I15="",AK$3,MIN($I15,AK$3)))-(MAX($H15,(EDATE(AK$3,-12)+1)))+1)/(AK$3-(EDATE(AK$3,-12)+1)+1)))*$W15),MAX(0,AJ15-$M15)))</f>
        <v/>
      </c>
      <c r="AL15" s="64">
        <f>IF($K15="","",IF(AND($I15&lt;&gt;"",$I15&lt;=AK$3),0,AJ15-AK15))</f>
        <v/>
      </c>
      <c r="AM15" s="63">
        <f>IF(OR($K15="",$H15=""),"",MIN(MAX(0,IF($O15="WDV",AL15*$P15*MAX(0,(IF($I15="",AM$3,MIN($I15,AM$3)))-(MAX($H15,(EDATE(AM$3,-12)+1)))+1)/(AM$3-(EDATE(AM$3,-12)+1)+1),IF($N15=0,0,$Q15/$N15*MAX(0,(IF($I15="",AM$3,MIN($I15,AM$3)))-(MAX($H15,(EDATE(AM$3,-12)+1)))+1)/(AM$3-(EDATE(AM$3,-12)+1)+1)))*$W15),MAX(0,AL15-$M15)))</f>
        <v/>
      </c>
      <c r="AN15" s="64">
        <f>IF($K15="","",IF(AND($I15&lt;&gt;"",$I15&lt;=AM$3),0,AL15-AM15))</f>
        <v/>
      </c>
      <c r="AO15" s="63">
        <f>IF(OR($K15="",$H15=""),"",MIN(MAX(0,IF($O15="WDV",AN15*$P15*MAX(0,(IF($I15="",AO$3,MIN($I15,AO$3)))-(MAX($H15,(EDATE(AO$3,-12)+1)))+1)/(AO$3-(EDATE(AO$3,-12)+1)+1),IF($N15=0,0,$Q15/$N15*MAX(0,(IF($I15="",AO$3,MIN($I15,AO$3)))-(MAX($H15,(EDATE(AO$3,-12)+1)))+1)/(AO$3-(EDATE(AO$3,-12)+1)+1)))*$W15),MAX(0,AN15-$M15)))</f>
        <v/>
      </c>
      <c r="AP15" s="64">
        <f>IF($K15="","",IF(AND($I15&lt;&gt;"",$I15&lt;=AO$3),0,AN15-AO15))</f>
        <v/>
      </c>
      <c r="AQ15" s="63">
        <f>IF(OR($K15="",$H15=""),"",MIN(MAX(0,IF($O15="WDV",AP15*$P15*MAX(0,(IF($I15="",AQ$3,MIN($I15,AQ$3)))-(MAX($H15,(EDATE(AQ$3,-12)+1)))+1)/(AQ$3-(EDATE(AQ$3,-12)+1)+1),IF($N15=0,0,$Q15/$N15*MAX(0,(IF($I15="",AQ$3,MIN($I15,AQ$3)))-(MAX($H15,(EDATE(AQ$3,-12)+1)))+1)/(AQ$3-(EDATE(AQ$3,-12)+1)+1)))*$W15),MAX(0,AP15-$M15)))</f>
        <v/>
      </c>
      <c r="AR15" s="64">
        <f>IF($K15="","",IF(AND($I15&lt;&gt;"",$I15&lt;=AQ$3),0,AP15-AQ15))</f>
        <v/>
      </c>
      <c r="AS15" s="63">
        <f>IF(OR($K15="",$H15=""),"",MIN(MAX(0,IF($O15="WDV",AR15*$P15*MAX(0,(IF($I15="",AS$3,MIN($I15,AS$3)))-(MAX($H15,(EDATE(AS$3,-12)+1)))+1)/(AS$3-(EDATE(AS$3,-12)+1)+1),IF($N15=0,0,$Q15/$N15*MAX(0,(IF($I15="",AS$3,MIN($I15,AS$3)))-(MAX($H15,(EDATE(AS$3,-12)+1)))+1)/(AS$3-(EDATE(AS$3,-12)+1)+1)))*$W15),MAX(0,AR15-$M15)))</f>
        <v/>
      </c>
      <c r="AT15" s="64">
        <f>IF($K15="","",IF(AND($I15&lt;&gt;"",$I15&lt;=AS$3),0,AR15-AS15))</f>
        <v/>
      </c>
      <c r="AU15" s="63">
        <f>IF(OR($K15="",$H15=""),"",MIN(MAX(0,IF($O15="WDV",AT15*$P15*MAX(0,(IF($I15="",AU$3,MIN($I15,AU$3)))-(MAX($H15,(EDATE(AU$3,-12)+1)))+1)/(AU$3-(EDATE(AU$3,-12)+1)+1),IF($N15=0,0,$Q15/$N15*MAX(0,(IF($I15="",AU$3,MIN($I15,AU$3)))-(MAX($H15,(EDATE(AU$3,-12)+1)))+1)/(AU$3-(EDATE(AU$3,-12)+1)+1)))*$W15),MAX(0,AT15-$M15)))</f>
        <v/>
      </c>
      <c r="AV15" s="64">
        <f>IF($K15="","",IF(AND($I15&lt;&gt;"",$I15&lt;=AU$3),0,AT15-AU15))</f>
        <v/>
      </c>
      <c r="AW15" s="63">
        <f>IF(OR($K15="",$H15=""),"",MIN(MAX(0,IF($O15="WDV",AV15*$P15*MAX(0,(IF($I15="",AW$3,MIN($I15,AW$3)))-(MAX($H15,(EDATE(AW$3,-12)+1)))+1)/(AW$3-(EDATE(AW$3,-12)+1)+1),IF($N15=0,0,$Q15/$N15*MAX(0,(IF($I15="",AW$3,MIN($I15,AW$3)))-(MAX($H15,(EDATE(AW$3,-12)+1)))+1)/(AW$3-(EDATE(AW$3,-12)+1)+1)))*$W15),MAX(0,AV15-$M15)))</f>
        <v/>
      </c>
      <c r="AX15" s="64">
        <f>IF($K15="","",IF(AND($I15&lt;&gt;"",$I15&lt;=AW$3),0,AV15-AW15))</f>
        <v/>
      </c>
      <c r="AY15" s="63">
        <f>IF(OR($K15="",$H15=""),"",MIN(MAX(0,IF($O15="WDV",AX15*$P15*MAX(0,(IF($I15="",AY$3,MIN($I15,AY$3)))-(MAX($H15,(EDATE(AY$3,-12)+1)))+1)/(AY$3-(EDATE(AY$3,-12)+1)+1),IF($N15=0,0,$Q15/$N15*MAX(0,(IF($I15="",AY$3,MIN($I15,AY$3)))-(MAX($H15,(EDATE(AY$3,-12)+1)))+1)/(AY$3-(EDATE(AY$3,-12)+1)+1)))*$W15),MAX(0,AX15-$M15)))</f>
        <v/>
      </c>
      <c r="AZ15" s="64">
        <f>IF($K15="","",IF(AND($I15&lt;&gt;"",$I15&lt;=AY$3),0,AX15-AY15))</f>
        <v/>
      </c>
      <c r="BA15" s="63">
        <f>IF(OR($K15="",$H15=""),"",MIN(MAX(0,IF($O15="WDV",AZ15*$P15*MAX(0,(IF($I15="",BA$3,MIN($I15,BA$3)))-(MAX($H15,(EDATE(BA$3,-12)+1)))+1)/(BA$3-(EDATE(BA$3,-12)+1)+1),IF($N15=0,0,$Q15/$N15*MAX(0,(IF($I15="",BA$3,MIN($I15,BA$3)))-(MAX($H15,(EDATE(BA$3,-12)+1)))+1)/(BA$3-(EDATE(BA$3,-12)+1)+1)))*$W15),MAX(0,AZ15-$M15)))</f>
        <v/>
      </c>
      <c r="BB15" s="64">
        <f>IF($K15="","",IF(AND($I15&lt;&gt;"",$I15&lt;=BA$3),0,AZ15-BA15))</f>
        <v/>
      </c>
      <c r="BC15" s="63">
        <f>IF(OR($K15="",$H15=""),"",MIN(MAX(0,IF($O15="WDV",BB15*$P15*MAX(0,(IF($I15="",BC$3,MIN($I15,BC$3)))-(MAX($H15,(EDATE(BC$3,-12)+1)))+1)/(BC$3-(EDATE(BC$3,-12)+1)+1),IF($N15=0,0,$Q15/$N15*MAX(0,(IF($I15="",BC$3,MIN($I15,BC$3)))-(MAX($H15,(EDATE(BC$3,-12)+1)))+1)/(BC$3-(EDATE(BC$3,-12)+1)+1)))*$W15),MAX(0,BB15-$M15)))</f>
        <v/>
      </c>
      <c r="BD15" s="64">
        <f>IF($K15="","",IF(AND($I15&lt;&gt;"",$I15&lt;=BC$3),0,BB15-BC15))</f>
        <v/>
      </c>
      <c r="BE15" s="63">
        <f>IF(OR($K15="",$H15=""),"",MIN(MAX(0,IF($O15="WDV",BD15*$P15*MAX(0,(IF($I15="",BE$3,MIN($I15,BE$3)))-(MAX($H15,(EDATE(BE$3,-12)+1)))+1)/(BE$3-(EDATE(BE$3,-12)+1)+1),IF($N15=0,0,$Q15/$N15*MAX(0,(IF($I15="",BE$3,MIN($I15,BE$3)))-(MAX($H15,(EDATE(BE$3,-12)+1)))+1)/(BE$3-(EDATE(BE$3,-12)+1)+1)))*$W15),MAX(0,BD15-$M15)))</f>
        <v/>
      </c>
      <c r="BF15" s="64">
        <f>IF($K15="","",IF(AND($I15&lt;&gt;"",$I15&lt;=BE$3),0,BD15-BE15))</f>
        <v/>
      </c>
    </row>
    <row r="16">
      <c r="A16" s="65" t="n"/>
      <c r="B16" s="66" t="n"/>
      <c r="C16" s="66" t="n"/>
      <c r="D16" s="66" t="n"/>
      <c r="E16" s="67" t="n"/>
      <c r="F16" s="68" t="n"/>
      <c r="G16" s="69" t="n"/>
      <c r="H16" s="69" t="n"/>
      <c r="I16" s="70" t="n"/>
      <c r="J16" s="71" t="n"/>
      <c r="K16" s="72" t="n"/>
      <c r="L16" s="73">
        <f>DefaultResidual</f>
        <v/>
      </c>
      <c r="M16" s="74">
        <f>IF($K16="","",$K16*$L16)</f>
        <v/>
      </c>
      <c r="N16" s="22">
        <f>IF($C16="","",IFERROR(VLOOKUP($C16,ScheduleIITable,3,FALSE),"#N/A"))</f>
        <v/>
      </c>
      <c r="O16" s="75">
        <f>IF($K16="","",GlobalMethod)</f>
        <v/>
      </c>
      <c r="P16" s="23">
        <f>IF(OR($K16="",$N16="",$N16=0,$M16=0),0,1-($M16/$K16)^(1/$N16))</f>
        <v/>
      </c>
      <c r="Q16" s="74">
        <f>IF($K16="","",$K16-$M16)</f>
        <v/>
      </c>
      <c r="R16" s="76">
        <f>IF($K16="","",INDEX($AA16:$BF16,1,MATCH(ReportingFYEnd,$AA$3:$BF$3,0)))</f>
        <v/>
      </c>
      <c r="S16" s="74">
        <f>IF($K16="","",IF($U16="Disposed",0,$K16-$T16))</f>
        <v/>
      </c>
      <c r="T16" s="77">
        <f>IF($K16="","",INDEX($AA16:$BF16,1,MATCH(ReportingFYEnd,$AA$3:$BF$3,0)+1))</f>
        <v/>
      </c>
      <c r="U16" s="78">
        <f>IF($K16="","",IF(AND($I16&lt;&gt;"",$I16&lt;=ReportingFYEnd),"Disposed",IF(OR($H16="",$H16&gt;ReportingFYEnd),"Not Yet in Use","Active")))</f>
        <v/>
      </c>
      <c r="V16" s="79" t="n"/>
      <c r="W16" s="80">
        <f>IF($V16="Double",1.5,IF($V16="Triple",2,1))</f>
        <v/>
      </c>
      <c r="X16" s="69" t="n"/>
      <c r="Y16" s="78">
        <f>IF($K16="","",IF(OR(ISNUMBER(SEARCH("Build",$C16)),ISNUMBER(SEARCH("Lease",$C16))),"Yes","NA"))</f>
        <v/>
      </c>
      <c r="Z16" s="21" t="n"/>
      <c r="AA16" s="81">
        <f>IF(OR($K16="",$H16=""),"",MIN(MAX(0,IF($O16="WDV",$K16*$P16*MAX(0,(IF($I16="",AA$3,MIN($I16,AA$3)))-(MAX($H16,(EDATE(AA$3,-12)+1)))+1)/(AA$3-(EDATE(AA$3,-12)+1)+1),IF($N16=0,0,$Q16/$N16*MAX(0,(IF($I16="",AA$3,MIN($I16,AA$3)))-(MAX($H16,(EDATE(AA$3,-12)+1)))+1)/(AA$3-(EDATE(AA$3,-12)+1)+1)))*$W16),MAX(0,$K16-$M16)))</f>
        <v/>
      </c>
      <c r="AB16" s="81">
        <f>IF($K16="","",IF(AND($I16&lt;&gt;"",$I16&lt;=AA$3),0,$K16-AA16))</f>
        <v/>
      </c>
      <c r="AC16" s="81">
        <f>IF(OR($K16="",$H16=""),"",MIN(MAX(0,IF($O16="WDV",AB16*$P16*MAX(0,(IF($I16="",AC$3,MIN($I16,AC$3)))-(MAX($H16,(EDATE(AC$3,-12)+1)))+1)/(AC$3-(EDATE(AC$3,-12)+1)+1),IF($N16=0,0,$Q16/$N16*MAX(0,(IF($I16="",AC$3,MIN($I16,AC$3)))-(MAX($H16,(EDATE(AC$3,-12)+1)))+1)/(AC$3-(EDATE(AC$3,-12)+1)+1)))*$W16),MAX(0,AB16-$M16)))</f>
        <v/>
      </c>
      <c r="AD16" s="81">
        <f>IF($K16="","",IF(AND($I16&lt;&gt;"",$I16&lt;=AC$3),0,AB16-AC16))</f>
        <v/>
      </c>
      <c r="AE16" s="81">
        <f>IF(OR($K16="",$H16=""),"",MIN(MAX(0,IF($O16="WDV",AD16*$P16*MAX(0,(IF($I16="",AE$3,MIN($I16,AE$3)))-(MAX($H16,(EDATE(AE$3,-12)+1)))+1)/(AE$3-(EDATE(AE$3,-12)+1)+1),IF($N16=0,0,$Q16/$N16*MAX(0,(IF($I16="",AE$3,MIN($I16,AE$3)))-(MAX($H16,(EDATE(AE$3,-12)+1)))+1)/(AE$3-(EDATE(AE$3,-12)+1)+1)))*$W16),MAX(0,AD16-$M16)))</f>
        <v/>
      </c>
      <c r="AF16" s="81">
        <f>IF($K16="","",IF(AND($I16&lt;&gt;"",$I16&lt;=AE$3),0,AD16-AE16))</f>
        <v/>
      </c>
      <c r="AG16" s="81">
        <f>IF(OR($K16="",$H16=""),"",MIN(MAX(0,IF($O16="WDV",AF16*$P16*MAX(0,(IF($I16="",AG$3,MIN($I16,AG$3)))-(MAX($H16,(EDATE(AG$3,-12)+1)))+1)/(AG$3-(EDATE(AG$3,-12)+1)+1),IF($N16=0,0,$Q16/$N16*MAX(0,(IF($I16="",AG$3,MIN($I16,AG$3)))-(MAX($H16,(EDATE(AG$3,-12)+1)))+1)/(AG$3-(EDATE(AG$3,-12)+1)+1)))*$W16),MAX(0,AF16-$M16)))</f>
        <v/>
      </c>
      <c r="AH16" s="81">
        <f>IF($K16="","",IF(AND($I16&lt;&gt;"",$I16&lt;=AG$3),0,AF16-AG16))</f>
        <v/>
      </c>
      <c r="AI16" s="81">
        <f>IF(OR($K16="",$H16=""),"",MIN(MAX(0,IF($O16="WDV",AH16*$P16*MAX(0,(IF($I16="",AI$3,MIN($I16,AI$3)))-(MAX($H16,(EDATE(AI$3,-12)+1)))+1)/(AI$3-(EDATE(AI$3,-12)+1)+1),IF($N16=0,0,$Q16/$N16*MAX(0,(IF($I16="",AI$3,MIN($I16,AI$3)))-(MAX($H16,(EDATE(AI$3,-12)+1)))+1)/(AI$3-(EDATE(AI$3,-12)+1)+1)))*$W16),MAX(0,AH16-$M16)))</f>
        <v/>
      </c>
      <c r="AJ16" s="81">
        <f>IF($K16="","",IF(AND($I16&lt;&gt;"",$I16&lt;=AI$3),0,AH16-AI16))</f>
        <v/>
      </c>
      <c r="AK16" s="81">
        <f>IF(OR($K16="",$H16=""),"",MIN(MAX(0,IF($O16="WDV",AJ16*$P16*MAX(0,(IF($I16="",AK$3,MIN($I16,AK$3)))-(MAX($H16,(EDATE(AK$3,-12)+1)))+1)/(AK$3-(EDATE(AK$3,-12)+1)+1),IF($N16=0,0,$Q16/$N16*MAX(0,(IF($I16="",AK$3,MIN($I16,AK$3)))-(MAX($H16,(EDATE(AK$3,-12)+1)))+1)/(AK$3-(EDATE(AK$3,-12)+1)+1)))*$W16),MAX(0,AJ16-$M16)))</f>
        <v/>
      </c>
      <c r="AL16" s="81">
        <f>IF($K16="","",IF(AND($I16&lt;&gt;"",$I16&lt;=AK$3),0,AJ16-AK16))</f>
        <v/>
      </c>
      <c r="AM16" s="81">
        <f>IF(OR($K16="",$H16=""),"",MIN(MAX(0,IF($O16="WDV",AL16*$P16*MAX(0,(IF($I16="",AM$3,MIN($I16,AM$3)))-(MAX($H16,(EDATE(AM$3,-12)+1)))+1)/(AM$3-(EDATE(AM$3,-12)+1)+1),IF($N16=0,0,$Q16/$N16*MAX(0,(IF($I16="",AM$3,MIN($I16,AM$3)))-(MAX($H16,(EDATE(AM$3,-12)+1)))+1)/(AM$3-(EDATE(AM$3,-12)+1)+1)))*$W16),MAX(0,AL16-$M16)))</f>
        <v/>
      </c>
      <c r="AN16" s="81">
        <f>IF($K16="","",IF(AND($I16&lt;&gt;"",$I16&lt;=AM$3),0,AL16-AM16))</f>
        <v/>
      </c>
      <c r="AO16" s="81">
        <f>IF(OR($K16="",$H16=""),"",MIN(MAX(0,IF($O16="WDV",AN16*$P16*MAX(0,(IF($I16="",AO$3,MIN($I16,AO$3)))-(MAX($H16,(EDATE(AO$3,-12)+1)))+1)/(AO$3-(EDATE(AO$3,-12)+1)+1),IF($N16=0,0,$Q16/$N16*MAX(0,(IF($I16="",AO$3,MIN($I16,AO$3)))-(MAX($H16,(EDATE(AO$3,-12)+1)))+1)/(AO$3-(EDATE(AO$3,-12)+1)+1)))*$W16),MAX(0,AN16-$M16)))</f>
        <v/>
      </c>
      <c r="AP16" s="81">
        <f>IF($K16="","",IF(AND($I16&lt;&gt;"",$I16&lt;=AO$3),0,AN16-AO16))</f>
        <v/>
      </c>
      <c r="AQ16" s="81">
        <f>IF(OR($K16="",$H16=""),"",MIN(MAX(0,IF($O16="WDV",AP16*$P16*MAX(0,(IF($I16="",AQ$3,MIN($I16,AQ$3)))-(MAX($H16,(EDATE(AQ$3,-12)+1)))+1)/(AQ$3-(EDATE(AQ$3,-12)+1)+1),IF($N16=0,0,$Q16/$N16*MAX(0,(IF($I16="",AQ$3,MIN($I16,AQ$3)))-(MAX($H16,(EDATE(AQ$3,-12)+1)))+1)/(AQ$3-(EDATE(AQ$3,-12)+1)+1)))*$W16),MAX(0,AP16-$M16)))</f>
        <v/>
      </c>
      <c r="AR16" s="81">
        <f>IF($K16="","",IF(AND($I16&lt;&gt;"",$I16&lt;=AQ$3),0,AP16-AQ16))</f>
        <v/>
      </c>
      <c r="AS16" s="81">
        <f>IF(OR($K16="",$H16=""),"",MIN(MAX(0,IF($O16="WDV",AR16*$P16*MAX(0,(IF($I16="",AS$3,MIN($I16,AS$3)))-(MAX($H16,(EDATE(AS$3,-12)+1)))+1)/(AS$3-(EDATE(AS$3,-12)+1)+1),IF($N16=0,0,$Q16/$N16*MAX(0,(IF($I16="",AS$3,MIN($I16,AS$3)))-(MAX($H16,(EDATE(AS$3,-12)+1)))+1)/(AS$3-(EDATE(AS$3,-12)+1)+1)))*$W16),MAX(0,AR16-$M16)))</f>
        <v/>
      </c>
      <c r="AT16" s="81">
        <f>IF($K16="","",IF(AND($I16&lt;&gt;"",$I16&lt;=AS$3),0,AR16-AS16))</f>
        <v/>
      </c>
      <c r="AU16" s="81">
        <f>IF(OR($K16="",$H16=""),"",MIN(MAX(0,IF($O16="WDV",AT16*$P16*MAX(0,(IF($I16="",AU$3,MIN($I16,AU$3)))-(MAX($H16,(EDATE(AU$3,-12)+1)))+1)/(AU$3-(EDATE(AU$3,-12)+1)+1),IF($N16=0,0,$Q16/$N16*MAX(0,(IF($I16="",AU$3,MIN($I16,AU$3)))-(MAX($H16,(EDATE(AU$3,-12)+1)))+1)/(AU$3-(EDATE(AU$3,-12)+1)+1)))*$W16),MAX(0,AT16-$M16)))</f>
        <v/>
      </c>
      <c r="AV16" s="81">
        <f>IF($K16="","",IF(AND($I16&lt;&gt;"",$I16&lt;=AU$3),0,AT16-AU16))</f>
        <v/>
      </c>
      <c r="AW16" s="81">
        <f>IF(OR($K16="",$H16=""),"",MIN(MAX(0,IF($O16="WDV",AV16*$P16*MAX(0,(IF($I16="",AW$3,MIN($I16,AW$3)))-(MAX($H16,(EDATE(AW$3,-12)+1)))+1)/(AW$3-(EDATE(AW$3,-12)+1)+1),IF($N16=0,0,$Q16/$N16*MAX(0,(IF($I16="",AW$3,MIN($I16,AW$3)))-(MAX($H16,(EDATE(AW$3,-12)+1)))+1)/(AW$3-(EDATE(AW$3,-12)+1)+1)))*$W16),MAX(0,AV16-$M16)))</f>
        <v/>
      </c>
      <c r="AX16" s="81">
        <f>IF($K16="","",IF(AND($I16&lt;&gt;"",$I16&lt;=AW$3),0,AV16-AW16))</f>
        <v/>
      </c>
      <c r="AY16" s="81">
        <f>IF(OR($K16="",$H16=""),"",MIN(MAX(0,IF($O16="WDV",AX16*$P16*MAX(0,(IF($I16="",AY$3,MIN($I16,AY$3)))-(MAX($H16,(EDATE(AY$3,-12)+1)))+1)/(AY$3-(EDATE(AY$3,-12)+1)+1),IF($N16=0,0,$Q16/$N16*MAX(0,(IF($I16="",AY$3,MIN($I16,AY$3)))-(MAX($H16,(EDATE(AY$3,-12)+1)))+1)/(AY$3-(EDATE(AY$3,-12)+1)+1)))*$W16),MAX(0,AX16-$M16)))</f>
        <v/>
      </c>
      <c r="AZ16" s="81">
        <f>IF($K16="","",IF(AND($I16&lt;&gt;"",$I16&lt;=AY$3),0,AX16-AY16))</f>
        <v/>
      </c>
      <c r="BA16" s="81">
        <f>IF(OR($K16="",$H16=""),"",MIN(MAX(0,IF($O16="WDV",AZ16*$P16*MAX(0,(IF($I16="",BA$3,MIN($I16,BA$3)))-(MAX($H16,(EDATE(BA$3,-12)+1)))+1)/(BA$3-(EDATE(BA$3,-12)+1)+1),IF($N16=0,0,$Q16/$N16*MAX(0,(IF($I16="",BA$3,MIN($I16,BA$3)))-(MAX($H16,(EDATE(BA$3,-12)+1)))+1)/(BA$3-(EDATE(BA$3,-12)+1)+1)))*$W16),MAX(0,AZ16-$M16)))</f>
        <v/>
      </c>
      <c r="BB16" s="81">
        <f>IF($K16="","",IF(AND($I16&lt;&gt;"",$I16&lt;=BA$3),0,AZ16-BA16))</f>
        <v/>
      </c>
      <c r="BC16" s="81">
        <f>IF(OR($K16="",$H16=""),"",MIN(MAX(0,IF($O16="WDV",BB16*$P16*MAX(0,(IF($I16="",BC$3,MIN($I16,BC$3)))-(MAX($H16,(EDATE(BC$3,-12)+1)))+1)/(BC$3-(EDATE(BC$3,-12)+1)+1),IF($N16=0,0,$Q16/$N16*MAX(0,(IF($I16="",BC$3,MIN($I16,BC$3)))-(MAX($H16,(EDATE(BC$3,-12)+1)))+1)/(BC$3-(EDATE(BC$3,-12)+1)+1)))*$W16),MAX(0,BB16-$M16)))</f>
        <v/>
      </c>
      <c r="BD16" s="81">
        <f>IF($K16="","",IF(AND($I16&lt;&gt;"",$I16&lt;=BC$3),0,BB16-BC16))</f>
        <v/>
      </c>
      <c r="BE16" s="81">
        <f>IF(OR($K16="",$H16=""),"",MIN(MAX(0,IF($O16="WDV",BD16*$P16*MAX(0,(IF($I16="",BE$3,MIN($I16,BE$3)))-(MAX($H16,(EDATE(BE$3,-12)+1)))+1)/(BE$3-(EDATE(BE$3,-12)+1)+1),IF($N16=0,0,$Q16/$N16*MAX(0,(IF($I16="",BE$3,MIN($I16,BE$3)))-(MAX($H16,(EDATE(BE$3,-12)+1)))+1)/(BE$3-(EDATE(BE$3,-12)+1)+1)))*$W16),MAX(0,BD16-$M16)))</f>
        <v/>
      </c>
      <c r="BF16" s="81">
        <f>IF($K16="","",IF(AND($I16&lt;&gt;"",$I16&lt;=BE$3),0,BD16-BE16))</f>
        <v/>
      </c>
    </row>
    <row r="17">
      <c r="A17" s="44" t="n"/>
      <c r="B17" s="45" t="n"/>
      <c r="C17" s="45" t="n"/>
      <c r="D17" s="45" t="n"/>
      <c r="E17" s="46" t="n"/>
      <c r="F17" s="47" t="n"/>
      <c r="G17" s="48" t="n"/>
      <c r="H17" s="48" t="n"/>
      <c r="I17" s="49" t="n"/>
      <c r="J17" s="50" t="n"/>
      <c r="K17" s="51" t="n"/>
      <c r="L17" s="52">
        <f>DefaultResidual</f>
        <v/>
      </c>
      <c r="M17" s="53">
        <f>IF($K17="","",$K17*$L17)</f>
        <v/>
      </c>
      <c r="N17" s="54">
        <f>IF($C17="","",IFERROR(VLOOKUP($C17,ScheduleIITable,3,FALSE),"#N/A"))</f>
        <v/>
      </c>
      <c r="O17" s="55">
        <f>IF($K17="","",GlobalMethod)</f>
        <v/>
      </c>
      <c r="P17" s="56">
        <f>IF(OR($K17="",$N17="",$N17=0,$M17=0),0,1-($M17/$K17)^(1/$N17))</f>
        <v/>
      </c>
      <c r="Q17" s="53">
        <f>IF($K17="","",$K17-$M17)</f>
        <v/>
      </c>
      <c r="R17" s="57">
        <f>IF($K17="","",INDEX($AA17:$BF17,1,MATCH(ReportingFYEnd,$AA$3:$BF$3,0)))</f>
        <v/>
      </c>
      <c r="S17" s="53">
        <f>IF($K17="","",IF($U17="Disposed",0,$K17-$T17))</f>
        <v/>
      </c>
      <c r="T17" s="58">
        <f>IF($K17="","",INDEX($AA17:$BF17,1,MATCH(ReportingFYEnd,$AA$3:$BF$3,0)+1))</f>
        <v/>
      </c>
      <c r="U17" s="59">
        <f>IF($K17="","",IF(AND($I17&lt;&gt;"",$I17&lt;=ReportingFYEnd),"Disposed",IF(OR($H17="",$H17&gt;ReportingFYEnd),"Not Yet in Use","Active")))</f>
        <v/>
      </c>
      <c r="V17" s="60" t="n"/>
      <c r="W17" s="61">
        <f>IF($V17="Double",1.5,IF($V17="Triple",2,1))</f>
        <v/>
      </c>
      <c r="X17" s="48" t="n"/>
      <c r="Y17" s="59">
        <f>IF($K17="","",IF(OR(ISNUMBER(SEARCH("Build",$C17)),ISNUMBER(SEARCH("Lease",$C17))),"Yes","NA"))</f>
        <v/>
      </c>
      <c r="Z17" s="62" t="n"/>
      <c r="AA17" s="63">
        <f>IF(OR($K17="",$H17=""),"",MIN(MAX(0,IF($O17="WDV",$K17*$P17*MAX(0,(IF($I17="",AA$3,MIN($I17,AA$3)))-(MAX($H17,(EDATE(AA$3,-12)+1)))+1)/(AA$3-(EDATE(AA$3,-12)+1)+1),IF($N17=0,0,$Q17/$N17*MAX(0,(IF($I17="",AA$3,MIN($I17,AA$3)))-(MAX($H17,(EDATE(AA$3,-12)+1)))+1)/(AA$3-(EDATE(AA$3,-12)+1)+1)))*$W17),MAX(0,$K17-$M17)))</f>
        <v/>
      </c>
      <c r="AB17" s="64">
        <f>IF($K17="","",IF(AND($I17&lt;&gt;"",$I17&lt;=AA$3),0,$K17-AA17))</f>
        <v/>
      </c>
      <c r="AC17" s="63">
        <f>IF(OR($K17="",$H17=""),"",MIN(MAX(0,IF($O17="WDV",AB17*$P17*MAX(0,(IF($I17="",AC$3,MIN($I17,AC$3)))-(MAX($H17,(EDATE(AC$3,-12)+1)))+1)/(AC$3-(EDATE(AC$3,-12)+1)+1),IF($N17=0,0,$Q17/$N17*MAX(0,(IF($I17="",AC$3,MIN($I17,AC$3)))-(MAX($H17,(EDATE(AC$3,-12)+1)))+1)/(AC$3-(EDATE(AC$3,-12)+1)+1)))*$W17),MAX(0,AB17-$M17)))</f>
        <v/>
      </c>
      <c r="AD17" s="64">
        <f>IF($K17="","",IF(AND($I17&lt;&gt;"",$I17&lt;=AC$3),0,AB17-AC17))</f>
        <v/>
      </c>
      <c r="AE17" s="63">
        <f>IF(OR($K17="",$H17=""),"",MIN(MAX(0,IF($O17="WDV",AD17*$P17*MAX(0,(IF($I17="",AE$3,MIN($I17,AE$3)))-(MAX($H17,(EDATE(AE$3,-12)+1)))+1)/(AE$3-(EDATE(AE$3,-12)+1)+1),IF($N17=0,0,$Q17/$N17*MAX(0,(IF($I17="",AE$3,MIN($I17,AE$3)))-(MAX($H17,(EDATE(AE$3,-12)+1)))+1)/(AE$3-(EDATE(AE$3,-12)+1)+1)))*$W17),MAX(0,AD17-$M17)))</f>
        <v/>
      </c>
      <c r="AF17" s="64">
        <f>IF($K17="","",IF(AND($I17&lt;&gt;"",$I17&lt;=AE$3),0,AD17-AE17))</f>
        <v/>
      </c>
      <c r="AG17" s="63">
        <f>IF(OR($K17="",$H17=""),"",MIN(MAX(0,IF($O17="WDV",AF17*$P17*MAX(0,(IF($I17="",AG$3,MIN($I17,AG$3)))-(MAX($H17,(EDATE(AG$3,-12)+1)))+1)/(AG$3-(EDATE(AG$3,-12)+1)+1),IF($N17=0,0,$Q17/$N17*MAX(0,(IF($I17="",AG$3,MIN($I17,AG$3)))-(MAX($H17,(EDATE(AG$3,-12)+1)))+1)/(AG$3-(EDATE(AG$3,-12)+1)+1)))*$W17),MAX(0,AF17-$M17)))</f>
        <v/>
      </c>
      <c r="AH17" s="64">
        <f>IF($K17="","",IF(AND($I17&lt;&gt;"",$I17&lt;=AG$3),0,AF17-AG17))</f>
        <v/>
      </c>
      <c r="AI17" s="63">
        <f>IF(OR($K17="",$H17=""),"",MIN(MAX(0,IF($O17="WDV",AH17*$P17*MAX(0,(IF($I17="",AI$3,MIN($I17,AI$3)))-(MAX($H17,(EDATE(AI$3,-12)+1)))+1)/(AI$3-(EDATE(AI$3,-12)+1)+1),IF($N17=0,0,$Q17/$N17*MAX(0,(IF($I17="",AI$3,MIN($I17,AI$3)))-(MAX($H17,(EDATE(AI$3,-12)+1)))+1)/(AI$3-(EDATE(AI$3,-12)+1)+1)))*$W17),MAX(0,AH17-$M17)))</f>
        <v/>
      </c>
      <c r="AJ17" s="64">
        <f>IF($K17="","",IF(AND($I17&lt;&gt;"",$I17&lt;=AI$3),0,AH17-AI17))</f>
        <v/>
      </c>
      <c r="AK17" s="63">
        <f>IF(OR($K17="",$H17=""),"",MIN(MAX(0,IF($O17="WDV",AJ17*$P17*MAX(0,(IF($I17="",AK$3,MIN($I17,AK$3)))-(MAX($H17,(EDATE(AK$3,-12)+1)))+1)/(AK$3-(EDATE(AK$3,-12)+1)+1),IF($N17=0,0,$Q17/$N17*MAX(0,(IF($I17="",AK$3,MIN($I17,AK$3)))-(MAX($H17,(EDATE(AK$3,-12)+1)))+1)/(AK$3-(EDATE(AK$3,-12)+1)+1)))*$W17),MAX(0,AJ17-$M17)))</f>
        <v/>
      </c>
      <c r="AL17" s="64">
        <f>IF($K17="","",IF(AND($I17&lt;&gt;"",$I17&lt;=AK$3),0,AJ17-AK17))</f>
        <v/>
      </c>
      <c r="AM17" s="63">
        <f>IF(OR($K17="",$H17=""),"",MIN(MAX(0,IF($O17="WDV",AL17*$P17*MAX(0,(IF($I17="",AM$3,MIN($I17,AM$3)))-(MAX($H17,(EDATE(AM$3,-12)+1)))+1)/(AM$3-(EDATE(AM$3,-12)+1)+1),IF($N17=0,0,$Q17/$N17*MAX(0,(IF($I17="",AM$3,MIN($I17,AM$3)))-(MAX($H17,(EDATE(AM$3,-12)+1)))+1)/(AM$3-(EDATE(AM$3,-12)+1)+1)))*$W17),MAX(0,AL17-$M17)))</f>
        <v/>
      </c>
      <c r="AN17" s="64">
        <f>IF($K17="","",IF(AND($I17&lt;&gt;"",$I17&lt;=AM$3),0,AL17-AM17))</f>
        <v/>
      </c>
      <c r="AO17" s="63">
        <f>IF(OR($K17="",$H17=""),"",MIN(MAX(0,IF($O17="WDV",AN17*$P17*MAX(0,(IF($I17="",AO$3,MIN($I17,AO$3)))-(MAX($H17,(EDATE(AO$3,-12)+1)))+1)/(AO$3-(EDATE(AO$3,-12)+1)+1),IF($N17=0,0,$Q17/$N17*MAX(0,(IF($I17="",AO$3,MIN($I17,AO$3)))-(MAX($H17,(EDATE(AO$3,-12)+1)))+1)/(AO$3-(EDATE(AO$3,-12)+1)+1)))*$W17),MAX(0,AN17-$M17)))</f>
        <v/>
      </c>
      <c r="AP17" s="64">
        <f>IF($K17="","",IF(AND($I17&lt;&gt;"",$I17&lt;=AO$3),0,AN17-AO17))</f>
        <v/>
      </c>
      <c r="AQ17" s="63">
        <f>IF(OR($K17="",$H17=""),"",MIN(MAX(0,IF($O17="WDV",AP17*$P17*MAX(0,(IF($I17="",AQ$3,MIN($I17,AQ$3)))-(MAX($H17,(EDATE(AQ$3,-12)+1)))+1)/(AQ$3-(EDATE(AQ$3,-12)+1)+1),IF($N17=0,0,$Q17/$N17*MAX(0,(IF($I17="",AQ$3,MIN($I17,AQ$3)))-(MAX($H17,(EDATE(AQ$3,-12)+1)))+1)/(AQ$3-(EDATE(AQ$3,-12)+1)+1)))*$W17),MAX(0,AP17-$M17)))</f>
        <v/>
      </c>
      <c r="AR17" s="64">
        <f>IF($K17="","",IF(AND($I17&lt;&gt;"",$I17&lt;=AQ$3),0,AP17-AQ17))</f>
        <v/>
      </c>
      <c r="AS17" s="63">
        <f>IF(OR($K17="",$H17=""),"",MIN(MAX(0,IF($O17="WDV",AR17*$P17*MAX(0,(IF($I17="",AS$3,MIN($I17,AS$3)))-(MAX($H17,(EDATE(AS$3,-12)+1)))+1)/(AS$3-(EDATE(AS$3,-12)+1)+1),IF($N17=0,0,$Q17/$N17*MAX(0,(IF($I17="",AS$3,MIN($I17,AS$3)))-(MAX($H17,(EDATE(AS$3,-12)+1)))+1)/(AS$3-(EDATE(AS$3,-12)+1)+1)))*$W17),MAX(0,AR17-$M17)))</f>
        <v/>
      </c>
      <c r="AT17" s="64">
        <f>IF($K17="","",IF(AND($I17&lt;&gt;"",$I17&lt;=AS$3),0,AR17-AS17))</f>
        <v/>
      </c>
      <c r="AU17" s="63">
        <f>IF(OR($K17="",$H17=""),"",MIN(MAX(0,IF($O17="WDV",AT17*$P17*MAX(0,(IF($I17="",AU$3,MIN($I17,AU$3)))-(MAX($H17,(EDATE(AU$3,-12)+1)))+1)/(AU$3-(EDATE(AU$3,-12)+1)+1),IF($N17=0,0,$Q17/$N17*MAX(0,(IF($I17="",AU$3,MIN($I17,AU$3)))-(MAX($H17,(EDATE(AU$3,-12)+1)))+1)/(AU$3-(EDATE(AU$3,-12)+1)+1)))*$W17),MAX(0,AT17-$M17)))</f>
        <v/>
      </c>
      <c r="AV17" s="64">
        <f>IF($K17="","",IF(AND($I17&lt;&gt;"",$I17&lt;=AU$3),0,AT17-AU17))</f>
        <v/>
      </c>
      <c r="AW17" s="63">
        <f>IF(OR($K17="",$H17=""),"",MIN(MAX(0,IF($O17="WDV",AV17*$P17*MAX(0,(IF($I17="",AW$3,MIN($I17,AW$3)))-(MAX($H17,(EDATE(AW$3,-12)+1)))+1)/(AW$3-(EDATE(AW$3,-12)+1)+1),IF($N17=0,0,$Q17/$N17*MAX(0,(IF($I17="",AW$3,MIN($I17,AW$3)))-(MAX($H17,(EDATE(AW$3,-12)+1)))+1)/(AW$3-(EDATE(AW$3,-12)+1)+1)))*$W17),MAX(0,AV17-$M17)))</f>
        <v/>
      </c>
      <c r="AX17" s="64">
        <f>IF($K17="","",IF(AND($I17&lt;&gt;"",$I17&lt;=AW$3),0,AV17-AW17))</f>
        <v/>
      </c>
      <c r="AY17" s="63">
        <f>IF(OR($K17="",$H17=""),"",MIN(MAX(0,IF($O17="WDV",AX17*$P17*MAX(0,(IF($I17="",AY$3,MIN($I17,AY$3)))-(MAX($H17,(EDATE(AY$3,-12)+1)))+1)/(AY$3-(EDATE(AY$3,-12)+1)+1),IF($N17=0,0,$Q17/$N17*MAX(0,(IF($I17="",AY$3,MIN($I17,AY$3)))-(MAX($H17,(EDATE(AY$3,-12)+1)))+1)/(AY$3-(EDATE(AY$3,-12)+1)+1)))*$W17),MAX(0,AX17-$M17)))</f>
        <v/>
      </c>
      <c r="AZ17" s="64">
        <f>IF($K17="","",IF(AND($I17&lt;&gt;"",$I17&lt;=AY$3),0,AX17-AY17))</f>
        <v/>
      </c>
      <c r="BA17" s="63">
        <f>IF(OR($K17="",$H17=""),"",MIN(MAX(0,IF($O17="WDV",AZ17*$P17*MAX(0,(IF($I17="",BA$3,MIN($I17,BA$3)))-(MAX($H17,(EDATE(BA$3,-12)+1)))+1)/(BA$3-(EDATE(BA$3,-12)+1)+1),IF($N17=0,0,$Q17/$N17*MAX(0,(IF($I17="",BA$3,MIN($I17,BA$3)))-(MAX($H17,(EDATE(BA$3,-12)+1)))+1)/(BA$3-(EDATE(BA$3,-12)+1)+1)))*$W17),MAX(0,AZ17-$M17)))</f>
        <v/>
      </c>
      <c r="BB17" s="64">
        <f>IF($K17="","",IF(AND($I17&lt;&gt;"",$I17&lt;=BA$3),0,AZ17-BA17))</f>
        <v/>
      </c>
      <c r="BC17" s="63">
        <f>IF(OR($K17="",$H17=""),"",MIN(MAX(0,IF($O17="WDV",BB17*$P17*MAX(0,(IF($I17="",BC$3,MIN($I17,BC$3)))-(MAX($H17,(EDATE(BC$3,-12)+1)))+1)/(BC$3-(EDATE(BC$3,-12)+1)+1),IF($N17=0,0,$Q17/$N17*MAX(0,(IF($I17="",BC$3,MIN($I17,BC$3)))-(MAX($H17,(EDATE(BC$3,-12)+1)))+1)/(BC$3-(EDATE(BC$3,-12)+1)+1)))*$W17),MAX(0,BB17-$M17)))</f>
        <v/>
      </c>
      <c r="BD17" s="64">
        <f>IF($K17="","",IF(AND($I17&lt;&gt;"",$I17&lt;=BC$3),0,BB17-BC17))</f>
        <v/>
      </c>
      <c r="BE17" s="63">
        <f>IF(OR($K17="",$H17=""),"",MIN(MAX(0,IF($O17="WDV",BD17*$P17*MAX(0,(IF($I17="",BE$3,MIN($I17,BE$3)))-(MAX($H17,(EDATE(BE$3,-12)+1)))+1)/(BE$3-(EDATE(BE$3,-12)+1)+1),IF($N17=0,0,$Q17/$N17*MAX(0,(IF($I17="",BE$3,MIN($I17,BE$3)))-(MAX($H17,(EDATE(BE$3,-12)+1)))+1)/(BE$3-(EDATE(BE$3,-12)+1)+1)))*$W17),MAX(0,BD17-$M17)))</f>
        <v/>
      </c>
      <c r="BF17" s="64">
        <f>IF($K17="","",IF(AND($I17&lt;&gt;"",$I17&lt;=BE$3),0,BD17-BE17))</f>
        <v/>
      </c>
    </row>
    <row r="18">
      <c r="A18" s="65" t="n"/>
      <c r="B18" s="66" t="n"/>
      <c r="C18" s="66" t="n"/>
      <c r="D18" s="66" t="n"/>
      <c r="E18" s="67" t="n"/>
      <c r="F18" s="68" t="n"/>
      <c r="G18" s="69" t="n"/>
      <c r="H18" s="69" t="n"/>
      <c r="I18" s="70" t="n"/>
      <c r="J18" s="71" t="n"/>
      <c r="K18" s="72" t="n"/>
      <c r="L18" s="73">
        <f>DefaultResidual</f>
        <v/>
      </c>
      <c r="M18" s="74">
        <f>IF($K18="","",$K18*$L18)</f>
        <v/>
      </c>
      <c r="N18" s="22">
        <f>IF($C18="","",IFERROR(VLOOKUP($C18,ScheduleIITable,3,FALSE),"#N/A"))</f>
        <v/>
      </c>
      <c r="O18" s="75">
        <f>IF($K18="","",GlobalMethod)</f>
        <v/>
      </c>
      <c r="P18" s="23">
        <f>IF(OR($K18="",$N18="",$N18=0,$M18=0),0,1-($M18/$K18)^(1/$N18))</f>
        <v/>
      </c>
      <c r="Q18" s="74">
        <f>IF($K18="","",$K18-$M18)</f>
        <v/>
      </c>
      <c r="R18" s="76">
        <f>IF($K18="","",INDEX($AA18:$BF18,1,MATCH(ReportingFYEnd,$AA$3:$BF$3,0)))</f>
        <v/>
      </c>
      <c r="S18" s="74">
        <f>IF($K18="","",IF($U18="Disposed",0,$K18-$T18))</f>
        <v/>
      </c>
      <c r="T18" s="77">
        <f>IF($K18="","",INDEX($AA18:$BF18,1,MATCH(ReportingFYEnd,$AA$3:$BF$3,0)+1))</f>
        <v/>
      </c>
      <c r="U18" s="78">
        <f>IF($K18="","",IF(AND($I18&lt;&gt;"",$I18&lt;=ReportingFYEnd),"Disposed",IF(OR($H18="",$H18&gt;ReportingFYEnd),"Not Yet in Use","Active")))</f>
        <v/>
      </c>
      <c r="V18" s="79" t="n"/>
      <c r="W18" s="80">
        <f>IF($V18="Double",1.5,IF($V18="Triple",2,1))</f>
        <v/>
      </c>
      <c r="X18" s="69" t="n"/>
      <c r="Y18" s="78">
        <f>IF($K18="","",IF(OR(ISNUMBER(SEARCH("Build",$C18)),ISNUMBER(SEARCH("Lease",$C18))),"Yes","NA"))</f>
        <v/>
      </c>
      <c r="Z18" s="21" t="n"/>
      <c r="AA18" s="81">
        <f>IF(OR($K18="",$H18=""),"",MIN(MAX(0,IF($O18="WDV",$K18*$P18*MAX(0,(IF($I18="",AA$3,MIN($I18,AA$3)))-(MAX($H18,(EDATE(AA$3,-12)+1)))+1)/(AA$3-(EDATE(AA$3,-12)+1)+1),IF($N18=0,0,$Q18/$N18*MAX(0,(IF($I18="",AA$3,MIN($I18,AA$3)))-(MAX($H18,(EDATE(AA$3,-12)+1)))+1)/(AA$3-(EDATE(AA$3,-12)+1)+1)))*$W18),MAX(0,$K18-$M18)))</f>
        <v/>
      </c>
      <c r="AB18" s="81">
        <f>IF($K18="","",IF(AND($I18&lt;&gt;"",$I18&lt;=AA$3),0,$K18-AA18))</f>
        <v/>
      </c>
      <c r="AC18" s="81">
        <f>IF(OR($K18="",$H18=""),"",MIN(MAX(0,IF($O18="WDV",AB18*$P18*MAX(0,(IF($I18="",AC$3,MIN($I18,AC$3)))-(MAX($H18,(EDATE(AC$3,-12)+1)))+1)/(AC$3-(EDATE(AC$3,-12)+1)+1),IF($N18=0,0,$Q18/$N18*MAX(0,(IF($I18="",AC$3,MIN($I18,AC$3)))-(MAX($H18,(EDATE(AC$3,-12)+1)))+1)/(AC$3-(EDATE(AC$3,-12)+1)+1)))*$W18),MAX(0,AB18-$M18)))</f>
        <v/>
      </c>
      <c r="AD18" s="81">
        <f>IF($K18="","",IF(AND($I18&lt;&gt;"",$I18&lt;=AC$3),0,AB18-AC18))</f>
        <v/>
      </c>
      <c r="AE18" s="81">
        <f>IF(OR($K18="",$H18=""),"",MIN(MAX(0,IF($O18="WDV",AD18*$P18*MAX(0,(IF($I18="",AE$3,MIN($I18,AE$3)))-(MAX($H18,(EDATE(AE$3,-12)+1)))+1)/(AE$3-(EDATE(AE$3,-12)+1)+1),IF($N18=0,0,$Q18/$N18*MAX(0,(IF($I18="",AE$3,MIN($I18,AE$3)))-(MAX($H18,(EDATE(AE$3,-12)+1)))+1)/(AE$3-(EDATE(AE$3,-12)+1)+1)))*$W18),MAX(0,AD18-$M18)))</f>
        <v/>
      </c>
      <c r="AF18" s="81">
        <f>IF($K18="","",IF(AND($I18&lt;&gt;"",$I18&lt;=AE$3),0,AD18-AE18))</f>
        <v/>
      </c>
      <c r="AG18" s="81">
        <f>IF(OR($K18="",$H18=""),"",MIN(MAX(0,IF($O18="WDV",AF18*$P18*MAX(0,(IF($I18="",AG$3,MIN($I18,AG$3)))-(MAX($H18,(EDATE(AG$3,-12)+1)))+1)/(AG$3-(EDATE(AG$3,-12)+1)+1),IF($N18=0,0,$Q18/$N18*MAX(0,(IF($I18="",AG$3,MIN($I18,AG$3)))-(MAX($H18,(EDATE(AG$3,-12)+1)))+1)/(AG$3-(EDATE(AG$3,-12)+1)+1)))*$W18),MAX(0,AF18-$M18)))</f>
        <v/>
      </c>
      <c r="AH18" s="81">
        <f>IF($K18="","",IF(AND($I18&lt;&gt;"",$I18&lt;=AG$3),0,AF18-AG18))</f>
        <v/>
      </c>
      <c r="AI18" s="81">
        <f>IF(OR($K18="",$H18=""),"",MIN(MAX(0,IF($O18="WDV",AH18*$P18*MAX(0,(IF($I18="",AI$3,MIN($I18,AI$3)))-(MAX($H18,(EDATE(AI$3,-12)+1)))+1)/(AI$3-(EDATE(AI$3,-12)+1)+1),IF($N18=0,0,$Q18/$N18*MAX(0,(IF($I18="",AI$3,MIN($I18,AI$3)))-(MAX($H18,(EDATE(AI$3,-12)+1)))+1)/(AI$3-(EDATE(AI$3,-12)+1)+1)))*$W18),MAX(0,AH18-$M18)))</f>
        <v/>
      </c>
      <c r="AJ18" s="81">
        <f>IF($K18="","",IF(AND($I18&lt;&gt;"",$I18&lt;=AI$3),0,AH18-AI18))</f>
        <v/>
      </c>
      <c r="AK18" s="81">
        <f>IF(OR($K18="",$H18=""),"",MIN(MAX(0,IF($O18="WDV",AJ18*$P18*MAX(0,(IF($I18="",AK$3,MIN($I18,AK$3)))-(MAX($H18,(EDATE(AK$3,-12)+1)))+1)/(AK$3-(EDATE(AK$3,-12)+1)+1),IF($N18=0,0,$Q18/$N18*MAX(0,(IF($I18="",AK$3,MIN($I18,AK$3)))-(MAX($H18,(EDATE(AK$3,-12)+1)))+1)/(AK$3-(EDATE(AK$3,-12)+1)+1)))*$W18),MAX(0,AJ18-$M18)))</f>
        <v/>
      </c>
      <c r="AL18" s="81">
        <f>IF($K18="","",IF(AND($I18&lt;&gt;"",$I18&lt;=AK$3),0,AJ18-AK18))</f>
        <v/>
      </c>
      <c r="AM18" s="81">
        <f>IF(OR($K18="",$H18=""),"",MIN(MAX(0,IF($O18="WDV",AL18*$P18*MAX(0,(IF($I18="",AM$3,MIN($I18,AM$3)))-(MAX($H18,(EDATE(AM$3,-12)+1)))+1)/(AM$3-(EDATE(AM$3,-12)+1)+1),IF($N18=0,0,$Q18/$N18*MAX(0,(IF($I18="",AM$3,MIN($I18,AM$3)))-(MAX($H18,(EDATE(AM$3,-12)+1)))+1)/(AM$3-(EDATE(AM$3,-12)+1)+1)))*$W18),MAX(0,AL18-$M18)))</f>
        <v/>
      </c>
      <c r="AN18" s="81">
        <f>IF($K18="","",IF(AND($I18&lt;&gt;"",$I18&lt;=AM$3),0,AL18-AM18))</f>
        <v/>
      </c>
      <c r="AO18" s="81">
        <f>IF(OR($K18="",$H18=""),"",MIN(MAX(0,IF($O18="WDV",AN18*$P18*MAX(0,(IF($I18="",AO$3,MIN($I18,AO$3)))-(MAX($H18,(EDATE(AO$3,-12)+1)))+1)/(AO$3-(EDATE(AO$3,-12)+1)+1),IF($N18=0,0,$Q18/$N18*MAX(0,(IF($I18="",AO$3,MIN($I18,AO$3)))-(MAX($H18,(EDATE(AO$3,-12)+1)))+1)/(AO$3-(EDATE(AO$3,-12)+1)+1)))*$W18),MAX(0,AN18-$M18)))</f>
        <v/>
      </c>
      <c r="AP18" s="81">
        <f>IF($K18="","",IF(AND($I18&lt;&gt;"",$I18&lt;=AO$3),0,AN18-AO18))</f>
        <v/>
      </c>
      <c r="AQ18" s="81">
        <f>IF(OR($K18="",$H18=""),"",MIN(MAX(0,IF($O18="WDV",AP18*$P18*MAX(0,(IF($I18="",AQ$3,MIN($I18,AQ$3)))-(MAX($H18,(EDATE(AQ$3,-12)+1)))+1)/(AQ$3-(EDATE(AQ$3,-12)+1)+1),IF($N18=0,0,$Q18/$N18*MAX(0,(IF($I18="",AQ$3,MIN($I18,AQ$3)))-(MAX($H18,(EDATE(AQ$3,-12)+1)))+1)/(AQ$3-(EDATE(AQ$3,-12)+1)+1)))*$W18),MAX(0,AP18-$M18)))</f>
        <v/>
      </c>
      <c r="AR18" s="81">
        <f>IF($K18="","",IF(AND($I18&lt;&gt;"",$I18&lt;=AQ$3),0,AP18-AQ18))</f>
        <v/>
      </c>
      <c r="AS18" s="81">
        <f>IF(OR($K18="",$H18=""),"",MIN(MAX(0,IF($O18="WDV",AR18*$P18*MAX(0,(IF($I18="",AS$3,MIN($I18,AS$3)))-(MAX($H18,(EDATE(AS$3,-12)+1)))+1)/(AS$3-(EDATE(AS$3,-12)+1)+1),IF($N18=0,0,$Q18/$N18*MAX(0,(IF($I18="",AS$3,MIN($I18,AS$3)))-(MAX($H18,(EDATE(AS$3,-12)+1)))+1)/(AS$3-(EDATE(AS$3,-12)+1)+1)))*$W18),MAX(0,AR18-$M18)))</f>
        <v/>
      </c>
      <c r="AT18" s="81">
        <f>IF($K18="","",IF(AND($I18&lt;&gt;"",$I18&lt;=AS$3),0,AR18-AS18))</f>
        <v/>
      </c>
      <c r="AU18" s="81">
        <f>IF(OR($K18="",$H18=""),"",MIN(MAX(0,IF($O18="WDV",AT18*$P18*MAX(0,(IF($I18="",AU$3,MIN($I18,AU$3)))-(MAX($H18,(EDATE(AU$3,-12)+1)))+1)/(AU$3-(EDATE(AU$3,-12)+1)+1),IF($N18=0,0,$Q18/$N18*MAX(0,(IF($I18="",AU$3,MIN($I18,AU$3)))-(MAX($H18,(EDATE(AU$3,-12)+1)))+1)/(AU$3-(EDATE(AU$3,-12)+1)+1)))*$W18),MAX(0,AT18-$M18)))</f>
        <v/>
      </c>
      <c r="AV18" s="81">
        <f>IF($K18="","",IF(AND($I18&lt;&gt;"",$I18&lt;=AU$3),0,AT18-AU18))</f>
        <v/>
      </c>
      <c r="AW18" s="81">
        <f>IF(OR($K18="",$H18=""),"",MIN(MAX(0,IF($O18="WDV",AV18*$P18*MAX(0,(IF($I18="",AW$3,MIN($I18,AW$3)))-(MAX($H18,(EDATE(AW$3,-12)+1)))+1)/(AW$3-(EDATE(AW$3,-12)+1)+1),IF($N18=0,0,$Q18/$N18*MAX(0,(IF($I18="",AW$3,MIN($I18,AW$3)))-(MAX($H18,(EDATE(AW$3,-12)+1)))+1)/(AW$3-(EDATE(AW$3,-12)+1)+1)))*$W18),MAX(0,AV18-$M18)))</f>
        <v/>
      </c>
      <c r="AX18" s="81">
        <f>IF($K18="","",IF(AND($I18&lt;&gt;"",$I18&lt;=AW$3),0,AV18-AW18))</f>
        <v/>
      </c>
      <c r="AY18" s="81">
        <f>IF(OR($K18="",$H18=""),"",MIN(MAX(0,IF($O18="WDV",AX18*$P18*MAX(0,(IF($I18="",AY$3,MIN($I18,AY$3)))-(MAX($H18,(EDATE(AY$3,-12)+1)))+1)/(AY$3-(EDATE(AY$3,-12)+1)+1),IF($N18=0,0,$Q18/$N18*MAX(0,(IF($I18="",AY$3,MIN($I18,AY$3)))-(MAX($H18,(EDATE(AY$3,-12)+1)))+1)/(AY$3-(EDATE(AY$3,-12)+1)+1)))*$W18),MAX(0,AX18-$M18)))</f>
        <v/>
      </c>
      <c r="AZ18" s="81">
        <f>IF($K18="","",IF(AND($I18&lt;&gt;"",$I18&lt;=AY$3),0,AX18-AY18))</f>
        <v/>
      </c>
      <c r="BA18" s="81">
        <f>IF(OR($K18="",$H18=""),"",MIN(MAX(0,IF($O18="WDV",AZ18*$P18*MAX(0,(IF($I18="",BA$3,MIN($I18,BA$3)))-(MAX($H18,(EDATE(BA$3,-12)+1)))+1)/(BA$3-(EDATE(BA$3,-12)+1)+1),IF($N18=0,0,$Q18/$N18*MAX(0,(IF($I18="",BA$3,MIN($I18,BA$3)))-(MAX($H18,(EDATE(BA$3,-12)+1)))+1)/(BA$3-(EDATE(BA$3,-12)+1)+1)))*$W18),MAX(0,AZ18-$M18)))</f>
        <v/>
      </c>
      <c r="BB18" s="81">
        <f>IF($K18="","",IF(AND($I18&lt;&gt;"",$I18&lt;=BA$3),0,AZ18-BA18))</f>
        <v/>
      </c>
      <c r="BC18" s="81">
        <f>IF(OR($K18="",$H18=""),"",MIN(MAX(0,IF($O18="WDV",BB18*$P18*MAX(0,(IF($I18="",BC$3,MIN($I18,BC$3)))-(MAX($H18,(EDATE(BC$3,-12)+1)))+1)/(BC$3-(EDATE(BC$3,-12)+1)+1),IF($N18=0,0,$Q18/$N18*MAX(0,(IF($I18="",BC$3,MIN($I18,BC$3)))-(MAX($H18,(EDATE(BC$3,-12)+1)))+1)/(BC$3-(EDATE(BC$3,-12)+1)+1)))*$W18),MAX(0,BB18-$M18)))</f>
        <v/>
      </c>
      <c r="BD18" s="81">
        <f>IF($K18="","",IF(AND($I18&lt;&gt;"",$I18&lt;=BC$3),0,BB18-BC18))</f>
        <v/>
      </c>
      <c r="BE18" s="81">
        <f>IF(OR($K18="",$H18=""),"",MIN(MAX(0,IF($O18="WDV",BD18*$P18*MAX(0,(IF($I18="",BE$3,MIN($I18,BE$3)))-(MAX($H18,(EDATE(BE$3,-12)+1)))+1)/(BE$3-(EDATE(BE$3,-12)+1)+1),IF($N18=0,0,$Q18/$N18*MAX(0,(IF($I18="",BE$3,MIN($I18,BE$3)))-(MAX($H18,(EDATE(BE$3,-12)+1)))+1)/(BE$3-(EDATE(BE$3,-12)+1)+1)))*$W18),MAX(0,BD18-$M18)))</f>
        <v/>
      </c>
      <c r="BF18" s="81">
        <f>IF($K18="","",IF(AND($I18&lt;&gt;"",$I18&lt;=BE$3),0,BD18-BE18))</f>
        <v/>
      </c>
    </row>
    <row r="19">
      <c r="A19" s="44" t="n"/>
      <c r="B19" s="45" t="n"/>
      <c r="C19" s="45" t="n"/>
      <c r="D19" s="45" t="n"/>
      <c r="E19" s="46" t="n"/>
      <c r="F19" s="47" t="n"/>
      <c r="G19" s="48" t="n"/>
      <c r="H19" s="48" t="n"/>
      <c r="I19" s="49" t="n"/>
      <c r="J19" s="50" t="n"/>
      <c r="K19" s="51" t="n"/>
      <c r="L19" s="52">
        <f>DefaultResidual</f>
        <v/>
      </c>
      <c r="M19" s="53">
        <f>IF($K19="","",$K19*$L19)</f>
        <v/>
      </c>
      <c r="N19" s="54">
        <f>IF($C19="","",IFERROR(VLOOKUP($C19,ScheduleIITable,3,FALSE),"#N/A"))</f>
        <v/>
      </c>
      <c r="O19" s="55">
        <f>IF($K19="","",GlobalMethod)</f>
        <v/>
      </c>
      <c r="P19" s="56">
        <f>IF(OR($K19="",$N19="",$N19=0,$M19=0),0,1-($M19/$K19)^(1/$N19))</f>
        <v/>
      </c>
      <c r="Q19" s="53">
        <f>IF($K19="","",$K19-$M19)</f>
        <v/>
      </c>
      <c r="R19" s="57">
        <f>IF($K19="","",INDEX($AA19:$BF19,1,MATCH(ReportingFYEnd,$AA$3:$BF$3,0)))</f>
        <v/>
      </c>
      <c r="S19" s="53">
        <f>IF($K19="","",IF($U19="Disposed",0,$K19-$T19))</f>
        <v/>
      </c>
      <c r="T19" s="58">
        <f>IF($K19="","",INDEX($AA19:$BF19,1,MATCH(ReportingFYEnd,$AA$3:$BF$3,0)+1))</f>
        <v/>
      </c>
      <c r="U19" s="59">
        <f>IF($K19="","",IF(AND($I19&lt;&gt;"",$I19&lt;=ReportingFYEnd),"Disposed",IF(OR($H19="",$H19&gt;ReportingFYEnd),"Not Yet in Use","Active")))</f>
        <v/>
      </c>
      <c r="V19" s="60" t="n"/>
      <c r="W19" s="61">
        <f>IF($V19="Double",1.5,IF($V19="Triple",2,1))</f>
        <v/>
      </c>
      <c r="X19" s="48" t="n"/>
      <c r="Y19" s="59">
        <f>IF($K19="","",IF(OR(ISNUMBER(SEARCH("Build",$C19)),ISNUMBER(SEARCH("Lease",$C19))),"Yes","NA"))</f>
        <v/>
      </c>
      <c r="Z19" s="62" t="n"/>
      <c r="AA19" s="63">
        <f>IF(OR($K19="",$H19=""),"",MIN(MAX(0,IF($O19="WDV",$K19*$P19*MAX(0,(IF($I19="",AA$3,MIN($I19,AA$3)))-(MAX($H19,(EDATE(AA$3,-12)+1)))+1)/(AA$3-(EDATE(AA$3,-12)+1)+1),IF($N19=0,0,$Q19/$N19*MAX(0,(IF($I19="",AA$3,MIN($I19,AA$3)))-(MAX($H19,(EDATE(AA$3,-12)+1)))+1)/(AA$3-(EDATE(AA$3,-12)+1)+1)))*$W19),MAX(0,$K19-$M19)))</f>
        <v/>
      </c>
      <c r="AB19" s="64">
        <f>IF($K19="","",IF(AND($I19&lt;&gt;"",$I19&lt;=AA$3),0,$K19-AA19))</f>
        <v/>
      </c>
      <c r="AC19" s="63">
        <f>IF(OR($K19="",$H19=""),"",MIN(MAX(0,IF($O19="WDV",AB19*$P19*MAX(0,(IF($I19="",AC$3,MIN($I19,AC$3)))-(MAX($H19,(EDATE(AC$3,-12)+1)))+1)/(AC$3-(EDATE(AC$3,-12)+1)+1),IF($N19=0,0,$Q19/$N19*MAX(0,(IF($I19="",AC$3,MIN($I19,AC$3)))-(MAX($H19,(EDATE(AC$3,-12)+1)))+1)/(AC$3-(EDATE(AC$3,-12)+1)+1)))*$W19),MAX(0,AB19-$M19)))</f>
        <v/>
      </c>
      <c r="AD19" s="64">
        <f>IF($K19="","",IF(AND($I19&lt;&gt;"",$I19&lt;=AC$3),0,AB19-AC19))</f>
        <v/>
      </c>
      <c r="AE19" s="63">
        <f>IF(OR($K19="",$H19=""),"",MIN(MAX(0,IF($O19="WDV",AD19*$P19*MAX(0,(IF($I19="",AE$3,MIN($I19,AE$3)))-(MAX($H19,(EDATE(AE$3,-12)+1)))+1)/(AE$3-(EDATE(AE$3,-12)+1)+1),IF($N19=0,0,$Q19/$N19*MAX(0,(IF($I19="",AE$3,MIN($I19,AE$3)))-(MAX($H19,(EDATE(AE$3,-12)+1)))+1)/(AE$3-(EDATE(AE$3,-12)+1)+1)))*$W19),MAX(0,AD19-$M19)))</f>
        <v/>
      </c>
      <c r="AF19" s="64">
        <f>IF($K19="","",IF(AND($I19&lt;&gt;"",$I19&lt;=AE$3),0,AD19-AE19))</f>
        <v/>
      </c>
      <c r="AG19" s="63">
        <f>IF(OR($K19="",$H19=""),"",MIN(MAX(0,IF($O19="WDV",AF19*$P19*MAX(0,(IF($I19="",AG$3,MIN($I19,AG$3)))-(MAX($H19,(EDATE(AG$3,-12)+1)))+1)/(AG$3-(EDATE(AG$3,-12)+1)+1),IF($N19=0,0,$Q19/$N19*MAX(0,(IF($I19="",AG$3,MIN($I19,AG$3)))-(MAX($H19,(EDATE(AG$3,-12)+1)))+1)/(AG$3-(EDATE(AG$3,-12)+1)+1)))*$W19),MAX(0,AF19-$M19)))</f>
        <v/>
      </c>
      <c r="AH19" s="64">
        <f>IF($K19="","",IF(AND($I19&lt;&gt;"",$I19&lt;=AG$3),0,AF19-AG19))</f>
        <v/>
      </c>
      <c r="AI19" s="63">
        <f>IF(OR($K19="",$H19=""),"",MIN(MAX(0,IF($O19="WDV",AH19*$P19*MAX(0,(IF($I19="",AI$3,MIN($I19,AI$3)))-(MAX($H19,(EDATE(AI$3,-12)+1)))+1)/(AI$3-(EDATE(AI$3,-12)+1)+1),IF($N19=0,0,$Q19/$N19*MAX(0,(IF($I19="",AI$3,MIN($I19,AI$3)))-(MAX($H19,(EDATE(AI$3,-12)+1)))+1)/(AI$3-(EDATE(AI$3,-12)+1)+1)))*$W19),MAX(0,AH19-$M19)))</f>
        <v/>
      </c>
      <c r="AJ19" s="64">
        <f>IF($K19="","",IF(AND($I19&lt;&gt;"",$I19&lt;=AI$3),0,AH19-AI19))</f>
        <v/>
      </c>
      <c r="AK19" s="63">
        <f>IF(OR($K19="",$H19=""),"",MIN(MAX(0,IF($O19="WDV",AJ19*$P19*MAX(0,(IF($I19="",AK$3,MIN($I19,AK$3)))-(MAX($H19,(EDATE(AK$3,-12)+1)))+1)/(AK$3-(EDATE(AK$3,-12)+1)+1),IF($N19=0,0,$Q19/$N19*MAX(0,(IF($I19="",AK$3,MIN($I19,AK$3)))-(MAX($H19,(EDATE(AK$3,-12)+1)))+1)/(AK$3-(EDATE(AK$3,-12)+1)+1)))*$W19),MAX(0,AJ19-$M19)))</f>
        <v/>
      </c>
      <c r="AL19" s="64">
        <f>IF($K19="","",IF(AND($I19&lt;&gt;"",$I19&lt;=AK$3),0,AJ19-AK19))</f>
        <v/>
      </c>
      <c r="AM19" s="63">
        <f>IF(OR($K19="",$H19=""),"",MIN(MAX(0,IF($O19="WDV",AL19*$P19*MAX(0,(IF($I19="",AM$3,MIN($I19,AM$3)))-(MAX($H19,(EDATE(AM$3,-12)+1)))+1)/(AM$3-(EDATE(AM$3,-12)+1)+1),IF($N19=0,0,$Q19/$N19*MAX(0,(IF($I19="",AM$3,MIN($I19,AM$3)))-(MAX($H19,(EDATE(AM$3,-12)+1)))+1)/(AM$3-(EDATE(AM$3,-12)+1)+1)))*$W19),MAX(0,AL19-$M19)))</f>
        <v/>
      </c>
      <c r="AN19" s="64">
        <f>IF($K19="","",IF(AND($I19&lt;&gt;"",$I19&lt;=AM$3),0,AL19-AM19))</f>
        <v/>
      </c>
      <c r="AO19" s="63">
        <f>IF(OR($K19="",$H19=""),"",MIN(MAX(0,IF($O19="WDV",AN19*$P19*MAX(0,(IF($I19="",AO$3,MIN($I19,AO$3)))-(MAX($H19,(EDATE(AO$3,-12)+1)))+1)/(AO$3-(EDATE(AO$3,-12)+1)+1),IF($N19=0,0,$Q19/$N19*MAX(0,(IF($I19="",AO$3,MIN($I19,AO$3)))-(MAX($H19,(EDATE(AO$3,-12)+1)))+1)/(AO$3-(EDATE(AO$3,-12)+1)+1)))*$W19),MAX(0,AN19-$M19)))</f>
        <v/>
      </c>
      <c r="AP19" s="64">
        <f>IF($K19="","",IF(AND($I19&lt;&gt;"",$I19&lt;=AO$3),0,AN19-AO19))</f>
        <v/>
      </c>
      <c r="AQ19" s="63">
        <f>IF(OR($K19="",$H19=""),"",MIN(MAX(0,IF($O19="WDV",AP19*$P19*MAX(0,(IF($I19="",AQ$3,MIN($I19,AQ$3)))-(MAX($H19,(EDATE(AQ$3,-12)+1)))+1)/(AQ$3-(EDATE(AQ$3,-12)+1)+1),IF($N19=0,0,$Q19/$N19*MAX(0,(IF($I19="",AQ$3,MIN($I19,AQ$3)))-(MAX($H19,(EDATE(AQ$3,-12)+1)))+1)/(AQ$3-(EDATE(AQ$3,-12)+1)+1)))*$W19),MAX(0,AP19-$M19)))</f>
        <v/>
      </c>
      <c r="AR19" s="64">
        <f>IF($K19="","",IF(AND($I19&lt;&gt;"",$I19&lt;=AQ$3),0,AP19-AQ19))</f>
        <v/>
      </c>
      <c r="AS19" s="63">
        <f>IF(OR($K19="",$H19=""),"",MIN(MAX(0,IF($O19="WDV",AR19*$P19*MAX(0,(IF($I19="",AS$3,MIN($I19,AS$3)))-(MAX($H19,(EDATE(AS$3,-12)+1)))+1)/(AS$3-(EDATE(AS$3,-12)+1)+1),IF($N19=0,0,$Q19/$N19*MAX(0,(IF($I19="",AS$3,MIN($I19,AS$3)))-(MAX($H19,(EDATE(AS$3,-12)+1)))+1)/(AS$3-(EDATE(AS$3,-12)+1)+1)))*$W19),MAX(0,AR19-$M19)))</f>
        <v/>
      </c>
      <c r="AT19" s="64">
        <f>IF($K19="","",IF(AND($I19&lt;&gt;"",$I19&lt;=AS$3),0,AR19-AS19))</f>
        <v/>
      </c>
      <c r="AU19" s="63">
        <f>IF(OR($K19="",$H19=""),"",MIN(MAX(0,IF($O19="WDV",AT19*$P19*MAX(0,(IF($I19="",AU$3,MIN($I19,AU$3)))-(MAX($H19,(EDATE(AU$3,-12)+1)))+1)/(AU$3-(EDATE(AU$3,-12)+1)+1),IF($N19=0,0,$Q19/$N19*MAX(0,(IF($I19="",AU$3,MIN($I19,AU$3)))-(MAX($H19,(EDATE(AU$3,-12)+1)))+1)/(AU$3-(EDATE(AU$3,-12)+1)+1)))*$W19),MAX(0,AT19-$M19)))</f>
        <v/>
      </c>
      <c r="AV19" s="64">
        <f>IF($K19="","",IF(AND($I19&lt;&gt;"",$I19&lt;=AU$3),0,AT19-AU19))</f>
        <v/>
      </c>
      <c r="AW19" s="63">
        <f>IF(OR($K19="",$H19=""),"",MIN(MAX(0,IF($O19="WDV",AV19*$P19*MAX(0,(IF($I19="",AW$3,MIN($I19,AW$3)))-(MAX($H19,(EDATE(AW$3,-12)+1)))+1)/(AW$3-(EDATE(AW$3,-12)+1)+1),IF($N19=0,0,$Q19/$N19*MAX(0,(IF($I19="",AW$3,MIN($I19,AW$3)))-(MAX($H19,(EDATE(AW$3,-12)+1)))+1)/(AW$3-(EDATE(AW$3,-12)+1)+1)))*$W19),MAX(0,AV19-$M19)))</f>
        <v/>
      </c>
      <c r="AX19" s="64">
        <f>IF($K19="","",IF(AND($I19&lt;&gt;"",$I19&lt;=AW$3),0,AV19-AW19))</f>
        <v/>
      </c>
      <c r="AY19" s="63">
        <f>IF(OR($K19="",$H19=""),"",MIN(MAX(0,IF($O19="WDV",AX19*$P19*MAX(0,(IF($I19="",AY$3,MIN($I19,AY$3)))-(MAX($H19,(EDATE(AY$3,-12)+1)))+1)/(AY$3-(EDATE(AY$3,-12)+1)+1),IF($N19=0,0,$Q19/$N19*MAX(0,(IF($I19="",AY$3,MIN($I19,AY$3)))-(MAX($H19,(EDATE(AY$3,-12)+1)))+1)/(AY$3-(EDATE(AY$3,-12)+1)+1)))*$W19),MAX(0,AX19-$M19)))</f>
        <v/>
      </c>
      <c r="AZ19" s="64">
        <f>IF($K19="","",IF(AND($I19&lt;&gt;"",$I19&lt;=AY$3),0,AX19-AY19))</f>
        <v/>
      </c>
      <c r="BA19" s="63">
        <f>IF(OR($K19="",$H19=""),"",MIN(MAX(0,IF($O19="WDV",AZ19*$P19*MAX(0,(IF($I19="",BA$3,MIN($I19,BA$3)))-(MAX($H19,(EDATE(BA$3,-12)+1)))+1)/(BA$3-(EDATE(BA$3,-12)+1)+1),IF($N19=0,0,$Q19/$N19*MAX(0,(IF($I19="",BA$3,MIN($I19,BA$3)))-(MAX($H19,(EDATE(BA$3,-12)+1)))+1)/(BA$3-(EDATE(BA$3,-12)+1)+1)))*$W19),MAX(0,AZ19-$M19)))</f>
        <v/>
      </c>
      <c r="BB19" s="64">
        <f>IF($K19="","",IF(AND($I19&lt;&gt;"",$I19&lt;=BA$3),0,AZ19-BA19))</f>
        <v/>
      </c>
      <c r="BC19" s="63">
        <f>IF(OR($K19="",$H19=""),"",MIN(MAX(0,IF($O19="WDV",BB19*$P19*MAX(0,(IF($I19="",BC$3,MIN($I19,BC$3)))-(MAX($H19,(EDATE(BC$3,-12)+1)))+1)/(BC$3-(EDATE(BC$3,-12)+1)+1),IF($N19=0,0,$Q19/$N19*MAX(0,(IF($I19="",BC$3,MIN($I19,BC$3)))-(MAX($H19,(EDATE(BC$3,-12)+1)))+1)/(BC$3-(EDATE(BC$3,-12)+1)+1)))*$W19),MAX(0,BB19-$M19)))</f>
        <v/>
      </c>
      <c r="BD19" s="64">
        <f>IF($K19="","",IF(AND($I19&lt;&gt;"",$I19&lt;=BC$3),0,BB19-BC19))</f>
        <v/>
      </c>
      <c r="BE19" s="63">
        <f>IF(OR($K19="",$H19=""),"",MIN(MAX(0,IF($O19="WDV",BD19*$P19*MAX(0,(IF($I19="",BE$3,MIN($I19,BE$3)))-(MAX($H19,(EDATE(BE$3,-12)+1)))+1)/(BE$3-(EDATE(BE$3,-12)+1)+1),IF($N19=0,0,$Q19/$N19*MAX(0,(IF($I19="",BE$3,MIN($I19,BE$3)))-(MAX($H19,(EDATE(BE$3,-12)+1)))+1)/(BE$3-(EDATE(BE$3,-12)+1)+1)))*$W19),MAX(0,BD19-$M19)))</f>
        <v/>
      </c>
      <c r="BF19" s="64">
        <f>IF($K19="","",IF(AND($I19&lt;&gt;"",$I19&lt;=BE$3),0,BD19-BE19))</f>
        <v/>
      </c>
    </row>
    <row r="20">
      <c r="A20" s="65" t="n"/>
      <c r="B20" s="66" t="n"/>
      <c r="C20" s="66" t="n"/>
      <c r="D20" s="66" t="n"/>
      <c r="E20" s="67" t="n"/>
      <c r="F20" s="68" t="n"/>
      <c r="G20" s="69" t="n"/>
      <c r="H20" s="69" t="n"/>
      <c r="I20" s="70" t="n"/>
      <c r="J20" s="71" t="n"/>
      <c r="K20" s="72" t="n"/>
      <c r="L20" s="73">
        <f>DefaultResidual</f>
        <v/>
      </c>
      <c r="M20" s="74">
        <f>IF($K20="","",$K20*$L20)</f>
        <v/>
      </c>
      <c r="N20" s="22">
        <f>IF($C20="","",IFERROR(VLOOKUP($C20,ScheduleIITable,3,FALSE),"#N/A"))</f>
        <v/>
      </c>
      <c r="O20" s="75">
        <f>IF($K20="","",GlobalMethod)</f>
        <v/>
      </c>
      <c r="P20" s="23">
        <f>IF(OR($K20="",$N20="",$N20=0,$M20=0),0,1-($M20/$K20)^(1/$N20))</f>
        <v/>
      </c>
      <c r="Q20" s="74">
        <f>IF($K20="","",$K20-$M20)</f>
        <v/>
      </c>
      <c r="R20" s="76">
        <f>IF($K20="","",INDEX($AA20:$BF20,1,MATCH(ReportingFYEnd,$AA$3:$BF$3,0)))</f>
        <v/>
      </c>
      <c r="S20" s="74">
        <f>IF($K20="","",IF($U20="Disposed",0,$K20-$T20))</f>
        <v/>
      </c>
      <c r="T20" s="77">
        <f>IF($K20="","",INDEX($AA20:$BF20,1,MATCH(ReportingFYEnd,$AA$3:$BF$3,0)+1))</f>
        <v/>
      </c>
      <c r="U20" s="78">
        <f>IF($K20="","",IF(AND($I20&lt;&gt;"",$I20&lt;=ReportingFYEnd),"Disposed",IF(OR($H20="",$H20&gt;ReportingFYEnd),"Not Yet in Use","Active")))</f>
        <v/>
      </c>
      <c r="V20" s="79" t="n"/>
      <c r="W20" s="80">
        <f>IF($V20="Double",1.5,IF($V20="Triple",2,1))</f>
        <v/>
      </c>
      <c r="X20" s="69" t="n"/>
      <c r="Y20" s="78">
        <f>IF($K20="","",IF(OR(ISNUMBER(SEARCH("Build",$C20)),ISNUMBER(SEARCH("Lease",$C20))),"Yes","NA"))</f>
        <v/>
      </c>
      <c r="Z20" s="21" t="n"/>
      <c r="AA20" s="81">
        <f>IF(OR($K20="",$H20=""),"",MIN(MAX(0,IF($O20="WDV",$K20*$P20*MAX(0,(IF($I20="",AA$3,MIN($I20,AA$3)))-(MAX($H20,(EDATE(AA$3,-12)+1)))+1)/(AA$3-(EDATE(AA$3,-12)+1)+1),IF($N20=0,0,$Q20/$N20*MAX(0,(IF($I20="",AA$3,MIN($I20,AA$3)))-(MAX($H20,(EDATE(AA$3,-12)+1)))+1)/(AA$3-(EDATE(AA$3,-12)+1)+1)))*$W20),MAX(0,$K20-$M20)))</f>
        <v/>
      </c>
      <c r="AB20" s="81">
        <f>IF($K20="","",IF(AND($I20&lt;&gt;"",$I20&lt;=AA$3),0,$K20-AA20))</f>
        <v/>
      </c>
      <c r="AC20" s="81">
        <f>IF(OR($K20="",$H20=""),"",MIN(MAX(0,IF($O20="WDV",AB20*$P20*MAX(0,(IF($I20="",AC$3,MIN($I20,AC$3)))-(MAX($H20,(EDATE(AC$3,-12)+1)))+1)/(AC$3-(EDATE(AC$3,-12)+1)+1),IF($N20=0,0,$Q20/$N20*MAX(0,(IF($I20="",AC$3,MIN($I20,AC$3)))-(MAX($H20,(EDATE(AC$3,-12)+1)))+1)/(AC$3-(EDATE(AC$3,-12)+1)+1)))*$W20),MAX(0,AB20-$M20)))</f>
        <v/>
      </c>
      <c r="AD20" s="81">
        <f>IF($K20="","",IF(AND($I20&lt;&gt;"",$I20&lt;=AC$3),0,AB20-AC20))</f>
        <v/>
      </c>
      <c r="AE20" s="81">
        <f>IF(OR($K20="",$H20=""),"",MIN(MAX(0,IF($O20="WDV",AD20*$P20*MAX(0,(IF($I20="",AE$3,MIN($I20,AE$3)))-(MAX($H20,(EDATE(AE$3,-12)+1)))+1)/(AE$3-(EDATE(AE$3,-12)+1)+1),IF($N20=0,0,$Q20/$N20*MAX(0,(IF($I20="",AE$3,MIN($I20,AE$3)))-(MAX($H20,(EDATE(AE$3,-12)+1)))+1)/(AE$3-(EDATE(AE$3,-12)+1)+1)))*$W20),MAX(0,AD20-$M20)))</f>
        <v/>
      </c>
      <c r="AF20" s="81">
        <f>IF($K20="","",IF(AND($I20&lt;&gt;"",$I20&lt;=AE$3),0,AD20-AE20))</f>
        <v/>
      </c>
      <c r="AG20" s="81">
        <f>IF(OR($K20="",$H20=""),"",MIN(MAX(0,IF($O20="WDV",AF20*$P20*MAX(0,(IF($I20="",AG$3,MIN($I20,AG$3)))-(MAX($H20,(EDATE(AG$3,-12)+1)))+1)/(AG$3-(EDATE(AG$3,-12)+1)+1),IF($N20=0,0,$Q20/$N20*MAX(0,(IF($I20="",AG$3,MIN($I20,AG$3)))-(MAX($H20,(EDATE(AG$3,-12)+1)))+1)/(AG$3-(EDATE(AG$3,-12)+1)+1)))*$W20),MAX(0,AF20-$M20)))</f>
        <v/>
      </c>
      <c r="AH20" s="81">
        <f>IF($K20="","",IF(AND($I20&lt;&gt;"",$I20&lt;=AG$3),0,AF20-AG20))</f>
        <v/>
      </c>
      <c r="AI20" s="81">
        <f>IF(OR($K20="",$H20=""),"",MIN(MAX(0,IF($O20="WDV",AH20*$P20*MAX(0,(IF($I20="",AI$3,MIN($I20,AI$3)))-(MAX($H20,(EDATE(AI$3,-12)+1)))+1)/(AI$3-(EDATE(AI$3,-12)+1)+1),IF($N20=0,0,$Q20/$N20*MAX(0,(IF($I20="",AI$3,MIN($I20,AI$3)))-(MAX($H20,(EDATE(AI$3,-12)+1)))+1)/(AI$3-(EDATE(AI$3,-12)+1)+1)))*$W20),MAX(0,AH20-$M20)))</f>
        <v/>
      </c>
      <c r="AJ20" s="81">
        <f>IF($K20="","",IF(AND($I20&lt;&gt;"",$I20&lt;=AI$3),0,AH20-AI20))</f>
        <v/>
      </c>
      <c r="AK20" s="81">
        <f>IF(OR($K20="",$H20=""),"",MIN(MAX(0,IF($O20="WDV",AJ20*$P20*MAX(0,(IF($I20="",AK$3,MIN($I20,AK$3)))-(MAX($H20,(EDATE(AK$3,-12)+1)))+1)/(AK$3-(EDATE(AK$3,-12)+1)+1),IF($N20=0,0,$Q20/$N20*MAX(0,(IF($I20="",AK$3,MIN($I20,AK$3)))-(MAX($H20,(EDATE(AK$3,-12)+1)))+1)/(AK$3-(EDATE(AK$3,-12)+1)+1)))*$W20),MAX(0,AJ20-$M20)))</f>
        <v/>
      </c>
      <c r="AL20" s="81">
        <f>IF($K20="","",IF(AND($I20&lt;&gt;"",$I20&lt;=AK$3),0,AJ20-AK20))</f>
        <v/>
      </c>
      <c r="AM20" s="81">
        <f>IF(OR($K20="",$H20=""),"",MIN(MAX(0,IF($O20="WDV",AL20*$P20*MAX(0,(IF($I20="",AM$3,MIN($I20,AM$3)))-(MAX($H20,(EDATE(AM$3,-12)+1)))+1)/(AM$3-(EDATE(AM$3,-12)+1)+1),IF($N20=0,0,$Q20/$N20*MAX(0,(IF($I20="",AM$3,MIN($I20,AM$3)))-(MAX($H20,(EDATE(AM$3,-12)+1)))+1)/(AM$3-(EDATE(AM$3,-12)+1)+1)))*$W20),MAX(0,AL20-$M20)))</f>
        <v/>
      </c>
      <c r="AN20" s="81">
        <f>IF($K20="","",IF(AND($I20&lt;&gt;"",$I20&lt;=AM$3),0,AL20-AM20))</f>
        <v/>
      </c>
      <c r="AO20" s="81">
        <f>IF(OR($K20="",$H20=""),"",MIN(MAX(0,IF($O20="WDV",AN20*$P20*MAX(0,(IF($I20="",AO$3,MIN($I20,AO$3)))-(MAX($H20,(EDATE(AO$3,-12)+1)))+1)/(AO$3-(EDATE(AO$3,-12)+1)+1),IF($N20=0,0,$Q20/$N20*MAX(0,(IF($I20="",AO$3,MIN($I20,AO$3)))-(MAX($H20,(EDATE(AO$3,-12)+1)))+1)/(AO$3-(EDATE(AO$3,-12)+1)+1)))*$W20),MAX(0,AN20-$M20)))</f>
        <v/>
      </c>
      <c r="AP20" s="81">
        <f>IF($K20="","",IF(AND($I20&lt;&gt;"",$I20&lt;=AO$3),0,AN20-AO20))</f>
        <v/>
      </c>
      <c r="AQ20" s="81">
        <f>IF(OR($K20="",$H20=""),"",MIN(MAX(0,IF($O20="WDV",AP20*$P20*MAX(0,(IF($I20="",AQ$3,MIN($I20,AQ$3)))-(MAX($H20,(EDATE(AQ$3,-12)+1)))+1)/(AQ$3-(EDATE(AQ$3,-12)+1)+1),IF($N20=0,0,$Q20/$N20*MAX(0,(IF($I20="",AQ$3,MIN($I20,AQ$3)))-(MAX($H20,(EDATE(AQ$3,-12)+1)))+1)/(AQ$3-(EDATE(AQ$3,-12)+1)+1)))*$W20),MAX(0,AP20-$M20)))</f>
        <v/>
      </c>
      <c r="AR20" s="81">
        <f>IF($K20="","",IF(AND($I20&lt;&gt;"",$I20&lt;=AQ$3),0,AP20-AQ20))</f>
        <v/>
      </c>
      <c r="AS20" s="81">
        <f>IF(OR($K20="",$H20=""),"",MIN(MAX(0,IF($O20="WDV",AR20*$P20*MAX(0,(IF($I20="",AS$3,MIN($I20,AS$3)))-(MAX($H20,(EDATE(AS$3,-12)+1)))+1)/(AS$3-(EDATE(AS$3,-12)+1)+1),IF($N20=0,0,$Q20/$N20*MAX(0,(IF($I20="",AS$3,MIN($I20,AS$3)))-(MAX($H20,(EDATE(AS$3,-12)+1)))+1)/(AS$3-(EDATE(AS$3,-12)+1)+1)))*$W20),MAX(0,AR20-$M20)))</f>
        <v/>
      </c>
      <c r="AT20" s="81">
        <f>IF($K20="","",IF(AND($I20&lt;&gt;"",$I20&lt;=AS$3),0,AR20-AS20))</f>
        <v/>
      </c>
      <c r="AU20" s="81">
        <f>IF(OR($K20="",$H20=""),"",MIN(MAX(0,IF($O20="WDV",AT20*$P20*MAX(0,(IF($I20="",AU$3,MIN($I20,AU$3)))-(MAX($H20,(EDATE(AU$3,-12)+1)))+1)/(AU$3-(EDATE(AU$3,-12)+1)+1),IF($N20=0,0,$Q20/$N20*MAX(0,(IF($I20="",AU$3,MIN($I20,AU$3)))-(MAX($H20,(EDATE(AU$3,-12)+1)))+1)/(AU$3-(EDATE(AU$3,-12)+1)+1)))*$W20),MAX(0,AT20-$M20)))</f>
        <v/>
      </c>
      <c r="AV20" s="81">
        <f>IF($K20="","",IF(AND($I20&lt;&gt;"",$I20&lt;=AU$3),0,AT20-AU20))</f>
        <v/>
      </c>
      <c r="AW20" s="81">
        <f>IF(OR($K20="",$H20=""),"",MIN(MAX(0,IF($O20="WDV",AV20*$P20*MAX(0,(IF($I20="",AW$3,MIN($I20,AW$3)))-(MAX($H20,(EDATE(AW$3,-12)+1)))+1)/(AW$3-(EDATE(AW$3,-12)+1)+1),IF($N20=0,0,$Q20/$N20*MAX(0,(IF($I20="",AW$3,MIN($I20,AW$3)))-(MAX($H20,(EDATE(AW$3,-12)+1)))+1)/(AW$3-(EDATE(AW$3,-12)+1)+1)))*$W20),MAX(0,AV20-$M20)))</f>
        <v/>
      </c>
      <c r="AX20" s="81">
        <f>IF($K20="","",IF(AND($I20&lt;&gt;"",$I20&lt;=AW$3),0,AV20-AW20))</f>
        <v/>
      </c>
      <c r="AY20" s="81">
        <f>IF(OR($K20="",$H20=""),"",MIN(MAX(0,IF($O20="WDV",AX20*$P20*MAX(0,(IF($I20="",AY$3,MIN($I20,AY$3)))-(MAX($H20,(EDATE(AY$3,-12)+1)))+1)/(AY$3-(EDATE(AY$3,-12)+1)+1),IF($N20=0,0,$Q20/$N20*MAX(0,(IF($I20="",AY$3,MIN($I20,AY$3)))-(MAX($H20,(EDATE(AY$3,-12)+1)))+1)/(AY$3-(EDATE(AY$3,-12)+1)+1)))*$W20),MAX(0,AX20-$M20)))</f>
        <v/>
      </c>
      <c r="AZ20" s="81">
        <f>IF($K20="","",IF(AND($I20&lt;&gt;"",$I20&lt;=AY$3),0,AX20-AY20))</f>
        <v/>
      </c>
      <c r="BA20" s="81">
        <f>IF(OR($K20="",$H20=""),"",MIN(MAX(0,IF($O20="WDV",AZ20*$P20*MAX(0,(IF($I20="",BA$3,MIN($I20,BA$3)))-(MAX($H20,(EDATE(BA$3,-12)+1)))+1)/(BA$3-(EDATE(BA$3,-12)+1)+1),IF($N20=0,0,$Q20/$N20*MAX(0,(IF($I20="",BA$3,MIN($I20,BA$3)))-(MAX($H20,(EDATE(BA$3,-12)+1)))+1)/(BA$3-(EDATE(BA$3,-12)+1)+1)))*$W20),MAX(0,AZ20-$M20)))</f>
        <v/>
      </c>
      <c r="BB20" s="81">
        <f>IF($K20="","",IF(AND($I20&lt;&gt;"",$I20&lt;=BA$3),0,AZ20-BA20))</f>
        <v/>
      </c>
      <c r="BC20" s="81">
        <f>IF(OR($K20="",$H20=""),"",MIN(MAX(0,IF($O20="WDV",BB20*$P20*MAX(0,(IF($I20="",BC$3,MIN($I20,BC$3)))-(MAX($H20,(EDATE(BC$3,-12)+1)))+1)/(BC$3-(EDATE(BC$3,-12)+1)+1),IF($N20=0,0,$Q20/$N20*MAX(0,(IF($I20="",BC$3,MIN($I20,BC$3)))-(MAX($H20,(EDATE(BC$3,-12)+1)))+1)/(BC$3-(EDATE(BC$3,-12)+1)+1)))*$W20),MAX(0,BB20-$M20)))</f>
        <v/>
      </c>
      <c r="BD20" s="81">
        <f>IF($K20="","",IF(AND($I20&lt;&gt;"",$I20&lt;=BC$3),0,BB20-BC20))</f>
        <v/>
      </c>
      <c r="BE20" s="81">
        <f>IF(OR($K20="",$H20=""),"",MIN(MAX(0,IF($O20="WDV",BD20*$P20*MAX(0,(IF($I20="",BE$3,MIN($I20,BE$3)))-(MAX($H20,(EDATE(BE$3,-12)+1)))+1)/(BE$3-(EDATE(BE$3,-12)+1)+1),IF($N20=0,0,$Q20/$N20*MAX(0,(IF($I20="",BE$3,MIN($I20,BE$3)))-(MAX($H20,(EDATE(BE$3,-12)+1)))+1)/(BE$3-(EDATE(BE$3,-12)+1)+1)))*$W20),MAX(0,BD20-$M20)))</f>
        <v/>
      </c>
      <c r="BF20" s="81">
        <f>IF($K20="","",IF(AND($I20&lt;&gt;"",$I20&lt;=BE$3),0,BD20-BE20))</f>
        <v/>
      </c>
    </row>
    <row r="21">
      <c r="A21" s="44" t="n"/>
      <c r="B21" s="45" t="n"/>
      <c r="C21" s="45" t="n"/>
      <c r="D21" s="45" t="n"/>
      <c r="E21" s="46" t="n"/>
      <c r="F21" s="47" t="n"/>
      <c r="G21" s="48" t="n"/>
      <c r="H21" s="48" t="n"/>
      <c r="I21" s="49" t="n"/>
      <c r="J21" s="50" t="n"/>
      <c r="K21" s="51" t="n"/>
      <c r="L21" s="52">
        <f>DefaultResidual</f>
        <v/>
      </c>
      <c r="M21" s="53">
        <f>IF($K21="","",$K21*$L21)</f>
        <v/>
      </c>
      <c r="N21" s="54">
        <f>IF($C21="","",IFERROR(VLOOKUP($C21,ScheduleIITable,3,FALSE),"#N/A"))</f>
        <v/>
      </c>
      <c r="O21" s="55">
        <f>IF($K21="","",GlobalMethod)</f>
        <v/>
      </c>
      <c r="P21" s="56">
        <f>IF(OR($K21="",$N21="",$N21=0,$M21=0),0,1-($M21/$K21)^(1/$N21))</f>
        <v/>
      </c>
      <c r="Q21" s="53">
        <f>IF($K21="","",$K21-$M21)</f>
        <v/>
      </c>
      <c r="R21" s="57">
        <f>IF($K21="","",INDEX($AA21:$BF21,1,MATCH(ReportingFYEnd,$AA$3:$BF$3,0)))</f>
        <v/>
      </c>
      <c r="S21" s="53">
        <f>IF($K21="","",IF($U21="Disposed",0,$K21-$T21))</f>
        <v/>
      </c>
      <c r="T21" s="58">
        <f>IF($K21="","",INDEX($AA21:$BF21,1,MATCH(ReportingFYEnd,$AA$3:$BF$3,0)+1))</f>
        <v/>
      </c>
      <c r="U21" s="59">
        <f>IF($K21="","",IF(AND($I21&lt;&gt;"",$I21&lt;=ReportingFYEnd),"Disposed",IF(OR($H21="",$H21&gt;ReportingFYEnd),"Not Yet in Use","Active")))</f>
        <v/>
      </c>
      <c r="V21" s="60" t="n"/>
      <c r="W21" s="61">
        <f>IF($V21="Double",1.5,IF($V21="Triple",2,1))</f>
        <v/>
      </c>
      <c r="X21" s="48" t="n"/>
      <c r="Y21" s="59">
        <f>IF($K21="","",IF(OR(ISNUMBER(SEARCH("Build",$C21)),ISNUMBER(SEARCH("Lease",$C21))),"Yes","NA"))</f>
        <v/>
      </c>
      <c r="Z21" s="62" t="n"/>
      <c r="AA21" s="63">
        <f>IF(OR($K21="",$H21=""),"",MIN(MAX(0,IF($O21="WDV",$K21*$P21*MAX(0,(IF($I21="",AA$3,MIN($I21,AA$3)))-(MAX($H21,(EDATE(AA$3,-12)+1)))+1)/(AA$3-(EDATE(AA$3,-12)+1)+1),IF($N21=0,0,$Q21/$N21*MAX(0,(IF($I21="",AA$3,MIN($I21,AA$3)))-(MAX($H21,(EDATE(AA$3,-12)+1)))+1)/(AA$3-(EDATE(AA$3,-12)+1)+1)))*$W21),MAX(0,$K21-$M21)))</f>
        <v/>
      </c>
      <c r="AB21" s="64">
        <f>IF($K21="","",IF(AND($I21&lt;&gt;"",$I21&lt;=AA$3),0,$K21-AA21))</f>
        <v/>
      </c>
      <c r="AC21" s="63">
        <f>IF(OR($K21="",$H21=""),"",MIN(MAX(0,IF($O21="WDV",AB21*$P21*MAX(0,(IF($I21="",AC$3,MIN($I21,AC$3)))-(MAX($H21,(EDATE(AC$3,-12)+1)))+1)/(AC$3-(EDATE(AC$3,-12)+1)+1),IF($N21=0,0,$Q21/$N21*MAX(0,(IF($I21="",AC$3,MIN($I21,AC$3)))-(MAX($H21,(EDATE(AC$3,-12)+1)))+1)/(AC$3-(EDATE(AC$3,-12)+1)+1)))*$W21),MAX(0,AB21-$M21)))</f>
        <v/>
      </c>
      <c r="AD21" s="64">
        <f>IF($K21="","",IF(AND($I21&lt;&gt;"",$I21&lt;=AC$3),0,AB21-AC21))</f>
        <v/>
      </c>
      <c r="AE21" s="63">
        <f>IF(OR($K21="",$H21=""),"",MIN(MAX(0,IF($O21="WDV",AD21*$P21*MAX(0,(IF($I21="",AE$3,MIN($I21,AE$3)))-(MAX($H21,(EDATE(AE$3,-12)+1)))+1)/(AE$3-(EDATE(AE$3,-12)+1)+1),IF($N21=0,0,$Q21/$N21*MAX(0,(IF($I21="",AE$3,MIN($I21,AE$3)))-(MAX($H21,(EDATE(AE$3,-12)+1)))+1)/(AE$3-(EDATE(AE$3,-12)+1)+1)))*$W21),MAX(0,AD21-$M21)))</f>
        <v/>
      </c>
      <c r="AF21" s="64">
        <f>IF($K21="","",IF(AND($I21&lt;&gt;"",$I21&lt;=AE$3),0,AD21-AE21))</f>
        <v/>
      </c>
      <c r="AG21" s="63">
        <f>IF(OR($K21="",$H21=""),"",MIN(MAX(0,IF($O21="WDV",AF21*$P21*MAX(0,(IF($I21="",AG$3,MIN($I21,AG$3)))-(MAX($H21,(EDATE(AG$3,-12)+1)))+1)/(AG$3-(EDATE(AG$3,-12)+1)+1),IF($N21=0,0,$Q21/$N21*MAX(0,(IF($I21="",AG$3,MIN($I21,AG$3)))-(MAX($H21,(EDATE(AG$3,-12)+1)))+1)/(AG$3-(EDATE(AG$3,-12)+1)+1)))*$W21),MAX(0,AF21-$M21)))</f>
        <v/>
      </c>
      <c r="AH21" s="64">
        <f>IF($K21="","",IF(AND($I21&lt;&gt;"",$I21&lt;=AG$3),0,AF21-AG21))</f>
        <v/>
      </c>
      <c r="AI21" s="63">
        <f>IF(OR($K21="",$H21=""),"",MIN(MAX(0,IF($O21="WDV",AH21*$P21*MAX(0,(IF($I21="",AI$3,MIN($I21,AI$3)))-(MAX($H21,(EDATE(AI$3,-12)+1)))+1)/(AI$3-(EDATE(AI$3,-12)+1)+1),IF($N21=0,0,$Q21/$N21*MAX(0,(IF($I21="",AI$3,MIN($I21,AI$3)))-(MAX($H21,(EDATE(AI$3,-12)+1)))+1)/(AI$3-(EDATE(AI$3,-12)+1)+1)))*$W21),MAX(0,AH21-$M21)))</f>
        <v/>
      </c>
      <c r="AJ21" s="64">
        <f>IF($K21="","",IF(AND($I21&lt;&gt;"",$I21&lt;=AI$3),0,AH21-AI21))</f>
        <v/>
      </c>
      <c r="AK21" s="63">
        <f>IF(OR($K21="",$H21=""),"",MIN(MAX(0,IF($O21="WDV",AJ21*$P21*MAX(0,(IF($I21="",AK$3,MIN($I21,AK$3)))-(MAX($H21,(EDATE(AK$3,-12)+1)))+1)/(AK$3-(EDATE(AK$3,-12)+1)+1),IF($N21=0,0,$Q21/$N21*MAX(0,(IF($I21="",AK$3,MIN($I21,AK$3)))-(MAX($H21,(EDATE(AK$3,-12)+1)))+1)/(AK$3-(EDATE(AK$3,-12)+1)+1)))*$W21),MAX(0,AJ21-$M21)))</f>
        <v/>
      </c>
      <c r="AL21" s="64">
        <f>IF($K21="","",IF(AND($I21&lt;&gt;"",$I21&lt;=AK$3),0,AJ21-AK21))</f>
        <v/>
      </c>
      <c r="AM21" s="63">
        <f>IF(OR($K21="",$H21=""),"",MIN(MAX(0,IF($O21="WDV",AL21*$P21*MAX(0,(IF($I21="",AM$3,MIN($I21,AM$3)))-(MAX($H21,(EDATE(AM$3,-12)+1)))+1)/(AM$3-(EDATE(AM$3,-12)+1)+1),IF($N21=0,0,$Q21/$N21*MAX(0,(IF($I21="",AM$3,MIN($I21,AM$3)))-(MAX($H21,(EDATE(AM$3,-12)+1)))+1)/(AM$3-(EDATE(AM$3,-12)+1)+1)))*$W21),MAX(0,AL21-$M21)))</f>
        <v/>
      </c>
      <c r="AN21" s="64">
        <f>IF($K21="","",IF(AND($I21&lt;&gt;"",$I21&lt;=AM$3),0,AL21-AM21))</f>
        <v/>
      </c>
      <c r="AO21" s="63">
        <f>IF(OR($K21="",$H21=""),"",MIN(MAX(0,IF($O21="WDV",AN21*$P21*MAX(0,(IF($I21="",AO$3,MIN($I21,AO$3)))-(MAX($H21,(EDATE(AO$3,-12)+1)))+1)/(AO$3-(EDATE(AO$3,-12)+1)+1),IF($N21=0,0,$Q21/$N21*MAX(0,(IF($I21="",AO$3,MIN($I21,AO$3)))-(MAX($H21,(EDATE(AO$3,-12)+1)))+1)/(AO$3-(EDATE(AO$3,-12)+1)+1)))*$W21),MAX(0,AN21-$M21)))</f>
        <v/>
      </c>
      <c r="AP21" s="64">
        <f>IF($K21="","",IF(AND($I21&lt;&gt;"",$I21&lt;=AO$3),0,AN21-AO21))</f>
        <v/>
      </c>
      <c r="AQ21" s="63">
        <f>IF(OR($K21="",$H21=""),"",MIN(MAX(0,IF($O21="WDV",AP21*$P21*MAX(0,(IF($I21="",AQ$3,MIN($I21,AQ$3)))-(MAX($H21,(EDATE(AQ$3,-12)+1)))+1)/(AQ$3-(EDATE(AQ$3,-12)+1)+1),IF($N21=0,0,$Q21/$N21*MAX(0,(IF($I21="",AQ$3,MIN($I21,AQ$3)))-(MAX($H21,(EDATE(AQ$3,-12)+1)))+1)/(AQ$3-(EDATE(AQ$3,-12)+1)+1)))*$W21),MAX(0,AP21-$M21)))</f>
        <v/>
      </c>
      <c r="AR21" s="64">
        <f>IF($K21="","",IF(AND($I21&lt;&gt;"",$I21&lt;=AQ$3),0,AP21-AQ21))</f>
        <v/>
      </c>
      <c r="AS21" s="63">
        <f>IF(OR($K21="",$H21=""),"",MIN(MAX(0,IF($O21="WDV",AR21*$P21*MAX(0,(IF($I21="",AS$3,MIN($I21,AS$3)))-(MAX($H21,(EDATE(AS$3,-12)+1)))+1)/(AS$3-(EDATE(AS$3,-12)+1)+1),IF($N21=0,0,$Q21/$N21*MAX(0,(IF($I21="",AS$3,MIN($I21,AS$3)))-(MAX($H21,(EDATE(AS$3,-12)+1)))+1)/(AS$3-(EDATE(AS$3,-12)+1)+1)))*$W21),MAX(0,AR21-$M21)))</f>
        <v/>
      </c>
      <c r="AT21" s="64">
        <f>IF($K21="","",IF(AND($I21&lt;&gt;"",$I21&lt;=AS$3),0,AR21-AS21))</f>
        <v/>
      </c>
      <c r="AU21" s="63">
        <f>IF(OR($K21="",$H21=""),"",MIN(MAX(0,IF($O21="WDV",AT21*$P21*MAX(0,(IF($I21="",AU$3,MIN($I21,AU$3)))-(MAX($H21,(EDATE(AU$3,-12)+1)))+1)/(AU$3-(EDATE(AU$3,-12)+1)+1),IF($N21=0,0,$Q21/$N21*MAX(0,(IF($I21="",AU$3,MIN($I21,AU$3)))-(MAX($H21,(EDATE(AU$3,-12)+1)))+1)/(AU$3-(EDATE(AU$3,-12)+1)+1)))*$W21),MAX(0,AT21-$M21)))</f>
        <v/>
      </c>
      <c r="AV21" s="64">
        <f>IF($K21="","",IF(AND($I21&lt;&gt;"",$I21&lt;=AU$3),0,AT21-AU21))</f>
        <v/>
      </c>
      <c r="AW21" s="63">
        <f>IF(OR($K21="",$H21=""),"",MIN(MAX(0,IF($O21="WDV",AV21*$P21*MAX(0,(IF($I21="",AW$3,MIN($I21,AW$3)))-(MAX($H21,(EDATE(AW$3,-12)+1)))+1)/(AW$3-(EDATE(AW$3,-12)+1)+1),IF($N21=0,0,$Q21/$N21*MAX(0,(IF($I21="",AW$3,MIN($I21,AW$3)))-(MAX($H21,(EDATE(AW$3,-12)+1)))+1)/(AW$3-(EDATE(AW$3,-12)+1)+1)))*$W21),MAX(0,AV21-$M21)))</f>
        <v/>
      </c>
      <c r="AX21" s="64">
        <f>IF($K21="","",IF(AND($I21&lt;&gt;"",$I21&lt;=AW$3),0,AV21-AW21))</f>
        <v/>
      </c>
      <c r="AY21" s="63">
        <f>IF(OR($K21="",$H21=""),"",MIN(MAX(0,IF($O21="WDV",AX21*$P21*MAX(0,(IF($I21="",AY$3,MIN($I21,AY$3)))-(MAX($H21,(EDATE(AY$3,-12)+1)))+1)/(AY$3-(EDATE(AY$3,-12)+1)+1),IF($N21=0,0,$Q21/$N21*MAX(0,(IF($I21="",AY$3,MIN($I21,AY$3)))-(MAX($H21,(EDATE(AY$3,-12)+1)))+1)/(AY$3-(EDATE(AY$3,-12)+1)+1)))*$W21),MAX(0,AX21-$M21)))</f>
        <v/>
      </c>
      <c r="AZ21" s="64">
        <f>IF($K21="","",IF(AND($I21&lt;&gt;"",$I21&lt;=AY$3),0,AX21-AY21))</f>
        <v/>
      </c>
      <c r="BA21" s="63">
        <f>IF(OR($K21="",$H21=""),"",MIN(MAX(0,IF($O21="WDV",AZ21*$P21*MAX(0,(IF($I21="",BA$3,MIN($I21,BA$3)))-(MAX($H21,(EDATE(BA$3,-12)+1)))+1)/(BA$3-(EDATE(BA$3,-12)+1)+1),IF($N21=0,0,$Q21/$N21*MAX(0,(IF($I21="",BA$3,MIN($I21,BA$3)))-(MAX($H21,(EDATE(BA$3,-12)+1)))+1)/(BA$3-(EDATE(BA$3,-12)+1)+1)))*$W21),MAX(0,AZ21-$M21)))</f>
        <v/>
      </c>
      <c r="BB21" s="64">
        <f>IF($K21="","",IF(AND($I21&lt;&gt;"",$I21&lt;=BA$3),0,AZ21-BA21))</f>
        <v/>
      </c>
      <c r="BC21" s="63">
        <f>IF(OR($K21="",$H21=""),"",MIN(MAX(0,IF($O21="WDV",BB21*$P21*MAX(0,(IF($I21="",BC$3,MIN($I21,BC$3)))-(MAX($H21,(EDATE(BC$3,-12)+1)))+1)/(BC$3-(EDATE(BC$3,-12)+1)+1),IF($N21=0,0,$Q21/$N21*MAX(0,(IF($I21="",BC$3,MIN($I21,BC$3)))-(MAX($H21,(EDATE(BC$3,-12)+1)))+1)/(BC$3-(EDATE(BC$3,-12)+1)+1)))*$W21),MAX(0,BB21-$M21)))</f>
        <v/>
      </c>
      <c r="BD21" s="64">
        <f>IF($K21="","",IF(AND($I21&lt;&gt;"",$I21&lt;=BC$3),0,BB21-BC21))</f>
        <v/>
      </c>
      <c r="BE21" s="63">
        <f>IF(OR($K21="",$H21=""),"",MIN(MAX(0,IF($O21="WDV",BD21*$P21*MAX(0,(IF($I21="",BE$3,MIN($I21,BE$3)))-(MAX($H21,(EDATE(BE$3,-12)+1)))+1)/(BE$3-(EDATE(BE$3,-12)+1)+1),IF($N21=0,0,$Q21/$N21*MAX(0,(IF($I21="",BE$3,MIN($I21,BE$3)))-(MAX($H21,(EDATE(BE$3,-12)+1)))+1)/(BE$3-(EDATE(BE$3,-12)+1)+1)))*$W21),MAX(0,BD21-$M21)))</f>
        <v/>
      </c>
      <c r="BF21" s="64">
        <f>IF($K21="","",IF(AND($I21&lt;&gt;"",$I21&lt;=BE$3),0,BD21-BE21))</f>
        <v/>
      </c>
    </row>
    <row r="22">
      <c r="A22" s="65" t="n"/>
      <c r="B22" s="66" t="n"/>
      <c r="C22" s="66" t="n"/>
      <c r="D22" s="66" t="n"/>
      <c r="E22" s="67" t="n"/>
      <c r="F22" s="68" t="n"/>
      <c r="G22" s="69" t="n"/>
      <c r="H22" s="69" t="n"/>
      <c r="I22" s="70" t="n"/>
      <c r="J22" s="71" t="n"/>
      <c r="K22" s="72" t="n"/>
      <c r="L22" s="73">
        <f>DefaultResidual</f>
        <v/>
      </c>
      <c r="M22" s="74">
        <f>IF($K22="","",$K22*$L22)</f>
        <v/>
      </c>
      <c r="N22" s="22">
        <f>IF($C22="","",IFERROR(VLOOKUP($C22,ScheduleIITable,3,FALSE),"#N/A"))</f>
        <v/>
      </c>
      <c r="O22" s="75">
        <f>IF($K22="","",GlobalMethod)</f>
        <v/>
      </c>
      <c r="P22" s="23">
        <f>IF(OR($K22="",$N22="",$N22=0,$M22=0),0,1-($M22/$K22)^(1/$N22))</f>
        <v/>
      </c>
      <c r="Q22" s="74">
        <f>IF($K22="","",$K22-$M22)</f>
        <v/>
      </c>
      <c r="R22" s="76">
        <f>IF($K22="","",INDEX($AA22:$BF22,1,MATCH(ReportingFYEnd,$AA$3:$BF$3,0)))</f>
        <v/>
      </c>
      <c r="S22" s="74">
        <f>IF($K22="","",IF($U22="Disposed",0,$K22-$T22))</f>
        <v/>
      </c>
      <c r="T22" s="77">
        <f>IF($K22="","",INDEX($AA22:$BF22,1,MATCH(ReportingFYEnd,$AA$3:$BF$3,0)+1))</f>
        <v/>
      </c>
      <c r="U22" s="78">
        <f>IF($K22="","",IF(AND($I22&lt;&gt;"",$I22&lt;=ReportingFYEnd),"Disposed",IF(OR($H22="",$H22&gt;ReportingFYEnd),"Not Yet in Use","Active")))</f>
        <v/>
      </c>
      <c r="V22" s="79" t="n"/>
      <c r="W22" s="80">
        <f>IF($V22="Double",1.5,IF($V22="Triple",2,1))</f>
        <v/>
      </c>
      <c r="X22" s="69" t="n"/>
      <c r="Y22" s="78">
        <f>IF($K22="","",IF(OR(ISNUMBER(SEARCH("Build",$C22)),ISNUMBER(SEARCH("Lease",$C22))),"Yes","NA"))</f>
        <v/>
      </c>
      <c r="Z22" s="21" t="n"/>
      <c r="AA22" s="81">
        <f>IF(OR($K22="",$H22=""),"",MIN(MAX(0,IF($O22="WDV",$K22*$P22*MAX(0,(IF($I22="",AA$3,MIN($I22,AA$3)))-(MAX($H22,(EDATE(AA$3,-12)+1)))+1)/(AA$3-(EDATE(AA$3,-12)+1)+1),IF($N22=0,0,$Q22/$N22*MAX(0,(IF($I22="",AA$3,MIN($I22,AA$3)))-(MAX($H22,(EDATE(AA$3,-12)+1)))+1)/(AA$3-(EDATE(AA$3,-12)+1)+1)))*$W22),MAX(0,$K22-$M22)))</f>
        <v/>
      </c>
      <c r="AB22" s="81">
        <f>IF($K22="","",IF(AND($I22&lt;&gt;"",$I22&lt;=AA$3),0,$K22-AA22))</f>
        <v/>
      </c>
      <c r="AC22" s="81">
        <f>IF(OR($K22="",$H22=""),"",MIN(MAX(0,IF($O22="WDV",AB22*$P22*MAX(0,(IF($I22="",AC$3,MIN($I22,AC$3)))-(MAX($H22,(EDATE(AC$3,-12)+1)))+1)/(AC$3-(EDATE(AC$3,-12)+1)+1),IF($N22=0,0,$Q22/$N22*MAX(0,(IF($I22="",AC$3,MIN($I22,AC$3)))-(MAX($H22,(EDATE(AC$3,-12)+1)))+1)/(AC$3-(EDATE(AC$3,-12)+1)+1)))*$W22),MAX(0,AB22-$M22)))</f>
        <v/>
      </c>
      <c r="AD22" s="81">
        <f>IF($K22="","",IF(AND($I22&lt;&gt;"",$I22&lt;=AC$3),0,AB22-AC22))</f>
        <v/>
      </c>
      <c r="AE22" s="81">
        <f>IF(OR($K22="",$H22=""),"",MIN(MAX(0,IF($O22="WDV",AD22*$P22*MAX(0,(IF($I22="",AE$3,MIN($I22,AE$3)))-(MAX($H22,(EDATE(AE$3,-12)+1)))+1)/(AE$3-(EDATE(AE$3,-12)+1)+1),IF($N22=0,0,$Q22/$N22*MAX(0,(IF($I22="",AE$3,MIN($I22,AE$3)))-(MAX($H22,(EDATE(AE$3,-12)+1)))+1)/(AE$3-(EDATE(AE$3,-12)+1)+1)))*$W22),MAX(0,AD22-$M22)))</f>
        <v/>
      </c>
      <c r="AF22" s="81">
        <f>IF($K22="","",IF(AND($I22&lt;&gt;"",$I22&lt;=AE$3),0,AD22-AE22))</f>
        <v/>
      </c>
      <c r="AG22" s="81">
        <f>IF(OR($K22="",$H22=""),"",MIN(MAX(0,IF($O22="WDV",AF22*$P22*MAX(0,(IF($I22="",AG$3,MIN($I22,AG$3)))-(MAX($H22,(EDATE(AG$3,-12)+1)))+1)/(AG$3-(EDATE(AG$3,-12)+1)+1),IF($N22=0,0,$Q22/$N22*MAX(0,(IF($I22="",AG$3,MIN($I22,AG$3)))-(MAX($H22,(EDATE(AG$3,-12)+1)))+1)/(AG$3-(EDATE(AG$3,-12)+1)+1)))*$W22),MAX(0,AF22-$M22)))</f>
        <v/>
      </c>
      <c r="AH22" s="81">
        <f>IF($K22="","",IF(AND($I22&lt;&gt;"",$I22&lt;=AG$3),0,AF22-AG22))</f>
        <v/>
      </c>
      <c r="AI22" s="81">
        <f>IF(OR($K22="",$H22=""),"",MIN(MAX(0,IF($O22="WDV",AH22*$P22*MAX(0,(IF($I22="",AI$3,MIN($I22,AI$3)))-(MAX($H22,(EDATE(AI$3,-12)+1)))+1)/(AI$3-(EDATE(AI$3,-12)+1)+1),IF($N22=0,0,$Q22/$N22*MAX(0,(IF($I22="",AI$3,MIN($I22,AI$3)))-(MAX($H22,(EDATE(AI$3,-12)+1)))+1)/(AI$3-(EDATE(AI$3,-12)+1)+1)))*$W22),MAX(0,AH22-$M22)))</f>
        <v/>
      </c>
      <c r="AJ22" s="81">
        <f>IF($K22="","",IF(AND($I22&lt;&gt;"",$I22&lt;=AI$3),0,AH22-AI22))</f>
        <v/>
      </c>
      <c r="AK22" s="81">
        <f>IF(OR($K22="",$H22=""),"",MIN(MAX(0,IF($O22="WDV",AJ22*$P22*MAX(0,(IF($I22="",AK$3,MIN($I22,AK$3)))-(MAX($H22,(EDATE(AK$3,-12)+1)))+1)/(AK$3-(EDATE(AK$3,-12)+1)+1),IF($N22=0,0,$Q22/$N22*MAX(0,(IF($I22="",AK$3,MIN($I22,AK$3)))-(MAX($H22,(EDATE(AK$3,-12)+1)))+1)/(AK$3-(EDATE(AK$3,-12)+1)+1)))*$W22),MAX(0,AJ22-$M22)))</f>
        <v/>
      </c>
      <c r="AL22" s="81">
        <f>IF($K22="","",IF(AND($I22&lt;&gt;"",$I22&lt;=AK$3),0,AJ22-AK22))</f>
        <v/>
      </c>
      <c r="AM22" s="81">
        <f>IF(OR($K22="",$H22=""),"",MIN(MAX(0,IF($O22="WDV",AL22*$P22*MAX(0,(IF($I22="",AM$3,MIN($I22,AM$3)))-(MAX($H22,(EDATE(AM$3,-12)+1)))+1)/(AM$3-(EDATE(AM$3,-12)+1)+1),IF($N22=0,0,$Q22/$N22*MAX(0,(IF($I22="",AM$3,MIN($I22,AM$3)))-(MAX($H22,(EDATE(AM$3,-12)+1)))+1)/(AM$3-(EDATE(AM$3,-12)+1)+1)))*$W22),MAX(0,AL22-$M22)))</f>
        <v/>
      </c>
      <c r="AN22" s="81">
        <f>IF($K22="","",IF(AND($I22&lt;&gt;"",$I22&lt;=AM$3),0,AL22-AM22))</f>
        <v/>
      </c>
      <c r="AO22" s="81">
        <f>IF(OR($K22="",$H22=""),"",MIN(MAX(0,IF($O22="WDV",AN22*$P22*MAX(0,(IF($I22="",AO$3,MIN($I22,AO$3)))-(MAX($H22,(EDATE(AO$3,-12)+1)))+1)/(AO$3-(EDATE(AO$3,-12)+1)+1),IF($N22=0,0,$Q22/$N22*MAX(0,(IF($I22="",AO$3,MIN($I22,AO$3)))-(MAX($H22,(EDATE(AO$3,-12)+1)))+1)/(AO$3-(EDATE(AO$3,-12)+1)+1)))*$W22),MAX(0,AN22-$M22)))</f>
        <v/>
      </c>
      <c r="AP22" s="81">
        <f>IF($K22="","",IF(AND($I22&lt;&gt;"",$I22&lt;=AO$3),0,AN22-AO22))</f>
        <v/>
      </c>
      <c r="AQ22" s="81">
        <f>IF(OR($K22="",$H22=""),"",MIN(MAX(0,IF($O22="WDV",AP22*$P22*MAX(0,(IF($I22="",AQ$3,MIN($I22,AQ$3)))-(MAX($H22,(EDATE(AQ$3,-12)+1)))+1)/(AQ$3-(EDATE(AQ$3,-12)+1)+1),IF($N22=0,0,$Q22/$N22*MAX(0,(IF($I22="",AQ$3,MIN($I22,AQ$3)))-(MAX($H22,(EDATE(AQ$3,-12)+1)))+1)/(AQ$3-(EDATE(AQ$3,-12)+1)+1)))*$W22),MAX(0,AP22-$M22)))</f>
        <v/>
      </c>
      <c r="AR22" s="81">
        <f>IF($K22="","",IF(AND($I22&lt;&gt;"",$I22&lt;=AQ$3),0,AP22-AQ22))</f>
        <v/>
      </c>
      <c r="AS22" s="81">
        <f>IF(OR($K22="",$H22=""),"",MIN(MAX(0,IF($O22="WDV",AR22*$P22*MAX(0,(IF($I22="",AS$3,MIN($I22,AS$3)))-(MAX($H22,(EDATE(AS$3,-12)+1)))+1)/(AS$3-(EDATE(AS$3,-12)+1)+1),IF($N22=0,0,$Q22/$N22*MAX(0,(IF($I22="",AS$3,MIN($I22,AS$3)))-(MAX($H22,(EDATE(AS$3,-12)+1)))+1)/(AS$3-(EDATE(AS$3,-12)+1)+1)))*$W22),MAX(0,AR22-$M22)))</f>
        <v/>
      </c>
      <c r="AT22" s="81">
        <f>IF($K22="","",IF(AND($I22&lt;&gt;"",$I22&lt;=AS$3),0,AR22-AS22))</f>
        <v/>
      </c>
      <c r="AU22" s="81">
        <f>IF(OR($K22="",$H22=""),"",MIN(MAX(0,IF($O22="WDV",AT22*$P22*MAX(0,(IF($I22="",AU$3,MIN($I22,AU$3)))-(MAX($H22,(EDATE(AU$3,-12)+1)))+1)/(AU$3-(EDATE(AU$3,-12)+1)+1),IF($N22=0,0,$Q22/$N22*MAX(0,(IF($I22="",AU$3,MIN($I22,AU$3)))-(MAX($H22,(EDATE(AU$3,-12)+1)))+1)/(AU$3-(EDATE(AU$3,-12)+1)+1)))*$W22),MAX(0,AT22-$M22)))</f>
        <v/>
      </c>
      <c r="AV22" s="81">
        <f>IF($K22="","",IF(AND($I22&lt;&gt;"",$I22&lt;=AU$3),0,AT22-AU22))</f>
        <v/>
      </c>
      <c r="AW22" s="81">
        <f>IF(OR($K22="",$H22=""),"",MIN(MAX(0,IF($O22="WDV",AV22*$P22*MAX(0,(IF($I22="",AW$3,MIN($I22,AW$3)))-(MAX($H22,(EDATE(AW$3,-12)+1)))+1)/(AW$3-(EDATE(AW$3,-12)+1)+1),IF($N22=0,0,$Q22/$N22*MAX(0,(IF($I22="",AW$3,MIN($I22,AW$3)))-(MAX($H22,(EDATE(AW$3,-12)+1)))+1)/(AW$3-(EDATE(AW$3,-12)+1)+1)))*$W22),MAX(0,AV22-$M22)))</f>
        <v/>
      </c>
      <c r="AX22" s="81">
        <f>IF($K22="","",IF(AND($I22&lt;&gt;"",$I22&lt;=AW$3),0,AV22-AW22))</f>
        <v/>
      </c>
      <c r="AY22" s="81">
        <f>IF(OR($K22="",$H22=""),"",MIN(MAX(0,IF($O22="WDV",AX22*$P22*MAX(0,(IF($I22="",AY$3,MIN($I22,AY$3)))-(MAX($H22,(EDATE(AY$3,-12)+1)))+1)/(AY$3-(EDATE(AY$3,-12)+1)+1),IF($N22=0,0,$Q22/$N22*MAX(0,(IF($I22="",AY$3,MIN($I22,AY$3)))-(MAX($H22,(EDATE(AY$3,-12)+1)))+1)/(AY$3-(EDATE(AY$3,-12)+1)+1)))*$W22),MAX(0,AX22-$M22)))</f>
        <v/>
      </c>
      <c r="AZ22" s="81">
        <f>IF($K22="","",IF(AND($I22&lt;&gt;"",$I22&lt;=AY$3),0,AX22-AY22))</f>
        <v/>
      </c>
      <c r="BA22" s="81">
        <f>IF(OR($K22="",$H22=""),"",MIN(MAX(0,IF($O22="WDV",AZ22*$P22*MAX(0,(IF($I22="",BA$3,MIN($I22,BA$3)))-(MAX($H22,(EDATE(BA$3,-12)+1)))+1)/(BA$3-(EDATE(BA$3,-12)+1)+1),IF($N22=0,0,$Q22/$N22*MAX(0,(IF($I22="",BA$3,MIN($I22,BA$3)))-(MAX($H22,(EDATE(BA$3,-12)+1)))+1)/(BA$3-(EDATE(BA$3,-12)+1)+1)))*$W22),MAX(0,AZ22-$M22)))</f>
        <v/>
      </c>
      <c r="BB22" s="81">
        <f>IF($K22="","",IF(AND($I22&lt;&gt;"",$I22&lt;=BA$3),0,AZ22-BA22))</f>
        <v/>
      </c>
      <c r="BC22" s="81">
        <f>IF(OR($K22="",$H22=""),"",MIN(MAX(0,IF($O22="WDV",BB22*$P22*MAX(0,(IF($I22="",BC$3,MIN($I22,BC$3)))-(MAX($H22,(EDATE(BC$3,-12)+1)))+1)/(BC$3-(EDATE(BC$3,-12)+1)+1),IF($N22=0,0,$Q22/$N22*MAX(0,(IF($I22="",BC$3,MIN($I22,BC$3)))-(MAX($H22,(EDATE(BC$3,-12)+1)))+1)/(BC$3-(EDATE(BC$3,-12)+1)+1)))*$W22),MAX(0,BB22-$M22)))</f>
        <v/>
      </c>
      <c r="BD22" s="81">
        <f>IF($K22="","",IF(AND($I22&lt;&gt;"",$I22&lt;=BC$3),0,BB22-BC22))</f>
        <v/>
      </c>
      <c r="BE22" s="81">
        <f>IF(OR($K22="",$H22=""),"",MIN(MAX(0,IF($O22="WDV",BD22*$P22*MAX(0,(IF($I22="",BE$3,MIN($I22,BE$3)))-(MAX($H22,(EDATE(BE$3,-12)+1)))+1)/(BE$3-(EDATE(BE$3,-12)+1)+1),IF($N22=0,0,$Q22/$N22*MAX(0,(IF($I22="",BE$3,MIN($I22,BE$3)))-(MAX($H22,(EDATE(BE$3,-12)+1)))+1)/(BE$3-(EDATE(BE$3,-12)+1)+1)))*$W22),MAX(0,BD22-$M22)))</f>
        <v/>
      </c>
      <c r="BF22" s="81">
        <f>IF($K22="","",IF(AND($I22&lt;&gt;"",$I22&lt;=BE$3),0,BD22-BE22))</f>
        <v/>
      </c>
    </row>
    <row r="23">
      <c r="A23" s="44" t="n"/>
      <c r="B23" s="45" t="n"/>
      <c r="C23" s="45" t="n"/>
      <c r="D23" s="45" t="n"/>
      <c r="E23" s="46" t="n"/>
      <c r="F23" s="47" t="n"/>
      <c r="G23" s="48" t="n"/>
      <c r="H23" s="48" t="n"/>
      <c r="I23" s="49" t="n"/>
      <c r="J23" s="50" t="n"/>
      <c r="K23" s="51" t="n"/>
      <c r="L23" s="52">
        <f>DefaultResidual</f>
        <v/>
      </c>
      <c r="M23" s="53">
        <f>IF($K23="","",$K23*$L23)</f>
        <v/>
      </c>
      <c r="N23" s="54">
        <f>IF($C23="","",IFERROR(VLOOKUP($C23,ScheduleIITable,3,FALSE),"#N/A"))</f>
        <v/>
      </c>
      <c r="O23" s="55">
        <f>IF($K23="","",GlobalMethod)</f>
        <v/>
      </c>
      <c r="P23" s="56">
        <f>IF(OR($K23="",$N23="",$N23=0,$M23=0),0,1-($M23/$K23)^(1/$N23))</f>
        <v/>
      </c>
      <c r="Q23" s="53">
        <f>IF($K23="","",$K23-$M23)</f>
        <v/>
      </c>
      <c r="R23" s="57">
        <f>IF($K23="","",INDEX($AA23:$BF23,1,MATCH(ReportingFYEnd,$AA$3:$BF$3,0)))</f>
        <v/>
      </c>
      <c r="S23" s="53">
        <f>IF($K23="","",IF($U23="Disposed",0,$K23-$T23))</f>
        <v/>
      </c>
      <c r="T23" s="58">
        <f>IF($K23="","",INDEX($AA23:$BF23,1,MATCH(ReportingFYEnd,$AA$3:$BF$3,0)+1))</f>
        <v/>
      </c>
      <c r="U23" s="59">
        <f>IF($K23="","",IF(AND($I23&lt;&gt;"",$I23&lt;=ReportingFYEnd),"Disposed",IF(OR($H23="",$H23&gt;ReportingFYEnd),"Not Yet in Use","Active")))</f>
        <v/>
      </c>
      <c r="V23" s="60" t="n"/>
      <c r="W23" s="61">
        <f>IF($V23="Double",1.5,IF($V23="Triple",2,1))</f>
        <v/>
      </c>
      <c r="X23" s="48" t="n"/>
      <c r="Y23" s="59">
        <f>IF($K23="","",IF(OR(ISNUMBER(SEARCH("Build",$C23)),ISNUMBER(SEARCH("Lease",$C23))),"Yes","NA"))</f>
        <v/>
      </c>
      <c r="Z23" s="62" t="n"/>
      <c r="AA23" s="63">
        <f>IF(OR($K23="",$H23=""),"",MIN(MAX(0,IF($O23="WDV",$K23*$P23*MAX(0,(IF($I23="",AA$3,MIN($I23,AA$3)))-(MAX($H23,(EDATE(AA$3,-12)+1)))+1)/(AA$3-(EDATE(AA$3,-12)+1)+1),IF($N23=0,0,$Q23/$N23*MAX(0,(IF($I23="",AA$3,MIN($I23,AA$3)))-(MAX($H23,(EDATE(AA$3,-12)+1)))+1)/(AA$3-(EDATE(AA$3,-12)+1)+1)))*$W23),MAX(0,$K23-$M23)))</f>
        <v/>
      </c>
      <c r="AB23" s="64">
        <f>IF($K23="","",IF(AND($I23&lt;&gt;"",$I23&lt;=AA$3),0,$K23-AA23))</f>
        <v/>
      </c>
      <c r="AC23" s="63">
        <f>IF(OR($K23="",$H23=""),"",MIN(MAX(0,IF($O23="WDV",AB23*$P23*MAX(0,(IF($I23="",AC$3,MIN($I23,AC$3)))-(MAX($H23,(EDATE(AC$3,-12)+1)))+1)/(AC$3-(EDATE(AC$3,-12)+1)+1),IF($N23=0,0,$Q23/$N23*MAX(0,(IF($I23="",AC$3,MIN($I23,AC$3)))-(MAX($H23,(EDATE(AC$3,-12)+1)))+1)/(AC$3-(EDATE(AC$3,-12)+1)+1)))*$W23),MAX(0,AB23-$M23)))</f>
        <v/>
      </c>
      <c r="AD23" s="64">
        <f>IF($K23="","",IF(AND($I23&lt;&gt;"",$I23&lt;=AC$3),0,AB23-AC23))</f>
        <v/>
      </c>
      <c r="AE23" s="63">
        <f>IF(OR($K23="",$H23=""),"",MIN(MAX(0,IF($O23="WDV",AD23*$P23*MAX(0,(IF($I23="",AE$3,MIN($I23,AE$3)))-(MAX($H23,(EDATE(AE$3,-12)+1)))+1)/(AE$3-(EDATE(AE$3,-12)+1)+1),IF($N23=0,0,$Q23/$N23*MAX(0,(IF($I23="",AE$3,MIN($I23,AE$3)))-(MAX($H23,(EDATE(AE$3,-12)+1)))+1)/(AE$3-(EDATE(AE$3,-12)+1)+1)))*$W23),MAX(0,AD23-$M23)))</f>
        <v/>
      </c>
      <c r="AF23" s="64">
        <f>IF($K23="","",IF(AND($I23&lt;&gt;"",$I23&lt;=AE$3),0,AD23-AE23))</f>
        <v/>
      </c>
      <c r="AG23" s="63">
        <f>IF(OR($K23="",$H23=""),"",MIN(MAX(0,IF($O23="WDV",AF23*$P23*MAX(0,(IF($I23="",AG$3,MIN($I23,AG$3)))-(MAX($H23,(EDATE(AG$3,-12)+1)))+1)/(AG$3-(EDATE(AG$3,-12)+1)+1),IF($N23=0,0,$Q23/$N23*MAX(0,(IF($I23="",AG$3,MIN($I23,AG$3)))-(MAX($H23,(EDATE(AG$3,-12)+1)))+1)/(AG$3-(EDATE(AG$3,-12)+1)+1)))*$W23),MAX(0,AF23-$M23)))</f>
        <v/>
      </c>
      <c r="AH23" s="64">
        <f>IF($K23="","",IF(AND($I23&lt;&gt;"",$I23&lt;=AG$3),0,AF23-AG23))</f>
        <v/>
      </c>
      <c r="AI23" s="63">
        <f>IF(OR($K23="",$H23=""),"",MIN(MAX(0,IF($O23="WDV",AH23*$P23*MAX(0,(IF($I23="",AI$3,MIN($I23,AI$3)))-(MAX($H23,(EDATE(AI$3,-12)+1)))+1)/(AI$3-(EDATE(AI$3,-12)+1)+1),IF($N23=0,0,$Q23/$N23*MAX(0,(IF($I23="",AI$3,MIN($I23,AI$3)))-(MAX($H23,(EDATE(AI$3,-12)+1)))+1)/(AI$3-(EDATE(AI$3,-12)+1)+1)))*$W23),MAX(0,AH23-$M23)))</f>
        <v/>
      </c>
      <c r="AJ23" s="64">
        <f>IF($K23="","",IF(AND($I23&lt;&gt;"",$I23&lt;=AI$3),0,AH23-AI23))</f>
        <v/>
      </c>
      <c r="AK23" s="63">
        <f>IF(OR($K23="",$H23=""),"",MIN(MAX(0,IF($O23="WDV",AJ23*$P23*MAX(0,(IF($I23="",AK$3,MIN($I23,AK$3)))-(MAX($H23,(EDATE(AK$3,-12)+1)))+1)/(AK$3-(EDATE(AK$3,-12)+1)+1),IF($N23=0,0,$Q23/$N23*MAX(0,(IF($I23="",AK$3,MIN($I23,AK$3)))-(MAX($H23,(EDATE(AK$3,-12)+1)))+1)/(AK$3-(EDATE(AK$3,-12)+1)+1)))*$W23),MAX(0,AJ23-$M23)))</f>
        <v/>
      </c>
      <c r="AL23" s="64">
        <f>IF($K23="","",IF(AND($I23&lt;&gt;"",$I23&lt;=AK$3),0,AJ23-AK23))</f>
        <v/>
      </c>
      <c r="AM23" s="63">
        <f>IF(OR($K23="",$H23=""),"",MIN(MAX(0,IF($O23="WDV",AL23*$P23*MAX(0,(IF($I23="",AM$3,MIN($I23,AM$3)))-(MAX($H23,(EDATE(AM$3,-12)+1)))+1)/(AM$3-(EDATE(AM$3,-12)+1)+1),IF($N23=0,0,$Q23/$N23*MAX(0,(IF($I23="",AM$3,MIN($I23,AM$3)))-(MAX($H23,(EDATE(AM$3,-12)+1)))+1)/(AM$3-(EDATE(AM$3,-12)+1)+1)))*$W23),MAX(0,AL23-$M23)))</f>
        <v/>
      </c>
      <c r="AN23" s="64">
        <f>IF($K23="","",IF(AND($I23&lt;&gt;"",$I23&lt;=AM$3),0,AL23-AM23))</f>
        <v/>
      </c>
      <c r="AO23" s="63">
        <f>IF(OR($K23="",$H23=""),"",MIN(MAX(0,IF($O23="WDV",AN23*$P23*MAX(0,(IF($I23="",AO$3,MIN($I23,AO$3)))-(MAX($H23,(EDATE(AO$3,-12)+1)))+1)/(AO$3-(EDATE(AO$3,-12)+1)+1),IF($N23=0,0,$Q23/$N23*MAX(0,(IF($I23="",AO$3,MIN($I23,AO$3)))-(MAX($H23,(EDATE(AO$3,-12)+1)))+1)/(AO$3-(EDATE(AO$3,-12)+1)+1)))*$W23),MAX(0,AN23-$M23)))</f>
        <v/>
      </c>
      <c r="AP23" s="64">
        <f>IF($K23="","",IF(AND($I23&lt;&gt;"",$I23&lt;=AO$3),0,AN23-AO23))</f>
        <v/>
      </c>
      <c r="AQ23" s="63">
        <f>IF(OR($K23="",$H23=""),"",MIN(MAX(0,IF($O23="WDV",AP23*$P23*MAX(0,(IF($I23="",AQ$3,MIN($I23,AQ$3)))-(MAX($H23,(EDATE(AQ$3,-12)+1)))+1)/(AQ$3-(EDATE(AQ$3,-12)+1)+1),IF($N23=0,0,$Q23/$N23*MAX(0,(IF($I23="",AQ$3,MIN($I23,AQ$3)))-(MAX($H23,(EDATE(AQ$3,-12)+1)))+1)/(AQ$3-(EDATE(AQ$3,-12)+1)+1)))*$W23),MAX(0,AP23-$M23)))</f>
        <v/>
      </c>
      <c r="AR23" s="64">
        <f>IF($K23="","",IF(AND($I23&lt;&gt;"",$I23&lt;=AQ$3),0,AP23-AQ23))</f>
        <v/>
      </c>
      <c r="AS23" s="63">
        <f>IF(OR($K23="",$H23=""),"",MIN(MAX(0,IF($O23="WDV",AR23*$P23*MAX(0,(IF($I23="",AS$3,MIN($I23,AS$3)))-(MAX($H23,(EDATE(AS$3,-12)+1)))+1)/(AS$3-(EDATE(AS$3,-12)+1)+1),IF($N23=0,0,$Q23/$N23*MAX(0,(IF($I23="",AS$3,MIN($I23,AS$3)))-(MAX($H23,(EDATE(AS$3,-12)+1)))+1)/(AS$3-(EDATE(AS$3,-12)+1)+1)))*$W23),MAX(0,AR23-$M23)))</f>
        <v/>
      </c>
      <c r="AT23" s="64">
        <f>IF($K23="","",IF(AND($I23&lt;&gt;"",$I23&lt;=AS$3),0,AR23-AS23))</f>
        <v/>
      </c>
      <c r="AU23" s="63">
        <f>IF(OR($K23="",$H23=""),"",MIN(MAX(0,IF($O23="WDV",AT23*$P23*MAX(0,(IF($I23="",AU$3,MIN($I23,AU$3)))-(MAX($H23,(EDATE(AU$3,-12)+1)))+1)/(AU$3-(EDATE(AU$3,-12)+1)+1),IF($N23=0,0,$Q23/$N23*MAX(0,(IF($I23="",AU$3,MIN($I23,AU$3)))-(MAX($H23,(EDATE(AU$3,-12)+1)))+1)/(AU$3-(EDATE(AU$3,-12)+1)+1)))*$W23),MAX(0,AT23-$M23)))</f>
        <v/>
      </c>
      <c r="AV23" s="64">
        <f>IF($K23="","",IF(AND($I23&lt;&gt;"",$I23&lt;=AU$3),0,AT23-AU23))</f>
        <v/>
      </c>
      <c r="AW23" s="63">
        <f>IF(OR($K23="",$H23=""),"",MIN(MAX(0,IF($O23="WDV",AV23*$P23*MAX(0,(IF($I23="",AW$3,MIN($I23,AW$3)))-(MAX($H23,(EDATE(AW$3,-12)+1)))+1)/(AW$3-(EDATE(AW$3,-12)+1)+1),IF($N23=0,0,$Q23/$N23*MAX(0,(IF($I23="",AW$3,MIN($I23,AW$3)))-(MAX($H23,(EDATE(AW$3,-12)+1)))+1)/(AW$3-(EDATE(AW$3,-12)+1)+1)))*$W23),MAX(0,AV23-$M23)))</f>
        <v/>
      </c>
      <c r="AX23" s="64">
        <f>IF($K23="","",IF(AND($I23&lt;&gt;"",$I23&lt;=AW$3),0,AV23-AW23))</f>
        <v/>
      </c>
      <c r="AY23" s="63">
        <f>IF(OR($K23="",$H23=""),"",MIN(MAX(0,IF($O23="WDV",AX23*$P23*MAX(0,(IF($I23="",AY$3,MIN($I23,AY$3)))-(MAX($H23,(EDATE(AY$3,-12)+1)))+1)/(AY$3-(EDATE(AY$3,-12)+1)+1),IF($N23=0,0,$Q23/$N23*MAX(0,(IF($I23="",AY$3,MIN($I23,AY$3)))-(MAX($H23,(EDATE(AY$3,-12)+1)))+1)/(AY$3-(EDATE(AY$3,-12)+1)+1)))*$W23),MAX(0,AX23-$M23)))</f>
        <v/>
      </c>
      <c r="AZ23" s="64">
        <f>IF($K23="","",IF(AND($I23&lt;&gt;"",$I23&lt;=AY$3),0,AX23-AY23))</f>
        <v/>
      </c>
      <c r="BA23" s="63">
        <f>IF(OR($K23="",$H23=""),"",MIN(MAX(0,IF($O23="WDV",AZ23*$P23*MAX(0,(IF($I23="",BA$3,MIN($I23,BA$3)))-(MAX($H23,(EDATE(BA$3,-12)+1)))+1)/(BA$3-(EDATE(BA$3,-12)+1)+1),IF($N23=0,0,$Q23/$N23*MAX(0,(IF($I23="",BA$3,MIN($I23,BA$3)))-(MAX($H23,(EDATE(BA$3,-12)+1)))+1)/(BA$3-(EDATE(BA$3,-12)+1)+1)))*$W23),MAX(0,AZ23-$M23)))</f>
        <v/>
      </c>
      <c r="BB23" s="64">
        <f>IF($K23="","",IF(AND($I23&lt;&gt;"",$I23&lt;=BA$3),0,AZ23-BA23))</f>
        <v/>
      </c>
      <c r="BC23" s="63">
        <f>IF(OR($K23="",$H23=""),"",MIN(MAX(0,IF($O23="WDV",BB23*$P23*MAX(0,(IF($I23="",BC$3,MIN($I23,BC$3)))-(MAX($H23,(EDATE(BC$3,-12)+1)))+1)/(BC$3-(EDATE(BC$3,-12)+1)+1),IF($N23=0,0,$Q23/$N23*MAX(0,(IF($I23="",BC$3,MIN($I23,BC$3)))-(MAX($H23,(EDATE(BC$3,-12)+1)))+1)/(BC$3-(EDATE(BC$3,-12)+1)+1)))*$W23),MAX(0,BB23-$M23)))</f>
        <v/>
      </c>
      <c r="BD23" s="64">
        <f>IF($K23="","",IF(AND($I23&lt;&gt;"",$I23&lt;=BC$3),0,BB23-BC23))</f>
        <v/>
      </c>
      <c r="BE23" s="63">
        <f>IF(OR($K23="",$H23=""),"",MIN(MAX(0,IF($O23="WDV",BD23*$P23*MAX(0,(IF($I23="",BE$3,MIN($I23,BE$3)))-(MAX($H23,(EDATE(BE$3,-12)+1)))+1)/(BE$3-(EDATE(BE$3,-12)+1)+1),IF($N23=0,0,$Q23/$N23*MAX(0,(IF($I23="",BE$3,MIN($I23,BE$3)))-(MAX($H23,(EDATE(BE$3,-12)+1)))+1)/(BE$3-(EDATE(BE$3,-12)+1)+1)))*$W23),MAX(0,BD23-$M23)))</f>
        <v/>
      </c>
      <c r="BF23" s="64">
        <f>IF($K23="","",IF(AND($I23&lt;&gt;"",$I23&lt;=BE$3),0,BD23-BE23))</f>
        <v/>
      </c>
    </row>
    <row r="24">
      <c r="A24" s="65" t="n"/>
      <c r="B24" s="66" t="n"/>
      <c r="C24" s="66" t="n"/>
      <c r="D24" s="66" t="n"/>
      <c r="E24" s="67" t="n"/>
      <c r="F24" s="68" t="n"/>
      <c r="G24" s="69" t="n"/>
      <c r="H24" s="69" t="n"/>
      <c r="I24" s="70" t="n"/>
      <c r="J24" s="71" t="n"/>
      <c r="K24" s="72" t="n"/>
      <c r="L24" s="73">
        <f>DefaultResidual</f>
        <v/>
      </c>
      <c r="M24" s="74">
        <f>IF($K24="","",$K24*$L24)</f>
        <v/>
      </c>
      <c r="N24" s="22">
        <f>IF($C24="","",IFERROR(VLOOKUP($C24,ScheduleIITable,3,FALSE),"#N/A"))</f>
        <v/>
      </c>
      <c r="O24" s="75">
        <f>IF($K24="","",GlobalMethod)</f>
        <v/>
      </c>
      <c r="P24" s="23">
        <f>IF(OR($K24="",$N24="",$N24=0,$M24=0),0,1-($M24/$K24)^(1/$N24))</f>
        <v/>
      </c>
      <c r="Q24" s="74">
        <f>IF($K24="","",$K24-$M24)</f>
        <v/>
      </c>
      <c r="R24" s="76">
        <f>IF($K24="","",INDEX($AA24:$BF24,1,MATCH(ReportingFYEnd,$AA$3:$BF$3,0)))</f>
        <v/>
      </c>
      <c r="S24" s="74">
        <f>IF($K24="","",IF($U24="Disposed",0,$K24-$T24))</f>
        <v/>
      </c>
      <c r="T24" s="77">
        <f>IF($K24="","",INDEX($AA24:$BF24,1,MATCH(ReportingFYEnd,$AA$3:$BF$3,0)+1))</f>
        <v/>
      </c>
      <c r="U24" s="78">
        <f>IF($K24="","",IF(AND($I24&lt;&gt;"",$I24&lt;=ReportingFYEnd),"Disposed",IF(OR($H24="",$H24&gt;ReportingFYEnd),"Not Yet in Use","Active")))</f>
        <v/>
      </c>
      <c r="V24" s="79" t="n"/>
      <c r="W24" s="80">
        <f>IF($V24="Double",1.5,IF($V24="Triple",2,1))</f>
        <v/>
      </c>
      <c r="X24" s="69" t="n"/>
      <c r="Y24" s="78">
        <f>IF($K24="","",IF(OR(ISNUMBER(SEARCH("Build",$C24)),ISNUMBER(SEARCH("Lease",$C24))),"Yes","NA"))</f>
        <v/>
      </c>
      <c r="Z24" s="21" t="n"/>
      <c r="AA24" s="81">
        <f>IF(OR($K24="",$H24=""),"",MIN(MAX(0,IF($O24="WDV",$K24*$P24*MAX(0,(IF($I24="",AA$3,MIN($I24,AA$3)))-(MAX($H24,(EDATE(AA$3,-12)+1)))+1)/(AA$3-(EDATE(AA$3,-12)+1)+1),IF($N24=0,0,$Q24/$N24*MAX(0,(IF($I24="",AA$3,MIN($I24,AA$3)))-(MAX($H24,(EDATE(AA$3,-12)+1)))+1)/(AA$3-(EDATE(AA$3,-12)+1)+1)))*$W24),MAX(0,$K24-$M24)))</f>
        <v/>
      </c>
      <c r="AB24" s="81">
        <f>IF($K24="","",IF(AND($I24&lt;&gt;"",$I24&lt;=AA$3),0,$K24-AA24))</f>
        <v/>
      </c>
      <c r="AC24" s="81">
        <f>IF(OR($K24="",$H24=""),"",MIN(MAX(0,IF($O24="WDV",AB24*$P24*MAX(0,(IF($I24="",AC$3,MIN($I24,AC$3)))-(MAX($H24,(EDATE(AC$3,-12)+1)))+1)/(AC$3-(EDATE(AC$3,-12)+1)+1),IF($N24=0,0,$Q24/$N24*MAX(0,(IF($I24="",AC$3,MIN($I24,AC$3)))-(MAX($H24,(EDATE(AC$3,-12)+1)))+1)/(AC$3-(EDATE(AC$3,-12)+1)+1)))*$W24),MAX(0,AB24-$M24)))</f>
        <v/>
      </c>
      <c r="AD24" s="81">
        <f>IF($K24="","",IF(AND($I24&lt;&gt;"",$I24&lt;=AC$3),0,AB24-AC24))</f>
        <v/>
      </c>
      <c r="AE24" s="81">
        <f>IF(OR($K24="",$H24=""),"",MIN(MAX(0,IF($O24="WDV",AD24*$P24*MAX(0,(IF($I24="",AE$3,MIN($I24,AE$3)))-(MAX($H24,(EDATE(AE$3,-12)+1)))+1)/(AE$3-(EDATE(AE$3,-12)+1)+1),IF($N24=0,0,$Q24/$N24*MAX(0,(IF($I24="",AE$3,MIN($I24,AE$3)))-(MAX($H24,(EDATE(AE$3,-12)+1)))+1)/(AE$3-(EDATE(AE$3,-12)+1)+1)))*$W24),MAX(0,AD24-$M24)))</f>
        <v/>
      </c>
      <c r="AF24" s="81">
        <f>IF($K24="","",IF(AND($I24&lt;&gt;"",$I24&lt;=AE$3),0,AD24-AE24))</f>
        <v/>
      </c>
      <c r="AG24" s="81">
        <f>IF(OR($K24="",$H24=""),"",MIN(MAX(0,IF($O24="WDV",AF24*$P24*MAX(0,(IF($I24="",AG$3,MIN($I24,AG$3)))-(MAX($H24,(EDATE(AG$3,-12)+1)))+1)/(AG$3-(EDATE(AG$3,-12)+1)+1),IF($N24=0,0,$Q24/$N24*MAX(0,(IF($I24="",AG$3,MIN($I24,AG$3)))-(MAX($H24,(EDATE(AG$3,-12)+1)))+1)/(AG$3-(EDATE(AG$3,-12)+1)+1)))*$W24),MAX(0,AF24-$M24)))</f>
        <v/>
      </c>
      <c r="AH24" s="81">
        <f>IF($K24="","",IF(AND($I24&lt;&gt;"",$I24&lt;=AG$3),0,AF24-AG24))</f>
        <v/>
      </c>
      <c r="AI24" s="81">
        <f>IF(OR($K24="",$H24=""),"",MIN(MAX(0,IF($O24="WDV",AH24*$P24*MAX(0,(IF($I24="",AI$3,MIN($I24,AI$3)))-(MAX($H24,(EDATE(AI$3,-12)+1)))+1)/(AI$3-(EDATE(AI$3,-12)+1)+1),IF($N24=0,0,$Q24/$N24*MAX(0,(IF($I24="",AI$3,MIN($I24,AI$3)))-(MAX($H24,(EDATE(AI$3,-12)+1)))+1)/(AI$3-(EDATE(AI$3,-12)+1)+1)))*$W24),MAX(0,AH24-$M24)))</f>
        <v/>
      </c>
      <c r="AJ24" s="81">
        <f>IF($K24="","",IF(AND($I24&lt;&gt;"",$I24&lt;=AI$3),0,AH24-AI24))</f>
        <v/>
      </c>
      <c r="AK24" s="81">
        <f>IF(OR($K24="",$H24=""),"",MIN(MAX(0,IF($O24="WDV",AJ24*$P24*MAX(0,(IF($I24="",AK$3,MIN($I24,AK$3)))-(MAX($H24,(EDATE(AK$3,-12)+1)))+1)/(AK$3-(EDATE(AK$3,-12)+1)+1),IF($N24=0,0,$Q24/$N24*MAX(0,(IF($I24="",AK$3,MIN($I24,AK$3)))-(MAX($H24,(EDATE(AK$3,-12)+1)))+1)/(AK$3-(EDATE(AK$3,-12)+1)+1)))*$W24),MAX(0,AJ24-$M24)))</f>
        <v/>
      </c>
      <c r="AL24" s="81">
        <f>IF($K24="","",IF(AND($I24&lt;&gt;"",$I24&lt;=AK$3),0,AJ24-AK24))</f>
        <v/>
      </c>
      <c r="AM24" s="81">
        <f>IF(OR($K24="",$H24=""),"",MIN(MAX(0,IF($O24="WDV",AL24*$P24*MAX(0,(IF($I24="",AM$3,MIN($I24,AM$3)))-(MAX($H24,(EDATE(AM$3,-12)+1)))+1)/(AM$3-(EDATE(AM$3,-12)+1)+1),IF($N24=0,0,$Q24/$N24*MAX(0,(IF($I24="",AM$3,MIN($I24,AM$3)))-(MAX($H24,(EDATE(AM$3,-12)+1)))+1)/(AM$3-(EDATE(AM$3,-12)+1)+1)))*$W24),MAX(0,AL24-$M24)))</f>
        <v/>
      </c>
      <c r="AN24" s="81">
        <f>IF($K24="","",IF(AND($I24&lt;&gt;"",$I24&lt;=AM$3),0,AL24-AM24))</f>
        <v/>
      </c>
      <c r="AO24" s="81">
        <f>IF(OR($K24="",$H24=""),"",MIN(MAX(0,IF($O24="WDV",AN24*$P24*MAX(0,(IF($I24="",AO$3,MIN($I24,AO$3)))-(MAX($H24,(EDATE(AO$3,-12)+1)))+1)/(AO$3-(EDATE(AO$3,-12)+1)+1),IF($N24=0,0,$Q24/$N24*MAX(0,(IF($I24="",AO$3,MIN($I24,AO$3)))-(MAX($H24,(EDATE(AO$3,-12)+1)))+1)/(AO$3-(EDATE(AO$3,-12)+1)+1)))*$W24),MAX(0,AN24-$M24)))</f>
        <v/>
      </c>
      <c r="AP24" s="81">
        <f>IF($K24="","",IF(AND($I24&lt;&gt;"",$I24&lt;=AO$3),0,AN24-AO24))</f>
        <v/>
      </c>
      <c r="AQ24" s="81">
        <f>IF(OR($K24="",$H24=""),"",MIN(MAX(0,IF($O24="WDV",AP24*$P24*MAX(0,(IF($I24="",AQ$3,MIN($I24,AQ$3)))-(MAX($H24,(EDATE(AQ$3,-12)+1)))+1)/(AQ$3-(EDATE(AQ$3,-12)+1)+1),IF($N24=0,0,$Q24/$N24*MAX(0,(IF($I24="",AQ$3,MIN($I24,AQ$3)))-(MAX($H24,(EDATE(AQ$3,-12)+1)))+1)/(AQ$3-(EDATE(AQ$3,-12)+1)+1)))*$W24),MAX(0,AP24-$M24)))</f>
        <v/>
      </c>
      <c r="AR24" s="81">
        <f>IF($K24="","",IF(AND($I24&lt;&gt;"",$I24&lt;=AQ$3),0,AP24-AQ24))</f>
        <v/>
      </c>
      <c r="AS24" s="81">
        <f>IF(OR($K24="",$H24=""),"",MIN(MAX(0,IF($O24="WDV",AR24*$P24*MAX(0,(IF($I24="",AS$3,MIN($I24,AS$3)))-(MAX($H24,(EDATE(AS$3,-12)+1)))+1)/(AS$3-(EDATE(AS$3,-12)+1)+1),IF($N24=0,0,$Q24/$N24*MAX(0,(IF($I24="",AS$3,MIN($I24,AS$3)))-(MAX($H24,(EDATE(AS$3,-12)+1)))+1)/(AS$3-(EDATE(AS$3,-12)+1)+1)))*$W24),MAX(0,AR24-$M24)))</f>
        <v/>
      </c>
      <c r="AT24" s="81">
        <f>IF($K24="","",IF(AND($I24&lt;&gt;"",$I24&lt;=AS$3),0,AR24-AS24))</f>
        <v/>
      </c>
      <c r="AU24" s="81">
        <f>IF(OR($K24="",$H24=""),"",MIN(MAX(0,IF($O24="WDV",AT24*$P24*MAX(0,(IF($I24="",AU$3,MIN($I24,AU$3)))-(MAX($H24,(EDATE(AU$3,-12)+1)))+1)/(AU$3-(EDATE(AU$3,-12)+1)+1),IF($N24=0,0,$Q24/$N24*MAX(0,(IF($I24="",AU$3,MIN($I24,AU$3)))-(MAX($H24,(EDATE(AU$3,-12)+1)))+1)/(AU$3-(EDATE(AU$3,-12)+1)+1)))*$W24),MAX(0,AT24-$M24)))</f>
        <v/>
      </c>
      <c r="AV24" s="81">
        <f>IF($K24="","",IF(AND($I24&lt;&gt;"",$I24&lt;=AU$3),0,AT24-AU24))</f>
        <v/>
      </c>
      <c r="AW24" s="81">
        <f>IF(OR($K24="",$H24=""),"",MIN(MAX(0,IF($O24="WDV",AV24*$P24*MAX(0,(IF($I24="",AW$3,MIN($I24,AW$3)))-(MAX($H24,(EDATE(AW$3,-12)+1)))+1)/(AW$3-(EDATE(AW$3,-12)+1)+1),IF($N24=0,0,$Q24/$N24*MAX(0,(IF($I24="",AW$3,MIN($I24,AW$3)))-(MAX($H24,(EDATE(AW$3,-12)+1)))+1)/(AW$3-(EDATE(AW$3,-12)+1)+1)))*$W24),MAX(0,AV24-$M24)))</f>
        <v/>
      </c>
      <c r="AX24" s="81">
        <f>IF($K24="","",IF(AND($I24&lt;&gt;"",$I24&lt;=AW$3),0,AV24-AW24))</f>
        <v/>
      </c>
      <c r="AY24" s="81">
        <f>IF(OR($K24="",$H24=""),"",MIN(MAX(0,IF($O24="WDV",AX24*$P24*MAX(0,(IF($I24="",AY$3,MIN($I24,AY$3)))-(MAX($H24,(EDATE(AY$3,-12)+1)))+1)/(AY$3-(EDATE(AY$3,-12)+1)+1),IF($N24=0,0,$Q24/$N24*MAX(0,(IF($I24="",AY$3,MIN($I24,AY$3)))-(MAX($H24,(EDATE(AY$3,-12)+1)))+1)/(AY$3-(EDATE(AY$3,-12)+1)+1)))*$W24),MAX(0,AX24-$M24)))</f>
        <v/>
      </c>
      <c r="AZ24" s="81">
        <f>IF($K24="","",IF(AND($I24&lt;&gt;"",$I24&lt;=AY$3),0,AX24-AY24))</f>
        <v/>
      </c>
      <c r="BA24" s="81">
        <f>IF(OR($K24="",$H24=""),"",MIN(MAX(0,IF($O24="WDV",AZ24*$P24*MAX(0,(IF($I24="",BA$3,MIN($I24,BA$3)))-(MAX($H24,(EDATE(BA$3,-12)+1)))+1)/(BA$3-(EDATE(BA$3,-12)+1)+1),IF($N24=0,0,$Q24/$N24*MAX(0,(IF($I24="",BA$3,MIN($I24,BA$3)))-(MAX($H24,(EDATE(BA$3,-12)+1)))+1)/(BA$3-(EDATE(BA$3,-12)+1)+1)))*$W24),MAX(0,AZ24-$M24)))</f>
        <v/>
      </c>
      <c r="BB24" s="81">
        <f>IF($K24="","",IF(AND($I24&lt;&gt;"",$I24&lt;=BA$3),0,AZ24-BA24))</f>
        <v/>
      </c>
      <c r="BC24" s="81">
        <f>IF(OR($K24="",$H24=""),"",MIN(MAX(0,IF($O24="WDV",BB24*$P24*MAX(0,(IF($I24="",BC$3,MIN($I24,BC$3)))-(MAX($H24,(EDATE(BC$3,-12)+1)))+1)/(BC$3-(EDATE(BC$3,-12)+1)+1),IF($N24=0,0,$Q24/$N24*MAX(0,(IF($I24="",BC$3,MIN($I24,BC$3)))-(MAX($H24,(EDATE(BC$3,-12)+1)))+1)/(BC$3-(EDATE(BC$3,-12)+1)+1)))*$W24),MAX(0,BB24-$M24)))</f>
        <v/>
      </c>
      <c r="BD24" s="81">
        <f>IF($K24="","",IF(AND($I24&lt;&gt;"",$I24&lt;=BC$3),0,BB24-BC24))</f>
        <v/>
      </c>
      <c r="BE24" s="81">
        <f>IF(OR($K24="",$H24=""),"",MIN(MAX(0,IF($O24="WDV",BD24*$P24*MAX(0,(IF($I24="",BE$3,MIN($I24,BE$3)))-(MAX($H24,(EDATE(BE$3,-12)+1)))+1)/(BE$3-(EDATE(BE$3,-12)+1)+1),IF($N24=0,0,$Q24/$N24*MAX(0,(IF($I24="",BE$3,MIN($I24,BE$3)))-(MAX($H24,(EDATE(BE$3,-12)+1)))+1)/(BE$3-(EDATE(BE$3,-12)+1)+1)))*$W24),MAX(0,BD24-$M24)))</f>
        <v/>
      </c>
      <c r="BF24" s="81">
        <f>IF($K24="","",IF(AND($I24&lt;&gt;"",$I24&lt;=BE$3),0,BD24-BE24))</f>
        <v/>
      </c>
    </row>
    <row r="25">
      <c r="A25" s="44" t="n"/>
      <c r="B25" s="45" t="n"/>
      <c r="C25" s="45" t="n"/>
      <c r="D25" s="45" t="n"/>
      <c r="E25" s="46" t="n"/>
      <c r="F25" s="47" t="n"/>
      <c r="G25" s="48" t="n"/>
      <c r="H25" s="48" t="n"/>
      <c r="I25" s="49" t="n"/>
      <c r="J25" s="50" t="n"/>
      <c r="K25" s="51" t="n"/>
      <c r="L25" s="52">
        <f>DefaultResidual</f>
        <v/>
      </c>
      <c r="M25" s="53">
        <f>IF($K25="","",$K25*$L25)</f>
        <v/>
      </c>
      <c r="N25" s="54">
        <f>IF($C25="","",IFERROR(VLOOKUP($C25,ScheduleIITable,3,FALSE),"#N/A"))</f>
        <v/>
      </c>
      <c r="O25" s="55">
        <f>IF($K25="","",GlobalMethod)</f>
        <v/>
      </c>
      <c r="P25" s="56">
        <f>IF(OR($K25="",$N25="",$N25=0,$M25=0),0,1-($M25/$K25)^(1/$N25))</f>
        <v/>
      </c>
      <c r="Q25" s="53">
        <f>IF($K25="","",$K25-$M25)</f>
        <v/>
      </c>
      <c r="R25" s="57">
        <f>IF($K25="","",INDEX($AA25:$BF25,1,MATCH(ReportingFYEnd,$AA$3:$BF$3,0)))</f>
        <v/>
      </c>
      <c r="S25" s="53">
        <f>IF($K25="","",IF($U25="Disposed",0,$K25-$T25))</f>
        <v/>
      </c>
      <c r="T25" s="58">
        <f>IF($K25="","",INDEX($AA25:$BF25,1,MATCH(ReportingFYEnd,$AA$3:$BF$3,0)+1))</f>
        <v/>
      </c>
      <c r="U25" s="59">
        <f>IF($K25="","",IF(AND($I25&lt;&gt;"",$I25&lt;=ReportingFYEnd),"Disposed",IF(OR($H25="",$H25&gt;ReportingFYEnd),"Not Yet in Use","Active")))</f>
        <v/>
      </c>
      <c r="V25" s="60" t="n"/>
      <c r="W25" s="61">
        <f>IF($V25="Double",1.5,IF($V25="Triple",2,1))</f>
        <v/>
      </c>
      <c r="X25" s="48" t="n"/>
      <c r="Y25" s="59">
        <f>IF($K25="","",IF(OR(ISNUMBER(SEARCH("Build",$C25)),ISNUMBER(SEARCH("Lease",$C25))),"Yes","NA"))</f>
        <v/>
      </c>
      <c r="Z25" s="62" t="n"/>
      <c r="AA25" s="63">
        <f>IF(OR($K25="",$H25=""),"",MIN(MAX(0,IF($O25="WDV",$K25*$P25*MAX(0,(IF($I25="",AA$3,MIN($I25,AA$3)))-(MAX($H25,(EDATE(AA$3,-12)+1)))+1)/(AA$3-(EDATE(AA$3,-12)+1)+1),IF($N25=0,0,$Q25/$N25*MAX(0,(IF($I25="",AA$3,MIN($I25,AA$3)))-(MAX($H25,(EDATE(AA$3,-12)+1)))+1)/(AA$3-(EDATE(AA$3,-12)+1)+1)))*$W25),MAX(0,$K25-$M25)))</f>
        <v/>
      </c>
      <c r="AB25" s="64">
        <f>IF($K25="","",IF(AND($I25&lt;&gt;"",$I25&lt;=AA$3),0,$K25-AA25))</f>
        <v/>
      </c>
      <c r="AC25" s="63">
        <f>IF(OR($K25="",$H25=""),"",MIN(MAX(0,IF($O25="WDV",AB25*$P25*MAX(0,(IF($I25="",AC$3,MIN($I25,AC$3)))-(MAX($H25,(EDATE(AC$3,-12)+1)))+1)/(AC$3-(EDATE(AC$3,-12)+1)+1),IF($N25=0,0,$Q25/$N25*MAX(0,(IF($I25="",AC$3,MIN($I25,AC$3)))-(MAX($H25,(EDATE(AC$3,-12)+1)))+1)/(AC$3-(EDATE(AC$3,-12)+1)+1)))*$W25),MAX(0,AB25-$M25)))</f>
        <v/>
      </c>
      <c r="AD25" s="64">
        <f>IF($K25="","",IF(AND($I25&lt;&gt;"",$I25&lt;=AC$3),0,AB25-AC25))</f>
        <v/>
      </c>
      <c r="AE25" s="63">
        <f>IF(OR($K25="",$H25=""),"",MIN(MAX(0,IF($O25="WDV",AD25*$P25*MAX(0,(IF($I25="",AE$3,MIN($I25,AE$3)))-(MAX($H25,(EDATE(AE$3,-12)+1)))+1)/(AE$3-(EDATE(AE$3,-12)+1)+1),IF($N25=0,0,$Q25/$N25*MAX(0,(IF($I25="",AE$3,MIN($I25,AE$3)))-(MAX($H25,(EDATE(AE$3,-12)+1)))+1)/(AE$3-(EDATE(AE$3,-12)+1)+1)))*$W25),MAX(0,AD25-$M25)))</f>
        <v/>
      </c>
      <c r="AF25" s="64">
        <f>IF($K25="","",IF(AND($I25&lt;&gt;"",$I25&lt;=AE$3),0,AD25-AE25))</f>
        <v/>
      </c>
      <c r="AG25" s="63">
        <f>IF(OR($K25="",$H25=""),"",MIN(MAX(0,IF($O25="WDV",AF25*$P25*MAX(0,(IF($I25="",AG$3,MIN($I25,AG$3)))-(MAX($H25,(EDATE(AG$3,-12)+1)))+1)/(AG$3-(EDATE(AG$3,-12)+1)+1),IF($N25=0,0,$Q25/$N25*MAX(0,(IF($I25="",AG$3,MIN($I25,AG$3)))-(MAX($H25,(EDATE(AG$3,-12)+1)))+1)/(AG$3-(EDATE(AG$3,-12)+1)+1)))*$W25),MAX(0,AF25-$M25)))</f>
        <v/>
      </c>
      <c r="AH25" s="64">
        <f>IF($K25="","",IF(AND($I25&lt;&gt;"",$I25&lt;=AG$3),0,AF25-AG25))</f>
        <v/>
      </c>
      <c r="AI25" s="63">
        <f>IF(OR($K25="",$H25=""),"",MIN(MAX(0,IF($O25="WDV",AH25*$P25*MAX(0,(IF($I25="",AI$3,MIN($I25,AI$3)))-(MAX($H25,(EDATE(AI$3,-12)+1)))+1)/(AI$3-(EDATE(AI$3,-12)+1)+1),IF($N25=0,0,$Q25/$N25*MAX(0,(IF($I25="",AI$3,MIN($I25,AI$3)))-(MAX($H25,(EDATE(AI$3,-12)+1)))+1)/(AI$3-(EDATE(AI$3,-12)+1)+1)))*$W25),MAX(0,AH25-$M25)))</f>
        <v/>
      </c>
      <c r="AJ25" s="64">
        <f>IF($K25="","",IF(AND($I25&lt;&gt;"",$I25&lt;=AI$3),0,AH25-AI25))</f>
        <v/>
      </c>
      <c r="AK25" s="63">
        <f>IF(OR($K25="",$H25=""),"",MIN(MAX(0,IF($O25="WDV",AJ25*$P25*MAX(0,(IF($I25="",AK$3,MIN($I25,AK$3)))-(MAX($H25,(EDATE(AK$3,-12)+1)))+1)/(AK$3-(EDATE(AK$3,-12)+1)+1),IF($N25=0,0,$Q25/$N25*MAX(0,(IF($I25="",AK$3,MIN($I25,AK$3)))-(MAX($H25,(EDATE(AK$3,-12)+1)))+1)/(AK$3-(EDATE(AK$3,-12)+1)+1)))*$W25),MAX(0,AJ25-$M25)))</f>
        <v/>
      </c>
      <c r="AL25" s="64">
        <f>IF($K25="","",IF(AND($I25&lt;&gt;"",$I25&lt;=AK$3),0,AJ25-AK25))</f>
        <v/>
      </c>
      <c r="AM25" s="63">
        <f>IF(OR($K25="",$H25=""),"",MIN(MAX(0,IF($O25="WDV",AL25*$P25*MAX(0,(IF($I25="",AM$3,MIN($I25,AM$3)))-(MAX($H25,(EDATE(AM$3,-12)+1)))+1)/(AM$3-(EDATE(AM$3,-12)+1)+1),IF($N25=0,0,$Q25/$N25*MAX(0,(IF($I25="",AM$3,MIN($I25,AM$3)))-(MAX($H25,(EDATE(AM$3,-12)+1)))+1)/(AM$3-(EDATE(AM$3,-12)+1)+1)))*$W25),MAX(0,AL25-$M25)))</f>
        <v/>
      </c>
      <c r="AN25" s="64">
        <f>IF($K25="","",IF(AND($I25&lt;&gt;"",$I25&lt;=AM$3),0,AL25-AM25))</f>
        <v/>
      </c>
      <c r="AO25" s="63">
        <f>IF(OR($K25="",$H25=""),"",MIN(MAX(0,IF($O25="WDV",AN25*$P25*MAX(0,(IF($I25="",AO$3,MIN($I25,AO$3)))-(MAX($H25,(EDATE(AO$3,-12)+1)))+1)/(AO$3-(EDATE(AO$3,-12)+1)+1),IF($N25=0,0,$Q25/$N25*MAX(0,(IF($I25="",AO$3,MIN($I25,AO$3)))-(MAX($H25,(EDATE(AO$3,-12)+1)))+1)/(AO$3-(EDATE(AO$3,-12)+1)+1)))*$W25),MAX(0,AN25-$M25)))</f>
        <v/>
      </c>
      <c r="AP25" s="64">
        <f>IF($K25="","",IF(AND($I25&lt;&gt;"",$I25&lt;=AO$3),0,AN25-AO25))</f>
        <v/>
      </c>
      <c r="AQ25" s="63">
        <f>IF(OR($K25="",$H25=""),"",MIN(MAX(0,IF($O25="WDV",AP25*$P25*MAX(0,(IF($I25="",AQ$3,MIN($I25,AQ$3)))-(MAX($H25,(EDATE(AQ$3,-12)+1)))+1)/(AQ$3-(EDATE(AQ$3,-12)+1)+1),IF($N25=0,0,$Q25/$N25*MAX(0,(IF($I25="",AQ$3,MIN($I25,AQ$3)))-(MAX($H25,(EDATE(AQ$3,-12)+1)))+1)/(AQ$3-(EDATE(AQ$3,-12)+1)+1)))*$W25),MAX(0,AP25-$M25)))</f>
        <v/>
      </c>
      <c r="AR25" s="64">
        <f>IF($K25="","",IF(AND($I25&lt;&gt;"",$I25&lt;=AQ$3),0,AP25-AQ25))</f>
        <v/>
      </c>
      <c r="AS25" s="63">
        <f>IF(OR($K25="",$H25=""),"",MIN(MAX(0,IF($O25="WDV",AR25*$P25*MAX(0,(IF($I25="",AS$3,MIN($I25,AS$3)))-(MAX($H25,(EDATE(AS$3,-12)+1)))+1)/(AS$3-(EDATE(AS$3,-12)+1)+1),IF($N25=0,0,$Q25/$N25*MAX(0,(IF($I25="",AS$3,MIN($I25,AS$3)))-(MAX($H25,(EDATE(AS$3,-12)+1)))+1)/(AS$3-(EDATE(AS$3,-12)+1)+1)))*$W25),MAX(0,AR25-$M25)))</f>
        <v/>
      </c>
      <c r="AT25" s="64">
        <f>IF($K25="","",IF(AND($I25&lt;&gt;"",$I25&lt;=AS$3),0,AR25-AS25))</f>
        <v/>
      </c>
      <c r="AU25" s="63">
        <f>IF(OR($K25="",$H25=""),"",MIN(MAX(0,IF($O25="WDV",AT25*$P25*MAX(0,(IF($I25="",AU$3,MIN($I25,AU$3)))-(MAX($H25,(EDATE(AU$3,-12)+1)))+1)/(AU$3-(EDATE(AU$3,-12)+1)+1),IF($N25=0,0,$Q25/$N25*MAX(0,(IF($I25="",AU$3,MIN($I25,AU$3)))-(MAX($H25,(EDATE(AU$3,-12)+1)))+1)/(AU$3-(EDATE(AU$3,-12)+1)+1)))*$W25),MAX(0,AT25-$M25)))</f>
        <v/>
      </c>
      <c r="AV25" s="64">
        <f>IF($K25="","",IF(AND($I25&lt;&gt;"",$I25&lt;=AU$3),0,AT25-AU25))</f>
        <v/>
      </c>
      <c r="AW25" s="63">
        <f>IF(OR($K25="",$H25=""),"",MIN(MAX(0,IF($O25="WDV",AV25*$P25*MAX(0,(IF($I25="",AW$3,MIN($I25,AW$3)))-(MAX($H25,(EDATE(AW$3,-12)+1)))+1)/(AW$3-(EDATE(AW$3,-12)+1)+1),IF($N25=0,0,$Q25/$N25*MAX(0,(IF($I25="",AW$3,MIN($I25,AW$3)))-(MAX($H25,(EDATE(AW$3,-12)+1)))+1)/(AW$3-(EDATE(AW$3,-12)+1)+1)))*$W25),MAX(0,AV25-$M25)))</f>
        <v/>
      </c>
      <c r="AX25" s="64">
        <f>IF($K25="","",IF(AND($I25&lt;&gt;"",$I25&lt;=AW$3),0,AV25-AW25))</f>
        <v/>
      </c>
      <c r="AY25" s="63">
        <f>IF(OR($K25="",$H25=""),"",MIN(MAX(0,IF($O25="WDV",AX25*$P25*MAX(0,(IF($I25="",AY$3,MIN($I25,AY$3)))-(MAX($H25,(EDATE(AY$3,-12)+1)))+1)/(AY$3-(EDATE(AY$3,-12)+1)+1),IF($N25=0,0,$Q25/$N25*MAX(0,(IF($I25="",AY$3,MIN($I25,AY$3)))-(MAX($H25,(EDATE(AY$3,-12)+1)))+1)/(AY$3-(EDATE(AY$3,-12)+1)+1)))*$W25),MAX(0,AX25-$M25)))</f>
        <v/>
      </c>
      <c r="AZ25" s="64">
        <f>IF($K25="","",IF(AND($I25&lt;&gt;"",$I25&lt;=AY$3),0,AX25-AY25))</f>
        <v/>
      </c>
      <c r="BA25" s="63">
        <f>IF(OR($K25="",$H25=""),"",MIN(MAX(0,IF($O25="WDV",AZ25*$P25*MAX(0,(IF($I25="",BA$3,MIN($I25,BA$3)))-(MAX($H25,(EDATE(BA$3,-12)+1)))+1)/(BA$3-(EDATE(BA$3,-12)+1)+1),IF($N25=0,0,$Q25/$N25*MAX(0,(IF($I25="",BA$3,MIN($I25,BA$3)))-(MAX($H25,(EDATE(BA$3,-12)+1)))+1)/(BA$3-(EDATE(BA$3,-12)+1)+1)))*$W25),MAX(0,AZ25-$M25)))</f>
        <v/>
      </c>
      <c r="BB25" s="64">
        <f>IF($K25="","",IF(AND($I25&lt;&gt;"",$I25&lt;=BA$3),0,AZ25-BA25))</f>
        <v/>
      </c>
      <c r="BC25" s="63">
        <f>IF(OR($K25="",$H25=""),"",MIN(MAX(0,IF($O25="WDV",BB25*$P25*MAX(0,(IF($I25="",BC$3,MIN($I25,BC$3)))-(MAX($H25,(EDATE(BC$3,-12)+1)))+1)/(BC$3-(EDATE(BC$3,-12)+1)+1),IF($N25=0,0,$Q25/$N25*MAX(0,(IF($I25="",BC$3,MIN($I25,BC$3)))-(MAX($H25,(EDATE(BC$3,-12)+1)))+1)/(BC$3-(EDATE(BC$3,-12)+1)+1)))*$W25),MAX(0,BB25-$M25)))</f>
        <v/>
      </c>
      <c r="BD25" s="64">
        <f>IF($K25="","",IF(AND($I25&lt;&gt;"",$I25&lt;=BC$3),0,BB25-BC25))</f>
        <v/>
      </c>
      <c r="BE25" s="63">
        <f>IF(OR($K25="",$H25=""),"",MIN(MAX(0,IF($O25="WDV",BD25*$P25*MAX(0,(IF($I25="",BE$3,MIN($I25,BE$3)))-(MAX($H25,(EDATE(BE$3,-12)+1)))+1)/(BE$3-(EDATE(BE$3,-12)+1)+1),IF($N25=0,0,$Q25/$N25*MAX(0,(IF($I25="",BE$3,MIN($I25,BE$3)))-(MAX($H25,(EDATE(BE$3,-12)+1)))+1)/(BE$3-(EDATE(BE$3,-12)+1)+1)))*$W25),MAX(0,BD25-$M25)))</f>
        <v/>
      </c>
      <c r="BF25" s="64">
        <f>IF($K25="","",IF(AND($I25&lt;&gt;"",$I25&lt;=BE$3),0,BD25-BE25))</f>
        <v/>
      </c>
    </row>
    <row r="26">
      <c r="A26" s="65" t="n"/>
      <c r="B26" s="66" t="n"/>
      <c r="C26" s="66" t="n"/>
      <c r="D26" s="66" t="n"/>
      <c r="E26" s="67" t="n"/>
      <c r="F26" s="68" t="n"/>
      <c r="G26" s="69" t="n"/>
      <c r="H26" s="69" t="n"/>
      <c r="I26" s="70" t="n"/>
      <c r="J26" s="71" t="n"/>
      <c r="K26" s="72" t="n"/>
      <c r="L26" s="73">
        <f>DefaultResidual</f>
        <v/>
      </c>
      <c r="M26" s="74">
        <f>IF($K26="","",$K26*$L26)</f>
        <v/>
      </c>
      <c r="N26" s="22">
        <f>IF($C26="","",IFERROR(VLOOKUP($C26,ScheduleIITable,3,FALSE),"#N/A"))</f>
        <v/>
      </c>
      <c r="O26" s="75">
        <f>IF($K26="","",GlobalMethod)</f>
        <v/>
      </c>
      <c r="P26" s="23">
        <f>IF(OR($K26="",$N26="",$N26=0,$M26=0),0,1-($M26/$K26)^(1/$N26))</f>
        <v/>
      </c>
      <c r="Q26" s="74">
        <f>IF($K26="","",$K26-$M26)</f>
        <v/>
      </c>
      <c r="R26" s="76">
        <f>IF($K26="","",INDEX($AA26:$BF26,1,MATCH(ReportingFYEnd,$AA$3:$BF$3,0)))</f>
        <v/>
      </c>
      <c r="S26" s="74">
        <f>IF($K26="","",IF($U26="Disposed",0,$K26-$T26))</f>
        <v/>
      </c>
      <c r="T26" s="77">
        <f>IF($K26="","",INDEX($AA26:$BF26,1,MATCH(ReportingFYEnd,$AA$3:$BF$3,0)+1))</f>
        <v/>
      </c>
      <c r="U26" s="78">
        <f>IF($K26="","",IF(AND($I26&lt;&gt;"",$I26&lt;=ReportingFYEnd),"Disposed",IF(OR($H26="",$H26&gt;ReportingFYEnd),"Not Yet in Use","Active")))</f>
        <v/>
      </c>
      <c r="V26" s="79" t="n"/>
      <c r="W26" s="80">
        <f>IF($V26="Double",1.5,IF($V26="Triple",2,1))</f>
        <v/>
      </c>
      <c r="X26" s="69" t="n"/>
      <c r="Y26" s="78">
        <f>IF($K26="","",IF(OR(ISNUMBER(SEARCH("Build",$C26)),ISNUMBER(SEARCH("Lease",$C26))),"Yes","NA"))</f>
        <v/>
      </c>
      <c r="Z26" s="21" t="n"/>
      <c r="AA26" s="81">
        <f>IF(OR($K26="",$H26=""),"",MIN(MAX(0,IF($O26="WDV",$K26*$P26*MAX(0,(IF($I26="",AA$3,MIN($I26,AA$3)))-(MAX($H26,(EDATE(AA$3,-12)+1)))+1)/(AA$3-(EDATE(AA$3,-12)+1)+1),IF($N26=0,0,$Q26/$N26*MAX(0,(IF($I26="",AA$3,MIN($I26,AA$3)))-(MAX($H26,(EDATE(AA$3,-12)+1)))+1)/(AA$3-(EDATE(AA$3,-12)+1)+1)))*$W26),MAX(0,$K26-$M26)))</f>
        <v/>
      </c>
      <c r="AB26" s="81">
        <f>IF($K26="","",IF(AND($I26&lt;&gt;"",$I26&lt;=AA$3),0,$K26-AA26))</f>
        <v/>
      </c>
      <c r="AC26" s="81">
        <f>IF(OR($K26="",$H26=""),"",MIN(MAX(0,IF($O26="WDV",AB26*$P26*MAX(0,(IF($I26="",AC$3,MIN($I26,AC$3)))-(MAX($H26,(EDATE(AC$3,-12)+1)))+1)/(AC$3-(EDATE(AC$3,-12)+1)+1),IF($N26=0,0,$Q26/$N26*MAX(0,(IF($I26="",AC$3,MIN($I26,AC$3)))-(MAX($H26,(EDATE(AC$3,-12)+1)))+1)/(AC$3-(EDATE(AC$3,-12)+1)+1)))*$W26),MAX(0,AB26-$M26)))</f>
        <v/>
      </c>
      <c r="AD26" s="81">
        <f>IF($K26="","",IF(AND($I26&lt;&gt;"",$I26&lt;=AC$3),0,AB26-AC26))</f>
        <v/>
      </c>
      <c r="AE26" s="81">
        <f>IF(OR($K26="",$H26=""),"",MIN(MAX(0,IF($O26="WDV",AD26*$P26*MAX(0,(IF($I26="",AE$3,MIN($I26,AE$3)))-(MAX($H26,(EDATE(AE$3,-12)+1)))+1)/(AE$3-(EDATE(AE$3,-12)+1)+1),IF($N26=0,0,$Q26/$N26*MAX(0,(IF($I26="",AE$3,MIN($I26,AE$3)))-(MAX($H26,(EDATE(AE$3,-12)+1)))+1)/(AE$3-(EDATE(AE$3,-12)+1)+1)))*$W26),MAX(0,AD26-$M26)))</f>
        <v/>
      </c>
      <c r="AF26" s="81">
        <f>IF($K26="","",IF(AND($I26&lt;&gt;"",$I26&lt;=AE$3),0,AD26-AE26))</f>
        <v/>
      </c>
      <c r="AG26" s="81">
        <f>IF(OR($K26="",$H26=""),"",MIN(MAX(0,IF($O26="WDV",AF26*$P26*MAX(0,(IF($I26="",AG$3,MIN($I26,AG$3)))-(MAX($H26,(EDATE(AG$3,-12)+1)))+1)/(AG$3-(EDATE(AG$3,-12)+1)+1),IF($N26=0,0,$Q26/$N26*MAX(0,(IF($I26="",AG$3,MIN($I26,AG$3)))-(MAX($H26,(EDATE(AG$3,-12)+1)))+1)/(AG$3-(EDATE(AG$3,-12)+1)+1)))*$W26),MAX(0,AF26-$M26)))</f>
        <v/>
      </c>
      <c r="AH26" s="81">
        <f>IF($K26="","",IF(AND($I26&lt;&gt;"",$I26&lt;=AG$3),0,AF26-AG26))</f>
        <v/>
      </c>
      <c r="AI26" s="81">
        <f>IF(OR($K26="",$H26=""),"",MIN(MAX(0,IF($O26="WDV",AH26*$P26*MAX(0,(IF($I26="",AI$3,MIN($I26,AI$3)))-(MAX($H26,(EDATE(AI$3,-12)+1)))+1)/(AI$3-(EDATE(AI$3,-12)+1)+1),IF($N26=0,0,$Q26/$N26*MAX(0,(IF($I26="",AI$3,MIN($I26,AI$3)))-(MAX($H26,(EDATE(AI$3,-12)+1)))+1)/(AI$3-(EDATE(AI$3,-12)+1)+1)))*$W26),MAX(0,AH26-$M26)))</f>
        <v/>
      </c>
      <c r="AJ26" s="81">
        <f>IF($K26="","",IF(AND($I26&lt;&gt;"",$I26&lt;=AI$3),0,AH26-AI26))</f>
        <v/>
      </c>
      <c r="AK26" s="81">
        <f>IF(OR($K26="",$H26=""),"",MIN(MAX(0,IF($O26="WDV",AJ26*$P26*MAX(0,(IF($I26="",AK$3,MIN($I26,AK$3)))-(MAX($H26,(EDATE(AK$3,-12)+1)))+1)/(AK$3-(EDATE(AK$3,-12)+1)+1),IF($N26=0,0,$Q26/$N26*MAX(0,(IF($I26="",AK$3,MIN($I26,AK$3)))-(MAX($H26,(EDATE(AK$3,-12)+1)))+1)/(AK$3-(EDATE(AK$3,-12)+1)+1)))*$W26),MAX(0,AJ26-$M26)))</f>
        <v/>
      </c>
      <c r="AL26" s="81">
        <f>IF($K26="","",IF(AND($I26&lt;&gt;"",$I26&lt;=AK$3),0,AJ26-AK26))</f>
        <v/>
      </c>
      <c r="AM26" s="81">
        <f>IF(OR($K26="",$H26=""),"",MIN(MAX(0,IF($O26="WDV",AL26*$P26*MAX(0,(IF($I26="",AM$3,MIN($I26,AM$3)))-(MAX($H26,(EDATE(AM$3,-12)+1)))+1)/(AM$3-(EDATE(AM$3,-12)+1)+1),IF($N26=0,0,$Q26/$N26*MAX(0,(IF($I26="",AM$3,MIN($I26,AM$3)))-(MAX($H26,(EDATE(AM$3,-12)+1)))+1)/(AM$3-(EDATE(AM$3,-12)+1)+1)))*$W26),MAX(0,AL26-$M26)))</f>
        <v/>
      </c>
      <c r="AN26" s="81">
        <f>IF($K26="","",IF(AND($I26&lt;&gt;"",$I26&lt;=AM$3),0,AL26-AM26))</f>
        <v/>
      </c>
      <c r="AO26" s="81">
        <f>IF(OR($K26="",$H26=""),"",MIN(MAX(0,IF($O26="WDV",AN26*$P26*MAX(0,(IF($I26="",AO$3,MIN($I26,AO$3)))-(MAX($H26,(EDATE(AO$3,-12)+1)))+1)/(AO$3-(EDATE(AO$3,-12)+1)+1),IF($N26=0,0,$Q26/$N26*MAX(0,(IF($I26="",AO$3,MIN($I26,AO$3)))-(MAX($H26,(EDATE(AO$3,-12)+1)))+1)/(AO$3-(EDATE(AO$3,-12)+1)+1)))*$W26),MAX(0,AN26-$M26)))</f>
        <v/>
      </c>
      <c r="AP26" s="81">
        <f>IF($K26="","",IF(AND($I26&lt;&gt;"",$I26&lt;=AO$3),0,AN26-AO26))</f>
        <v/>
      </c>
      <c r="AQ26" s="81">
        <f>IF(OR($K26="",$H26=""),"",MIN(MAX(0,IF($O26="WDV",AP26*$P26*MAX(0,(IF($I26="",AQ$3,MIN($I26,AQ$3)))-(MAX($H26,(EDATE(AQ$3,-12)+1)))+1)/(AQ$3-(EDATE(AQ$3,-12)+1)+1),IF($N26=0,0,$Q26/$N26*MAX(0,(IF($I26="",AQ$3,MIN($I26,AQ$3)))-(MAX($H26,(EDATE(AQ$3,-12)+1)))+1)/(AQ$3-(EDATE(AQ$3,-12)+1)+1)))*$W26),MAX(0,AP26-$M26)))</f>
        <v/>
      </c>
      <c r="AR26" s="81">
        <f>IF($K26="","",IF(AND($I26&lt;&gt;"",$I26&lt;=AQ$3),0,AP26-AQ26))</f>
        <v/>
      </c>
      <c r="AS26" s="81">
        <f>IF(OR($K26="",$H26=""),"",MIN(MAX(0,IF($O26="WDV",AR26*$P26*MAX(0,(IF($I26="",AS$3,MIN($I26,AS$3)))-(MAX($H26,(EDATE(AS$3,-12)+1)))+1)/(AS$3-(EDATE(AS$3,-12)+1)+1),IF($N26=0,0,$Q26/$N26*MAX(0,(IF($I26="",AS$3,MIN($I26,AS$3)))-(MAX($H26,(EDATE(AS$3,-12)+1)))+1)/(AS$3-(EDATE(AS$3,-12)+1)+1)))*$W26),MAX(0,AR26-$M26)))</f>
        <v/>
      </c>
      <c r="AT26" s="81">
        <f>IF($K26="","",IF(AND($I26&lt;&gt;"",$I26&lt;=AS$3),0,AR26-AS26))</f>
        <v/>
      </c>
      <c r="AU26" s="81">
        <f>IF(OR($K26="",$H26=""),"",MIN(MAX(0,IF($O26="WDV",AT26*$P26*MAX(0,(IF($I26="",AU$3,MIN($I26,AU$3)))-(MAX($H26,(EDATE(AU$3,-12)+1)))+1)/(AU$3-(EDATE(AU$3,-12)+1)+1),IF($N26=0,0,$Q26/$N26*MAX(0,(IF($I26="",AU$3,MIN($I26,AU$3)))-(MAX($H26,(EDATE(AU$3,-12)+1)))+1)/(AU$3-(EDATE(AU$3,-12)+1)+1)))*$W26),MAX(0,AT26-$M26)))</f>
        <v/>
      </c>
      <c r="AV26" s="81">
        <f>IF($K26="","",IF(AND($I26&lt;&gt;"",$I26&lt;=AU$3),0,AT26-AU26))</f>
        <v/>
      </c>
      <c r="AW26" s="81">
        <f>IF(OR($K26="",$H26=""),"",MIN(MAX(0,IF($O26="WDV",AV26*$P26*MAX(0,(IF($I26="",AW$3,MIN($I26,AW$3)))-(MAX($H26,(EDATE(AW$3,-12)+1)))+1)/(AW$3-(EDATE(AW$3,-12)+1)+1),IF($N26=0,0,$Q26/$N26*MAX(0,(IF($I26="",AW$3,MIN($I26,AW$3)))-(MAX($H26,(EDATE(AW$3,-12)+1)))+1)/(AW$3-(EDATE(AW$3,-12)+1)+1)))*$W26),MAX(0,AV26-$M26)))</f>
        <v/>
      </c>
      <c r="AX26" s="81">
        <f>IF($K26="","",IF(AND($I26&lt;&gt;"",$I26&lt;=AW$3),0,AV26-AW26))</f>
        <v/>
      </c>
      <c r="AY26" s="81">
        <f>IF(OR($K26="",$H26=""),"",MIN(MAX(0,IF($O26="WDV",AX26*$P26*MAX(0,(IF($I26="",AY$3,MIN($I26,AY$3)))-(MAX($H26,(EDATE(AY$3,-12)+1)))+1)/(AY$3-(EDATE(AY$3,-12)+1)+1),IF($N26=0,0,$Q26/$N26*MAX(0,(IF($I26="",AY$3,MIN($I26,AY$3)))-(MAX($H26,(EDATE(AY$3,-12)+1)))+1)/(AY$3-(EDATE(AY$3,-12)+1)+1)))*$W26),MAX(0,AX26-$M26)))</f>
        <v/>
      </c>
      <c r="AZ26" s="81">
        <f>IF($K26="","",IF(AND($I26&lt;&gt;"",$I26&lt;=AY$3),0,AX26-AY26))</f>
        <v/>
      </c>
      <c r="BA26" s="81">
        <f>IF(OR($K26="",$H26=""),"",MIN(MAX(0,IF($O26="WDV",AZ26*$P26*MAX(0,(IF($I26="",BA$3,MIN($I26,BA$3)))-(MAX($H26,(EDATE(BA$3,-12)+1)))+1)/(BA$3-(EDATE(BA$3,-12)+1)+1),IF($N26=0,0,$Q26/$N26*MAX(0,(IF($I26="",BA$3,MIN($I26,BA$3)))-(MAX($H26,(EDATE(BA$3,-12)+1)))+1)/(BA$3-(EDATE(BA$3,-12)+1)+1)))*$W26),MAX(0,AZ26-$M26)))</f>
        <v/>
      </c>
      <c r="BB26" s="81">
        <f>IF($K26="","",IF(AND($I26&lt;&gt;"",$I26&lt;=BA$3),0,AZ26-BA26))</f>
        <v/>
      </c>
      <c r="BC26" s="81">
        <f>IF(OR($K26="",$H26=""),"",MIN(MAX(0,IF($O26="WDV",BB26*$P26*MAX(0,(IF($I26="",BC$3,MIN($I26,BC$3)))-(MAX($H26,(EDATE(BC$3,-12)+1)))+1)/(BC$3-(EDATE(BC$3,-12)+1)+1),IF($N26=0,0,$Q26/$N26*MAX(0,(IF($I26="",BC$3,MIN($I26,BC$3)))-(MAX($H26,(EDATE(BC$3,-12)+1)))+1)/(BC$3-(EDATE(BC$3,-12)+1)+1)))*$W26),MAX(0,BB26-$M26)))</f>
        <v/>
      </c>
      <c r="BD26" s="81">
        <f>IF($K26="","",IF(AND($I26&lt;&gt;"",$I26&lt;=BC$3),0,BB26-BC26))</f>
        <v/>
      </c>
      <c r="BE26" s="81">
        <f>IF(OR($K26="",$H26=""),"",MIN(MAX(0,IF($O26="WDV",BD26*$P26*MAX(0,(IF($I26="",BE$3,MIN($I26,BE$3)))-(MAX($H26,(EDATE(BE$3,-12)+1)))+1)/(BE$3-(EDATE(BE$3,-12)+1)+1),IF($N26=0,0,$Q26/$N26*MAX(0,(IF($I26="",BE$3,MIN($I26,BE$3)))-(MAX($H26,(EDATE(BE$3,-12)+1)))+1)/(BE$3-(EDATE(BE$3,-12)+1)+1)))*$W26),MAX(0,BD26-$M26)))</f>
        <v/>
      </c>
      <c r="BF26" s="81">
        <f>IF($K26="","",IF(AND($I26&lt;&gt;"",$I26&lt;=BE$3),0,BD26-BE26))</f>
        <v/>
      </c>
    </row>
    <row r="27">
      <c r="A27" s="44" t="n"/>
      <c r="B27" s="45" t="n"/>
      <c r="C27" s="45" t="n"/>
      <c r="D27" s="45" t="n"/>
      <c r="E27" s="46" t="n"/>
      <c r="F27" s="47" t="n"/>
      <c r="G27" s="48" t="n"/>
      <c r="H27" s="48" t="n"/>
      <c r="I27" s="49" t="n"/>
      <c r="J27" s="50" t="n"/>
      <c r="K27" s="51" t="n"/>
      <c r="L27" s="52">
        <f>DefaultResidual</f>
        <v/>
      </c>
      <c r="M27" s="53">
        <f>IF($K27="","",$K27*$L27)</f>
        <v/>
      </c>
      <c r="N27" s="54">
        <f>IF($C27="","",IFERROR(VLOOKUP($C27,ScheduleIITable,3,FALSE),"#N/A"))</f>
        <v/>
      </c>
      <c r="O27" s="55">
        <f>IF($K27="","",GlobalMethod)</f>
        <v/>
      </c>
      <c r="P27" s="56">
        <f>IF(OR($K27="",$N27="",$N27=0,$M27=0),0,1-($M27/$K27)^(1/$N27))</f>
        <v/>
      </c>
      <c r="Q27" s="53">
        <f>IF($K27="","",$K27-$M27)</f>
        <v/>
      </c>
      <c r="R27" s="57">
        <f>IF($K27="","",INDEX($AA27:$BF27,1,MATCH(ReportingFYEnd,$AA$3:$BF$3,0)))</f>
        <v/>
      </c>
      <c r="S27" s="53">
        <f>IF($K27="","",IF($U27="Disposed",0,$K27-$T27))</f>
        <v/>
      </c>
      <c r="T27" s="58">
        <f>IF($K27="","",INDEX($AA27:$BF27,1,MATCH(ReportingFYEnd,$AA$3:$BF$3,0)+1))</f>
        <v/>
      </c>
      <c r="U27" s="59">
        <f>IF($K27="","",IF(AND($I27&lt;&gt;"",$I27&lt;=ReportingFYEnd),"Disposed",IF(OR($H27="",$H27&gt;ReportingFYEnd),"Not Yet in Use","Active")))</f>
        <v/>
      </c>
      <c r="V27" s="60" t="n"/>
      <c r="W27" s="61">
        <f>IF($V27="Double",1.5,IF($V27="Triple",2,1))</f>
        <v/>
      </c>
      <c r="X27" s="48" t="n"/>
      <c r="Y27" s="59">
        <f>IF($K27="","",IF(OR(ISNUMBER(SEARCH("Build",$C27)),ISNUMBER(SEARCH("Lease",$C27))),"Yes","NA"))</f>
        <v/>
      </c>
      <c r="Z27" s="62" t="n"/>
      <c r="AA27" s="63">
        <f>IF(OR($K27="",$H27=""),"",MIN(MAX(0,IF($O27="WDV",$K27*$P27*MAX(0,(IF($I27="",AA$3,MIN($I27,AA$3)))-(MAX($H27,(EDATE(AA$3,-12)+1)))+1)/(AA$3-(EDATE(AA$3,-12)+1)+1),IF($N27=0,0,$Q27/$N27*MAX(0,(IF($I27="",AA$3,MIN($I27,AA$3)))-(MAX($H27,(EDATE(AA$3,-12)+1)))+1)/(AA$3-(EDATE(AA$3,-12)+1)+1)))*$W27),MAX(0,$K27-$M27)))</f>
        <v/>
      </c>
      <c r="AB27" s="64">
        <f>IF($K27="","",IF(AND($I27&lt;&gt;"",$I27&lt;=AA$3),0,$K27-AA27))</f>
        <v/>
      </c>
      <c r="AC27" s="63">
        <f>IF(OR($K27="",$H27=""),"",MIN(MAX(0,IF($O27="WDV",AB27*$P27*MAX(0,(IF($I27="",AC$3,MIN($I27,AC$3)))-(MAX($H27,(EDATE(AC$3,-12)+1)))+1)/(AC$3-(EDATE(AC$3,-12)+1)+1),IF($N27=0,0,$Q27/$N27*MAX(0,(IF($I27="",AC$3,MIN($I27,AC$3)))-(MAX($H27,(EDATE(AC$3,-12)+1)))+1)/(AC$3-(EDATE(AC$3,-12)+1)+1)))*$W27),MAX(0,AB27-$M27)))</f>
        <v/>
      </c>
      <c r="AD27" s="64">
        <f>IF($K27="","",IF(AND($I27&lt;&gt;"",$I27&lt;=AC$3),0,AB27-AC27))</f>
        <v/>
      </c>
      <c r="AE27" s="63">
        <f>IF(OR($K27="",$H27=""),"",MIN(MAX(0,IF($O27="WDV",AD27*$P27*MAX(0,(IF($I27="",AE$3,MIN($I27,AE$3)))-(MAX($H27,(EDATE(AE$3,-12)+1)))+1)/(AE$3-(EDATE(AE$3,-12)+1)+1),IF($N27=0,0,$Q27/$N27*MAX(0,(IF($I27="",AE$3,MIN($I27,AE$3)))-(MAX($H27,(EDATE(AE$3,-12)+1)))+1)/(AE$3-(EDATE(AE$3,-12)+1)+1)))*$W27),MAX(0,AD27-$M27)))</f>
        <v/>
      </c>
      <c r="AF27" s="64">
        <f>IF($K27="","",IF(AND($I27&lt;&gt;"",$I27&lt;=AE$3),0,AD27-AE27))</f>
        <v/>
      </c>
      <c r="AG27" s="63">
        <f>IF(OR($K27="",$H27=""),"",MIN(MAX(0,IF($O27="WDV",AF27*$P27*MAX(0,(IF($I27="",AG$3,MIN($I27,AG$3)))-(MAX($H27,(EDATE(AG$3,-12)+1)))+1)/(AG$3-(EDATE(AG$3,-12)+1)+1),IF($N27=0,0,$Q27/$N27*MAX(0,(IF($I27="",AG$3,MIN($I27,AG$3)))-(MAX($H27,(EDATE(AG$3,-12)+1)))+1)/(AG$3-(EDATE(AG$3,-12)+1)+1)))*$W27),MAX(0,AF27-$M27)))</f>
        <v/>
      </c>
      <c r="AH27" s="64">
        <f>IF($K27="","",IF(AND($I27&lt;&gt;"",$I27&lt;=AG$3),0,AF27-AG27))</f>
        <v/>
      </c>
      <c r="AI27" s="63">
        <f>IF(OR($K27="",$H27=""),"",MIN(MAX(0,IF($O27="WDV",AH27*$P27*MAX(0,(IF($I27="",AI$3,MIN($I27,AI$3)))-(MAX($H27,(EDATE(AI$3,-12)+1)))+1)/(AI$3-(EDATE(AI$3,-12)+1)+1),IF($N27=0,0,$Q27/$N27*MAX(0,(IF($I27="",AI$3,MIN($I27,AI$3)))-(MAX($H27,(EDATE(AI$3,-12)+1)))+1)/(AI$3-(EDATE(AI$3,-12)+1)+1)))*$W27),MAX(0,AH27-$M27)))</f>
        <v/>
      </c>
      <c r="AJ27" s="64">
        <f>IF($K27="","",IF(AND($I27&lt;&gt;"",$I27&lt;=AI$3),0,AH27-AI27))</f>
        <v/>
      </c>
      <c r="AK27" s="63">
        <f>IF(OR($K27="",$H27=""),"",MIN(MAX(0,IF($O27="WDV",AJ27*$P27*MAX(0,(IF($I27="",AK$3,MIN($I27,AK$3)))-(MAX($H27,(EDATE(AK$3,-12)+1)))+1)/(AK$3-(EDATE(AK$3,-12)+1)+1),IF($N27=0,0,$Q27/$N27*MAX(0,(IF($I27="",AK$3,MIN($I27,AK$3)))-(MAX($H27,(EDATE(AK$3,-12)+1)))+1)/(AK$3-(EDATE(AK$3,-12)+1)+1)))*$W27),MAX(0,AJ27-$M27)))</f>
        <v/>
      </c>
      <c r="AL27" s="64">
        <f>IF($K27="","",IF(AND($I27&lt;&gt;"",$I27&lt;=AK$3),0,AJ27-AK27))</f>
        <v/>
      </c>
      <c r="AM27" s="63">
        <f>IF(OR($K27="",$H27=""),"",MIN(MAX(0,IF($O27="WDV",AL27*$P27*MAX(0,(IF($I27="",AM$3,MIN($I27,AM$3)))-(MAX($H27,(EDATE(AM$3,-12)+1)))+1)/(AM$3-(EDATE(AM$3,-12)+1)+1),IF($N27=0,0,$Q27/$N27*MAX(0,(IF($I27="",AM$3,MIN($I27,AM$3)))-(MAX($H27,(EDATE(AM$3,-12)+1)))+1)/(AM$3-(EDATE(AM$3,-12)+1)+1)))*$W27),MAX(0,AL27-$M27)))</f>
        <v/>
      </c>
      <c r="AN27" s="64">
        <f>IF($K27="","",IF(AND($I27&lt;&gt;"",$I27&lt;=AM$3),0,AL27-AM27))</f>
        <v/>
      </c>
      <c r="AO27" s="63">
        <f>IF(OR($K27="",$H27=""),"",MIN(MAX(0,IF($O27="WDV",AN27*$P27*MAX(0,(IF($I27="",AO$3,MIN($I27,AO$3)))-(MAX($H27,(EDATE(AO$3,-12)+1)))+1)/(AO$3-(EDATE(AO$3,-12)+1)+1),IF($N27=0,0,$Q27/$N27*MAX(0,(IF($I27="",AO$3,MIN($I27,AO$3)))-(MAX($H27,(EDATE(AO$3,-12)+1)))+1)/(AO$3-(EDATE(AO$3,-12)+1)+1)))*$W27),MAX(0,AN27-$M27)))</f>
        <v/>
      </c>
      <c r="AP27" s="64">
        <f>IF($K27="","",IF(AND($I27&lt;&gt;"",$I27&lt;=AO$3),0,AN27-AO27))</f>
        <v/>
      </c>
      <c r="AQ27" s="63">
        <f>IF(OR($K27="",$H27=""),"",MIN(MAX(0,IF($O27="WDV",AP27*$P27*MAX(0,(IF($I27="",AQ$3,MIN($I27,AQ$3)))-(MAX($H27,(EDATE(AQ$3,-12)+1)))+1)/(AQ$3-(EDATE(AQ$3,-12)+1)+1),IF($N27=0,0,$Q27/$N27*MAX(0,(IF($I27="",AQ$3,MIN($I27,AQ$3)))-(MAX($H27,(EDATE(AQ$3,-12)+1)))+1)/(AQ$3-(EDATE(AQ$3,-12)+1)+1)))*$W27),MAX(0,AP27-$M27)))</f>
        <v/>
      </c>
      <c r="AR27" s="64">
        <f>IF($K27="","",IF(AND($I27&lt;&gt;"",$I27&lt;=AQ$3),0,AP27-AQ27))</f>
        <v/>
      </c>
      <c r="AS27" s="63">
        <f>IF(OR($K27="",$H27=""),"",MIN(MAX(0,IF($O27="WDV",AR27*$P27*MAX(0,(IF($I27="",AS$3,MIN($I27,AS$3)))-(MAX($H27,(EDATE(AS$3,-12)+1)))+1)/(AS$3-(EDATE(AS$3,-12)+1)+1),IF($N27=0,0,$Q27/$N27*MAX(0,(IF($I27="",AS$3,MIN($I27,AS$3)))-(MAX($H27,(EDATE(AS$3,-12)+1)))+1)/(AS$3-(EDATE(AS$3,-12)+1)+1)))*$W27),MAX(0,AR27-$M27)))</f>
        <v/>
      </c>
      <c r="AT27" s="64">
        <f>IF($K27="","",IF(AND($I27&lt;&gt;"",$I27&lt;=AS$3),0,AR27-AS27))</f>
        <v/>
      </c>
      <c r="AU27" s="63">
        <f>IF(OR($K27="",$H27=""),"",MIN(MAX(0,IF($O27="WDV",AT27*$P27*MAX(0,(IF($I27="",AU$3,MIN($I27,AU$3)))-(MAX($H27,(EDATE(AU$3,-12)+1)))+1)/(AU$3-(EDATE(AU$3,-12)+1)+1),IF($N27=0,0,$Q27/$N27*MAX(0,(IF($I27="",AU$3,MIN($I27,AU$3)))-(MAX($H27,(EDATE(AU$3,-12)+1)))+1)/(AU$3-(EDATE(AU$3,-12)+1)+1)))*$W27),MAX(0,AT27-$M27)))</f>
        <v/>
      </c>
      <c r="AV27" s="64">
        <f>IF($K27="","",IF(AND($I27&lt;&gt;"",$I27&lt;=AU$3),0,AT27-AU27))</f>
        <v/>
      </c>
      <c r="AW27" s="63">
        <f>IF(OR($K27="",$H27=""),"",MIN(MAX(0,IF($O27="WDV",AV27*$P27*MAX(0,(IF($I27="",AW$3,MIN($I27,AW$3)))-(MAX($H27,(EDATE(AW$3,-12)+1)))+1)/(AW$3-(EDATE(AW$3,-12)+1)+1),IF($N27=0,0,$Q27/$N27*MAX(0,(IF($I27="",AW$3,MIN($I27,AW$3)))-(MAX($H27,(EDATE(AW$3,-12)+1)))+1)/(AW$3-(EDATE(AW$3,-12)+1)+1)))*$W27),MAX(0,AV27-$M27)))</f>
        <v/>
      </c>
      <c r="AX27" s="64">
        <f>IF($K27="","",IF(AND($I27&lt;&gt;"",$I27&lt;=AW$3),0,AV27-AW27))</f>
        <v/>
      </c>
      <c r="AY27" s="63">
        <f>IF(OR($K27="",$H27=""),"",MIN(MAX(0,IF($O27="WDV",AX27*$P27*MAX(0,(IF($I27="",AY$3,MIN($I27,AY$3)))-(MAX($H27,(EDATE(AY$3,-12)+1)))+1)/(AY$3-(EDATE(AY$3,-12)+1)+1),IF($N27=0,0,$Q27/$N27*MAX(0,(IF($I27="",AY$3,MIN($I27,AY$3)))-(MAX($H27,(EDATE(AY$3,-12)+1)))+1)/(AY$3-(EDATE(AY$3,-12)+1)+1)))*$W27),MAX(0,AX27-$M27)))</f>
        <v/>
      </c>
      <c r="AZ27" s="64">
        <f>IF($K27="","",IF(AND($I27&lt;&gt;"",$I27&lt;=AY$3),0,AX27-AY27))</f>
        <v/>
      </c>
      <c r="BA27" s="63">
        <f>IF(OR($K27="",$H27=""),"",MIN(MAX(0,IF($O27="WDV",AZ27*$P27*MAX(0,(IF($I27="",BA$3,MIN($I27,BA$3)))-(MAX($H27,(EDATE(BA$3,-12)+1)))+1)/(BA$3-(EDATE(BA$3,-12)+1)+1),IF($N27=0,0,$Q27/$N27*MAX(0,(IF($I27="",BA$3,MIN($I27,BA$3)))-(MAX($H27,(EDATE(BA$3,-12)+1)))+1)/(BA$3-(EDATE(BA$3,-12)+1)+1)))*$W27),MAX(0,AZ27-$M27)))</f>
        <v/>
      </c>
      <c r="BB27" s="64">
        <f>IF($K27="","",IF(AND($I27&lt;&gt;"",$I27&lt;=BA$3),0,AZ27-BA27))</f>
        <v/>
      </c>
      <c r="BC27" s="63">
        <f>IF(OR($K27="",$H27=""),"",MIN(MAX(0,IF($O27="WDV",BB27*$P27*MAX(0,(IF($I27="",BC$3,MIN($I27,BC$3)))-(MAX($H27,(EDATE(BC$3,-12)+1)))+1)/(BC$3-(EDATE(BC$3,-12)+1)+1),IF($N27=0,0,$Q27/$N27*MAX(0,(IF($I27="",BC$3,MIN($I27,BC$3)))-(MAX($H27,(EDATE(BC$3,-12)+1)))+1)/(BC$3-(EDATE(BC$3,-12)+1)+1)))*$W27),MAX(0,BB27-$M27)))</f>
        <v/>
      </c>
      <c r="BD27" s="64">
        <f>IF($K27="","",IF(AND($I27&lt;&gt;"",$I27&lt;=BC$3),0,BB27-BC27))</f>
        <v/>
      </c>
      <c r="BE27" s="63">
        <f>IF(OR($K27="",$H27=""),"",MIN(MAX(0,IF($O27="WDV",BD27*$P27*MAX(0,(IF($I27="",BE$3,MIN($I27,BE$3)))-(MAX($H27,(EDATE(BE$3,-12)+1)))+1)/(BE$3-(EDATE(BE$3,-12)+1)+1),IF($N27=0,0,$Q27/$N27*MAX(0,(IF($I27="",BE$3,MIN($I27,BE$3)))-(MAX($H27,(EDATE(BE$3,-12)+1)))+1)/(BE$3-(EDATE(BE$3,-12)+1)+1)))*$W27),MAX(0,BD27-$M27)))</f>
        <v/>
      </c>
      <c r="BF27" s="64">
        <f>IF($K27="","",IF(AND($I27&lt;&gt;"",$I27&lt;=BE$3),0,BD27-BE27))</f>
        <v/>
      </c>
    </row>
    <row r="28">
      <c r="A28" s="65" t="n"/>
      <c r="B28" s="66" t="n"/>
      <c r="C28" s="66" t="n"/>
      <c r="D28" s="66" t="n"/>
      <c r="E28" s="67" t="n"/>
      <c r="F28" s="68" t="n"/>
      <c r="G28" s="69" t="n"/>
      <c r="H28" s="69" t="n"/>
      <c r="I28" s="70" t="n"/>
      <c r="J28" s="71" t="n"/>
      <c r="K28" s="72" t="n"/>
      <c r="L28" s="73">
        <f>DefaultResidual</f>
        <v/>
      </c>
      <c r="M28" s="74">
        <f>IF($K28="","",$K28*$L28)</f>
        <v/>
      </c>
      <c r="N28" s="22">
        <f>IF($C28="","",IFERROR(VLOOKUP($C28,ScheduleIITable,3,FALSE),"#N/A"))</f>
        <v/>
      </c>
      <c r="O28" s="75">
        <f>IF($K28="","",GlobalMethod)</f>
        <v/>
      </c>
      <c r="P28" s="23">
        <f>IF(OR($K28="",$N28="",$N28=0,$M28=0),0,1-($M28/$K28)^(1/$N28))</f>
        <v/>
      </c>
      <c r="Q28" s="74">
        <f>IF($K28="","",$K28-$M28)</f>
        <v/>
      </c>
      <c r="R28" s="76">
        <f>IF($K28="","",INDEX($AA28:$BF28,1,MATCH(ReportingFYEnd,$AA$3:$BF$3,0)))</f>
        <v/>
      </c>
      <c r="S28" s="74">
        <f>IF($K28="","",IF($U28="Disposed",0,$K28-$T28))</f>
        <v/>
      </c>
      <c r="T28" s="77">
        <f>IF($K28="","",INDEX($AA28:$BF28,1,MATCH(ReportingFYEnd,$AA$3:$BF$3,0)+1))</f>
        <v/>
      </c>
      <c r="U28" s="78">
        <f>IF($K28="","",IF(AND($I28&lt;&gt;"",$I28&lt;=ReportingFYEnd),"Disposed",IF(OR($H28="",$H28&gt;ReportingFYEnd),"Not Yet in Use","Active")))</f>
        <v/>
      </c>
      <c r="V28" s="79" t="n"/>
      <c r="W28" s="80">
        <f>IF($V28="Double",1.5,IF($V28="Triple",2,1))</f>
        <v/>
      </c>
      <c r="X28" s="69" t="n"/>
      <c r="Y28" s="78">
        <f>IF($K28="","",IF(OR(ISNUMBER(SEARCH("Build",$C28)),ISNUMBER(SEARCH("Lease",$C28))),"Yes","NA"))</f>
        <v/>
      </c>
      <c r="Z28" s="21" t="n"/>
      <c r="AA28" s="81">
        <f>IF(OR($K28="",$H28=""),"",MIN(MAX(0,IF($O28="WDV",$K28*$P28*MAX(0,(IF($I28="",AA$3,MIN($I28,AA$3)))-(MAX($H28,(EDATE(AA$3,-12)+1)))+1)/(AA$3-(EDATE(AA$3,-12)+1)+1),IF($N28=0,0,$Q28/$N28*MAX(0,(IF($I28="",AA$3,MIN($I28,AA$3)))-(MAX($H28,(EDATE(AA$3,-12)+1)))+1)/(AA$3-(EDATE(AA$3,-12)+1)+1)))*$W28),MAX(0,$K28-$M28)))</f>
        <v/>
      </c>
      <c r="AB28" s="81">
        <f>IF($K28="","",IF(AND($I28&lt;&gt;"",$I28&lt;=AA$3),0,$K28-AA28))</f>
        <v/>
      </c>
      <c r="AC28" s="81">
        <f>IF(OR($K28="",$H28=""),"",MIN(MAX(0,IF($O28="WDV",AB28*$P28*MAX(0,(IF($I28="",AC$3,MIN($I28,AC$3)))-(MAX($H28,(EDATE(AC$3,-12)+1)))+1)/(AC$3-(EDATE(AC$3,-12)+1)+1),IF($N28=0,0,$Q28/$N28*MAX(0,(IF($I28="",AC$3,MIN($I28,AC$3)))-(MAX($H28,(EDATE(AC$3,-12)+1)))+1)/(AC$3-(EDATE(AC$3,-12)+1)+1)))*$W28),MAX(0,AB28-$M28)))</f>
        <v/>
      </c>
      <c r="AD28" s="81">
        <f>IF($K28="","",IF(AND($I28&lt;&gt;"",$I28&lt;=AC$3),0,AB28-AC28))</f>
        <v/>
      </c>
      <c r="AE28" s="81">
        <f>IF(OR($K28="",$H28=""),"",MIN(MAX(0,IF($O28="WDV",AD28*$P28*MAX(0,(IF($I28="",AE$3,MIN($I28,AE$3)))-(MAX($H28,(EDATE(AE$3,-12)+1)))+1)/(AE$3-(EDATE(AE$3,-12)+1)+1),IF($N28=0,0,$Q28/$N28*MAX(0,(IF($I28="",AE$3,MIN($I28,AE$3)))-(MAX($H28,(EDATE(AE$3,-12)+1)))+1)/(AE$3-(EDATE(AE$3,-12)+1)+1)))*$W28),MAX(0,AD28-$M28)))</f>
        <v/>
      </c>
      <c r="AF28" s="81">
        <f>IF($K28="","",IF(AND($I28&lt;&gt;"",$I28&lt;=AE$3),0,AD28-AE28))</f>
        <v/>
      </c>
      <c r="AG28" s="81">
        <f>IF(OR($K28="",$H28=""),"",MIN(MAX(0,IF($O28="WDV",AF28*$P28*MAX(0,(IF($I28="",AG$3,MIN($I28,AG$3)))-(MAX($H28,(EDATE(AG$3,-12)+1)))+1)/(AG$3-(EDATE(AG$3,-12)+1)+1),IF($N28=0,0,$Q28/$N28*MAX(0,(IF($I28="",AG$3,MIN($I28,AG$3)))-(MAX($H28,(EDATE(AG$3,-12)+1)))+1)/(AG$3-(EDATE(AG$3,-12)+1)+1)))*$W28),MAX(0,AF28-$M28)))</f>
        <v/>
      </c>
      <c r="AH28" s="81">
        <f>IF($K28="","",IF(AND($I28&lt;&gt;"",$I28&lt;=AG$3),0,AF28-AG28))</f>
        <v/>
      </c>
      <c r="AI28" s="81">
        <f>IF(OR($K28="",$H28=""),"",MIN(MAX(0,IF($O28="WDV",AH28*$P28*MAX(0,(IF($I28="",AI$3,MIN($I28,AI$3)))-(MAX($H28,(EDATE(AI$3,-12)+1)))+1)/(AI$3-(EDATE(AI$3,-12)+1)+1),IF($N28=0,0,$Q28/$N28*MAX(0,(IF($I28="",AI$3,MIN($I28,AI$3)))-(MAX($H28,(EDATE(AI$3,-12)+1)))+1)/(AI$3-(EDATE(AI$3,-12)+1)+1)))*$W28),MAX(0,AH28-$M28)))</f>
        <v/>
      </c>
      <c r="AJ28" s="81">
        <f>IF($K28="","",IF(AND($I28&lt;&gt;"",$I28&lt;=AI$3),0,AH28-AI28))</f>
        <v/>
      </c>
      <c r="AK28" s="81">
        <f>IF(OR($K28="",$H28=""),"",MIN(MAX(0,IF($O28="WDV",AJ28*$P28*MAX(0,(IF($I28="",AK$3,MIN($I28,AK$3)))-(MAX($H28,(EDATE(AK$3,-12)+1)))+1)/(AK$3-(EDATE(AK$3,-12)+1)+1),IF($N28=0,0,$Q28/$N28*MAX(0,(IF($I28="",AK$3,MIN($I28,AK$3)))-(MAX($H28,(EDATE(AK$3,-12)+1)))+1)/(AK$3-(EDATE(AK$3,-12)+1)+1)))*$W28),MAX(0,AJ28-$M28)))</f>
        <v/>
      </c>
      <c r="AL28" s="81">
        <f>IF($K28="","",IF(AND($I28&lt;&gt;"",$I28&lt;=AK$3),0,AJ28-AK28))</f>
        <v/>
      </c>
      <c r="AM28" s="81">
        <f>IF(OR($K28="",$H28=""),"",MIN(MAX(0,IF($O28="WDV",AL28*$P28*MAX(0,(IF($I28="",AM$3,MIN($I28,AM$3)))-(MAX($H28,(EDATE(AM$3,-12)+1)))+1)/(AM$3-(EDATE(AM$3,-12)+1)+1),IF($N28=0,0,$Q28/$N28*MAX(0,(IF($I28="",AM$3,MIN($I28,AM$3)))-(MAX($H28,(EDATE(AM$3,-12)+1)))+1)/(AM$3-(EDATE(AM$3,-12)+1)+1)))*$W28),MAX(0,AL28-$M28)))</f>
        <v/>
      </c>
      <c r="AN28" s="81">
        <f>IF($K28="","",IF(AND($I28&lt;&gt;"",$I28&lt;=AM$3),0,AL28-AM28))</f>
        <v/>
      </c>
      <c r="AO28" s="81">
        <f>IF(OR($K28="",$H28=""),"",MIN(MAX(0,IF($O28="WDV",AN28*$P28*MAX(0,(IF($I28="",AO$3,MIN($I28,AO$3)))-(MAX($H28,(EDATE(AO$3,-12)+1)))+1)/(AO$3-(EDATE(AO$3,-12)+1)+1),IF($N28=0,0,$Q28/$N28*MAX(0,(IF($I28="",AO$3,MIN($I28,AO$3)))-(MAX($H28,(EDATE(AO$3,-12)+1)))+1)/(AO$3-(EDATE(AO$3,-12)+1)+1)))*$W28),MAX(0,AN28-$M28)))</f>
        <v/>
      </c>
      <c r="AP28" s="81">
        <f>IF($K28="","",IF(AND($I28&lt;&gt;"",$I28&lt;=AO$3),0,AN28-AO28))</f>
        <v/>
      </c>
      <c r="AQ28" s="81">
        <f>IF(OR($K28="",$H28=""),"",MIN(MAX(0,IF($O28="WDV",AP28*$P28*MAX(0,(IF($I28="",AQ$3,MIN($I28,AQ$3)))-(MAX($H28,(EDATE(AQ$3,-12)+1)))+1)/(AQ$3-(EDATE(AQ$3,-12)+1)+1),IF($N28=0,0,$Q28/$N28*MAX(0,(IF($I28="",AQ$3,MIN($I28,AQ$3)))-(MAX($H28,(EDATE(AQ$3,-12)+1)))+1)/(AQ$3-(EDATE(AQ$3,-12)+1)+1)))*$W28),MAX(0,AP28-$M28)))</f>
        <v/>
      </c>
      <c r="AR28" s="81">
        <f>IF($K28="","",IF(AND($I28&lt;&gt;"",$I28&lt;=AQ$3),0,AP28-AQ28))</f>
        <v/>
      </c>
      <c r="AS28" s="81">
        <f>IF(OR($K28="",$H28=""),"",MIN(MAX(0,IF($O28="WDV",AR28*$P28*MAX(0,(IF($I28="",AS$3,MIN($I28,AS$3)))-(MAX($H28,(EDATE(AS$3,-12)+1)))+1)/(AS$3-(EDATE(AS$3,-12)+1)+1),IF($N28=0,0,$Q28/$N28*MAX(0,(IF($I28="",AS$3,MIN($I28,AS$3)))-(MAX($H28,(EDATE(AS$3,-12)+1)))+1)/(AS$3-(EDATE(AS$3,-12)+1)+1)))*$W28),MAX(0,AR28-$M28)))</f>
        <v/>
      </c>
      <c r="AT28" s="81">
        <f>IF($K28="","",IF(AND($I28&lt;&gt;"",$I28&lt;=AS$3),0,AR28-AS28))</f>
        <v/>
      </c>
      <c r="AU28" s="81">
        <f>IF(OR($K28="",$H28=""),"",MIN(MAX(0,IF($O28="WDV",AT28*$P28*MAX(0,(IF($I28="",AU$3,MIN($I28,AU$3)))-(MAX($H28,(EDATE(AU$3,-12)+1)))+1)/(AU$3-(EDATE(AU$3,-12)+1)+1),IF($N28=0,0,$Q28/$N28*MAX(0,(IF($I28="",AU$3,MIN($I28,AU$3)))-(MAX($H28,(EDATE(AU$3,-12)+1)))+1)/(AU$3-(EDATE(AU$3,-12)+1)+1)))*$W28),MAX(0,AT28-$M28)))</f>
        <v/>
      </c>
      <c r="AV28" s="81">
        <f>IF($K28="","",IF(AND($I28&lt;&gt;"",$I28&lt;=AU$3),0,AT28-AU28))</f>
        <v/>
      </c>
      <c r="AW28" s="81">
        <f>IF(OR($K28="",$H28=""),"",MIN(MAX(0,IF($O28="WDV",AV28*$P28*MAX(0,(IF($I28="",AW$3,MIN($I28,AW$3)))-(MAX($H28,(EDATE(AW$3,-12)+1)))+1)/(AW$3-(EDATE(AW$3,-12)+1)+1),IF($N28=0,0,$Q28/$N28*MAX(0,(IF($I28="",AW$3,MIN($I28,AW$3)))-(MAX($H28,(EDATE(AW$3,-12)+1)))+1)/(AW$3-(EDATE(AW$3,-12)+1)+1)))*$W28),MAX(0,AV28-$M28)))</f>
        <v/>
      </c>
      <c r="AX28" s="81">
        <f>IF($K28="","",IF(AND($I28&lt;&gt;"",$I28&lt;=AW$3),0,AV28-AW28))</f>
        <v/>
      </c>
      <c r="AY28" s="81">
        <f>IF(OR($K28="",$H28=""),"",MIN(MAX(0,IF($O28="WDV",AX28*$P28*MAX(0,(IF($I28="",AY$3,MIN($I28,AY$3)))-(MAX($H28,(EDATE(AY$3,-12)+1)))+1)/(AY$3-(EDATE(AY$3,-12)+1)+1),IF($N28=0,0,$Q28/$N28*MAX(0,(IF($I28="",AY$3,MIN($I28,AY$3)))-(MAX($H28,(EDATE(AY$3,-12)+1)))+1)/(AY$3-(EDATE(AY$3,-12)+1)+1)))*$W28),MAX(0,AX28-$M28)))</f>
        <v/>
      </c>
      <c r="AZ28" s="81">
        <f>IF($K28="","",IF(AND($I28&lt;&gt;"",$I28&lt;=AY$3),0,AX28-AY28))</f>
        <v/>
      </c>
      <c r="BA28" s="81">
        <f>IF(OR($K28="",$H28=""),"",MIN(MAX(0,IF($O28="WDV",AZ28*$P28*MAX(0,(IF($I28="",BA$3,MIN($I28,BA$3)))-(MAX($H28,(EDATE(BA$3,-12)+1)))+1)/(BA$3-(EDATE(BA$3,-12)+1)+1),IF($N28=0,0,$Q28/$N28*MAX(0,(IF($I28="",BA$3,MIN($I28,BA$3)))-(MAX($H28,(EDATE(BA$3,-12)+1)))+1)/(BA$3-(EDATE(BA$3,-12)+1)+1)))*$W28),MAX(0,AZ28-$M28)))</f>
        <v/>
      </c>
      <c r="BB28" s="81">
        <f>IF($K28="","",IF(AND($I28&lt;&gt;"",$I28&lt;=BA$3),0,AZ28-BA28))</f>
        <v/>
      </c>
      <c r="BC28" s="81">
        <f>IF(OR($K28="",$H28=""),"",MIN(MAX(0,IF($O28="WDV",BB28*$P28*MAX(0,(IF($I28="",BC$3,MIN($I28,BC$3)))-(MAX($H28,(EDATE(BC$3,-12)+1)))+1)/(BC$3-(EDATE(BC$3,-12)+1)+1),IF($N28=0,0,$Q28/$N28*MAX(0,(IF($I28="",BC$3,MIN($I28,BC$3)))-(MAX($H28,(EDATE(BC$3,-12)+1)))+1)/(BC$3-(EDATE(BC$3,-12)+1)+1)))*$W28),MAX(0,BB28-$M28)))</f>
        <v/>
      </c>
      <c r="BD28" s="81">
        <f>IF($K28="","",IF(AND($I28&lt;&gt;"",$I28&lt;=BC$3),0,BB28-BC28))</f>
        <v/>
      </c>
      <c r="BE28" s="81">
        <f>IF(OR($K28="",$H28=""),"",MIN(MAX(0,IF($O28="WDV",BD28*$P28*MAX(0,(IF($I28="",BE$3,MIN($I28,BE$3)))-(MAX($H28,(EDATE(BE$3,-12)+1)))+1)/(BE$3-(EDATE(BE$3,-12)+1)+1),IF($N28=0,0,$Q28/$N28*MAX(0,(IF($I28="",BE$3,MIN($I28,BE$3)))-(MAX($H28,(EDATE(BE$3,-12)+1)))+1)/(BE$3-(EDATE(BE$3,-12)+1)+1)))*$W28),MAX(0,BD28-$M28)))</f>
        <v/>
      </c>
      <c r="BF28" s="81">
        <f>IF($K28="","",IF(AND($I28&lt;&gt;"",$I28&lt;=BE$3),0,BD28-BE28))</f>
        <v/>
      </c>
    </row>
    <row r="29">
      <c r="A29" s="44" t="n"/>
      <c r="B29" s="45" t="n"/>
      <c r="C29" s="45" t="n"/>
      <c r="D29" s="45" t="n"/>
      <c r="E29" s="46" t="n"/>
      <c r="F29" s="47" t="n"/>
      <c r="G29" s="48" t="n"/>
      <c r="H29" s="48" t="n"/>
      <c r="I29" s="49" t="n"/>
      <c r="J29" s="50" t="n"/>
      <c r="K29" s="51" t="n"/>
      <c r="L29" s="52">
        <f>DefaultResidual</f>
        <v/>
      </c>
      <c r="M29" s="53">
        <f>IF($K29="","",$K29*$L29)</f>
        <v/>
      </c>
      <c r="N29" s="54">
        <f>IF($C29="","",IFERROR(VLOOKUP($C29,ScheduleIITable,3,FALSE),"#N/A"))</f>
        <v/>
      </c>
      <c r="O29" s="55">
        <f>IF($K29="","",GlobalMethod)</f>
        <v/>
      </c>
      <c r="P29" s="56">
        <f>IF(OR($K29="",$N29="",$N29=0,$M29=0),0,1-($M29/$K29)^(1/$N29))</f>
        <v/>
      </c>
      <c r="Q29" s="53">
        <f>IF($K29="","",$K29-$M29)</f>
        <v/>
      </c>
      <c r="R29" s="57">
        <f>IF($K29="","",INDEX($AA29:$BF29,1,MATCH(ReportingFYEnd,$AA$3:$BF$3,0)))</f>
        <v/>
      </c>
      <c r="S29" s="53">
        <f>IF($K29="","",IF($U29="Disposed",0,$K29-$T29))</f>
        <v/>
      </c>
      <c r="T29" s="58">
        <f>IF($K29="","",INDEX($AA29:$BF29,1,MATCH(ReportingFYEnd,$AA$3:$BF$3,0)+1))</f>
        <v/>
      </c>
      <c r="U29" s="59">
        <f>IF($K29="","",IF(AND($I29&lt;&gt;"",$I29&lt;=ReportingFYEnd),"Disposed",IF(OR($H29="",$H29&gt;ReportingFYEnd),"Not Yet in Use","Active")))</f>
        <v/>
      </c>
      <c r="V29" s="60" t="n"/>
      <c r="W29" s="61">
        <f>IF($V29="Double",1.5,IF($V29="Triple",2,1))</f>
        <v/>
      </c>
      <c r="X29" s="48" t="n"/>
      <c r="Y29" s="59">
        <f>IF($K29="","",IF(OR(ISNUMBER(SEARCH("Build",$C29)),ISNUMBER(SEARCH("Lease",$C29))),"Yes","NA"))</f>
        <v/>
      </c>
      <c r="Z29" s="62" t="n"/>
      <c r="AA29" s="63">
        <f>IF(OR($K29="",$H29=""),"",MIN(MAX(0,IF($O29="WDV",$K29*$P29*MAX(0,(IF($I29="",AA$3,MIN($I29,AA$3)))-(MAX($H29,(EDATE(AA$3,-12)+1)))+1)/(AA$3-(EDATE(AA$3,-12)+1)+1),IF($N29=0,0,$Q29/$N29*MAX(0,(IF($I29="",AA$3,MIN($I29,AA$3)))-(MAX($H29,(EDATE(AA$3,-12)+1)))+1)/(AA$3-(EDATE(AA$3,-12)+1)+1)))*$W29),MAX(0,$K29-$M29)))</f>
        <v/>
      </c>
      <c r="AB29" s="64">
        <f>IF($K29="","",IF(AND($I29&lt;&gt;"",$I29&lt;=AA$3),0,$K29-AA29))</f>
        <v/>
      </c>
      <c r="AC29" s="63">
        <f>IF(OR($K29="",$H29=""),"",MIN(MAX(0,IF($O29="WDV",AB29*$P29*MAX(0,(IF($I29="",AC$3,MIN($I29,AC$3)))-(MAX($H29,(EDATE(AC$3,-12)+1)))+1)/(AC$3-(EDATE(AC$3,-12)+1)+1),IF($N29=0,0,$Q29/$N29*MAX(0,(IF($I29="",AC$3,MIN($I29,AC$3)))-(MAX($H29,(EDATE(AC$3,-12)+1)))+1)/(AC$3-(EDATE(AC$3,-12)+1)+1)))*$W29),MAX(0,AB29-$M29)))</f>
        <v/>
      </c>
      <c r="AD29" s="64">
        <f>IF($K29="","",IF(AND($I29&lt;&gt;"",$I29&lt;=AC$3),0,AB29-AC29))</f>
        <v/>
      </c>
      <c r="AE29" s="63">
        <f>IF(OR($K29="",$H29=""),"",MIN(MAX(0,IF($O29="WDV",AD29*$P29*MAX(0,(IF($I29="",AE$3,MIN($I29,AE$3)))-(MAX($H29,(EDATE(AE$3,-12)+1)))+1)/(AE$3-(EDATE(AE$3,-12)+1)+1),IF($N29=0,0,$Q29/$N29*MAX(0,(IF($I29="",AE$3,MIN($I29,AE$3)))-(MAX($H29,(EDATE(AE$3,-12)+1)))+1)/(AE$3-(EDATE(AE$3,-12)+1)+1)))*$W29),MAX(0,AD29-$M29)))</f>
        <v/>
      </c>
      <c r="AF29" s="64">
        <f>IF($K29="","",IF(AND($I29&lt;&gt;"",$I29&lt;=AE$3),0,AD29-AE29))</f>
        <v/>
      </c>
      <c r="AG29" s="63">
        <f>IF(OR($K29="",$H29=""),"",MIN(MAX(0,IF($O29="WDV",AF29*$P29*MAX(0,(IF($I29="",AG$3,MIN($I29,AG$3)))-(MAX($H29,(EDATE(AG$3,-12)+1)))+1)/(AG$3-(EDATE(AG$3,-12)+1)+1),IF($N29=0,0,$Q29/$N29*MAX(0,(IF($I29="",AG$3,MIN($I29,AG$3)))-(MAX($H29,(EDATE(AG$3,-12)+1)))+1)/(AG$3-(EDATE(AG$3,-12)+1)+1)))*$W29),MAX(0,AF29-$M29)))</f>
        <v/>
      </c>
      <c r="AH29" s="64">
        <f>IF($K29="","",IF(AND($I29&lt;&gt;"",$I29&lt;=AG$3),0,AF29-AG29))</f>
        <v/>
      </c>
      <c r="AI29" s="63">
        <f>IF(OR($K29="",$H29=""),"",MIN(MAX(0,IF($O29="WDV",AH29*$P29*MAX(0,(IF($I29="",AI$3,MIN($I29,AI$3)))-(MAX($H29,(EDATE(AI$3,-12)+1)))+1)/(AI$3-(EDATE(AI$3,-12)+1)+1),IF($N29=0,0,$Q29/$N29*MAX(0,(IF($I29="",AI$3,MIN($I29,AI$3)))-(MAX($H29,(EDATE(AI$3,-12)+1)))+1)/(AI$3-(EDATE(AI$3,-12)+1)+1)))*$W29),MAX(0,AH29-$M29)))</f>
        <v/>
      </c>
      <c r="AJ29" s="64">
        <f>IF($K29="","",IF(AND($I29&lt;&gt;"",$I29&lt;=AI$3),0,AH29-AI29))</f>
        <v/>
      </c>
      <c r="AK29" s="63">
        <f>IF(OR($K29="",$H29=""),"",MIN(MAX(0,IF($O29="WDV",AJ29*$P29*MAX(0,(IF($I29="",AK$3,MIN($I29,AK$3)))-(MAX($H29,(EDATE(AK$3,-12)+1)))+1)/(AK$3-(EDATE(AK$3,-12)+1)+1),IF($N29=0,0,$Q29/$N29*MAX(0,(IF($I29="",AK$3,MIN($I29,AK$3)))-(MAX($H29,(EDATE(AK$3,-12)+1)))+1)/(AK$3-(EDATE(AK$3,-12)+1)+1)))*$W29),MAX(0,AJ29-$M29)))</f>
        <v/>
      </c>
      <c r="AL29" s="64">
        <f>IF($K29="","",IF(AND($I29&lt;&gt;"",$I29&lt;=AK$3),0,AJ29-AK29))</f>
        <v/>
      </c>
      <c r="AM29" s="63">
        <f>IF(OR($K29="",$H29=""),"",MIN(MAX(0,IF($O29="WDV",AL29*$P29*MAX(0,(IF($I29="",AM$3,MIN($I29,AM$3)))-(MAX($H29,(EDATE(AM$3,-12)+1)))+1)/(AM$3-(EDATE(AM$3,-12)+1)+1),IF($N29=0,0,$Q29/$N29*MAX(0,(IF($I29="",AM$3,MIN($I29,AM$3)))-(MAX($H29,(EDATE(AM$3,-12)+1)))+1)/(AM$3-(EDATE(AM$3,-12)+1)+1)))*$W29),MAX(0,AL29-$M29)))</f>
        <v/>
      </c>
      <c r="AN29" s="64">
        <f>IF($K29="","",IF(AND($I29&lt;&gt;"",$I29&lt;=AM$3),0,AL29-AM29))</f>
        <v/>
      </c>
      <c r="AO29" s="63">
        <f>IF(OR($K29="",$H29=""),"",MIN(MAX(0,IF($O29="WDV",AN29*$P29*MAX(0,(IF($I29="",AO$3,MIN($I29,AO$3)))-(MAX($H29,(EDATE(AO$3,-12)+1)))+1)/(AO$3-(EDATE(AO$3,-12)+1)+1),IF($N29=0,0,$Q29/$N29*MAX(0,(IF($I29="",AO$3,MIN($I29,AO$3)))-(MAX($H29,(EDATE(AO$3,-12)+1)))+1)/(AO$3-(EDATE(AO$3,-12)+1)+1)))*$W29),MAX(0,AN29-$M29)))</f>
        <v/>
      </c>
      <c r="AP29" s="64">
        <f>IF($K29="","",IF(AND($I29&lt;&gt;"",$I29&lt;=AO$3),0,AN29-AO29))</f>
        <v/>
      </c>
      <c r="AQ29" s="63">
        <f>IF(OR($K29="",$H29=""),"",MIN(MAX(0,IF($O29="WDV",AP29*$P29*MAX(0,(IF($I29="",AQ$3,MIN($I29,AQ$3)))-(MAX($H29,(EDATE(AQ$3,-12)+1)))+1)/(AQ$3-(EDATE(AQ$3,-12)+1)+1),IF($N29=0,0,$Q29/$N29*MAX(0,(IF($I29="",AQ$3,MIN($I29,AQ$3)))-(MAX($H29,(EDATE(AQ$3,-12)+1)))+1)/(AQ$3-(EDATE(AQ$3,-12)+1)+1)))*$W29),MAX(0,AP29-$M29)))</f>
        <v/>
      </c>
      <c r="AR29" s="64">
        <f>IF($K29="","",IF(AND($I29&lt;&gt;"",$I29&lt;=AQ$3),0,AP29-AQ29))</f>
        <v/>
      </c>
      <c r="AS29" s="63">
        <f>IF(OR($K29="",$H29=""),"",MIN(MAX(0,IF($O29="WDV",AR29*$P29*MAX(0,(IF($I29="",AS$3,MIN($I29,AS$3)))-(MAX($H29,(EDATE(AS$3,-12)+1)))+1)/(AS$3-(EDATE(AS$3,-12)+1)+1),IF($N29=0,0,$Q29/$N29*MAX(0,(IF($I29="",AS$3,MIN($I29,AS$3)))-(MAX($H29,(EDATE(AS$3,-12)+1)))+1)/(AS$3-(EDATE(AS$3,-12)+1)+1)))*$W29),MAX(0,AR29-$M29)))</f>
        <v/>
      </c>
      <c r="AT29" s="64">
        <f>IF($K29="","",IF(AND($I29&lt;&gt;"",$I29&lt;=AS$3),0,AR29-AS29))</f>
        <v/>
      </c>
      <c r="AU29" s="63">
        <f>IF(OR($K29="",$H29=""),"",MIN(MAX(0,IF($O29="WDV",AT29*$P29*MAX(0,(IF($I29="",AU$3,MIN($I29,AU$3)))-(MAX($H29,(EDATE(AU$3,-12)+1)))+1)/(AU$3-(EDATE(AU$3,-12)+1)+1),IF($N29=0,0,$Q29/$N29*MAX(0,(IF($I29="",AU$3,MIN($I29,AU$3)))-(MAX($H29,(EDATE(AU$3,-12)+1)))+1)/(AU$3-(EDATE(AU$3,-12)+1)+1)))*$W29),MAX(0,AT29-$M29)))</f>
        <v/>
      </c>
      <c r="AV29" s="64">
        <f>IF($K29="","",IF(AND($I29&lt;&gt;"",$I29&lt;=AU$3),0,AT29-AU29))</f>
        <v/>
      </c>
      <c r="AW29" s="63">
        <f>IF(OR($K29="",$H29=""),"",MIN(MAX(0,IF($O29="WDV",AV29*$P29*MAX(0,(IF($I29="",AW$3,MIN($I29,AW$3)))-(MAX($H29,(EDATE(AW$3,-12)+1)))+1)/(AW$3-(EDATE(AW$3,-12)+1)+1),IF($N29=0,0,$Q29/$N29*MAX(0,(IF($I29="",AW$3,MIN($I29,AW$3)))-(MAX($H29,(EDATE(AW$3,-12)+1)))+1)/(AW$3-(EDATE(AW$3,-12)+1)+1)))*$W29),MAX(0,AV29-$M29)))</f>
        <v/>
      </c>
      <c r="AX29" s="64">
        <f>IF($K29="","",IF(AND($I29&lt;&gt;"",$I29&lt;=AW$3),0,AV29-AW29))</f>
        <v/>
      </c>
      <c r="AY29" s="63">
        <f>IF(OR($K29="",$H29=""),"",MIN(MAX(0,IF($O29="WDV",AX29*$P29*MAX(0,(IF($I29="",AY$3,MIN($I29,AY$3)))-(MAX($H29,(EDATE(AY$3,-12)+1)))+1)/(AY$3-(EDATE(AY$3,-12)+1)+1),IF($N29=0,0,$Q29/$N29*MAX(0,(IF($I29="",AY$3,MIN($I29,AY$3)))-(MAX($H29,(EDATE(AY$3,-12)+1)))+1)/(AY$3-(EDATE(AY$3,-12)+1)+1)))*$W29),MAX(0,AX29-$M29)))</f>
        <v/>
      </c>
      <c r="AZ29" s="64">
        <f>IF($K29="","",IF(AND($I29&lt;&gt;"",$I29&lt;=AY$3),0,AX29-AY29))</f>
        <v/>
      </c>
      <c r="BA29" s="63">
        <f>IF(OR($K29="",$H29=""),"",MIN(MAX(0,IF($O29="WDV",AZ29*$P29*MAX(0,(IF($I29="",BA$3,MIN($I29,BA$3)))-(MAX($H29,(EDATE(BA$3,-12)+1)))+1)/(BA$3-(EDATE(BA$3,-12)+1)+1),IF($N29=0,0,$Q29/$N29*MAX(0,(IF($I29="",BA$3,MIN($I29,BA$3)))-(MAX($H29,(EDATE(BA$3,-12)+1)))+1)/(BA$3-(EDATE(BA$3,-12)+1)+1)))*$W29),MAX(0,AZ29-$M29)))</f>
        <v/>
      </c>
      <c r="BB29" s="64">
        <f>IF($K29="","",IF(AND($I29&lt;&gt;"",$I29&lt;=BA$3),0,AZ29-BA29))</f>
        <v/>
      </c>
      <c r="BC29" s="63">
        <f>IF(OR($K29="",$H29=""),"",MIN(MAX(0,IF($O29="WDV",BB29*$P29*MAX(0,(IF($I29="",BC$3,MIN($I29,BC$3)))-(MAX($H29,(EDATE(BC$3,-12)+1)))+1)/(BC$3-(EDATE(BC$3,-12)+1)+1),IF($N29=0,0,$Q29/$N29*MAX(0,(IF($I29="",BC$3,MIN($I29,BC$3)))-(MAX($H29,(EDATE(BC$3,-12)+1)))+1)/(BC$3-(EDATE(BC$3,-12)+1)+1)))*$W29),MAX(0,BB29-$M29)))</f>
        <v/>
      </c>
      <c r="BD29" s="64">
        <f>IF($K29="","",IF(AND($I29&lt;&gt;"",$I29&lt;=BC$3),0,BB29-BC29))</f>
        <v/>
      </c>
      <c r="BE29" s="63">
        <f>IF(OR($K29="",$H29=""),"",MIN(MAX(0,IF($O29="WDV",BD29*$P29*MAX(0,(IF($I29="",BE$3,MIN($I29,BE$3)))-(MAX($H29,(EDATE(BE$3,-12)+1)))+1)/(BE$3-(EDATE(BE$3,-12)+1)+1),IF($N29=0,0,$Q29/$N29*MAX(0,(IF($I29="",BE$3,MIN($I29,BE$3)))-(MAX($H29,(EDATE(BE$3,-12)+1)))+1)/(BE$3-(EDATE(BE$3,-12)+1)+1)))*$W29),MAX(0,BD29-$M29)))</f>
        <v/>
      </c>
      <c r="BF29" s="64">
        <f>IF($K29="","",IF(AND($I29&lt;&gt;"",$I29&lt;=BE$3),0,BD29-BE29))</f>
        <v/>
      </c>
    </row>
    <row r="30">
      <c r="A30" s="65" t="n"/>
      <c r="B30" s="66" t="n"/>
      <c r="C30" s="66" t="n"/>
      <c r="D30" s="66" t="n"/>
      <c r="E30" s="67" t="n"/>
      <c r="F30" s="68" t="n"/>
      <c r="G30" s="69" t="n"/>
      <c r="H30" s="69" t="n"/>
      <c r="I30" s="70" t="n"/>
      <c r="J30" s="71" t="n"/>
      <c r="K30" s="72" t="n"/>
      <c r="L30" s="73">
        <f>DefaultResidual</f>
        <v/>
      </c>
      <c r="M30" s="74">
        <f>IF($K30="","",$K30*$L30)</f>
        <v/>
      </c>
      <c r="N30" s="22">
        <f>IF($C30="","",IFERROR(VLOOKUP($C30,ScheduleIITable,3,FALSE),"#N/A"))</f>
        <v/>
      </c>
      <c r="O30" s="75">
        <f>IF($K30="","",GlobalMethod)</f>
        <v/>
      </c>
      <c r="P30" s="23">
        <f>IF(OR($K30="",$N30="",$N30=0,$M30=0),0,1-($M30/$K30)^(1/$N30))</f>
        <v/>
      </c>
      <c r="Q30" s="74">
        <f>IF($K30="","",$K30-$M30)</f>
        <v/>
      </c>
      <c r="R30" s="76">
        <f>IF($K30="","",INDEX($AA30:$BF30,1,MATCH(ReportingFYEnd,$AA$3:$BF$3,0)))</f>
        <v/>
      </c>
      <c r="S30" s="74">
        <f>IF($K30="","",IF($U30="Disposed",0,$K30-$T30))</f>
        <v/>
      </c>
      <c r="T30" s="77">
        <f>IF($K30="","",INDEX($AA30:$BF30,1,MATCH(ReportingFYEnd,$AA$3:$BF$3,0)+1))</f>
        <v/>
      </c>
      <c r="U30" s="78">
        <f>IF($K30="","",IF(AND($I30&lt;&gt;"",$I30&lt;=ReportingFYEnd),"Disposed",IF(OR($H30="",$H30&gt;ReportingFYEnd),"Not Yet in Use","Active")))</f>
        <v/>
      </c>
      <c r="V30" s="79" t="n"/>
      <c r="W30" s="80">
        <f>IF($V30="Double",1.5,IF($V30="Triple",2,1))</f>
        <v/>
      </c>
      <c r="X30" s="69" t="n"/>
      <c r="Y30" s="78">
        <f>IF($K30="","",IF(OR(ISNUMBER(SEARCH("Build",$C30)),ISNUMBER(SEARCH("Lease",$C30))),"Yes","NA"))</f>
        <v/>
      </c>
      <c r="Z30" s="21" t="n"/>
      <c r="AA30" s="81">
        <f>IF(OR($K30="",$H30=""),"",MIN(MAX(0,IF($O30="WDV",$K30*$P30*MAX(0,(IF($I30="",AA$3,MIN($I30,AA$3)))-(MAX($H30,(EDATE(AA$3,-12)+1)))+1)/(AA$3-(EDATE(AA$3,-12)+1)+1),IF($N30=0,0,$Q30/$N30*MAX(0,(IF($I30="",AA$3,MIN($I30,AA$3)))-(MAX($H30,(EDATE(AA$3,-12)+1)))+1)/(AA$3-(EDATE(AA$3,-12)+1)+1)))*$W30),MAX(0,$K30-$M30)))</f>
        <v/>
      </c>
      <c r="AB30" s="81">
        <f>IF($K30="","",IF(AND($I30&lt;&gt;"",$I30&lt;=AA$3),0,$K30-AA30))</f>
        <v/>
      </c>
      <c r="AC30" s="81">
        <f>IF(OR($K30="",$H30=""),"",MIN(MAX(0,IF($O30="WDV",AB30*$P30*MAX(0,(IF($I30="",AC$3,MIN($I30,AC$3)))-(MAX($H30,(EDATE(AC$3,-12)+1)))+1)/(AC$3-(EDATE(AC$3,-12)+1)+1),IF($N30=0,0,$Q30/$N30*MAX(0,(IF($I30="",AC$3,MIN($I30,AC$3)))-(MAX($H30,(EDATE(AC$3,-12)+1)))+1)/(AC$3-(EDATE(AC$3,-12)+1)+1)))*$W30),MAX(0,AB30-$M30)))</f>
        <v/>
      </c>
      <c r="AD30" s="81">
        <f>IF($K30="","",IF(AND($I30&lt;&gt;"",$I30&lt;=AC$3),0,AB30-AC30))</f>
        <v/>
      </c>
      <c r="AE30" s="81">
        <f>IF(OR($K30="",$H30=""),"",MIN(MAX(0,IF($O30="WDV",AD30*$P30*MAX(0,(IF($I30="",AE$3,MIN($I30,AE$3)))-(MAX($H30,(EDATE(AE$3,-12)+1)))+1)/(AE$3-(EDATE(AE$3,-12)+1)+1),IF($N30=0,0,$Q30/$N30*MAX(0,(IF($I30="",AE$3,MIN($I30,AE$3)))-(MAX($H30,(EDATE(AE$3,-12)+1)))+1)/(AE$3-(EDATE(AE$3,-12)+1)+1)))*$W30),MAX(0,AD30-$M30)))</f>
        <v/>
      </c>
      <c r="AF30" s="81">
        <f>IF($K30="","",IF(AND($I30&lt;&gt;"",$I30&lt;=AE$3),0,AD30-AE30))</f>
        <v/>
      </c>
      <c r="AG30" s="81">
        <f>IF(OR($K30="",$H30=""),"",MIN(MAX(0,IF($O30="WDV",AF30*$P30*MAX(0,(IF($I30="",AG$3,MIN($I30,AG$3)))-(MAX($H30,(EDATE(AG$3,-12)+1)))+1)/(AG$3-(EDATE(AG$3,-12)+1)+1),IF($N30=0,0,$Q30/$N30*MAX(0,(IF($I30="",AG$3,MIN($I30,AG$3)))-(MAX($H30,(EDATE(AG$3,-12)+1)))+1)/(AG$3-(EDATE(AG$3,-12)+1)+1)))*$W30),MAX(0,AF30-$M30)))</f>
        <v/>
      </c>
      <c r="AH30" s="81">
        <f>IF($K30="","",IF(AND($I30&lt;&gt;"",$I30&lt;=AG$3),0,AF30-AG30))</f>
        <v/>
      </c>
      <c r="AI30" s="81">
        <f>IF(OR($K30="",$H30=""),"",MIN(MAX(0,IF($O30="WDV",AH30*$P30*MAX(0,(IF($I30="",AI$3,MIN($I30,AI$3)))-(MAX($H30,(EDATE(AI$3,-12)+1)))+1)/(AI$3-(EDATE(AI$3,-12)+1)+1),IF($N30=0,0,$Q30/$N30*MAX(0,(IF($I30="",AI$3,MIN($I30,AI$3)))-(MAX($H30,(EDATE(AI$3,-12)+1)))+1)/(AI$3-(EDATE(AI$3,-12)+1)+1)))*$W30),MAX(0,AH30-$M30)))</f>
        <v/>
      </c>
      <c r="AJ30" s="81">
        <f>IF($K30="","",IF(AND($I30&lt;&gt;"",$I30&lt;=AI$3),0,AH30-AI30))</f>
        <v/>
      </c>
      <c r="AK30" s="81">
        <f>IF(OR($K30="",$H30=""),"",MIN(MAX(0,IF($O30="WDV",AJ30*$P30*MAX(0,(IF($I30="",AK$3,MIN($I30,AK$3)))-(MAX($H30,(EDATE(AK$3,-12)+1)))+1)/(AK$3-(EDATE(AK$3,-12)+1)+1),IF($N30=0,0,$Q30/$N30*MAX(0,(IF($I30="",AK$3,MIN($I30,AK$3)))-(MAX($H30,(EDATE(AK$3,-12)+1)))+1)/(AK$3-(EDATE(AK$3,-12)+1)+1)))*$W30),MAX(0,AJ30-$M30)))</f>
        <v/>
      </c>
      <c r="AL30" s="81">
        <f>IF($K30="","",IF(AND($I30&lt;&gt;"",$I30&lt;=AK$3),0,AJ30-AK30))</f>
        <v/>
      </c>
      <c r="AM30" s="81">
        <f>IF(OR($K30="",$H30=""),"",MIN(MAX(0,IF($O30="WDV",AL30*$P30*MAX(0,(IF($I30="",AM$3,MIN($I30,AM$3)))-(MAX($H30,(EDATE(AM$3,-12)+1)))+1)/(AM$3-(EDATE(AM$3,-12)+1)+1),IF($N30=0,0,$Q30/$N30*MAX(0,(IF($I30="",AM$3,MIN($I30,AM$3)))-(MAX($H30,(EDATE(AM$3,-12)+1)))+1)/(AM$3-(EDATE(AM$3,-12)+1)+1)))*$W30),MAX(0,AL30-$M30)))</f>
        <v/>
      </c>
      <c r="AN30" s="81">
        <f>IF($K30="","",IF(AND($I30&lt;&gt;"",$I30&lt;=AM$3),0,AL30-AM30))</f>
        <v/>
      </c>
      <c r="AO30" s="81">
        <f>IF(OR($K30="",$H30=""),"",MIN(MAX(0,IF($O30="WDV",AN30*$P30*MAX(0,(IF($I30="",AO$3,MIN($I30,AO$3)))-(MAX($H30,(EDATE(AO$3,-12)+1)))+1)/(AO$3-(EDATE(AO$3,-12)+1)+1),IF($N30=0,0,$Q30/$N30*MAX(0,(IF($I30="",AO$3,MIN($I30,AO$3)))-(MAX($H30,(EDATE(AO$3,-12)+1)))+1)/(AO$3-(EDATE(AO$3,-12)+1)+1)))*$W30),MAX(0,AN30-$M30)))</f>
        <v/>
      </c>
      <c r="AP30" s="81">
        <f>IF($K30="","",IF(AND($I30&lt;&gt;"",$I30&lt;=AO$3),0,AN30-AO30))</f>
        <v/>
      </c>
      <c r="AQ30" s="81">
        <f>IF(OR($K30="",$H30=""),"",MIN(MAX(0,IF($O30="WDV",AP30*$P30*MAX(0,(IF($I30="",AQ$3,MIN($I30,AQ$3)))-(MAX($H30,(EDATE(AQ$3,-12)+1)))+1)/(AQ$3-(EDATE(AQ$3,-12)+1)+1),IF($N30=0,0,$Q30/$N30*MAX(0,(IF($I30="",AQ$3,MIN($I30,AQ$3)))-(MAX($H30,(EDATE(AQ$3,-12)+1)))+1)/(AQ$3-(EDATE(AQ$3,-12)+1)+1)))*$W30),MAX(0,AP30-$M30)))</f>
        <v/>
      </c>
      <c r="AR30" s="81">
        <f>IF($K30="","",IF(AND($I30&lt;&gt;"",$I30&lt;=AQ$3),0,AP30-AQ30))</f>
        <v/>
      </c>
      <c r="AS30" s="81">
        <f>IF(OR($K30="",$H30=""),"",MIN(MAX(0,IF($O30="WDV",AR30*$P30*MAX(0,(IF($I30="",AS$3,MIN($I30,AS$3)))-(MAX($H30,(EDATE(AS$3,-12)+1)))+1)/(AS$3-(EDATE(AS$3,-12)+1)+1),IF($N30=0,0,$Q30/$N30*MAX(0,(IF($I30="",AS$3,MIN($I30,AS$3)))-(MAX($H30,(EDATE(AS$3,-12)+1)))+1)/(AS$3-(EDATE(AS$3,-12)+1)+1)))*$W30),MAX(0,AR30-$M30)))</f>
        <v/>
      </c>
      <c r="AT30" s="81">
        <f>IF($K30="","",IF(AND($I30&lt;&gt;"",$I30&lt;=AS$3),0,AR30-AS30))</f>
        <v/>
      </c>
      <c r="AU30" s="81">
        <f>IF(OR($K30="",$H30=""),"",MIN(MAX(0,IF($O30="WDV",AT30*$P30*MAX(0,(IF($I30="",AU$3,MIN($I30,AU$3)))-(MAX($H30,(EDATE(AU$3,-12)+1)))+1)/(AU$3-(EDATE(AU$3,-12)+1)+1),IF($N30=0,0,$Q30/$N30*MAX(0,(IF($I30="",AU$3,MIN($I30,AU$3)))-(MAX($H30,(EDATE(AU$3,-12)+1)))+1)/(AU$3-(EDATE(AU$3,-12)+1)+1)))*$W30),MAX(0,AT30-$M30)))</f>
        <v/>
      </c>
      <c r="AV30" s="81">
        <f>IF($K30="","",IF(AND($I30&lt;&gt;"",$I30&lt;=AU$3),0,AT30-AU30))</f>
        <v/>
      </c>
      <c r="AW30" s="81">
        <f>IF(OR($K30="",$H30=""),"",MIN(MAX(0,IF($O30="WDV",AV30*$P30*MAX(0,(IF($I30="",AW$3,MIN($I30,AW$3)))-(MAX($H30,(EDATE(AW$3,-12)+1)))+1)/(AW$3-(EDATE(AW$3,-12)+1)+1),IF($N30=0,0,$Q30/$N30*MAX(0,(IF($I30="",AW$3,MIN($I30,AW$3)))-(MAX($H30,(EDATE(AW$3,-12)+1)))+1)/(AW$3-(EDATE(AW$3,-12)+1)+1)))*$W30),MAX(0,AV30-$M30)))</f>
        <v/>
      </c>
      <c r="AX30" s="81">
        <f>IF($K30="","",IF(AND($I30&lt;&gt;"",$I30&lt;=AW$3),0,AV30-AW30))</f>
        <v/>
      </c>
      <c r="AY30" s="81">
        <f>IF(OR($K30="",$H30=""),"",MIN(MAX(0,IF($O30="WDV",AX30*$P30*MAX(0,(IF($I30="",AY$3,MIN($I30,AY$3)))-(MAX($H30,(EDATE(AY$3,-12)+1)))+1)/(AY$3-(EDATE(AY$3,-12)+1)+1),IF($N30=0,0,$Q30/$N30*MAX(0,(IF($I30="",AY$3,MIN($I30,AY$3)))-(MAX($H30,(EDATE(AY$3,-12)+1)))+1)/(AY$3-(EDATE(AY$3,-12)+1)+1)))*$W30),MAX(0,AX30-$M30)))</f>
        <v/>
      </c>
      <c r="AZ30" s="81">
        <f>IF($K30="","",IF(AND($I30&lt;&gt;"",$I30&lt;=AY$3),0,AX30-AY30))</f>
        <v/>
      </c>
      <c r="BA30" s="81">
        <f>IF(OR($K30="",$H30=""),"",MIN(MAX(0,IF($O30="WDV",AZ30*$P30*MAX(0,(IF($I30="",BA$3,MIN($I30,BA$3)))-(MAX($H30,(EDATE(BA$3,-12)+1)))+1)/(BA$3-(EDATE(BA$3,-12)+1)+1),IF($N30=0,0,$Q30/$N30*MAX(0,(IF($I30="",BA$3,MIN($I30,BA$3)))-(MAX($H30,(EDATE(BA$3,-12)+1)))+1)/(BA$3-(EDATE(BA$3,-12)+1)+1)))*$W30),MAX(0,AZ30-$M30)))</f>
        <v/>
      </c>
      <c r="BB30" s="81">
        <f>IF($K30="","",IF(AND($I30&lt;&gt;"",$I30&lt;=BA$3),0,AZ30-BA30))</f>
        <v/>
      </c>
      <c r="BC30" s="81">
        <f>IF(OR($K30="",$H30=""),"",MIN(MAX(0,IF($O30="WDV",BB30*$P30*MAX(0,(IF($I30="",BC$3,MIN($I30,BC$3)))-(MAX($H30,(EDATE(BC$3,-12)+1)))+1)/(BC$3-(EDATE(BC$3,-12)+1)+1),IF($N30=0,0,$Q30/$N30*MAX(0,(IF($I30="",BC$3,MIN($I30,BC$3)))-(MAX($H30,(EDATE(BC$3,-12)+1)))+1)/(BC$3-(EDATE(BC$3,-12)+1)+1)))*$W30),MAX(0,BB30-$M30)))</f>
        <v/>
      </c>
      <c r="BD30" s="81">
        <f>IF($K30="","",IF(AND($I30&lt;&gt;"",$I30&lt;=BC$3),0,BB30-BC30))</f>
        <v/>
      </c>
      <c r="BE30" s="81">
        <f>IF(OR($K30="",$H30=""),"",MIN(MAX(0,IF($O30="WDV",BD30*$P30*MAX(0,(IF($I30="",BE$3,MIN($I30,BE$3)))-(MAX($H30,(EDATE(BE$3,-12)+1)))+1)/(BE$3-(EDATE(BE$3,-12)+1)+1),IF($N30=0,0,$Q30/$N30*MAX(0,(IF($I30="",BE$3,MIN($I30,BE$3)))-(MAX($H30,(EDATE(BE$3,-12)+1)))+1)/(BE$3-(EDATE(BE$3,-12)+1)+1)))*$W30),MAX(0,BD30-$M30)))</f>
        <v/>
      </c>
      <c r="BF30" s="81">
        <f>IF($K30="","",IF(AND($I30&lt;&gt;"",$I30&lt;=BE$3),0,BD30-BE30))</f>
        <v/>
      </c>
    </row>
    <row r="31">
      <c r="A31" s="44" t="n"/>
      <c r="B31" s="45" t="n"/>
      <c r="C31" s="45" t="n"/>
      <c r="D31" s="45" t="n"/>
      <c r="E31" s="46" t="n"/>
      <c r="F31" s="47" t="n"/>
      <c r="G31" s="48" t="n"/>
      <c r="H31" s="48" t="n"/>
      <c r="I31" s="49" t="n"/>
      <c r="J31" s="50" t="n"/>
      <c r="K31" s="51" t="n"/>
      <c r="L31" s="52">
        <f>DefaultResidual</f>
        <v/>
      </c>
      <c r="M31" s="53">
        <f>IF($K31="","",$K31*$L31)</f>
        <v/>
      </c>
      <c r="N31" s="54">
        <f>IF($C31="","",IFERROR(VLOOKUP($C31,ScheduleIITable,3,FALSE),"#N/A"))</f>
        <v/>
      </c>
      <c r="O31" s="55">
        <f>IF($K31="","",GlobalMethod)</f>
        <v/>
      </c>
      <c r="P31" s="56">
        <f>IF(OR($K31="",$N31="",$N31=0,$M31=0),0,1-($M31/$K31)^(1/$N31))</f>
        <v/>
      </c>
      <c r="Q31" s="53">
        <f>IF($K31="","",$K31-$M31)</f>
        <v/>
      </c>
      <c r="R31" s="57">
        <f>IF($K31="","",INDEX($AA31:$BF31,1,MATCH(ReportingFYEnd,$AA$3:$BF$3,0)))</f>
        <v/>
      </c>
      <c r="S31" s="53">
        <f>IF($K31="","",IF($U31="Disposed",0,$K31-$T31))</f>
        <v/>
      </c>
      <c r="T31" s="58">
        <f>IF($K31="","",INDEX($AA31:$BF31,1,MATCH(ReportingFYEnd,$AA$3:$BF$3,0)+1))</f>
        <v/>
      </c>
      <c r="U31" s="59">
        <f>IF($K31="","",IF(AND($I31&lt;&gt;"",$I31&lt;=ReportingFYEnd),"Disposed",IF(OR($H31="",$H31&gt;ReportingFYEnd),"Not Yet in Use","Active")))</f>
        <v/>
      </c>
      <c r="V31" s="60" t="n"/>
      <c r="W31" s="61">
        <f>IF($V31="Double",1.5,IF($V31="Triple",2,1))</f>
        <v/>
      </c>
      <c r="X31" s="48" t="n"/>
      <c r="Y31" s="59">
        <f>IF($K31="","",IF(OR(ISNUMBER(SEARCH("Build",$C31)),ISNUMBER(SEARCH("Lease",$C31))),"Yes","NA"))</f>
        <v/>
      </c>
      <c r="Z31" s="62" t="n"/>
      <c r="AA31" s="63">
        <f>IF(OR($K31="",$H31=""),"",MIN(MAX(0,IF($O31="WDV",$K31*$P31*MAX(0,(IF($I31="",AA$3,MIN($I31,AA$3)))-(MAX($H31,(EDATE(AA$3,-12)+1)))+1)/(AA$3-(EDATE(AA$3,-12)+1)+1),IF($N31=0,0,$Q31/$N31*MAX(0,(IF($I31="",AA$3,MIN($I31,AA$3)))-(MAX($H31,(EDATE(AA$3,-12)+1)))+1)/(AA$3-(EDATE(AA$3,-12)+1)+1)))*$W31),MAX(0,$K31-$M31)))</f>
        <v/>
      </c>
      <c r="AB31" s="64">
        <f>IF($K31="","",IF(AND($I31&lt;&gt;"",$I31&lt;=AA$3),0,$K31-AA31))</f>
        <v/>
      </c>
      <c r="AC31" s="63">
        <f>IF(OR($K31="",$H31=""),"",MIN(MAX(0,IF($O31="WDV",AB31*$P31*MAX(0,(IF($I31="",AC$3,MIN($I31,AC$3)))-(MAX($H31,(EDATE(AC$3,-12)+1)))+1)/(AC$3-(EDATE(AC$3,-12)+1)+1),IF($N31=0,0,$Q31/$N31*MAX(0,(IF($I31="",AC$3,MIN($I31,AC$3)))-(MAX($H31,(EDATE(AC$3,-12)+1)))+1)/(AC$3-(EDATE(AC$3,-12)+1)+1)))*$W31),MAX(0,AB31-$M31)))</f>
        <v/>
      </c>
      <c r="AD31" s="64">
        <f>IF($K31="","",IF(AND($I31&lt;&gt;"",$I31&lt;=AC$3),0,AB31-AC31))</f>
        <v/>
      </c>
      <c r="AE31" s="63">
        <f>IF(OR($K31="",$H31=""),"",MIN(MAX(0,IF($O31="WDV",AD31*$P31*MAX(0,(IF($I31="",AE$3,MIN($I31,AE$3)))-(MAX($H31,(EDATE(AE$3,-12)+1)))+1)/(AE$3-(EDATE(AE$3,-12)+1)+1),IF($N31=0,0,$Q31/$N31*MAX(0,(IF($I31="",AE$3,MIN($I31,AE$3)))-(MAX($H31,(EDATE(AE$3,-12)+1)))+1)/(AE$3-(EDATE(AE$3,-12)+1)+1)))*$W31),MAX(0,AD31-$M31)))</f>
        <v/>
      </c>
      <c r="AF31" s="64">
        <f>IF($K31="","",IF(AND($I31&lt;&gt;"",$I31&lt;=AE$3),0,AD31-AE31))</f>
        <v/>
      </c>
      <c r="AG31" s="63">
        <f>IF(OR($K31="",$H31=""),"",MIN(MAX(0,IF($O31="WDV",AF31*$P31*MAX(0,(IF($I31="",AG$3,MIN($I31,AG$3)))-(MAX($H31,(EDATE(AG$3,-12)+1)))+1)/(AG$3-(EDATE(AG$3,-12)+1)+1),IF($N31=0,0,$Q31/$N31*MAX(0,(IF($I31="",AG$3,MIN($I31,AG$3)))-(MAX($H31,(EDATE(AG$3,-12)+1)))+1)/(AG$3-(EDATE(AG$3,-12)+1)+1)))*$W31),MAX(0,AF31-$M31)))</f>
        <v/>
      </c>
      <c r="AH31" s="64">
        <f>IF($K31="","",IF(AND($I31&lt;&gt;"",$I31&lt;=AG$3),0,AF31-AG31))</f>
        <v/>
      </c>
      <c r="AI31" s="63">
        <f>IF(OR($K31="",$H31=""),"",MIN(MAX(0,IF($O31="WDV",AH31*$P31*MAX(0,(IF($I31="",AI$3,MIN($I31,AI$3)))-(MAX($H31,(EDATE(AI$3,-12)+1)))+1)/(AI$3-(EDATE(AI$3,-12)+1)+1),IF($N31=0,0,$Q31/$N31*MAX(0,(IF($I31="",AI$3,MIN($I31,AI$3)))-(MAX($H31,(EDATE(AI$3,-12)+1)))+1)/(AI$3-(EDATE(AI$3,-12)+1)+1)))*$W31),MAX(0,AH31-$M31)))</f>
        <v/>
      </c>
      <c r="AJ31" s="64">
        <f>IF($K31="","",IF(AND($I31&lt;&gt;"",$I31&lt;=AI$3),0,AH31-AI31))</f>
        <v/>
      </c>
      <c r="AK31" s="63">
        <f>IF(OR($K31="",$H31=""),"",MIN(MAX(0,IF($O31="WDV",AJ31*$P31*MAX(0,(IF($I31="",AK$3,MIN($I31,AK$3)))-(MAX($H31,(EDATE(AK$3,-12)+1)))+1)/(AK$3-(EDATE(AK$3,-12)+1)+1),IF($N31=0,0,$Q31/$N31*MAX(0,(IF($I31="",AK$3,MIN($I31,AK$3)))-(MAX($H31,(EDATE(AK$3,-12)+1)))+1)/(AK$3-(EDATE(AK$3,-12)+1)+1)))*$W31),MAX(0,AJ31-$M31)))</f>
        <v/>
      </c>
      <c r="AL31" s="64">
        <f>IF($K31="","",IF(AND($I31&lt;&gt;"",$I31&lt;=AK$3),0,AJ31-AK31))</f>
        <v/>
      </c>
      <c r="AM31" s="63">
        <f>IF(OR($K31="",$H31=""),"",MIN(MAX(0,IF($O31="WDV",AL31*$P31*MAX(0,(IF($I31="",AM$3,MIN($I31,AM$3)))-(MAX($H31,(EDATE(AM$3,-12)+1)))+1)/(AM$3-(EDATE(AM$3,-12)+1)+1),IF($N31=0,0,$Q31/$N31*MAX(0,(IF($I31="",AM$3,MIN($I31,AM$3)))-(MAX($H31,(EDATE(AM$3,-12)+1)))+1)/(AM$3-(EDATE(AM$3,-12)+1)+1)))*$W31),MAX(0,AL31-$M31)))</f>
        <v/>
      </c>
      <c r="AN31" s="64">
        <f>IF($K31="","",IF(AND($I31&lt;&gt;"",$I31&lt;=AM$3),0,AL31-AM31))</f>
        <v/>
      </c>
      <c r="AO31" s="63">
        <f>IF(OR($K31="",$H31=""),"",MIN(MAX(0,IF($O31="WDV",AN31*$P31*MAX(0,(IF($I31="",AO$3,MIN($I31,AO$3)))-(MAX($H31,(EDATE(AO$3,-12)+1)))+1)/(AO$3-(EDATE(AO$3,-12)+1)+1),IF($N31=0,0,$Q31/$N31*MAX(0,(IF($I31="",AO$3,MIN($I31,AO$3)))-(MAX($H31,(EDATE(AO$3,-12)+1)))+1)/(AO$3-(EDATE(AO$3,-12)+1)+1)))*$W31),MAX(0,AN31-$M31)))</f>
        <v/>
      </c>
      <c r="AP31" s="64">
        <f>IF($K31="","",IF(AND($I31&lt;&gt;"",$I31&lt;=AO$3),0,AN31-AO31))</f>
        <v/>
      </c>
      <c r="AQ31" s="63">
        <f>IF(OR($K31="",$H31=""),"",MIN(MAX(0,IF($O31="WDV",AP31*$P31*MAX(0,(IF($I31="",AQ$3,MIN($I31,AQ$3)))-(MAX($H31,(EDATE(AQ$3,-12)+1)))+1)/(AQ$3-(EDATE(AQ$3,-12)+1)+1),IF($N31=0,0,$Q31/$N31*MAX(0,(IF($I31="",AQ$3,MIN($I31,AQ$3)))-(MAX($H31,(EDATE(AQ$3,-12)+1)))+1)/(AQ$3-(EDATE(AQ$3,-12)+1)+1)))*$W31),MAX(0,AP31-$M31)))</f>
        <v/>
      </c>
      <c r="AR31" s="64">
        <f>IF($K31="","",IF(AND($I31&lt;&gt;"",$I31&lt;=AQ$3),0,AP31-AQ31))</f>
        <v/>
      </c>
      <c r="AS31" s="63">
        <f>IF(OR($K31="",$H31=""),"",MIN(MAX(0,IF($O31="WDV",AR31*$P31*MAX(0,(IF($I31="",AS$3,MIN($I31,AS$3)))-(MAX($H31,(EDATE(AS$3,-12)+1)))+1)/(AS$3-(EDATE(AS$3,-12)+1)+1),IF($N31=0,0,$Q31/$N31*MAX(0,(IF($I31="",AS$3,MIN($I31,AS$3)))-(MAX($H31,(EDATE(AS$3,-12)+1)))+1)/(AS$3-(EDATE(AS$3,-12)+1)+1)))*$W31),MAX(0,AR31-$M31)))</f>
        <v/>
      </c>
      <c r="AT31" s="64">
        <f>IF($K31="","",IF(AND($I31&lt;&gt;"",$I31&lt;=AS$3),0,AR31-AS31))</f>
        <v/>
      </c>
      <c r="AU31" s="63">
        <f>IF(OR($K31="",$H31=""),"",MIN(MAX(0,IF($O31="WDV",AT31*$P31*MAX(0,(IF($I31="",AU$3,MIN($I31,AU$3)))-(MAX($H31,(EDATE(AU$3,-12)+1)))+1)/(AU$3-(EDATE(AU$3,-12)+1)+1),IF($N31=0,0,$Q31/$N31*MAX(0,(IF($I31="",AU$3,MIN($I31,AU$3)))-(MAX($H31,(EDATE(AU$3,-12)+1)))+1)/(AU$3-(EDATE(AU$3,-12)+1)+1)))*$W31),MAX(0,AT31-$M31)))</f>
        <v/>
      </c>
      <c r="AV31" s="64">
        <f>IF($K31="","",IF(AND($I31&lt;&gt;"",$I31&lt;=AU$3),0,AT31-AU31))</f>
        <v/>
      </c>
      <c r="AW31" s="63">
        <f>IF(OR($K31="",$H31=""),"",MIN(MAX(0,IF($O31="WDV",AV31*$P31*MAX(0,(IF($I31="",AW$3,MIN($I31,AW$3)))-(MAX($H31,(EDATE(AW$3,-12)+1)))+1)/(AW$3-(EDATE(AW$3,-12)+1)+1),IF($N31=0,0,$Q31/$N31*MAX(0,(IF($I31="",AW$3,MIN($I31,AW$3)))-(MAX($H31,(EDATE(AW$3,-12)+1)))+1)/(AW$3-(EDATE(AW$3,-12)+1)+1)))*$W31),MAX(0,AV31-$M31)))</f>
        <v/>
      </c>
      <c r="AX31" s="64">
        <f>IF($K31="","",IF(AND($I31&lt;&gt;"",$I31&lt;=AW$3),0,AV31-AW31))</f>
        <v/>
      </c>
      <c r="AY31" s="63">
        <f>IF(OR($K31="",$H31=""),"",MIN(MAX(0,IF($O31="WDV",AX31*$P31*MAX(0,(IF($I31="",AY$3,MIN($I31,AY$3)))-(MAX($H31,(EDATE(AY$3,-12)+1)))+1)/(AY$3-(EDATE(AY$3,-12)+1)+1),IF($N31=0,0,$Q31/$N31*MAX(0,(IF($I31="",AY$3,MIN($I31,AY$3)))-(MAX($H31,(EDATE(AY$3,-12)+1)))+1)/(AY$3-(EDATE(AY$3,-12)+1)+1)))*$W31),MAX(0,AX31-$M31)))</f>
        <v/>
      </c>
      <c r="AZ31" s="64">
        <f>IF($K31="","",IF(AND($I31&lt;&gt;"",$I31&lt;=AY$3),0,AX31-AY31))</f>
        <v/>
      </c>
      <c r="BA31" s="63">
        <f>IF(OR($K31="",$H31=""),"",MIN(MAX(0,IF($O31="WDV",AZ31*$P31*MAX(0,(IF($I31="",BA$3,MIN($I31,BA$3)))-(MAX($H31,(EDATE(BA$3,-12)+1)))+1)/(BA$3-(EDATE(BA$3,-12)+1)+1),IF($N31=0,0,$Q31/$N31*MAX(0,(IF($I31="",BA$3,MIN($I31,BA$3)))-(MAX($H31,(EDATE(BA$3,-12)+1)))+1)/(BA$3-(EDATE(BA$3,-12)+1)+1)))*$W31),MAX(0,AZ31-$M31)))</f>
        <v/>
      </c>
      <c r="BB31" s="64">
        <f>IF($K31="","",IF(AND($I31&lt;&gt;"",$I31&lt;=BA$3),0,AZ31-BA31))</f>
        <v/>
      </c>
      <c r="BC31" s="63">
        <f>IF(OR($K31="",$H31=""),"",MIN(MAX(0,IF($O31="WDV",BB31*$P31*MAX(0,(IF($I31="",BC$3,MIN($I31,BC$3)))-(MAX($H31,(EDATE(BC$3,-12)+1)))+1)/(BC$3-(EDATE(BC$3,-12)+1)+1),IF($N31=0,0,$Q31/$N31*MAX(0,(IF($I31="",BC$3,MIN($I31,BC$3)))-(MAX($H31,(EDATE(BC$3,-12)+1)))+1)/(BC$3-(EDATE(BC$3,-12)+1)+1)))*$W31),MAX(0,BB31-$M31)))</f>
        <v/>
      </c>
      <c r="BD31" s="64">
        <f>IF($K31="","",IF(AND($I31&lt;&gt;"",$I31&lt;=BC$3),0,BB31-BC31))</f>
        <v/>
      </c>
      <c r="BE31" s="63">
        <f>IF(OR($K31="",$H31=""),"",MIN(MAX(0,IF($O31="WDV",BD31*$P31*MAX(0,(IF($I31="",BE$3,MIN($I31,BE$3)))-(MAX($H31,(EDATE(BE$3,-12)+1)))+1)/(BE$3-(EDATE(BE$3,-12)+1)+1),IF($N31=0,0,$Q31/$N31*MAX(0,(IF($I31="",BE$3,MIN($I31,BE$3)))-(MAX($H31,(EDATE(BE$3,-12)+1)))+1)/(BE$3-(EDATE(BE$3,-12)+1)+1)))*$W31),MAX(0,BD31-$M31)))</f>
        <v/>
      </c>
      <c r="BF31" s="64">
        <f>IF($K31="","",IF(AND($I31&lt;&gt;"",$I31&lt;=BE$3),0,BD31-BE31))</f>
        <v/>
      </c>
    </row>
    <row r="32">
      <c r="A32" s="65" t="n"/>
      <c r="B32" s="66" t="n"/>
      <c r="C32" s="66" t="n"/>
      <c r="D32" s="66" t="n"/>
      <c r="E32" s="67" t="n"/>
      <c r="F32" s="68" t="n"/>
      <c r="G32" s="69" t="n"/>
      <c r="H32" s="69" t="n"/>
      <c r="I32" s="70" t="n"/>
      <c r="J32" s="71" t="n"/>
      <c r="K32" s="72" t="n"/>
      <c r="L32" s="73">
        <f>DefaultResidual</f>
        <v/>
      </c>
      <c r="M32" s="74">
        <f>IF($K32="","",$K32*$L32)</f>
        <v/>
      </c>
      <c r="N32" s="22">
        <f>IF($C32="","",IFERROR(VLOOKUP($C32,ScheduleIITable,3,FALSE),"#N/A"))</f>
        <v/>
      </c>
      <c r="O32" s="75">
        <f>IF($K32="","",GlobalMethod)</f>
        <v/>
      </c>
      <c r="P32" s="23">
        <f>IF(OR($K32="",$N32="",$N32=0,$M32=0),0,1-($M32/$K32)^(1/$N32))</f>
        <v/>
      </c>
      <c r="Q32" s="74">
        <f>IF($K32="","",$K32-$M32)</f>
        <v/>
      </c>
      <c r="R32" s="76">
        <f>IF($K32="","",INDEX($AA32:$BF32,1,MATCH(ReportingFYEnd,$AA$3:$BF$3,0)))</f>
        <v/>
      </c>
      <c r="S32" s="74">
        <f>IF($K32="","",IF($U32="Disposed",0,$K32-$T32))</f>
        <v/>
      </c>
      <c r="T32" s="77">
        <f>IF($K32="","",INDEX($AA32:$BF32,1,MATCH(ReportingFYEnd,$AA$3:$BF$3,0)+1))</f>
        <v/>
      </c>
      <c r="U32" s="78">
        <f>IF($K32="","",IF(AND($I32&lt;&gt;"",$I32&lt;=ReportingFYEnd),"Disposed",IF(OR($H32="",$H32&gt;ReportingFYEnd),"Not Yet in Use","Active")))</f>
        <v/>
      </c>
      <c r="V32" s="79" t="n"/>
      <c r="W32" s="80">
        <f>IF($V32="Double",1.5,IF($V32="Triple",2,1))</f>
        <v/>
      </c>
      <c r="X32" s="69" t="n"/>
      <c r="Y32" s="78">
        <f>IF($K32="","",IF(OR(ISNUMBER(SEARCH("Build",$C32)),ISNUMBER(SEARCH("Lease",$C32))),"Yes","NA"))</f>
        <v/>
      </c>
      <c r="Z32" s="21" t="n"/>
      <c r="AA32" s="81">
        <f>IF(OR($K32="",$H32=""),"",MIN(MAX(0,IF($O32="WDV",$K32*$P32*MAX(0,(IF($I32="",AA$3,MIN($I32,AA$3)))-(MAX($H32,(EDATE(AA$3,-12)+1)))+1)/(AA$3-(EDATE(AA$3,-12)+1)+1),IF($N32=0,0,$Q32/$N32*MAX(0,(IF($I32="",AA$3,MIN($I32,AA$3)))-(MAX($H32,(EDATE(AA$3,-12)+1)))+1)/(AA$3-(EDATE(AA$3,-12)+1)+1)))*$W32),MAX(0,$K32-$M32)))</f>
        <v/>
      </c>
      <c r="AB32" s="81">
        <f>IF($K32="","",IF(AND($I32&lt;&gt;"",$I32&lt;=AA$3),0,$K32-AA32))</f>
        <v/>
      </c>
      <c r="AC32" s="81">
        <f>IF(OR($K32="",$H32=""),"",MIN(MAX(0,IF($O32="WDV",AB32*$P32*MAX(0,(IF($I32="",AC$3,MIN($I32,AC$3)))-(MAX($H32,(EDATE(AC$3,-12)+1)))+1)/(AC$3-(EDATE(AC$3,-12)+1)+1),IF($N32=0,0,$Q32/$N32*MAX(0,(IF($I32="",AC$3,MIN($I32,AC$3)))-(MAX($H32,(EDATE(AC$3,-12)+1)))+1)/(AC$3-(EDATE(AC$3,-12)+1)+1)))*$W32),MAX(0,AB32-$M32)))</f>
        <v/>
      </c>
      <c r="AD32" s="81">
        <f>IF($K32="","",IF(AND($I32&lt;&gt;"",$I32&lt;=AC$3),0,AB32-AC32))</f>
        <v/>
      </c>
      <c r="AE32" s="81">
        <f>IF(OR($K32="",$H32=""),"",MIN(MAX(0,IF($O32="WDV",AD32*$P32*MAX(0,(IF($I32="",AE$3,MIN($I32,AE$3)))-(MAX($H32,(EDATE(AE$3,-12)+1)))+1)/(AE$3-(EDATE(AE$3,-12)+1)+1),IF($N32=0,0,$Q32/$N32*MAX(0,(IF($I32="",AE$3,MIN($I32,AE$3)))-(MAX($H32,(EDATE(AE$3,-12)+1)))+1)/(AE$3-(EDATE(AE$3,-12)+1)+1)))*$W32),MAX(0,AD32-$M32)))</f>
        <v/>
      </c>
      <c r="AF32" s="81">
        <f>IF($K32="","",IF(AND($I32&lt;&gt;"",$I32&lt;=AE$3),0,AD32-AE32))</f>
        <v/>
      </c>
      <c r="AG32" s="81">
        <f>IF(OR($K32="",$H32=""),"",MIN(MAX(0,IF($O32="WDV",AF32*$P32*MAX(0,(IF($I32="",AG$3,MIN($I32,AG$3)))-(MAX($H32,(EDATE(AG$3,-12)+1)))+1)/(AG$3-(EDATE(AG$3,-12)+1)+1),IF($N32=0,0,$Q32/$N32*MAX(0,(IF($I32="",AG$3,MIN($I32,AG$3)))-(MAX($H32,(EDATE(AG$3,-12)+1)))+1)/(AG$3-(EDATE(AG$3,-12)+1)+1)))*$W32),MAX(0,AF32-$M32)))</f>
        <v/>
      </c>
      <c r="AH32" s="81">
        <f>IF($K32="","",IF(AND($I32&lt;&gt;"",$I32&lt;=AG$3),0,AF32-AG32))</f>
        <v/>
      </c>
      <c r="AI32" s="81">
        <f>IF(OR($K32="",$H32=""),"",MIN(MAX(0,IF($O32="WDV",AH32*$P32*MAX(0,(IF($I32="",AI$3,MIN($I32,AI$3)))-(MAX($H32,(EDATE(AI$3,-12)+1)))+1)/(AI$3-(EDATE(AI$3,-12)+1)+1),IF($N32=0,0,$Q32/$N32*MAX(0,(IF($I32="",AI$3,MIN($I32,AI$3)))-(MAX($H32,(EDATE(AI$3,-12)+1)))+1)/(AI$3-(EDATE(AI$3,-12)+1)+1)))*$W32),MAX(0,AH32-$M32)))</f>
        <v/>
      </c>
      <c r="AJ32" s="81">
        <f>IF($K32="","",IF(AND($I32&lt;&gt;"",$I32&lt;=AI$3),0,AH32-AI32))</f>
        <v/>
      </c>
      <c r="AK32" s="81">
        <f>IF(OR($K32="",$H32=""),"",MIN(MAX(0,IF($O32="WDV",AJ32*$P32*MAX(0,(IF($I32="",AK$3,MIN($I32,AK$3)))-(MAX($H32,(EDATE(AK$3,-12)+1)))+1)/(AK$3-(EDATE(AK$3,-12)+1)+1),IF($N32=0,0,$Q32/$N32*MAX(0,(IF($I32="",AK$3,MIN($I32,AK$3)))-(MAX($H32,(EDATE(AK$3,-12)+1)))+1)/(AK$3-(EDATE(AK$3,-12)+1)+1)))*$W32),MAX(0,AJ32-$M32)))</f>
        <v/>
      </c>
      <c r="AL32" s="81">
        <f>IF($K32="","",IF(AND($I32&lt;&gt;"",$I32&lt;=AK$3),0,AJ32-AK32))</f>
        <v/>
      </c>
      <c r="AM32" s="81">
        <f>IF(OR($K32="",$H32=""),"",MIN(MAX(0,IF($O32="WDV",AL32*$P32*MAX(0,(IF($I32="",AM$3,MIN($I32,AM$3)))-(MAX($H32,(EDATE(AM$3,-12)+1)))+1)/(AM$3-(EDATE(AM$3,-12)+1)+1),IF($N32=0,0,$Q32/$N32*MAX(0,(IF($I32="",AM$3,MIN($I32,AM$3)))-(MAX($H32,(EDATE(AM$3,-12)+1)))+1)/(AM$3-(EDATE(AM$3,-12)+1)+1)))*$W32),MAX(0,AL32-$M32)))</f>
        <v/>
      </c>
      <c r="AN32" s="81">
        <f>IF($K32="","",IF(AND($I32&lt;&gt;"",$I32&lt;=AM$3),0,AL32-AM32))</f>
        <v/>
      </c>
      <c r="AO32" s="81">
        <f>IF(OR($K32="",$H32=""),"",MIN(MAX(0,IF($O32="WDV",AN32*$P32*MAX(0,(IF($I32="",AO$3,MIN($I32,AO$3)))-(MAX($H32,(EDATE(AO$3,-12)+1)))+1)/(AO$3-(EDATE(AO$3,-12)+1)+1),IF($N32=0,0,$Q32/$N32*MAX(0,(IF($I32="",AO$3,MIN($I32,AO$3)))-(MAX($H32,(EDATE(AO$3,-12)+1)))+1)/(AO$3-(EDATE(AO$3,-12)+1)+1)))*$W32),MAX(0,AN32-$M32)))</f>
        <v/>
      </c>
      <c r="AP32" s="81">
        <f>IF($K32="","",IF(AND($I32&lt;&gt;"",$I32&lt;=AO$3),0,AN32-AO32))</f>
        <v/>
      </c>
      <c r="AQ32" s="81">
        <f>IF(OR($K32="",$H32=""),"",MIN(MAX(0,IF($O32="WDV",AP32*$P32*MAX(0,(IF($I32="",AQ$3,MIN($I32,AQ$3)))-(MAX($H32,(EDATE(AQ$3,-12)+1)))+1)/(AQ$3-(EDATE(AQ$3,-12)+1)+1),IF($N32=0,0,$Q32/$N32*MAX(0,(IF($I32="",AQ$3,MIN($I32,AQ$3)))-(MAX($H32,(EDATE(AQ$3,-12)+1)))+1)/(AQ$3-(EDATE(AQ$3,-12)+1)+1)))*$W32),MAX(0,AP32-$M32)))</f>
        <v/>
      </c>
      <c r="AR32" s="81">
        <f>IF($K32="","",IF(AND($I32&lt;&gt;"",$I32&lt;=AQ$3),0,AP32-AQ32))</f>
        <v/>
      </c>
      <c r="AS32" s="81">
        <f>IF(OR($K32="",$H32=""),"",MIN(MAX(0,IF($O32="WDV",AR32*$P32*MAX(0,(IF($I32="",AS$3,MIN($I32,AS$3)))-(MAX($H32,(EDATE(AS$3,-12)+1)))+1)/(AS$3-(EDATE(AS$3,-12)+1)+1),IF($N32=0,0,$Q32/$N32*MAX(0,(IF($I32="",AS$3,MIN($I32,AS$3)))-(MAX($H32,(EDATE(AS$3,-12)+1)))+1)/(AS$3-(EDATE(AS$3,-12)+1)+1)))*$W32),MAX(0,AR32-$M32)))</f>
        <v/>
      </c>
      <c r="AT32" s="81">
        <f>IF($K32="","",IF(AND($I32&lt;&gt;"",$I32&lt;=AS$3),0,AR32-AS32))</f>
        <v/>
      </c>
      <c r="AU32" s="81">
        <f>IF(OR($K32="",$H32=""),"",MIN(MAX(0,IF($O32="WDV",AT32*$P32*MAX(0,(IF($I32="",AU$3,MIN($I32,AU$3)))-(MAX($H32,(EDATE(AU$3,-12)+1)))+1)/(AU$3-(EDATE(AU$3,-12)+1)+1),IF($N32=0,0,$Q32/$N32*MAX(0,(IF($I32="",AU$3,MIN($I32,AU$3)))-(MAX($H32,(EDATE(AU$3,-12)+1)))+1)/(AU$3-(EDATE(AU$3,-12)+1)+1)))*$W32),MAX(0,AT32-$M32)))</f>
        <v/>
      </c>
      <c r="AV32" s="81">
        <f>IF($K32="","",IF(AND($I32&lt;&gt;"",$I32&lt;=AU$3),0,AT32-AU32))</f>
        <v/>
      </c>
      <c r="AW32" s="81">
        <f>IF(OR($K32="",$H32=""),"",MIN(MAX(0,IF($O32="WDV",AV32*$P32*MAX(0,(IF($I32="",AW$3,MIN($I32,AW$3)))-(MAX($H32,(EDATE(AW$3,-12)+1)))+1)/(AW$3-(EDATE(AW$3,-12)+1)+1),IF($N32=0,0,$Q32/$N32*MAX(0,(IF($I32="",AW$3,MIN($I32,AW$3)))-(MAX($H32,(EDATE(AW$3,-12)+1)))+1)/(AW$3-(EDATE(AW$3,-12)+1)+1)))*$W32),MAX(0,AV32-$M32)))</f>
        <v/>
      </c>
      <c r="AX32" s="81">
        <f>IF($K32="","",IF(AND($I32&lt;&gt;"",$I32&lt;=AW$3),0,AV32-AW32))</f>
        <v/>
      </c>
      <c r="AY32" s="81">
        <f>IF(OR($K32="",$H32=""),"",MIN(MAX(0,IF($O32="WDV",AX32*$P32*MAX(0,(IF($I32="",AY$3,MIN($I32,AY$3)))-(MAX($H32,(EDATE(AY$3,-12)+1)))+1)/(AY$3-(EDATE(AY$3,-12)+1)+1),IF($N32=0,0,$Q32/$N32*MAX(0,(IF($I32="",AY$3,MIN($I32,AY$3)))-(MAX($H32,(EDATE(AY$3,-12)+1)))+1)/(AY$3-(EDATE(AY$3,-12)+1)+1)))*$W32),MAX(0,AX32-$M32)))</f>
        <v/>
      </c>
      <c r="AZ32" s="81">
        <f>IF($K32="","",IF(AND($I32&lt;&gt;"",$I32&lt;=AY$3),0,AX32-AY32))</f>
        <v/>
      </c>
      <c r="BA32" s="81">
        <f>IF(OR($K32="",$H32=""),"",MIN(MAX(0,IF($O32="WDV",AZ32*$P32*MAX(0,(IF($I32="",BA$3,MIN($I32,BA$3)))-(MAX($H32,(EDATE(BA$3,-12)+1)))+1)/(BA$3-(EDATE(BA$3,-12)+1)+1),IF($N32=0,0,$Q32/$N32*MAX(0,(IF($I32="",BA$3,MIN($I32,BA$3)))-(MAX($H32,(EDATE(BA$3,-12)+1)))+1)/(BA$3-(EDATE(BA$3,-12)+1)+1)))*$W32),MAX(0,AZ32-$M32)))</f>
        <v/>
      </c>
      <c r="BB32" s="81">
        <f>IF($K32="","",IF(AND($I32&lt;&gt;"",$I32&lt;=BA$3),0,AZ32-BA32))</f>
        <v/>
      </c>
      <c r="BC32" s="81">
        <f>IF(OR($K32="",$H32=""),"",MIN(MAX(0,IF($O32="WDV",BB32*$P32*MAX(0,(IF($I32="",BC$3,MIN($I32,BC$3)))-(MAX($H32,(EDATE(BC$3,-12)+1)))+1)/(BC$3-(EDATE(BC$3,-12)+1)+1),IF($N32=0,0,$Q32/$N32*MAX(0,(IF($I32="",BC$3,MIN($I32,BC$3)))-(MAX($H32,(EDATE(BC$3,-12)+1)))+1)/(BC$3-(EDATE(BC$3,-12)+1)+1)))*$W32),MAX(0,BB32-$M32)))</f>
        <v/>
      </c>
      <c r="BD32" s="81">
        <f>IF($K32="","",IF(AND($I32&lt;&gt;"",$I32&lt;=BC$3),0,BB32-BC32))</f>
        <v/>
      </c>
      <c r="BE32" s="81">
        <f>IF(OR($K32="",$H32=""),"",MIN(MAX(0,IF($O32="WDV",BD32*$P32*MAX(0,(IF($I32="",BE$3,MIN($I32,BE$3)))-(MAX($H32,(EDATE(BE$3,-12)+1)))+1)/(BE$3-(EDATE(BE$3,-12)+1)+1),IF($N32=0,0,$Q32/$N32*MAX(0,(IF($I32="",BE$3,MIN($I32,BE$3)))-(MAX($H32,(EDATE(BE$3,-12)+1)))+1)/(BE$3-(EDATE(BE$3,-12)+1)+1)))*$W32),MAX(0,BD32-$M32)))</f>
        <v/>
      </c>
      <c r="BF32" s="81">
        <f>IF($K32="","",IF(AND($I32&lt;&gt;"",$I32&lt;=BE$3),0,BD32-BE32))</f>
        <v/>
      </c>
    </row>
    <row r="33">
      <c r="A33" s="44" t="n"/>
      <c r="B33" s="45" t="n"/>
      <c r="C33" s="45" t="n"/>
      <c r="D33" s="45" t="n"/>
      <c r="E33" s="46" t="n"/>
      <c r="F33" s="47" t="n"/>
      <c r="G33" s="48" t="n"/>
      <c r="H33" s="48" t="n"/>
      <c r="I33" s="49" t="n"/>
      <c r="J33" s="50" t="n"/>
      <c r="K33" s="51" t="n"/>
      <c r="L33" s="52">
        <f>DefaultResidual</f>
        <v/>
      </c>
      <c r="M33" s="53">
        <f>IF($K33="","",$K33*$L33)</f>
        <v/>
      </c>
      <c r="N33" s="54">
        <f>IF($C33="","",IFERROR(VLOOKUP($C33,ScheduleIITable,3,FALSE),"#N/A"))</f>
        <v/>
      </c>
      <c r="O33" s="55">
        <f>IF($K33="","",GlobalMethod)</f>
        <v/>
      </c>
      <c r="P33" s="56">
        <f>IF(OR($K33="",$N33="",$N33=0,$M33=0),0,1-($M33/$K33)^(1/$N33))</f>
        <v/>
      </c>
      <c r="Q33" s="53">
        <f>IF($K33="","",$K33-$M33)</f>
        <v/>
      </c>
      <c r="R33" s="57">
        <f>IF($K33="","",INDEX($AA33:$BF33,1,MATCH(ReportingFYEnd,$AA$3:$BF$3,0)))</f>
        <v/>
      </c>
      <c r="S33" s="53">
        <f>IF($K33="","",IF($U33="Disposed",0,$K33-$T33))</f>
        <v/>
      </c>
      <c r="T33" s="58">
        <f>IF($K33="","",INDEX($AA33:$BF33,1,MATCH(ReportingFYEnd,$AA$3:$BF$3,0)+1))</f>
        <v/>
      </c>
      <c r="U33" s="59">
        <f>IF($K33="","",IF(AND($I33&lt;&gt;"",$I33&lt;=ReportingFYEnd),"Disposed",IF(OR($H33="",$H33&gt;ReportingFYEnd),"Not Yet in Use","Active")))</f>
        <v/>
      </c>
      <c r="V33" s="60" t="n"/>
      <c r="W33" s="61">
        <f>IF($V33="Double",1.5,IF($V33="Triple",2,1))</f>
        <v/>
      </c>
      <c r="X33" s="48" t="n"/>
      <c r="Y33" s="59">
        <f>IF($K33="","",IF(OR(ISNUMBER(SEARCH("Build",$C33)),ISNUMBER(SEARCH("Lease",$C33))),"Yes","NA"))</f>
        <v/>
      </c>
      <c r="Z33" s="62" t="n"/>
      <c r="AA33" s="63">
        <f>IF(OR($K33="",$H33=""),"",MIN(MAX(0,IF($O33="WDV",$K33*$P33*MAX(0,(IF($I33="",AA$3,MIN($I33,AA$3)))-(MAX($H33,(EDATE(AA$3,-12)+1)))+1)/(AA$3-(EDATE(AA$3,-12)+1)+1),IF($N33=0,0,$Q33/$N33*MAX(0,(IF($I33="",AA$3,MIN($I33,AA$3)))-(MAX($H33,(EDATE(AA$3,-12)+1)))+1)/(AA$3-(EDATE(AA$3,-12)+1)+1)))*$W33),MAX(0,$K33-$M33)))</f>
        <v/>
      </c>
      <c r="AB33" s="64">
        <f>IF($K33="","",IF(AND($I33&lt;&gt;"",$I33&lt;=AA$3),0,$K33-AA33))</f>
        <v/>
      </c>
      <c r="AC33" s="63">
        <f>IF(OR($K33="",$H33=""),"",MIN(MAX(0,IF($O33="WDV",AB33*$P33*MAX(0,(IF($I33="",AC$3,MIN($I33,AC$3)))-(MAX($H33,(EDATE(AC$3,-12)+1)))+1)/(AC$3-(EDATE(AC$3,-12)+1)+1),IF($N33=0,0,$Q33/$N33*MAX(0,(IF($I33="",AC$3,MIN($I33,AC$3)))-(MAX($H33,(EDATE(AC$3,-12)+1)))+1)/(AC$3-(EDATE(AC$3,-12)+1)+1)))*$W33),MAX(0,AB33-$M33)))</f>
        <v/>
      </c>
      <c r="AD33" s="64">
        <f>IF($K33="","",IF(AND($I33&lt;&gt;"",$I33&lt;=AC$3),0,AB33-AC33))</f>
        <v/>
      </c>
      <c r="AE33" s="63">
        <f>IF(OR($K33="",$H33=""),"",MIN(MAX(0,IF($O33="WDV",AD33*$P33*MAX(0,(IF($I33="",AE$3,MIN($I33,AE$3)))-(MAX($H33,(EDATE(AE$3,-12)+1)))+1)/(AE$3-(EDATE(AE$3,-12)+1)+1),IF($N33=0,0,$Q33/$N33*MAX(0,(IF($I33="",AE$3,MIN($I33,AE$3)))-(MAX($H33,(EDATE(AE$3,-12)+1)))+1)/(AE$3-(EDATE(AE$3,-12)+1)+1)))*$W33),MAX(0,AD33-$M33)))</f>
        <v/>
      </c>
      <c r="AF33" s="64">
        <f>IF($K33="","",IF(AND($I33&lt;&gt;"",$I33&lt;=AE$3),0,AD33-AE33))</f>
        <v/>
      </c>
      <c r="AG33" s="63">
        <f>IF(OR($K33="",$H33=""),"",MIN(MAX(0,IF($O33="WDV",AF33*$P33*MAX(0,(IF($I33="",AG$3,MIN($I33,AG$3)))-(MAX($H33,(EDATE(AG$3,-12)+1)))+1)/(AG$3-(EDATE(AG$3,-12)+1)+1),IF($N33=0,0,$Q33/$N33*MAX(0,(IF($I33="",AG$3,MIN($I33,AG$3)))-(MAX($H33,(EDATE(AG$3,-12)+1)))+1)/(AG$3-(EDATE(AG$3,-12)+1)+1)))*$W33),MAX(0,AF33-$M33)))</f>
        <v/>
      </c>
      <c r="AH33" s="64">
        <f>IF($K33="","",IF(AND($I33&lt;&gt;"",$I33&lt;=AG$3),0,AF33-AG33))</f>
        <v/>
      </c>
      <c r="AI33" s="63">
        <f>IF(OR($K33="",$H33=""),"",MIN(MAX(0,IF($O33="WDV",AH33*$P33*MAX(0,(IF($I33="",AI$3,MIN($I33,AI$3)))-(MAX($H33,(EDATE(AI$3,-12)+1)))+1)/(AI$3-(EDATE(AI$3,-12)+1)+1),IF($N33=0,0,$Q33/$N33*MAX(0,(IF($I33="",AI$3,MIN($I33,AI$3)))-(MAX($H33,(EDATE(AI$3,-12)+1)))+1)/(AI$3-(EDATE(AI$3,-12)+1)+1)))*$W33),MAX(0,AH33-$M33)))</f>
        <v/>
      </c>
      <c r="AJ33" s="64">
        <f>IF($K33="","",IF(AND($I33&lt;&gt;"",$I33&lt;=AI$3),0,AH33-AI33))</f>
        <v/>
      </c>
      <c r="AK33" s="63">
        <f>IF(OR($K33="",$H33=""),"",MIN(MAX(0,IF($O33="WDV",AJ33*$P33*MAX(0,(IF($I33="",AK$3,MIN($I33,AK$3)))-(MAX($H33,(EDATE(AK$3,-12)+1)))+1)/(AK$3-(EDATE(AK$3,-12)+1)+1),IF($N33=0,0,$Q33/$N33*MAX(0,(IF($I33="",AK$3,MIN($I33,AK$3)))-(MAX($H33,(EDATE(AK$3,-12)+1)))+1)/(AK$3-(EDATE(AK$3,-12)+1)+1)))*$W33),MAX(0,AJ33-$M33)))</f>
        <v/>
      </c>
      <c r="AL33" s="64">
        <f>IF($K33="","",IF(AND($I33&lt;&gt;"",$I33&lt;=AK$3),0,AJ33-AK33))</f>
        <v/>
      </c>
      <c r="AM33" s="63">
        <f>IF(OR($K33="",$H33=""),"",MIN(MAX(0,IF($O33="WDV",AL33*$P33*MAX(0,(IF($I33="",AM$3,MIN($I33,AM$3)))-(MAX($H33,(EDATE(AM$3,-12)+1)))+1)/(AM$3-(EDATE(AM$3,-12)+1)+1),IF($N33=0,0,$Q33/$N33*MAX(0,(IF($I33="",AM$3,MIN($I33,AM$3)))-(MAX($H33,(EDATE(AM$3,-12)+1)))+1)/(AM$3-(EDATE(AM$3,-12)+1)+1)))*$W33),MAX(0,AL33-$M33)))</f>
        <v/>
      </c>
      <c r="AN33" s="64">
        <f>IF($K33="","",IF(AND($I33&lt;&gt;"",$I33&lt;=AM$3),0,AL33-AM33))</f>
        <v/>
      </c>
      <c r="AO33" s="63">
        <f>IF(OR($K33="",$H33=""),"",MIN(MAX(0,IF($O33="WDV",AN33*$P33*MAX(0,(IF($I33="",AO$3,MIN($I33,AO$3)))-(MAX($H33,(EDATE(AO$3,-12)+1)))+1)/(AO$3-(EDATE(AO$3,-12)+1)+1),IF($N33=0,0,$Q33/$N33*MAX(0,(IF($I33="",AO$3,MIN($I33,AO$3)))-(MAX($H33,(EDATE(AO$3,-12)+1)))+1)/(AO$3-(EDATE(AO$3,-12)+1)+1)))*$W33),MAX(0,AN33-$M33)))</f>
        <v/>
      </c>
      <c r="AP33" s="64">
        <f>IF($K33="","",IF(AND($I33&lt;&gt;"",$I33&lt;=AO$3),0,AN33-AO33))</f>
        <v/>
      </c>
      <c r="AQ33" s="63">
        <f>IF(OR($K33="",$H33=""),"",MIN(MAX(0,IF($O33="WDV",AP33*$P33*MAX(0,(IF($I33="",AQ$3,MIN($I33,AQ$3)))-(MAX($H33,(EDATE(AQ$3,-12)+1)))+1)/(AQ$3-(EDATE(AQ$3,-12)+1)+1),IF($N33=0,0,$Q33/$N33*MAX(0,(IF($I33="",AQ$3,MIN($I33,AQ$3)))-(MAX($H33,(EDATE(AQ$3,-12)+1)))+1)/(AQ$3-(EDATE(AQ$3,-12)+1)+1)))*$W33),MAX(0,AP33-$M33)))</f>
        <v/>
      </c>
      <c r="AR33" s="64">
        <f>IF($K33="","",IF(AND($I33&lt;&gt;"",$I33&lt;=AQ$3),0,AP33-AQ33))</f>
        <v/>
      </c>
      <c r="AS33" s="63">
        <f>IF(OR($K33="",$H33=""),"",MIN(MAX(0,IF($O33="WDV",AR33*$P33*MAX(0,(IF($I33="",AS$3,MIN($I33,AS$3)))-(MAX($H33,(EDATE(AS$3,-12)+1)))+1)/(AS$3-(EDATE(AS$3,-12)+1)+1),IF($N33=0,0,$Q33/$N33*MAX(0,(IF($I33="",AS$3,MIN($I33,AS$3)))-(MAX($H33,(EDATE(AS$3,-12)+1)))+1)/(AS$3-(EDATE(AS$3,-12)+1)+1)))*$W33),MAX(0,AR33-$M33)))</f>
        <v/>
      </c>
      <c r="AT33" s="64">
        <f>IF($K33="","",IF(AND($I33&lt;&gt;"",$I33&lt;=AS$3),0,AR33-AS33))</f>
        <v/>
      </c>
      <c r="AU33" s="63">
        <f>IF(OR($K33="",$H33=""),"",MIN(MAX(0,IF($O33="WDV",AT33*$P33*MAX(0,(IF($I33="",AU$3,MIN($I33,AU$3)))-(MAX($H33,(EDATE(AU$3,-12)+1)))+1)/(AU$3-(EDATE(AU$3,-12)+1)+1),IF($N33=0,0,$Q33/$N33*MAX(0,(IF($I33="",AU$3,MIN($I33,AU$3)))-(MAX($H33,(EDATE(AU$3,-12)+1)))+1)/(AU$3-(EDATE(AU$3,-12)+1)+1)))*$W33),MAX(0,AT33-$M33)))</f>
        <v/>
      </c>
      <c r="AV33" s="64">
        <f>IF($K33="","",IF(AND($I33&lt;&gt;"",$I33&lt;=AU$3),0,AT33-AU33))</f>
        <v/>
      </c>
      <c r="AW33" s="63">
        <f>IF(OR($K33="",$H33=""),"",MIN(MAX(0,IF($O33="WDV",AV33*$P33*MAX(0,(IF($I33="",AW$3,MIN($I33,AW$3)))-(MAX($H33,(EDATE(AW$3,-12)+1)))+1)/(AW$3-(EDATE(AW$3,-12)+1)+1),IF($N33=0,0,$Q33/$N33*MAX(0,(IF($I33="",AW$3,MIN($I33,AW$3)))-(MAX($H33,(EDATE(AW$3,-12)+1)))+1)/(AW$3-(EDATE(AW$3,-12)+1)+1)))*$W33),MAX(0,AV33-$M33)))</f>
        <v/>
      </c>
      <c r="AX33" s="64">
        <f>IF($K33="","",IF(AND($I33&lt;&gt;"",$I33&lt;=AW$3),0,AV33-AW33))</f>
        <v/>
      </c>
      <c r="AY33" s="63">
        <f>IF(OR($K33="",$H33=""),"",MIN(MAX(0,IF($O33="WDV",AX33*$P33*MAX(0,(IF($I33="",AY$3,MIN($I33,AY$3)))-(MAX($H33,(EDATE(AY$3,-12)+1)))+1)/(AY$3-(EDATE(AY$3,-12)+1)+1),IF($N33=0,0,$Q33/$N33*MAX(0,(IF($I33="",AY$3,MIN($I33,AY$3)))-(MAX($H33,(EDATE(AY$3,-12)+1)))+1)/(AY$3-(EDATE(AY$3,-12)+1)+1)))*$W33),MAX(0,AX33-$M33)))</f>
        <v/>
      </c>
      <c r="AZ33" s="64">
        <f>IF($K33="","",IF(AND($I33&lt;&gt;"",$I33&lt;=AY$3),0,AX33-AY33))</f>
        <v/>
      </c>
      <c r="BA33" s="63">
        <f>IF(OR($K33="",$H33=""),"",MIN(MAX(0,IF($O33="WDV",AZ33*$P33*MAX(0,(IF($I33="",BA$3,MIN($I33,BA$3)))-(MAX($H33,(EDATE(BA$3,-12)+1)))+1)/(BA$3-(EDATE(BA$3,-12)+1)+1),IF($N33=0,0,$Q33/$N33*MAX(0,(IF($I33="",BA$3,MIN($I33,BA$3)))-(MAX($H33,(EDATE(BA$3,-12)+1)))+1)/(BA$3-(EDATE(BA$3,-12)+1)+1)))*$W33),MAX(0,AZ33-$M33)))</f>
        <v/>
      </c>
      <c r="BB33" s="64">
        <f>IF($K33="","",IF(AND($I33&lt;&gt;"",$I33&lt;=BA$3),0,AZ33-BA33))</f>
        <v/>
      </c>
      <c r="BC33" s="63">
        <f>IF(OR($K33="",$H33=""),"",MIN(MAX(0,IF($O33="WDV",BB33*$P33*MAX(0,(IF($I33="",BC$3,MIN($I33,BC$3)))-(MAX($H33,(EDATE(BC$3,-12)+1)))+1)/(BC$3-(EDATE(BC$3,-12)+1)+1),IF($N33=0,0,$Q33/$N33*MAX(0,(IF($I33="",BC$3,MIN($I33,BC$3)))-(MAX($H33,(EDATE(BC$3,-12)+1)))+1)/(BC$3-(EDATE(BC$3,-12)+1)+1)))*$W33),MAX(0,BB33-$M33)))</f>
        <v/>
      </c>
      <c r="BD33" s="64">
        <f>IF($K33="","",IF(AND($I33&lt;&gt;"",$I33&lt;=BC$3),0,BB33-BC33))</f>
        <v/>
      </c>
      <c r="BE33" s="63">
        <f>IF(OR($K33="",$H33=""),"",MIN(MAX(0,IF($O33="WDV",BD33*$P33*MAX(0,(IF($I33="",BE$3,MIN($I33,BE$3)))-(MAX($H33,(EDATE(BE$3,-12)+1)))+1)/(BE$3-(EDATE(BE$3,-12)+1)+1),IF($N33=0,0,$Q33/$N33*MAX(0,(IF($I33="",BE$3,MIN($I33,BE$3)))-(MAX($H33,(EDATE(BE$3,-12)+1)))+1)/(BE$3-(EDATE(BE$3,-12)+1)+1)))*$W33),MAX(0,BD33-$M33)))</f>
        <v/>
      </c>
      <c r="BF33" s="64">
        <f>IF($K33="","",IF(AND($I33&lt;&gt;"",$I33&lt;=BE$3),0,BD33-BE33))</f>
        <v/>
      </c>
    </row>
    <row r="34">
      <c r="A34" s="65" t="n"/>
      <c r="B34" s="66" t="n"/>
      <c r="C34" s="66" t="n"/>
      <c r="D34" s="66" t="n"/>
      <c r="E34" s="67" t="n"/>
      <c r="F34" s="68" t="n"/>
      <c r="G34" s="69" t="n"/>
      <c r="H34" s="69" t="n"/>
      <c r="I34" s="70" t="n"/>
      <c r="J34" s="71" t="n"/>
      <c r="K34" s="72" t="n"/>
      <c r="L34" s="73">
        <f>DefaultResidual</f>
        <v/>
      </c>
      <c r="M34" s="74">
        <f>IF($K34="","",$K34*$L34)</f>
        <v/>
      </c>
      <c r="N34" s="22">
        <f>IF($C34="","",IFERROR(VLOOKUP($C34,ScheduleIITable,3,FALSE),"#N/A"))</f>
        <v/>
      </c>
      <c r="O34" s="75">
        <f>IF($K34="","",GlobalMethod)</f>
        <v/>
      </c>
      <c r="P34" s="23">
        <f>IF(OR($K34="",$N34="",$N34=0,$M34=0),0,1-($M34/$K34)^(1/$N34))</f>
        <v/>
      </c>
      <c r="Q34" s="74">
        <f>IF($K34="","",$K34-$M34)</f>
        <v/>
      </c>
      <c r="R34" s="76">
        <f>IF($K34="","",INDEX($AA34:$BF34,1,MATCH(ReportingFYEnd,$AA$3:$BF$3,0)))</f>
        <v/>
      </c>
      <c r="S34" s="74">
        <f>IF($K34="","",IF($U34="Disposed",0,$K34-$T34))</f>
        <v/>
      </c>
      <c r="T34" s="77">
        <f>IF($K34="","",INDEX($AA34:$BF34,1,MATCH(ReportingFYEnd,$AA$3:$BF$3,0)+1))</f>
        <v/>
      </c>
      <c r="U34" s="78">
        <f>IF($K34="","",IF(AND($I34&lt;&gt;"",$I34&lt;=ReportingFYEnd),"Disposed",IF(OR($H34="",$H34&gt;ReportingFYEnd),"Not Yet in Use","Active")))</f>
        <v/>
      </c>
      <c r="V34" s="79" t="n"/>
      <c r="W34" s="80">
        <f>IF($V34="Double",1.5,IF($V34="Triple",2,1))</f>
        <v/>
      </c>
      <c r="X34" s="69" t="n"/>
      <c r="Y34" s="78">
        <f>IF($K34="","",IF(OR(ISNUMBER(SEARCH("Build",$C34)),ISNUMBER(SEARCH("Lease",$C34))),"Yes","NA"))</f>
        <v/>
      </c>
      <c r="Z34" s="21" t="n"/>
      <c r="AA34" s="81">
        <f>IF(OR($K34="",$H34=""),"",MIN(MAX(0,IF($O34="WDV",$K34*$P34*MAX(0,(IF($I34="",AA$3,MIN($I34,AA$3)))-(MAX($H34,(EDATE(AA$3,-12)+1)))+1)/(AA$3-(EDATE(AA$3,-12)+1)+1),IF($N34=0,0,$Q34/$N34*MAX(0,(IF($I34="",AA$3,MIN($I34,AA$3)))-(MAX($H34,(EDATE(AA$3,-12)+1)))+1)/(AA$3-(EDATE(AA$3,-12)+1)+1)))*$W34),MAX(0,$K34-$M34)))</f>
        <v/>
      </c>
      <c r="AB34" s="81">
        <f>IF($K34="","",IF(AND($I34&lt;&gt;"",$I34&lt;=AA$3),0,$K34-AA34))</f>
        <v/>
      </c>
      <c r="AC34" s="81">
        <f>IF(OR($K34="",$H34=""),"",MIN(MAX(0,IF($O34="WDV",AB34*$P34*MAX(0,(IF($I34="",AC$3,MIN($I34,AC$3)))-(MAX($H34,(EDATE(AC$3,-12)+1)))+1)/(AC$3-(EDATE(AC$3,-12)+1)+1),IF($N34=0,0,$Q34/$N34*MAX(0,(IF($I34="",AC$3,MIN($I34,AC$3)))-(MAX($H34,(EDATE(AC$3,-12)+1)))+1)/(AC$3-(EDATE(AC$3,-12)+1)+1)))*$W34),MAX(0,AB34-$M34)))</f>
        <v/>
      </c>
      <c r="AD34" s="81">
        <f>IF($K34="","",IF(AND($I34&lt;&gt;"",$I34&lt;=AC$3),0,AB34-AC34))</f>
        <v/>
      </c>
      <c r="AE34" s="81">
        <f>IF(OR($K34="",$H34=""),"",MIN(MAX(0,IF($O34="WDV",AD34*$P34*MAX(0,(IF($I34="",AE$3,MIN($I34,AE$3)))-(MAX($H34,(EDATE(AE$3,-12)+1)))+1)/(AE$3-(EDATE(AE$3,-12)+1)+1),IF($N34=0,0,$Q34/$N34*MAX(0,(IF($I34="",AE$3,MIN($I34,AE$3)))-(MAX($H34,(EDATE(AE$3,-12)+1)))+1)/(AE$3-(EDATE(AE$3,-12)+1)+1)))*$W34),MAX(0,AD34-$M34)))</f>
        <v/>
      </c>
      <c r="AF34" s="81">
        <f>IF($K34="","",IF(AND($I34&lt;&gt;"",$I34&lt;=AE$3),0,AD34-AE34))</f>
        <v/>
      </c>
      <c r="AG34" s="81">
        <f>IF(OR($K34="",$H34=""),"",MIN(MAX(0,IF($O34="WDV",AF34*$P34*MAX(0,(IF($I34="",AG$3,MIN($I34,AG$3)))-(MAX($H34,(EDATE(AG$3,-12)+1)))+1)/(AG$3-(EDATE(AG$3,-12)+1)+1),IF($N34=0,0,$Q34/$N34*MAX(0,(IF($I34="",AG$3,MIN($I34,AG$3)))-(MAX($H34,(EDATE(AG$3,-12)+1)))+1)/(AG$3-(EDATE(AG$3,-12)+1)+1)))*$W34),MAX(0,AF34-$M34)))</f>
        <v/>
      </c>
      <c r="AH34" s="81">
        <f>IF($K34="","",IF(AND($I34&lt;&gt;"",$I34&lt;=AG$3),0,AF34-AG34))</f>
        <v/>
      </c>
      <c r="AI34" s="81">
        <f>IF(OR($K34="",$H34=""),"",MIN(MAX(0,IF($O34="WDV",AH34*$P34*MAX(0,(IF($I34="",AI$3,MIN($I34,AI$3)))-(MAX($H34,(EDATE(AI$3,-12)+1)))+1)/(AI$3-(EDATE(AI$3,-12)+1)+1),IF($N34=0,0,$Q34/$N34*MAX(0,(IF($I34="",AI$3,MIN($I34,AI$3)))-(MAX($H34,(EDATE(AI$3,-12)+1)))+1)/(AI$3-(EDATE(AI$3,-12)+1)+1)))*$W34),MAX(0,AH34-$M34)))</f>
        <v/>
      </c>
      <c r="AJ34" s="81">
        <f>IF($K34="","",IF(AND($I34&lt;&gt;"",$I34&lt;=AI$3),0,AH34-AI34))</f>
        <v/>
      </c>
      <c r="AK34" s="81">
        <f>IF(OR($K34="",$H34=""),"",MIN(MAX(0,IF($O34="WDV",AJ34*$P34*MAX(0,(IF($I34="",AK$3,MIN($I34,AK$3)))-(MAX($H34,(EDATE(AK$3,-12)+1)))+1)/(AK$3-(EDATE(AK$3,-12)+1)+1),IF($N34=0,0,$Q34/$N34*MAX(0,(IF($I34="",AK$3,MIN($I34,AK$3)))-(MAX($H34,(EDATE(AK$3,-12)+1)))+1)/(AK$3-(EDATE(AK$3,-12)+1)+1)))*$W34),MAX(0,AJ34-$M34)))</f>
        <v/>
      </c>
      <c r="AL34" s="81">
        <f>IF($K34="","",IF(AND($I34&lt;&gt;"",$I34&lt;=AK$3),0,AJ34-AK34))</f>
        <v/>
      </c>
      <c r="AM34" s="81">
        <f>IF(OR($K34="",$H34=""),"",MIN(MAX(0,IF($O34="WDV",AL34*$P34*MAX(0,(IF($I34="",AM$3,MIN($I34,AM$3)))-(MAX($H34,(EDATE(AM$3,-12)+1)))+1)/(AM$3-(EDATE(AM$3,-12)+1)+1),IF($N34=0,0,$Q34/$N34*MAX(0,(IF($I34="",AM$3,MIN($I34,AM$3)))-(MAX($H34,(EDATE(AM$3,-12)+1)))+1)/(AM$3-(EDATE(AM$3,-12)+1)+1)))*$W34),MAX(0,AL34-$M34)))</f>
        <v/>
      </c>
      <c r="AN34" s="81">
        <f>IF($K34="","",IF(AND($I34&lt;&gt;"",$I34&lt;=AM$3),0,AL34-AM34))</f>
        <v/>
      </c>
      <c r="AO34" s="81">
        <f>IF(OR($K34="",$H34=""),"",MIN(MAX(0,IF($O34="WDV",AN34*$P34*MAX(0,(IF($I34="",AO$3,MIN($I34,AO$3)))-(MAX($H34,(EDATE(AO$3,-12)+1)))+1)/(AO$3-(EDATE(AO$3,-12)+1)+1),IF($N34=0,0,$Q34/$N34*MAX(0,(IF($I34="",AO$3,MIN($I34,AO$3)))-(MAX($H34,(EDATE(AO$3,-12)+1)))+1)/(AO$3-(EDATE(AO$3,-12)+1)+1)))*$W34),MAX(0,AN34-$M34)))</f>
        <v/>
      </c>
      <c r="AP34" s="81">
        <f>IF($K34="","",IF(AND($I34&lt;&gt;"",$I34&lt;=AO$3),0,AN34-AO34))</f>
        <v/>
      </c>
      <c r="AQ34" s="81">
        <f>IF(OR($K34="",$H34=""),"",MIN(MAX(0,IF($O34="WDV",AP34*$P34*MAX(0,(IF($I34="",AQ$3,MIN($I34,AQ$3)))-(MAX($H34,(EDATE(AQ$3,-12)+1)))+1)/(AQ$3-(EDATE(AQ$3,-12)+1)+1),IF($N34=0,0,$Q34/$N34*MAX(0,(IF($I34="",AQ$3,MIN($I34,AQ$3)))-(MAX($H34,(EDATE(AQ$3,-12)+1)))+1)/(AQ$3-(EDATE(AQ$3,-12)+1)+1)))*$W34),MAX(0,AP34-$M34)))</f>
        <v/>
      </c>
      <c r="AR34" s="81">
        <f>IF($K34="","",IF(AND($I34&lt;&gt;"",$I34&lt;=AQ$3),0,AP34-AQ34))</f>
        <v/>
      </c>
      <c r="AS34" s="81">
        <f>IF(OR($K34="",$H34=""),"",MIN(MAX(0,IF($O34="WDV",AR34*$P34*MAX(0,(IF($I34="",AS$3,MIN($I34,AS$3)))-(MAX($H34,(EDATE(AS$3,-12)+1)))+1)/(AS$3-(EDATE(AS$3,-12)+1)+1),IF($N34=0,0,$Q34/$N34*MAX(0,(IF($I34="",AS$3,MIN($I34,AS$3)))-(MAX($H34,(EDATE(AS$3,-12)+1)))+1)/(AS$3-(EDATE(AS$3,-12)+1)+1)))*$W34),MAX(0,AR34-$M34)))</f>
        <v/>
      </c>
      <c r="AT34" s="81">
        <f>IF($K34="","",IF(AND($I34&lt;&gt;"",$I34&lt;=AS$3),0,AR34-AS34))</f>
        <v/>
      </c>
      <c r="AU34" s="81">
        <f>IF(OR($K34="",$H34=""),"",MIN(MAX(0,IF($O34="WDV",AT34*$P34*MAX(0,(IF($I34="",AU$3,MIN($I34,AU$3)))-(MAX($H34,(EDATE(AU$3,-12)+1)))+1)/(AU$3-(EDATE(AU$3,-12)+1)+1),IF($N34=0,0,$Q34/$N34*MAX(0,(IF($I34="",AU$3,MIN($I34,AU$3)))-(MAX($H34,(EDATE(AU$3,-12)+1)))+1)/(AU$3-(EDATE(AU$3,-12)+1)+1)))*$W34),MAX(0,AT34-$M34)))</f>
        <v/>
      </c>
      <c r="AV34" s="81">
        <f>IF($K34="","",IF(AND($I34&lt;&gt;"",$I34&lt;=AU$3),0,AT34-AU34))</f>
        <v/>
      </c>
      <c r="AW34" s="81">
        <f>IF(OR($K34="",$H34=""),"",MIN(MAX(0,IF($O34="WDV",AV34*$P34*MAX(0,(IF($I34="",AW$3,MIN($I34,AW$3)))-(MAX($H34,(EDATE(AW$3,-12)+1)))+1)/(AW$3-(EDATE(AW$3,-12)+1)+1),IF($N34=0,0,$Q34/$N34*MAX(0,(IF($I34="",AW$3,MIN($I34,AW$3)))-(MAX($H34,(EDATE(AW$3,-12)+1)))+1)/(AW$3-(EDATE(AW$3,-12)+1)+1)))*$W34),MAX(0,AV34-$M34)))</f>
        <v/>
      </c>
      <c r="AX34" s="81">
        <f>IF($K34="","",IF(AND($I34&lt;&gt;"",$I34&lt;=AW$3),0,AV34-AW34))</f>
        <v/>
      </c>
      <c r="AY34" s="81">
        <f>IF(OR($K34="",$H34=""),"",MIN(MAX(0,IF($O34="WDV",AX34*$P34*MAX(0,(IF($I34="",AY$3,MIN($I34,AY$3)))-(MAX($H34,(EDATE(AY$3,-12)+1)))+1)/(AY$3-(EDATE(AY$3,-12)+1)+1),IF($N34=0,0,$Q34/$N34*MAX(0,(IF($I34="",AY$3,MIN($I34,AY$3)))-(MAX($H34,(EDATE(AY$3,-12)+1)))+1)/(AY$3-(EDATE(AY$3,-12)+1)+1)))*$W34),MAX(0,AX34-$M34)))</f>
        <v/>
      </c>
      <c r="AZ34" s="81">
        <f>IF($K34="","",IF(AND($I34&lt;&gt;"",$I34&lt;=AY$3),0,AX34-AY34))</f>
        <v/>
      </c>
      <c r="BA34" s="81">
        <f>IF(OR($K34="",$H34=""),"",MIN(MAX(0,IF($O34="WDV",AZ34*$P34*MAX(0,(IF($I34="",BA$3,MIN($I34,BA$3)))-(MAX($H34,(EDATE(BA$3,-12)+1)))+1)/(BA$3-(EDATE(BA$3,-12)+1)+1),IF($N34=0,0,$Q34/$N34*MAX(0,(IF($I34="",BA$3,MIN($I34,BA$3)))-(MAX($H34,(EDATE(BA$3,-12)+1)))+1)/(BA$3-(EDATE(BA$3,-12)+1)+1)))*$W34),MAX(0,AZ34-$M34)))</f>
        <v/>
      </c>
      <c r="BB34" s="81">
        <f>IF($K34="","",IF(AND($I34&lt;&gt;"",$I34&lt;=BA$3),0,AZ34-BA34))</f>
        <v/>
      </c>
      <c r="BC34" s="81">
        <f>IF(OR($K34="",$H34=""),"",MIN(MAX(0,IF($O34="WDV",BB34*$P34*MAX(0,(IF($I34="",BC$3,MIN($I34,BC$3)))-(MAX($H34,(EDATE(BC$3,-12)+1)))+1)/(BC$3-(EDATE(BC$3,-12)+1)+1),IF($N34=0,0,$Q34/$N34*MAX(0,(IF($I34="",BC$3,MIN($I34,BC$3)))-(MAX($H34,(EDATE(BC$3,-12)+1)))+1)/(BC$3-(EDATE(BC$3,-12)+1)+1)))*$W34),MAX(0,BB34-$M34)))</f>
        <v/>
      </c>
      <c r="BD34" s="81">
        <f>IF($K34="","",IF(AND($I34&lt;&gt;"",$I34&lt;=BC$3),0,BB34-BC34))</f>
        <v/>
      </c>
      <c r="BE34" s="81">
        <f>IF(OR($K34="",$H34=""),"",MIN(MAX(0,IF($O34="WDV",BD34*$P34*MAX(0,(IF($I34="",BE$3,MIN($I34,BE$3)))-(MAX($H34,(EDATE(BE$3,-12)+1)))+1)/(BE$3-(EDATE(BE$3,-12)+1)+1),IF($N34=0,0,$Q34/$N34*MAX(0,(IF($I34="",BE$3,MIN($I34,BE$3)))-(MAX($H34,(EDATE(BE$3,-12)+1)))+1)/(BE$3-(EDATE(BE$3,-12)+1)+1)))*$W34),MAX(0,BD34-$M34)))</f>
        <v/>
      </c>
      <c r="BF34" s="81">
        <f>IF($K34="","",IF(AND($I34&lt;&gt;"",$I34&lt;=BE$3),0,BD34-BE34))</f>
        <v/>
      </c>
    </row>
    <row r="35">
      <c r="A35" s="44" t="n"/>
      <c r="B35" s="45" t="n"/>
      <c r="C35" s="45" t="n"/>
      <c r="D35" s="45" t="n"/>
      <c r="E35" s="46" t="n"/>
      <c r="F35" s="47" t="n"/>
      <c r="G35" s="48" t="n"/>
      <c r="H35" s="48" t="n"/>
      <c r="I35" s="49" t="n"/>
      <c r="J35" s="50" t="n"/>
      <c r="K35" s="51" t="n"/>
      <c r="L35" s="52">
        <f>DefaultResidual</f>
        <v/>
      </c>
      <c r="M35" s="53">
        <f>IF($K35="","",$K35*$L35)</f>
        <v/>
      </c>
      <c r="N35" s="54">
        <f>IF($C35="","",IFERROR(VLOOKUP($C35,ScheduleIITable,3,FALSE),"#N/A"))</f>
        <v/>
      </c>
      <c r="O35" s="55">
        <f>IF($K35="","",GlobalMethod)</f>
        <v/>
      </c>
      <c r="P35" s="56">
        <f>IF(OR($K35="",$N35="",$N35=0,$M35=0),0,1-($M35/$K35)^(1/$N35))</f>
        <v/>
      </c>
      <c r="Q35" s="53">
        <f>IF($K35="","",$K35-$M35)</f>
        <v/>
      </c>
      <c r="R35" s="57">
        <f>IF($K35="","",INDEX($AA35:$BF35,1,MATCH(ReportingFYEnd,$AA$3:$BF$3,0)))</f>
        <v/>
      </c>
      <c r="S35" s="53">
        <f>IF($K35="","",IF($U35="Disposed",0,$K35-$T35))</f>
        <v/>
      </c>
      <c r="T35" s="58">
        <f>IF($K35="","",INDEX($AA35:$BF35,1,MATCH(ReportingFYEnd,$AA$3:$BF$3,0)+1))</f>
        <v/>
      </c>
      <c r="U35" s="59">
        <f>IF($K35="","",IF(AND($I35&lt;&gt;"",$I35&lt;=ReportingFYEnd),"Disposed",IF(OR($H35="",$H35&gt;ReportingFYEnd),"Not Yet in Use","Active")))</f>
        <v/>
      </c>
      <c r="V35" s="60" t="n"/>
      <c r="W35" s="61">
        <f>IF($V35="Double",1.5,IF($V35="Triple",2,1))</f>
        <v/>
      </c>
      <c r="X35" s="48" t="n"/>
      <c r="Y35" s="59">
        <f>IF($K35="","",IF(OR(ISNUMBER(SEARCH("Build",$C35)),ISNUMBER(SEARCH("Lease",$C35))),"Yes","NA"))</f>
        <v/>
      </c>
      <c r="Z35" s="62" t="n"/>
      <c r="AA35" s="63">
        <f>IF(OR($K35="",$H35=""),"",MIN(MAX(0,IF($O35="WDV",$K35*$P35*MAX(0,(IF($I35="",AA$3,MIN($I35,AA$3)))-(MAX($H35,(EDATE(AA$3,-12)+1)))+1)/(AA$3-(EDATE(AA$3,-12)+1)+1),IF($N35=0,0,$Q35/$N35*MAX(0,(IF($I35="",AA$3,MIN($I35,AA$3)))-(MAX($H35,(EDATE(AA$3,-12)+1)))+1)/(AA$3-(EDATE(AA$3,-12)+1)+1)))*$W35),MAX(0,$K35-$M35)))</f>
        <v/>
      </c>
      <c r="AB35" s="64">
        <f>IF($K35="","",IF(AND($I35&lt;&gt;"",$I35&lt;=AA$3),0,$K35-AA35))</f>
        <v/>
      </c>
      <c r="AC35" s="63">
        <f>IF(OR($K35="",$H35=""),"",MIN(MAX(0,IF($O35="WDV",AB35*$P35*MAX(0,(IF($I35="",AC$3,MIN($I35,AC$3)))-(MAX($H35,(EDATE(AC$3,-12)+1)))+1)/(AC$3-(EDATE(AC$3,-12)+1)+1),IF($N35=0,0,$Q35/$N35*MAX(0,(IF($I35="",AC$3,MIN($I35,AC$3)))-(MAX($H35,(EDATE(AC$3,-12)+1)))+1)/(AC$3-(EDATE(AC$3,-12)+1)+1)))*$W35),MAX(0,AB35-$M35)))</f>
        <v/>
      </c>
      <c r="AD35" s="64">
        <f>IF($K35="","",IF(AND($I35&lt;&gt;"",$I35&lt;=AC$3),0,AB35-AC35))</f>
        <v/>
      </c>
      <c r="AE35" s="63">
        <f>IF(OR($K35="",$H35=""),"",MIN(MAX(0,IF($O35="WDV",AD35*$P35*MAX(0,(IF($I35="",AE$3,MIN($I35,AE$3)))-(MAX($H35,(EDATE(AE$3,-12)+1)))+1)/(AE$3-(EDATE(AE$3,-12)+1)+1),IF($N35=0,0,$Q35/$N35*MAX(0,(IF($I35="",AE$3,MIN($I35,AE$3)))-(MAX($H35,(EDATE(AE$3,-12)+1)))+1)/(AE$3-(EDATE(AE$3,-12)+1)+1)))*$W35),MAX(0,AD35-$M35)))</f>
        <v/>
      </c>
      <c r="AF35" s="64">
        <f>IF($K35="","",IF(AND($I35&lt;&gt;"",$I35&lt;=AE$3),0,AD35-AE35))</f>
        <v/>
      </c>
      <c r="AG35" s="63">
        <f>IF(OR($K35="",$H35=""),"",MIN(MAX(0,IF($O35="WDV",AF35*$P35*MAX(0,(IF($I35="",AG$3,MIN($I35,AG$3)))-(MAX($H35,(EDATE(AG$3,-12)+1)))+1)/(AG$3-(EDATE(AG$3,-12)+1)+1),IF($N35=0,0,$Q35/$N35*MAX(0,(IF($I35="",AG$3,MIN($I35,AG$3)))-(MAX($H35,(EDATE(AG$3,-12)+1)))+1)/(AG$3-(EDATE(AG$3,-12)+1)+1)))*$W35),MAX(0,AF35-$M35)))</f>
        <v/>
      </c>
      <c r="AH35" s="64">
        <f>IF($K35="","",IF(AND($I35&lt;&gt;"",$I35&lt;=AG$3),0,AF35-AG35))</f>
        <v/>
      </c>
      <c r="AI35" s="63">
        <f>IF(OR($K35="",$H35=""),"",MIN(MAX(0,IF($O35="WDV",AH35*$P35*MAX(0,(IF($I35="",AI$3,MIN($I35,AI$3)))-(MAX($H35,(EDATE(AI$3,-12)+1)))+1)/(AI$3-(EDATE(AI$3,-12)+1)+1),IF($N35=0,0,$Q35/$N35*MAX(0,(IF($I35="",AI$3,MIN($I35,AI$3)))-(MAX($H35,(EDATE(AI$3,-12)+1)))+1)/(AI$3-(EDATE(AI$3,-12)+1)+1)))*$W35),MAX(0,AH35-$M35)))</f>
        <v/>
      </c>
      <c r="AJ35" s="64">
        <f>IF($K35="","",IF(AND($I35&lt;&gt;"",$I35&lt;=AI$3),0,AH35-AI35))</f>
        <v/>
      </c>
      <c r="AK35" s="63">
        <f>IF(OR($K35="",$H35=""),"",MIN(MAX(0,IF($O35="WDV",AJ35*$P35*MAX(0,(IF($I35="",AK$3,MIN($I35,AK$3)))-(MAX($H35,(EDATE(AK$3,-12)+1)))+1)/(AK$3-(EDATE(AK$3,-12)+1)+1),IF($N35=0,0,$Q35/$N35*MAX(0,(IF($I35="",AK$3,MIN($I35,AK$3)))-(MAX($H35,(EDATE(AK$3,-12)+1)))+1)/(AK$3-(EDATE(AK$3,-12)+1)+1)))*$W35),MAX(0,AJ35-$M35)))</f>
        <v/>
      </c>
      <c r="AL35" s="64">
        <f>IF($K35="","",IF(AND($I35&lt;&gt;"",$I35&lt;=AK$3),0,AJ35-AK35))</f>
        <v/>
      </c>
      <c r="AM35" s="63">
        <f>IF(OR($K35="",$H35=""),"",MIN(MAX(0,IF($O35="WDV",AL35*$P35*MAX(0,(IF($I35="",AM$3,MIN($I35,AM$3)))-(MAX($H35,(EDATE(AM$3,-12)+1)))+1)/(AM$3-(EDATE(AM$3,-12)+1)+1),IF($N35=0,0,$Q35/$N35*MAX(0,(IF($I35="",AM$3,MIN($I35,AM$3)))-(MAX($H35,(EDATE(AM$3,-12)+1)))+1)/(AM$3-(EDATE(AM$3,-12)+1)+1)))*$W35),MAX(0,AL35-$M35)))</f>
        <v/>
      </c>
      <c r="AN35" s="64">
        <f>IF($K35="","",IF(AND($I35&lt;&gt;"",$I35&lt;=AM$3),0,AL35-AM35))</f>
        <v/>
      </c>
      <c r="AO35" s="63">
        <f>IF(OR($K35="",$H35=""),"",MIN(MAX(0,IF($O35="WDV",AN35*$P35*MAX(0,(IF($I35="",AO$3,MIN($I35,AO$3)))-(MAX($H35,(EDATE(AO$3,-12)+1)))+1)/(AO$3-(EDATE(AO$3,-12)+1)+1),IF($N35=0,0,$Q35/$N35*MAX(0,(IF($I35="",AO$3,MIN($I35,AO$3)))-(MAX($H35,(EDATE(AO$3,-12)+1)))+1)/(AO$3-(EDATE(AO$3,-12)+1)+1)))*$W35),MAX(0,AN35-$M35)))</f>
        <v/>
      </c>
      <c r="AP35" s="64">
        <f>IF($K35="","",IF(AND($I35&lt;&gt;"",$I35&lt;=AO$3),0,AN35-AO35))</f>
        <v/>
      </c>
      <c r="AQ35" s="63">
        <f>IF(OR($K35="",$H35=""),"",MIN(MAX(0,IF($O35="WDV",AP35*$P35*MAX(0,(IF($I35="",AQ$3,MIN($I35,AQ$3)))-(MAX($H35,(EDATE(AQ$3,-12)+1)))+1)/(AQ$3-(EDATE(AQ$3,-12)+1)+1),IF($N35=0,0,$Q35/$N35*MAX(0,(IF($I35="",AQ$3,MIN($I35,AQ$3)))-(MAX($H35,(EDATE(AQ$3,-12)+1)))+1)/(AQ$3-(EDATE(AQ$3,-12)+1)+1)))*$W35),MAX(0,AP35-$M35)))</f>
        <v/>
      </c>
      <c r="AR35" s="64">
        <f>IF($K35="","",IF(AND($I35&lt;&gt;"",$I35&lt;=AQ$3),0,AP35-AQ35))</f>
        <v/>
      </c>
      <c r="AS35" s="63">
        <f>IF(OR($K35="",$H35=""),"",MIN(MAX(0,IF($O35="WDV",AR35*$P35*MAX(0,(IF($I35="",AS$3,MIN($I35,AS$3)))-(MAX($H35,(EDATE(AS$3,-12)+1)))+1)/(AS$3-(EDATE(AS$3,-12)+1)+1),IF($N35=0,0,$Q35/$N35*MAX(0,(IF($I35="",AS$3,MIN($I35,AS$3)))-(MAX($H35,(EDATE(AS$3,-12)+1)))+1)/(AS$3-(EDATE(AS$3,-12)+1)+1)))*$W35),MAX(0,AR35-$M35)))</f>
        <v/>
      </c>
      <c r="AT35" s="64">
        <f>IF($K35="","",IF(AND($I35&lt;&gt;"",$I35&lt;=AS$3),0,AR35-AS35))</f>
        <v/>
      </c>
      <c r="AU35" s="63">
        <f>IF(OR($K35="",$H35=""),"",MIN(MAX(0,IF($O35="WDV",AT35*$P35*MAX(0,(IF($I35="",AU$3,MIN($I35,AU$3)))-(MAX($H35,(EDATE(AU$3,-12)+1)))+1)/(AU$3-(EDATE(AU$3,-12)+1)+1),IF($N35=0,0,$Q35/$N35*MAX(0,(IF($I35="",AU$3,MIN($I35,AU$3)))-(MAX($H35,(EDATE(AU$3,-12)+1)))+1)/(AU$3-(EDATE(AU$3,-12)+1)+1)))*$W35),MAX(0,AT35-$M35)))</f>
        <v/>
      </c>
      <c r="AV35" s="64">
        <f>IF($K35="","",IF(AND($I35&lt;&gt;"",$I35&lt;=AU$3),0,AT35-AU35))</f>
        <v/>
      </c>
      <c r="AW35" s="63">
        <f>IF(OR($K35="",$H35=""),"",MIN(MAX(0,IF($O35="WDV",AV35*$P35*MAX(0,(IF($I35="",AW$3,MIN($I35,AW$3)))-(MAX($H35,(EDATE(AW$3,-12)+1)))+1)/(AW$3-(EDATE(AW$3,-12)+1)+1),IF($N35=0,0,$Q35/$N35*MAX(0,(IF($I35="",AW$3,MIN($I35,AW$3)))-(MAX($H35,(EDATE(AW$3,-12)+1)))+1)/(AW$3-(EDATE(AW$3,-12)+1)+1)))*$W35),MAX(0,AV35-$M35)))</f>
        <v/>
      </c>
      <c r="AX35" s="64">
        <f>IF($K35="","",IF(AND($I35&lt;&gt;"",$I35&lt;=AW$3),0,AV35-AW35))</f>
        <v/>
      </c>
      <c r="AY35" s="63">
        <f>IF(OR($K35="",$H35=""),"",MIN(MAX(0,IF($O35="WDV",AX35*$P35*MAX(0,(IF($I35="",AY$3,MIN($I35,AY$3)))-(MAX($H35,(EDATE(AY$3,-12)+1)))+1)/(AY$3-(EDATE(AY$3,-12)+1)+1),IF($N35=0,0,$Q35/$N35*MAX(0,(IF($I35="",AY$3,MIN($I35,AY$3)))-(MAX($H35,(EDATE(AY$3,-12)+1)))+1)/(AY$3-(EDATE(AY$3,-12)+1)+1)))*$W35),MAX(0,AX35-$M35)))</f>
        <v/>
      </c>
      <c r="AZ35" s="64">
        <f>IF($K35="","",IF(AND($I35&lt;&gt;"",$I35&lt;=AY$3),0,AX35-AY35))</f>
        <v/>
      </c>
      <c r="BA35" s="63">
        <f>IF(OR($K35="",$H35=""),"",MIN(MAX(0,IF($O35="WDV",AZ35*$P35*MAX(0,(IF($I35="",BA$3,MIN($I35,BA$3)))-(MAX($H35,(EDATE(BA$3,-12)+1)))+1)/(BA$3-(EDATE(BA$3,-12)+1)+1),IF($N35=0,0,$Q35/$N35*MAX(0,(IF($I35="",BA$3,MIN($I35,BA$3)))-(MAX($H35,(EDATE(BA$3,-12)+1)))+1)/(BA$3-(EDATE(BA$3,-12)+1)+1)))*$W35),MAX(0,AZ35-$M35)))</f>
        <v/>
      </c>
      <c r="BB35" s="64">
        <f>IF($K35="","",IF(AND($I35&lt;&gt;"",$I35&lt;=BA$3),0,AZ35-BA35))</f>
        <v/>
      </c>
      <c r="BC35" s="63">
        <f>IF(OR($K35="",$H35=""),"",MIN(MAX(0,IF($O35="WDV",BB35*$P35*MAX(0,(IF($I35="",BC$3,MIN($I35,BC$3)))-(MAX($H35,(EDATE(BC$3,-12)+1)))+1)/(BC$3-(EDATE(BC$3,-12)+1)+1),IF($N35=0,0,$Q35/$N35*MAX(0,(IF($I35="",BC$3,MIN($I35,BC$3)))-(MAX($H35,(EDATE(BC$3,-12)+1)))+1)/(BC$3-(EDATE(BC$3,-12)+1)+1)))*$W35),MAX(0,BB35-$M35)))</f>
        <v/>
      </c>
      <c r="BD35" s="64">
        <f>IF($K35="","",IF(AND($I35&lt;&gt;"",$I35&lt;=BC$3),0,BB35-BC35))</f>
        <v/>
      </c>
      <c r="BE35" s="63">
        <f>IF(OR($K35="",$H35=""),"",MIN(MAX(0,IF($O35="WDV",BD35*$P35*MAX(0,(IF($I35="",BE$3,MIN($I35,BE$3)))-(MAX($H35,(EDATE(BE$3,-12)+1)))+1)/(BE$3-(EDATE(BE$3,-12)+1)+1),IF($N35=0,0,$Q35/$N35*MAX(0,(IF($I35="",BE$3,MIN($I35,BE$3)))-(MAX($H35,(EDATE(BE$3,-12)+1)))+1)/(BE$3-(EDATE(BE$3,-12)+1)+1)))*$W35),MAX(0,BD35-$M35)))</f>
        <v/>
      </c>
      <c r="BF35" s="64">
        <f>IF($K35="","",IF(AND($I35&lt;&gt;"",$I35&lt;=BE$3),0,BD35-BE35))</f>
        <v/>
      </c>
    </row>
    <row r="36">
      <c r="A36" s="65" t="n"/>
      <c r="B36" s="66" t="n"/>
      <c r="C36" s="66" t="n"/>
      <c r="D36" s="66" t="n"/>
      <c r="E36" s="67" t="n"/>
      <c r="F36" s="68" t="n"/>
      <c r="G36" s="69" t="n"/>
      <c r="H36" s="69" t="n"/>
      <c r="I36" s="70" t="n"/>
      <c r="J36" s="71" t="n"/>
      <c r="K36" s="72" t="n"/>
      <c r="L36" s="73">
        <f>DefaultResidual</f>
        <v/>
      </c>
      <c r="M36" s="74">
        <f>IF($K36="","",$K36*$L36)</f>
        <v/>
      </c>
      <c r="N36" s="22">
        <f>IF($C36="","",IFERROR(VLOOKUP($C36,ScheduleIITable,3,FALSE),"#N/A"))</f>
        <v/>
      </c>
      <c r="O36" s="75">
        <f>IF($K36="","",GlobalMethod)</f>
        <v/>
      </c>
      <c r="P36" s="23">
        <f>IF(OR($K36="",$N36="",$N36=0,$M36=0),0,1-($M36/$K36)^(1/$N36))</f>
        <v/>
      </c>
      <c r="Q36" s="74">
        <f>IF($K36="","",$K36-$M36)</f>
        <v/>
      </c>
      <c r="R36" s="76">
        <f>IF($K36="","",INDEX($AA36:$BF36,1,MATCH(ReportingFYEnd,$AA$3:$BF$3,0)))</f>
        <v/>
      </c>
      <c r="S36" s="74">
        <f>IF($K36="","",IF($U36="Disposed",0,$K36-$T36))</f>
        <v/>
      </c>
      <c r="T36" s="77">
        <f>IF($K36="","",INDEX($AA36:$BF36,1,MATCH(ReportingFYEnd,$AA$3:$BF$3,0)+1))</f>
        <v/>
      </c>
      <c r="U36" s="78">
        <f>IF($K36="","",IF(AND($I36&lt;&gt;"",$I36&lt;=ReportingFYEnd),"Disposed",IF(OR($H36="",$H36&gt;ReportingFYEnd),"Not Yet in Use","Active")))</f>
        <v/>
      </c>
      <c r="V36" s="79" t="n"/>
      <c r="W36" s="80">
        <f>IF($V36="Double",1.5,IF($V36="Triple",2,1))</f>
        <v/>
      </c>
      <c r="X36" s="69" t="n"/>
      <c r="Y36" s="78">
        <f>IF($K36="","",IF(OR(ISNUMBER(SEARCH("Build",$C36)),ISNUMBER(SEARCH("Lease",$C36))),"Yes","NA"))</f>
        <v/>
      </c>
      <c r="Z36" s="21" t="n"/>
      <c r="AA36" s="81">
        <f>IF(OR($K36="",$H36=""),"",MIN(MAX(0,IF($O36="WDV",$K36*$P36*MAX(0,(IF($I36="",AA$3,MIN($I36,AA$3)))-(MAX($H36,(EDATE(AA$3,-12)+1)))+1)/(AA$3-(EDATE(AA$3,-12)+1)+1),IF($N36=0,0,$Q36/$N36*MAX(0,(IF($I36="",AA$3,MIN($I36,AA$3)))-(MAX($H36,(EDATE(AA$3,-12)+1)))+1)/(AA$3-(EDATE(AA$3,-12)+1)+1)))*$W36),MAX(0,$K36-$M36)))</f>
        <v/>
      </c>
      <c r="AB36" s="81">
        <f>IF($K36="","",IF(AND($I36&lt;&gt;"",$I36&lt;=AA$3),0,$K36-AA36))</f>
        <v/>
      </c>
      <c r="AC36" s="81">
        <f>IF(OR($K36="",$H36=""),"",MIN(MAX(0,IF($O36="WDV",AB36*$P36*MAX(0,(IF($I36="",AC$3,MIN($I36,AC$3)))-(MAX($H36,(EDATE(AC$3,-12)+1)))+1)/(AC$3-(EDATE(AC$3,-12)+1)+1),IF($N36=0,0,$Q36/$N36*MAX(0,(IF($I36="",AC$3,MIN($I36,AC$3)))-(MAX($H36,(EDATE(AC$3,-12)+1)))+1)/(AC$3-(EDATE(AC$3,-12)+1)+1)))*$W36),MAX(0,AB36-$M36)))</f>
        <v/>
      </c>
      <c r="AD36" s="81">
        <f>IF($K36="","",IF(AND($I36&lt;&gt;"",$I36&lt;=AC$3),0,AB36-AC36))</f>
        <v/>
      </c>
      <c r="AE36" s="81">
        <f>IF(OR($K36="",$H36=""),"",MIN(MAX(0,IF($O36="WDV",AD36*$P36*MAX(0,(IF($I36="",AE$3,MIN($I36,AE$3)))-(MAX($H36,(EDATE(AE$3,-12)+1)))+1)/(AE$3-(EDATE(AE$3,-12)+1)+1),IF($N36=0,0,$Q36/$N36*MAX(0,(IF($I36="",AE$3,MIN($I36,AE$3)))-(MAX($H36,(EDATE(AE$3,-12)+1)))+1)/(AE$3-(EDATE(AE$3,-12)+1)+1)))*$W36),MAX(0,AD36-$M36)))</f>
        <v/>
      </c>
      <c r="AF36" s="81">
        <f>IF($K36="","",IF(AND($I36&lt;&gt;"",$I36&lt;=AE$3),0,AD36-AE36))</f>
        <v/>
      </c>
      <c r="AG36" s="81">
        <f>IF(OR($K36="",$H36=""),"",MIN(MAX(0,IF($O36="WDV",AF36*$P36*MAX(0,(IF($I36="",AG$3,MIN($I36,AG$3)))-(MAX($H36,(EDATE(AG$3,-12)+1)))+1)/(AG$3-(EDATE(AG$3,-12)+1)+1),IF($N36=0,0,$Q36/$N36*MAX(0,(IF($I36="",AG$3,MIN($I36,AG$3)))-(MAX($H36,(EDATE(AG$3,-12)+1)))+1)/(AG$3-(EDATE(AG$3,-12)+1)+1)))*$W36),MAX(0,AF36-$M36)))</f>
        <v/>
      </c>
      <c r="AH36" s="81">
        <f>IF($K36="","",IF(AND($I36&lt;&gt;"",$I36&lt;=AG$3),0,AF36-AG36))</f>
        <v/>
      </c>
      <c r="AI36" s="81">
        <f>IF(OR($K36="",$H36=""),"",MIN(MAX(0,IF($O36="WDV",AH36*$P36*MAX(0,(IF($I36="",AI$3,MIN($I36,AI$3)))-(MAX($H36,(EDATE(AI$3,-12)+1)))+1)/(AI$3-(EDATE(AI$3,-12)+1)+1),IF($N36=0,0,$Q36/$N36*MAX(0,(IF($I36="",AI$3,MIN($I36,AI$3)))-(MAX($H36,(EDATE(AI$3,-12)+1)))+1)/(AI$3-(EDATE(AI$3,-12)+1)+1)))*$W36),MAX(0,AH36-$M36)))</f>
        <v/>
      </c>
      <c r="AJ36" s="81">
        <f>IF($K36="","",IF(AND($I36&lt;&gt;"",$I36&lt;=AI$3),0,AH36-AI36))</f>
        <v/>
      </c>
      <c r="AK36" s="81">
        <f>IF(OR($K36="",$H36=""),"",MIN(MAX(0,IF($O36="WDV",AJ36*$P36*MAX(0,(IF($I36="",AK$3,MIN($I36,AK$3)))-(MAX($H36,(EDATE(AK$3,-12)+1)))+1)/(AK$3-(EDATE(AK$3,-12)+1)+1),IF($N36=0,0,$Q36/$N36*MAX(0,(IF($I36="",AK$3,MIN($I36,AK$3)))-(MAX($H36,(EDATE(AK$3,-12)+1)))+1)/(AK$3-(EDATE(AK$3,-12)+1)+1)))*$W36),MAX(0,AJ36-$M36)))</f>
        <v/>
      </c>
      <c r="AL36" s="81">
        <f>IF($K36="","",IF(AND($I36&lt;&gt;"",$I36&lt;=AK$3),0,AJ36-AK36))</f>
        <v/>
      </c>
      <c r="AM36" s="81">
        <f>IF(OR($K36="",$H36=""),"",MIN(MAX(0,IF($O36="WDV",AL36*$P36*MAX(0,(IF($I36="",AM$3,MIN($I36,AM$3)))-(MAX($H36,(EDATE(AM$3,-12)+1)))+1)/(AM$3-(EDATE(AM$3,-12)+1)+1),IF($N36=0,0,$Q36/$N36*MAX(0,(IF($I36="",AM$3,MIN($I36,AM$3)))-(MAX($H36,(EDATE(AM$3,-12)+1)))+1)/(AM$3-(EDATE(AM$3,-12)+1)+1)))*$W36),MAX(0,AL36-$M36)))</f>
        <v/>
      </c>
      <c r="AN36" s="81">
        <f>IF($K36="","",IF(AND($I36&lt;&gt;"",$I36&lt;=AM$3),0,AL36-AM36))</f>
        <v/>
      </c>
      <c r="AO36" s="81">
        <f>IF(OR($K36="",$H36=""),"",MIN(MAX(0,IF($O36="WDV",AN36*$P36*MAX(0,(IF($I36="",AO$3,MIN($I36,AO$3)))-(MAX($H36,(EDATE(AO$3,-12)+1)))+1)/(AO$3-(EDATE(AO$3,-12)+1)+1),IF($N36=0,0,$Q36/$N36*MAX(0,(IF($I36="",AO$3,MIN($I36,AO$3)))-(MAX($H36,(EDATE(AO$3,-12)+1)))+1)/(AO$3-(EDATE(AO$3,-12)+1)+1)))*$W36),MAX(0,AN36-$M36)))</f>
        <v/>
      </c>
      <c r="AP36" s="81">
        <f>IF($K36="","",IF(AND($I36&lt;&gt;"",$I36&lt;=AO$3),0,AN36-AO36))</f>
        <v/>
      </c>
      <c r="AQ36" s="81">
        <f>IF(OR($K36="",$H36=""),"",MIN(MAX(0,IF($O36="WDV",AP36*$P36*MAX(0,(IF($I36="",AQ$3,MIN($I36,AQ$3)))-(MAX($H36,(EDATE(AQ$3,-12)+1)))+1)/(AQ$3-(EDATE(AQ$3,-12)+1)+1),IF($N36=0,0,$Q36/$N36*MAX(0,(IF($I36="",AQ$3,MIN($I36,AQ$3)))-(MAX($H36,(EDATE(AQ$3,-12)+1)))+1)/(AQ$3-(EDATE(AQ$3,-12)+1)+1)))*$W36),MAX(0,AP36-$M36)))</f>
        <v/>
      </c>
      <c r="AR36" s="81">
        <f>IF($K36="","",IF(AND($I36&lt;&gt;"",$I36&lt;=AQ$3),0,AP36-AQ36))</f>
        <v/>
      </c>
      <c r="AS36" s="81">
        <f>IF(OR($K36="",$H36=""),"",MIN(MAX(0,IF($O36="WDV",AR36*$P36*MAX(0,(IF($I36="",AS$3,MIN($I36,AS$3)))-(MAX($H36,(EDATE(AS$3,-12)+1)))+1)/(AS$3-(EDATE(AS$3,-12)+1)+1),IF($N36=0,0,$Q36/$N36*MAX(0,(IF($I36="",AS$3,MIN($I36,AS$3)))-(MAX($H36,(EDATE(AS$3,-12)+1)))+1)/(AS$3-(EDATE(AS$3,-12)+1)+1)))*$W36),MAX(0,AR36-$M36)))</f>
        <v/>
      </c>
      <c r="AT36" s="81">
        <f>IF($K36="","",IF(AND($I36&lt;&gt;"",$I36&lt;=AS$3),0,AR36-AS36))</f>
        <v/>
      </c>
      <c r="AU36" s="81">
        <f>IF(OR($K36="",$H36=""),"",MIN(MAX(0,IF($O36="WDV",AT36*$P36*MAX(0,(IF($I36="",AU$3,MIN($I36,AU$3)))-(MAX($H36,(EDATE(AU$3,-12)+1)))+1)/(AU$3-(EDATE(AU$3,-12)+1)+1),IF($N36=0,0,$Q36/$N36*MAX(0,(IF($I36="",AU$3,MIN($I36,AU$3)))-(MAX($H36,(EDATE(AU$3,-12)+1)))+1)/(AU$3-(EDATE(AU$3,-12)+1)+1)))*$W36),MAX(0,AT36-$M36)))</f>
        <v/>
      </c>
      <c r="AV36" s="81">
        <f>IF($K36="","",IF(AND($I36&lt;&gt;"",$I36&lt;=AU$3),0,AT36-AU36))</f>
        <v/>
      </c>
      <c r="AW36" s="81">
        <f>IF(OR($K36="",$H36=""),"",MIN(MAX(0,IF($O36="WDV",AV36*$P36*MAX(0,(IF($I36="",AW$3,MIN($I36,AW$3)))-(MAX($H36,(EDATE(AW$3,-12)+1)))+1)/(AW$3-(EDATE(AW$3,-12)+1)+1),IF($N36=0,0,$Q36/$N36*MAX(0,(IF($I36="",AW$3,MIN($I36,AW$3)))-(MAX($H36,(EDATE(AW$3,-12)+1)))+1)/(AW$3-(EDATE(AW$3,-12)+1)+1)))*$W36),MAX(0,AV36-$M36)))</f>
        <v/>
      </c>
      <c r="AX36" s="81">
        <f>IF($K36="","",IF(AND($I36&lt;&gt;"",$I36&lt;=AW$3),0,AV36-AW36))</f>
        <v/>
      </c>
      <c r="AY36" s="81">
        <f>IF(OR($K36="",$H36=""),"",MIN(MAX(0,IF($O36="WDV",AX36*$P36*MAX(0,(IF($I36="",AY$3,MIN($I36,AY$3)))-(MAX($H36,(EDATE(AY$3,-12)+1)))+1)/(AY$3-(EDATE(AY$3,-12)+1)+1),IF($N36=0,0,$Q36/$N36*MAX(0,(IF($I36="",AY$3,MIN($I36,AY$3)))-(MAX($H36,(EDATE(AY$3,-12)+1)))+1)/(AY$3-(EDATE(AY$3,-12)+1)+1)))*$W36),MAX(0,AX36-$M36)))</f>
        <v/>
      </c>
      <c r="AZ36" s="81">
        <f>IF($K36="","",IF(AND($I36&lt;&gt;"",$I36&lt;=AY$3),0,AX36-AY36))</f>
        <v/>
      </c>
      <c r="BA36" s="81">
        <f>IF(OR($K36="",$H36=""),"",MIN(MAX(0,IF($O36="WDV",AZ36*$P36*MAX(0,(IF($I36="",BA$3,MIN($I36,BA$3)))-(MAX($H36,(EDATE(BA$3,-12)+1)))+1)/(BA$3-(EDATE(BA$3,-12)+1)+1),IF($N36=0,0,$Q36/$N36*MAX(0,(IF($I36="",BA$3,MIN($I36,BA$3)))-(MAX($H36,(EDATE(BA$3,-12)+1)))+1)/(BA$3-(EDATE(BA$3,-12)+1)+1)))*$W36),MAX(0,AZ36-$M36)))</f>
        <v/>
      </c>
      <c r="BB36" s="81">
        <f>IF($K36="","",IF(AND($I36&lt;&gt;"",$I36&lt;=BA$3),0,AZ36-BA36))</f>
        <v/>
      </c>
      <c r="BC36" s="81">
        <f>IF(OR($K36="",$H36=""),"",MIN(MAX(0,IF($O36="WDV",BB36*$P36*MAX(0,(IF($I36="",BC$3,MIN($I36,BC$3)))-(MAX($H36,(EDATE(BC$3,-12)+1)))+1)/(BC$3-(EDATE(BC$3,-12)+1)+1),IF($N36=0,0,$Q36/$N36*MAX(0,(IF($I36="",BC$3,MIN($I36,BC$3)))-(MAX($H36,(EDATE(BC$3,-12)+1)))+1)/(BC$3-(EDATE(BC$3,-12)+1)+1)))*$W36),MAX(0,BB36-$M36)))</f>
        <v/>
      </c>
      <c r="BD36" s="81">
        <f>IF($K36="","",IF(AND($I36&lt;&gt;"",$I36&lt;=BC$3),0,BB36-BC36))</f>
        <v/>
      </c>
      <c r="BE36" s="81">
        <f>IF(OR($K36="",$H36=""),"",MIN(MAX(0,IF($O36="WDV",BD36*$P36*MAX(0,(IF($I36="",BE$3,MIN($I36,BE$3)))-(MAX($H36,(EDATE(BE$3,-12)+1)))+1)/(BE$3-(EDATE(BE$3,-12)+1)+1),IF($N36=0,0,$Q36/$N36*MAX(0,(IF($I36="",BE$3,MIN($I36,BE$3)))-(MAX($H36,(EDATE(BE$3,-12)+1)))+1)/(BE$3-(EDATE(BE$3,-12)+1)+1)))*$W36),MAX(0,BD36-$M36)))</f>
        <v/>
      </c>
      <c r="BF36" s="81">
        <f>IF($K36="","",IF(AND($I36&lt;&gt;"",$I36&lt;=BE$3),0,BD36-BE36))</f>
        <v/>
      </c>
    </row>
    <row r="37">
      <c r="A37" s="44" t="n"/>
      <c r="B37" s="45" t="n"/>
      <c r="C37" s="45" t="n"/>
      <c r="D37" s="45" t="n"/>
      <c r="E37" s="46" t="n"/>
      <c r="F37" s="47" t="n"/>
      <c r="G37" s="48" t="n"/>
      <c r="H37" s="48" t="n"/>
      <c r="I37" s="49" t="n"/>
      <c r="J37" s="50" t="n"/>
      <c r="K37" s="51" t="n"/>
      <c r="L37" s="52">
        <f>DefaultResidual</f>
        <v/>
      </c>
      <c r="M37" s="53">
        <f>IF($K37="","",$K37*$L37)</f>
        <v/>
      </c>
      <c r="N37" s="54">
        <f>IF($C37="","",IFERROR(VLOOKUP($C37,ScheduleIITable,3,FALSE),"#N/A"))</f>
        <v/>
      </c>
      <c r="O37" s="55">
        <f>IF($K37="","",GlobalMethod)</f>
        <v/>
      </c>
      <c r="P37" s="56">
        <f>IF(OR($K37="",$N37="",$N37=0,$M37=0),0,1-($M37/$K37)^(1/$N37))</f>
        <v/>
      </c>
      <c r="Q37" s="53">
        <f>IF($K37="","",$K37-$M37)</f>
        <v/>
      </c>
      <c r="R37" s="57">
        <f>IF($K37="","",INDEX($AA37:$BF37,1,MATCH(ReportingFYEnd,$AA$3:$BF$3,0)))</f>
        <v/>
      </c>
      <c r="S37" s="53">
        <f>IF($K37="","",IF($U37="Disposed",0,$K37-$T37))</f>
        <v/>
      </c>
      <c r="T37" s="58">
        <f>IF($K37="","",INDEX($AA37:$BF37,1,MATCH(ReportingFYEnd,$AA$3:$BF$3,0)+1))</f>
        <v/>
      </c>
      <c r="U37" s="59">
        <f>IF($K37="","",IF(AND($I37&lt;&gt;"",$I37&lt;=ReportingFYEnd),"Disposed",IF(OR($H37="",$H37&gt;ReportingFYEnd),"Not Yet in Use","Active")))</f>
        <v/>
      </c>
      <c r="V37" s="60" t="n"/>
      <c r="W37" s="61">
        <f>IF($V37="Double",1.5,IF($V37="Triple",2,1))</f>
        <v/>
      </c>
      <c r="X37" s="48" t="n"/>
      <c r="Y37" s="59">
        <f>IF($K37="","",IF(OR(ISNUMBER(SEARCH("Build",$C37)),ISNUMBER(SEARCH("Lease",$C37))),"Yes","NA"))</f>
        <v/>
      </c>
      <c r="Z37" s="62" t="n"/>
      <c r="AA37" s="63">
        <f>IF(OR($K37="",$H37=""),"",MIN(MAX(0,IF($O37="WDV",$K37*$P37*MAX(0,(IF($I37="",AA$3,MIN($I37,AA$3)))-(MAX($H37,(EDATE(AA$3,-12)+1)))+1)/(AA$3-(EDATE(AA$3,-12)+1)+1),IF($N37=0,0,$Q37/$N37*MAX(0,(IF($I37="",AA$3,MIN($I37,AA$3)))-(MAX($H37,(EDATE(AA$3,-12)+1)))+1)/(AA$3-(EDATE(AA$3,-12)+1)+1)))*$W37),MAX(0,$K37-$M37)))</f>
        <v/>
      </c>
      <c r="AB37" s="64">
        <f>IF($K37="","",IF(AND($I37&lt;&gt;"",$I37&lt;=AA$3),0,$K37-AA37))</f>
        <v/>
      </c>
      <c r="AC37" s="63">
        <f>IF(OR($K37="",$H37=""),"",MIN(MAX(0,IF($O37="WDV",AB37*$P37*MAX(0,(IF($I37="",AC$3,MIN($I37,AC$3)))-(MAX($H37,(EDATE(AC$3,-12)+1)))+1)/(AC$3-(EDATE(AC$3,-12)+1)+1),IF($N37=0,0,$Q37/$N37*MAX(0,(IF($I37="",AC$3,MIN($I37,AC$3)))-(MAX($H37,(EDATE(AC$3,-12)+1)))+1)/(AC$3-(EDATE(AC$3,-12)+1)+1)))*$W37),MAX(0,AB37-$M37)))</f>
        <v/>
      </c>
      <c r="AD37" s="64">
        <f>IF($K37="","",IF(AND($I37&lt;&gt;"",$I37&lt;=AC$3),0,AB37-AC37))</f>
        <v/>
      </c>
      <c r="AE37" s="63">
        <f>IF(OR($K37="",$H37=""),"",MIN(MAX(0,IF($O37="WDV",AD37*$P37*MAX(0,(IF($I37="",AE$3,MIN($I37,AE$3)))-(MAX($H37,(EDATE(AE$3,-12)+1)))+1)/(AE$3-(EDATE(AE$3,-12)+1)+1),IF($N37=0,0,$Q37/$N37*MAX(0,(IF($I37="",AE$3,MIN($I37,AE$3)))-(MAX($H37,(EDATE(AE$3,-12)+1)))+1)/(AE$3-(EDATE(AE$3,-12)+1)+1)))*$W37),MAX(0,AD37-$M37)))</f>
        <v/>
      </c>
      <c r="AF37" s="64">
        <f>IF($K37="","",IF(AND($I37&lt;&gt;"",$I37&lt;=AE$3),0,AD37-AE37))</f>
        <v/>
      </c>
      <c r="AG37" s="63">
        <f>IF(OR($K37="",$H37=""),"",MIN(MAX(0,IF($O37="WDV",AF37*$P37*MAX(0,(IF($I37="",AG$3,MIN($I37,AG$3)))-(MAX($H37,(EDATE(AG$3,-12)+1)))+1)/(AG$3-(EDATE(AG$3,-12)+1)+1),IF($N37=0,0,$Q37/$N37*MAX(0,(IF($I37="",AG$3,MIN($I37,AG$3)))-(MAX($H37,(EDATE(AG$3,-12)+1)))+1)/(AG$3-(EDATE(AG$3,-12)+1)+1)))*$W37),MAX(0,AF37-$M37)))</f>
        <v/>
      </c>
      <c r="AH37" s="64">
        <f>IF($K37="","",IF(AND($I37&lt;&gt;"",$I37&lt;=AG$3),0,AF37-AG37))</f>
        <v/>
      </c>
      <c r="AI37" s="63">
        <f>IF(OR($K37="",$H37=""),"",MIN(MAX(0,IF($O37="WDV",AH37*$P37*MAX(0,(IF($I37="",AI$3,MIN($I37,AI$3)))-(MAX($H37,(EDATE(AI$3,-12)+1)))+1)/(AI$3-(EDATE(AI$3,-12)+1)+1),IF($N37=0,0,$Q37/$N37*MAX(0,(IF($I37="",AI$3,MIN($I37,AI$3)))-(MAX($H37,(EDATE(AI$3,-12)+1)))+1)/(AI$3-(EDATE(AI$3,-12)+1)+1)))*$W37),MAX(0,AH37-$M37)))</f>
        <v/>
      </c>
      <c r="AJ37" s="64">
        <f>IF($K37="","",IF(AND($I37&lt;&gt;"",$I37&lt;=AI$3),0,AH37-AI37))</f>
        <v/>
      </c>
      <c r="AK37" s="63">
        <f>IF(OR($K37="",$H37=""),"",MIN(MAX(0,IF($O37="WDV",AJ37*$P37*MAX(0,(IF($I37="",AK$3,MIN($I37,AK$3)))-(MAX($H37,(EDATE(AK$3,-12)+1)))+1)/(AK$3-(EDATE(AK$3,-12)+1)+1),IF($N37=0,0,$Q37/$N37*MAX(0,(IF($I37="",AK$3,MIN($I37,AK$3)))-(MAX($H37,(EDATE(AK$3,-12)+1)))+1)/(AK$3-(EDATE(AK$3,-12)+1)+1)))*$W37),MAX(0,AJ37-$M37)))</f>
        <v/>
      </c>
      <c r="AL37" s="64">
        <f>IF($K37="","",IF(AND($I37&lt;&gt;"",$I37&lt;=AK$3),0,AJ37-AK37))</f>
        <v/>
      </c>
      <c r="AM37" s="63">
        <f>IF(OR($K37="",$H37=""),"",MIN(MAX(0,IF($O37="WDV",AL37*$P37*MAX(0,(IF($I37="",AM$3,MIN($I37,AM$3)))-(MAX($H37,(EDATE(AM$3,-12)+1)))+1)/(AM$3-(EDATE(AM$3,-12)+1)+1),IF($N37=0,0,$Q37/$N37*MAX(0,(IF($I37="",AM$3,MIN($I37,AM$3)))-(MAX($H37,(EDATE(AM$3,-12)+1)))+1)/(AM$3-(EDATE(AM$3,-12)+1)+1)))*$W37),MAX(0,AL37-$M37)))</f>
        <v/>
      </c>
      <c r="AN37" s="64">
        <f>IF($K37="","",IF(AND($I37&lt;&gt;"",$I37&lt;=AM$3),0,AL37-AM37))</f>
        <v/>
      </c>
      <c r="AO37" s="63">
        <f>IF(OR($K37="",$H37=""),"",MIN(MAX(0,IF($O37="WDV",AN37*$P37*MAX(0,(IF($I37="",AO$3,MIN($I37,AO$3)))-(MAX($H37,(EDATE(AO$3,-12)+1)))+1)/(AO$3-(EDATE(AO$3,-12)+1)+1),IF($N37=0,0,$Q37/$N37*MAX(0,(IF($I37="",AO$3,MIN($I37,AO$3)))-(MAX($H37,(EDATE(AO$3,-12)+1)))+1)/(AO$3-(EDATE(AO$3,-12)+1)+1)))*$W37),MAX(0,AN37-$M37)))</f>
        <v/>
      </c>
      <c r="AP37" s="64">
        <f>IF($K37="","",IF(AND($I37&lt;&gt;"",$I37&lt;=AO$3),0,AN37-AO37))</f>
        <v/>
      </c>
      <c r="AQ37" s="63">
        <f>IF(OR($K37="",$H37=""),"",MIN(MAX(0,IF($O37="WDV",AP37*$P37*MAX(0,(IF($I37="",AQ$3,MIN($I37,AQ$3)))-(MAX($H37,(EDATE(AQ$3,-12)+1)))+1)/(AQ$3-(EDATE(AQ$3,-12)+1)+1),IF($N37=0,0,$Q37/$N37*MAX(0,(IF($I37="",AQ$3,MIN($I37,AQ$3)))-(MAX($H37,(EDATE(AQ$3,-12)+1)))+1)/(AQ$3-(EDATE(AQ$3,-12)+1)+1)))*$W37),MAX(0,AP37-$M37)))</f>
        <v/>
      </c>
      <c r="AR37" s="64">
        <f>IF($K37="","",IF(AND($I37&lt;&gt;"",$I37&lt;=AQ$3),0,AP37-AQ37))</f>
        <v/>
      </c>
      <c r="AS37" s="63">
        <f>IF(OR($K37="",$H37=""),"",MIN(MAX(0,IF($O37="WDV",AR37*$P37*MAX(0,(IF($I37="",AS$3,MIN($I37,AS$3)))-(MAX($H37,(EDATE(AS$3,-12)+1)))+1)/(AS$3-(EDATE(AS$3,-12)+1)+1),IF($N37=0,0,$Q37/$N37*MAX(0,(IF($I37="",AS$3,MIN($I37,AS$3)))-(MAX($H37,(EDATE(AS$3,-12)+1)))+1)/(AS$3-(EDATE(AS$3,-12)+1)+1)))*$W37),MAX(0,AR37-$M37)))</f>
        <v/>
      </c>
      <c r="AT37" s="64">
        <f>IF($K37="","",IF(AND($I37&lt;&gt;"",$I37&lt;=AS$3),0,AR37-AS37))</f>
        <v/>
      </c>
      <c r="AU37" s="63">
        <f>IF(OR($K37="",$H37=""),"",MIN(MAX(0,IF($O37="WDV",AT37*$P37*MAX(0,(IF($I37="",AU$3,MIN($I37,AU$3)))-(MAX($H37,(EDATE(AU$3,-12)+1)))+1)/(AU$3-(EDATE(AU$3,-12)+1)+1),IF($N37=0,0,$Q37/$N37*MAX(0,(IF($I37="",AU$3,MIN($I37,AU$3)))-(MAX($H37,(EDATE(AU$3,-12)+1)))+1)/(AU$3-(EDATE(AU$3,-12)+1)+1)))*$W37),MAX(0,AT37-$M37)))</f>
        <v/>
      </c>
      <c r="AV37" s="64">
        <f>IF($K37="","",IF(AND($I37&lt;&gt;"",$I37&lt;=AU$3),0,AT37-AU37))</f>
        <v/>
      </c>
      <c r="AW37" s="63">
        <f>IF(OR($K37="",$H37=""),"",MIN(MAX(0,IF($O37="WDV",AV37*$P37*MAX(0,(IF($I37="",AW$3,MIN($I37,AW$3)))-(MAX($H37,(EDATE(AW$3,-12)+1)))+1)/(AW$3-(EDATE(AW$3,-12)+1)+1),IF($N37=0,0,$Q37/$N37*MAX(0,(IF($I37="",AW$3,MIN($I37,AW$3)))-(MAX($H37,(EDATE(AW$3,-12)+1)))+1)/(AW$3-(EDATE(AW$3,-12)+1)+1)))*$W37),MAX(0,AV37-$M37)))</f>
        <v/>
      </c>
      <c r="AX37" s="64">
        <f>IF($K37="","",IF(AND($I37&lt;&gt;"",$I37&lt;=AW$3),0,AV37-AW37))</f>
        <v/>
      </c>
      <c r="AY37" s="63">
        <f>IF(OR($K37="",$H37=""),"",MIN(MAX(0,IF($O37="WDV",AX37*$P37*MAX(0,(IF($I37="",AY$3,MIN($I37,AY$3)))-(MAX($H37,(EDATE(AY$3,-12)+1)))+1)/(AY$3-(EDATE(AY$3,-12)+1)+1),IF($N37=0,0,$Q37/$N37*MAX(0,(IF($I37="",AY$3,MIN($I37,AY$3)))-(MAX($H37,(EDATE(AY$3,-12)+1)))+1)/(AY$3-(EDATE(AY$3,-12)+1)+1)))*$W37),MAX(0,AX37-$M37)))</f>
        <v/>
      </c>
      <c r="AZ37" s="64">
        <f>IF($K37="","",IF(AND($I37&lt;&gt;"",$I37&lt;=AY$3),0,AX37-AY37))</f>
        <v/>
      </c>
      <c r="BA37" s="63">
        <f>IF(OR($K37="",$H37=""),"",MIN(MAX(0,IF($O37="WDV",AZ37*$P37*MAX(0,(IF($I37="",BA$3,MIN($I37,BA$3)))-(MAX($H37,(EDATE(BA$3,-12)+1)))+1)/(BA$3-(EDATE(BA$3,-12)+1)+1),IF($N37=0,0,$Q37/$N37*MAX(0,(IF($I37="",BA$3,MIN($I37,BA$3)))-(MAX($H37,(EDATE(BA$3,-12)+1)))+1)/(BA$3-(EDATE(BA$3,-12)+1)+1)))*$W37),MAX(0,AZ37-$M37)))</f>
        <v/>
      </c>
      <c r="BB37" s="64">
        <f>IF($K37="","",IF(AND($I37&lt;&gt;"",$I37&lt;=BA$3),0,AZ37-BA37))</f>
        <v/>
      </c>
      <c r="BC37" s="63">
        <f>IF(OR($K37="",$H37=""),"",MIN(MAX(0,IF($O37="WDV",BB37*$P37*MAX(0,(IF($I37="",BC$3,MIN($I37,BC$3)))-(MAX($H37,(EDATE(BC$3,-12)+1)))+1)/(BC$3-(EDATE(BC$3,-12)+1)+1),IF($N37=0,0,$Q37/$N37*MAX(0,(IF($I37="",BC$3,MIN($I37,BC$3)))-(MAX($H37,(EDATE(BC$3,-12)+1)))+1)/(BC$3-(EDATE(BC$3,-12)+1)+1)))*$W37),MAX(0,BB37-$M37)))</f>
        <v/>
      </c>
      <c r="BD37" s="64">
        <f>IF($K37="","",IF(AND($I37&lt;&gt;"",$I37&lt;=BC$3),0,BB37-BC37))</f>
        <v/>
      </c>
      <c r="BE37" s="63">
        <f>IF(OR($K37="",$H37=""),"",MIN(MAX(0,IF($O37="WDV",BD37*$P37*MAX(0,(IF($I37="",BE$3,MIN($I37,BE$3)))-(MAX($H37,(EDATE(BE$3,-12)+1)))+1)/(BE$3-(EDATE(BE$3,-12)+1)+1),IF($N37=0,0,$Q37/$N37*MAX(0,(IF($I37="",BE$3,MIN($I37,BE$3)))-(MAX($H37,(EDATE(BE$3,-12)+1)))+1)/(BE$3-(EDATE(BE$3,-12)+1)+1)))*$W37),MAX(0,BD37-$M37)))</f>
        <v/>
      </c>
      <c r="BF37" s="64">
        <f>IF($K37="","",IF(AND($I37&lt;&gt;"",$I37&lt;=BE$3),0,BD37-BE37))</f>
        <v/>
      </c>
    </row>
    <row r="38">
      <c r="A38" s="65" t="n"/>
      <c r="B38" s="66" t="n"/>
      <c r="C38" s="66" t="n"/>
      <c r="D38" s="66" t="n"/>
      <c r="E38" s="67" t="n"/>
      <c r="F38" s="68" t="n"/>
      <c r="G38" s="69" t="n"/>
      <c r="H38" s="69" t="n"/>
      <c r="I38" s="70" t="n"/>
      <c r="J38" s="71" t="n"/>
      <c r="K38" s="72" t="n"/>
      <c r="L38" s="73">
        <f>DefaultResidual</f>
        <v/>
      </c>
      <c r="M38" s="74">
        <f>IF($K38="","",$K38*$L38)</f>
        <v/>
      </c>
      <c r="N38" s="22">
        <f>IF($C38="","",IFERROR(VLOOKUP($C38,ScheduleIITable,3,FALSE),"#N/A"))</f>
        <v/>
      </c>
      <c r="O38" s="75">
        <f>IF($K38="","",GlobalMethod)</f>
        <v/>
      </c>
      <c r="P38" s="23">
        <f>IF(OR($K38="",$N38="",$N38=0,$M38=0),0,1-($M38/$K38)^(1/$N38))</f>
        <v/>
      </c>
      <c r="Q38" s="74">
        <f>IF($K38="","",$K38-$M38)</f>
        <v/>
      </c>
      <c r="R38" s="76">
        <f>IF($K38="","",INDEX($AA38:$BF38,1,MATCH(ReportingFYEnd,$AA$3:$BF$3,0)))</f>
        <v/>
      </c>
      <c r="S38" s="74">
        <f>IF($K38="","",IF($U38="Disposed",0,$K38-$T38))</f>
        <v/>
      </c>
      <c r="T38" s="77">
        <f>IF($K38="","",INDEX($AA38:$BF38,1,MATCH(ReportingFYEnd,$AA$3:$BF$3,0)+1))</f>
        <v/>
      </c>
      <c r="U38" s="78">
        <f>IF($K38="","",IF(AND($I38&lt;&gt;"",$I38&lt;=ReportingFYEnd),"Disposed",IF(OR($H38="",$H38&gt;ReportingFYEnd),"Not Yet in Use","Active")))</f>
        <v/>
      </c>
      <c r="V38" s="79" t="n"/>
      <c r="W38" s="80">
        <f>IF($V38="Double",1.5,IF($V38="Triple",2,1))</f>
        <v/>
      </c>
      <c r="X38" s="69" t="n"/>
      <c r="Y38" s="78">
        <f>IF($K38="","",IF(OR(ISNUMBER(SEARCH("Build",$C38)),ISNUMBER(SEARCH("Lease",$C38))),"Yes","NA"))</f>
        <v/>
      </c>
      <c r="Z38" s="21" t="n"/>
      <c r="AA38" s="81">
        <f>IF(OR($K38="",$H38=""),"",MIN(MAX(0,IF($O38="WDV",$K38*$P38*MAX(0,(IF($I38="",AA$3,MIN($I38,AA$3)))-(MAX($H38,(EDATE(AA$3,-12)+1)))+1)/(AA$3-(EDATE(AA$3,-12)+1)+1),IF($N38=0,0,$Q38/$N38*MAX(0,(IF($I38="",AA$3,MIN($I38,AA$3)))-(MAX($H38,(EDATE(AA$3,-12)+1)))+1)/(AA$3-(EDATE(AA$3,-12)+1)+1)))*$W38),MAX(0,$K38-$M38)))</f>
        <v/>
      </c>
      <c r="AB38" s="81">
        <f>IF($K38="","",IF(AND($I38&lt;&gt;"",$I38&lt;=AA$3),0,$K38-AA38))</f>
        <v/>
      </c>
      <c r="AC38" s="81">
        <f>IF(OR($K38="",$H38=""),"",MIN(MAX(0,IF($O38="WDV",AB38*$P38*MAX(0,(IF($I38="",AC$3,MIN($I38,AC$3)))-(MAX($H38,(EDATE(AC$3,-12)+1)))+1)/(AC$3-(EDATE(AC$3,-12)+1)+1),IF($N38=0,0,$Q38/$N38*MAX(0,(IF($I38="",AC$3,MIN($I38,AC$3)))-(MAX($H38,(EDATE(AC$3,-12)+1)))+1)/(AC$3-(EDATE(AC$3,-12)+1)+1)))*$W38),MAX(0,AB38-$M38)))</f>
        <v/>
      </c>
      <c r="AD38" s="81">
        <f>IF($K38="","",IF(AND($I38&lt;&gt;"",$I38&lt;=AC$3),0,AB38-AC38))</f>
        <v/>
      </c>
      <c r="AE38" s="81">
        <f>IF(OR($K38="",$H38=""),"",MIN(MAX(0,IF($O38="WDV",AD38*$P38*MAX(0,(IF($I38="",AE$3,MIN($I38,AE$3)))-(MAX($H38,(EDATE(AE$3,-12)+1)))+1)/(AE$3-(EDATE(AE$3,-12)+1)+1),IF($N38=0,0,$Q38/$N38*MAX(0,(IF($I38="",AE$3,MIN($I38,AE$3)))-(MAX($H38,(EDATE(AE$3,-12)+1)))+1)/(AE$3-(EDATE(AE$3,-12)+1)+1)))*$W38),MAX(0,AD38-$M38)))</f>
        <v/>
      </c>
      <c r="AF38" s="81">
        <f>IF($K38="","",IF(AND($I38&lt;&gt;"",$I38&lt;=AE$3),0,AD38-AE38))</f>
        <v/>
      </c>
      <c r="AG38" s="81">
        <f>IF(OR($K38="",$H38=""),"",MIN(MAX(0,IF($O38="WDV",AF38*$P38*MAX(0,(IF($I38="",AG$3,MIN($I38,AG$3)))-(MAX($H38,(EDATE(AG$3,-12)+1)))+1)/(AG$3-(EDATE(AG$3,-12)+1)+1),IF($N38=0,0,$Q38/$N38*MAX(0,(IF($I38="",AG$3,MIN($I38,AG$3)))-(MAX($H38,(EDATE(AG$3,-12)+1)))+1)/(AG$3-(EDATE(AG$3,-12)+1)+1)))*$W38),MAX(0,AF38-$M38)))</f>
        <v/>
      </c>
      <c r="AH38" s="81">
        <f>IF($K38="","",IF(AND($I38&lt;&gt;"",$I38&lt;=AG$3),0,AF38-AG38))</f>
        <v/>
      </c>
      <c r="AI38" s="81">
        <f>IF(OR($K38="",$H38=""),"",MIN(MAX(0,IF($O38="WDV",AH38*$P38*MAX(0,(IF($I38="",AI$3,MIN($I38,AI$3)))-(MAX($H38,(EDATE(AI$3,-12)+1)))+1)/(AI$3-(EDATE(AI$3,-12)+1)+1),IF($N38=0,0,$Q38/$N38*MAX(0,(IF($I38="",AI$3,MIN($I38,AI$3)))-(MAX($H38,(EDATE(AI$3,-12)+1)))+1)/(AI$3-(EDATE(AI$3,-12)+1)+1)))*$W38),MAX(0,AH38-$M38)))</f>
        <v/>
      </c>
      <c r="AJ38" s="81">
        <f>IF($K38="","",IF(AND($I38&lt;&gt;"",$I38&lt;=AI$3),0,AH38-AI38))</f>
        <v/>
      </c>
      <c r="AK38" s="81">
        <f>IF(OR($K38="",$H38=""),"",MIN(MAX(0,IF($O38="WDV",AJ38*$P38*MAX(0,(IF($I38="",AK$3,MIN($I38,AK$3)))-(MAX($H38,(EDATE(AK$3,-12)+1)))+1)/(AK$3-(EDATE(AK$3,-12)+1)+1),IF($N38=0,0,$Q38/$N38*MAX(0,(IF($I38="",AK$3,MIN($I38,AK$3)))-(MAX($H38,(EDATE(AK$3,-12)+1)))+1)/(AK$3-(EDATE(AK$3,-12)+1)+1)))*$W38),MAX(0,AJ38-$M38)))</f>
        <v/>
      </c>
      <c r="AL38" s="81">
        <f>IF($K38="","",IF(AND($I38&lt;&gt;"",$I38&lt;=AK$3),0,AJ38-AK38))</f>
        <v/>
      </c>
      <c r="AM38" s="81">
        <f>IF(OR($K38="",$H38=""),"",MIN(MAX(0,IF($O38="WDV",AL38*$P38*MAX(0,(IF($I38="",AM$3,MIN($I38,AM$3)))-(MAX($H38,(EDATE(AM$3,-12)+1)))+1)/(AM$3-(EDATE(AM$3,-12)+1)+1),IF($N38=0,0,$Q38/$N38*MAX(0,(IF($I38="",AM$3,MIN($I38,AM$3)))-(MAX($H38,(EDATE(AM$3,-12)+1)))+1)/(AM$3-(EDATE(AM$3,-12)+1)+1)))*$W38),MAX(0,AL38-$M38)))</f>
        <v/>
      </c>
      <c r="AN38" s="81">
        <f>IF($K38="","",IF(AND($I38&lt;&gt;"",$I38&lt;=AM$3),0,AL38-AM38))</f>
        <v/>
      </c>
      <c r="AO38" s="81">
        <f>IF(OR($K38="",$H38=""),"",MIN(MAX(0,IF($O38="WDV",AN38*$P38*MAX(0,(IF($I38="",AO$3,MIN($I38,AO$3)))-(MAX($H38,(EDATE(AO$3,-12)+1)))+1)/(AO$3-(EDATE(AO$3,-12)+1)+1),IF($N38=0,0,$Q38/$N38*MAX(0,(IF($I38="",AO$3,MIN($I38,AO$3)))-(MAX($H38,(EDATE(AO$3,-12)+1)))+1)/(AO$3-(EDATE(AO$3,-12)+1)+1)))*$W38),MAX(0,AN38-$M38)))</f>
        <v/>
      </c>
      <c r="AP38" s="81">
        <f>IF($K38="","",IF(AND($I38&lt;&gt;"",$I38&lt;=AO$3),0,AN38-AO38))</f>
        <v/>
      </c>
      <c r="AQ38" s="81">
        <f>IF(OR($K38="",$H38=""),"",MIN(MAX(0,IF($O38="WDV",AP38*$P38*MAX(0,(IF($I38="",AQ$3,MIN($I38,AQ$3)))-(MAX($H38,(EDATE(AQ$3,-12)+1)))+1)/(AQ$3-(EDATE(AQ$3,-12)+1)+1),IF($N38=0,0,$Q38/$N38*MAX(0,(IF($I38="",AQ$3,MIN($I38,AQ$3)))-(MAX($H38,(EDATE(AQ$3,-12)+1)))+1)/(AQ$3-(EDATE(AQ$3,-12)+1)+1)))*$W38),MAX(0,AP38-$M38)))</f>
        <v/>
      </c>
      <c r="AR38" s="81">
        <f>IF($K38="","",IF(AND($I38&lt;&gt;"",$I38&lt;=AQ$3),0,AP38-AQ38))</f>
        <v/>
      </c>
      <c r="AS38" s="81">
        <f>IF(OR($K38="",$H38=""),"",MIN(MAX(0,IF($O38="WDV",AR38*$P38*MAX(0,(IF($I38="",AS$3,MIN($I38,AS$3)))-(MAX($H38,(EDATE(AS$3,-12)+1)))+1)/(AS$3-(EDATE(AS$3,-12)+1)+1),IF($N38=0,0,$Q38/$N38*MAX(0,(IF($I38="",AS$3,MIN($I38,AS$3)))-(MAX($H38,(EDATE(AS$3,-12)+1)))+1)/(AS$3-(EDATE(AS$3,-12)+1)+1)))*$W38),MAX(0,AR38-$M38)))</f>
        <v/>
      </c>
      <c r="AT38" s="81">
        <f>IF($K38="","",IF(AND($I38&lt;&gt;"",$I38&lt;=AS$3),0,AR38-AS38))</f>
        <v/>
      </c>
      <c r="AU38" s="81">
        <f>IF(OR($K38="",$H38=""),"",MIN(MAX(0,IF($O38="WDV",AT38*$P38*MAX(0,(IF($I38="",AU$3,MIN($I38,AU$3)))-(MAX($H38,(EDATE(AU$3,-12)+1)))+1)/(AU$3-(EDATE(AU$3,-12)+1)+1),IF($N38=0,0,$Q38/$N38*MAX(0,(IF($I38="",AU$3,MIN($I38,AU$3)))-(MAX($H38,(EDATE(AU$3,-12)+1)))+1)/(AU$3-(EDATE(AU$3,-12)+1)+1)))*$W38),MAX(0,AT38-$M38)))</f>
        <v/>
      </c>
      <c r="AV38" s="81">
        <f>IF($K38="","",IF(AND($I38&lt;&gt;"",$I38&lt;=AU$3),0,AT38-AU38))</f>
        <v/>
      </c>
      <c r="AW38" s="81">
        <f>IF(OR($K38="",$H38=""),"",MIN(MAX(0,IF($O38="WDV",AV38*$P38*MAX(0,(IF($I38="",AW$3,MIN($I38,AW$3)))-(MAX($H38,(EDATE(AW$3,-12)+1)))+1)/(AW$3-(EDATE(AW$3,-12)+1)+1),IF($N38=0,0,$Q38/$N38*MAX(0,(IF($I38="",AW$3,MIN($I38,AW$3)))-(MAX($H38,(EDATE(AW$3,-12)+1)))+1)/(AW$3-(EDATE(AW$3,-12)+1)+1)))*$W38),MAX(0,AV38-$M38)))</f>
        <v/>
      </c>
      <c r="AX38" s="81">
        <f>IF($K38="","",IF(AND($I38&lt;&gt;"",$I38&lt;=AW$3),0,AV38-AW38))</f>
        <v/>
      </c>
      <c r="AY38" s="81">
        <f>IF(OR($K38="",$H38=""),"",MIN(MAX(0,IF($O38="WDV",AX38*$P38*MAX(0,(IF($I38="",AY$3,MIN($I38,AY$3)))-(MAX($H38,(EDATE(AY$3,-12)+1)))+1)/(AY$3-(EDATE(AY$3,-12)+1)+1),IF($N38=0,0,$Q38/$N38*MAX(0,(IF($I38="",AY$3,MIN($I38,AY$3)))-(MAX($H38,(EDATE(AY$3,-12)+1)))+1)/(AY$3-(EDATE(AY$3,-12)+1)+1)))*$W38),MAX(0,AX38-$M38)))</f>
        <v/>
      </c>
      <c r="AZ38" s="81">
        <f>IF($K38="","",IF(AND($I38&lt;&gt;"",$I38&lt;=AY$3),0,AX38-AY38))</f>
        <v/>
      </c>
      <c r="BA38" s="81">
        <f>IF(OR($K38="",$H38=""),"",MIN(MAX(0,IF($O38="WDV",AZ38*$P38*MAX(0,(IF($I38="",BA$3,MIN($I38,BA$3)))-(MAX($H38,(EDATE(BA$3,-12)+1)))+1)/(BA$3-(EDATE(BA$3,-12)+1)+1),IF($N38=0,0,$Q38/$N38*MAX(0,(IF($I38="",BA$3,MIN($I38,BA$3)))-(MAX($H38,(EDATE(BA$3,-12)+1)))+1)/(BA$3-(EDATE(BA$3,-12)+1)+1)))*$W38),MAX(0,AZ38-$M38)))</f>
        <v/>
      </c>
      <c r="BB38" s="81">
        <f>IF($K38="","",IF(AND($I38&lt;&gt;"",$I38&lt;=BA$3),0,AZ38-BA38))</f>
        <v/>
      </c>
      <c r="BC38" s="81">
        <f>IF(OR($K38="",$H38=""),"",MIN(MAX(0,IF($O38="WDV",BB38*$P38*MAX(0,(IF($I38="",BC$3,MIN($I38,BC$3)))-(MAX($H38,(EDATE(BC$3,-12)+1)))+1)/(BC$3-(EDATE(BC$3,-12)+1)+1),IF($N38=0,0,$Q38/$N38*MAX(0,(IF($I38="",BC$3,MIN($I38,BC$3)))-(MAX($H38,(EDATE(BC$3,-12)+1)))+1)/(BC$3-(EDATE(BC$3,-12)+1)+1)))*$W38),MAX(0,BB38-$M38)))</f>
        <v/>
      </c>
      <c r="BD38" s="81">
        <f>IF($K38="","",IF(AND($I38&lt;&gt;"",$I38&lt;=BC$3),0,BB38-BC38))</f>
        <v/>
      </c>
      <c r="BE38" s="81">
        <f>IF(OR($K38="",$H38=""),"",MIN(MAX(0,IF($O38="WDV",BD38*$P38*MAX(0,(IF($I38="",BE$3,MIN($I38,BE$3)))-(MAX($H38,(EDATE(BE$3,-12)+1)))+1)/(BE$3-(EDATE(BE$3,-12)+1)+1),IF($N38=0,0,$Q38/$N38*MAX(0,(IF($I38="",BE$3,MIN($I38,BE$3)))-(MAX($H38,(EDATE(BE$3,-12)+1)))+1)/(BE$3-(EDATE(BE$3,-12)+1)+1)))*$W38),MAX(0,BD38-$M38)))</f>
        <v/>
      </c>
      <c r="BF38" s="81">
        <f>IF($K38="","",IF(AND($I38&lt;&gt;"",$I38&lt;=BE$3),0,BD38-BE38))</f>
        <v/>
      </c>
    </row>
    <row r="39">
      <c r="A39" s="44" t="n"/>
      <c r="B39" s="45" t="n"/>
      <c r="C39" s="45" t="n"/>
      <c r="D39" s="45" t="n"/>
      <c r="E39" s="46" t="n"/>
      <c r="F39" s="47" t="n"/>
      <c r="G39" s="48" t="n"/>
      <c r="H39" s="48" t="n"/>
      <c r="I39" s="49" t="n"/>
      <c r="J39" s="50" t="n"/>
      <c r="K39" s="51" t="n"/>
      <c r="L39" s="52">
        <f>DefaultResidual</f>
        <v/>
      </c>
      <c r="M39" s="53">
        <f>IF($K39="","",$K39*$L39)</f>
        <v/>
      </c>
      <c r="N39" s="54">
        <f>IF($C39="","",IFERROR(VLOOKUP($C39,ScheduleIITable,3,FALSE),"#N/A"))</f>
        <v/>
      </c>
      <c r="O39" s="55">
        <f>IF($K39="","",GlobalMethod)</f>
        <v/>
      </c>
      <c r="P39" s="56">
        <f>IF(OR($K39="",$N39="",$N39=0,$M39=0),0,1-($M39/$K39)^(1/$N39))</f>
        <v/>
      </c>
      <c r="Q39" s="53">
        <f>IF($K39="","",$K39-$M39)</f>
        <v/>
      </c>
      <c r="R39" s="57">
        <f>IF($K39="","",INDEX($AA39:$BF39,1,MATCH(ReportingFYEnd,$AA$3:$BF$3,0)))</f>
        <v/>
      </c>
      <c r="S39" s="53">
        <f>IF($K39="","",IF($U39="Disposed",0,$K39-$T39))</f>
        <v/>
      </c>
      <c r="T39" s="58">
        <f>IF($K39="","",INDEX($AA39:$BF39,1,MATCH(ReportingFYEnd,$AA$3:$BF$3,0)+1))</f>
        <v/>
      </c>
      <c r="U39" s="59">
        <f>IF($K39="","",IF(AND($I39&lt;&gt;"",$I39&lt;=ReportingFYEnd),"Disposed",IF(OR($H39="",$H39&gt;ReportingFYEnd),"Not Yet in Use","Active")))</f>
        <v/>
      </c>
      <c r="V39" s="60" t="n"/>
      <c r="W39" s="61">
        <f>IF($V39="Double",1.5,IF($V39="Triple",2,1))</f>
        <v/>
      </c>
      <c r="X39" s="48" t="n"/>
      <c r="Y39" s="59">
        <f>IF($K39="","",IF(OR(ISNUMBER(SEARCH("Build",$C39)),ISNUMBER(SEARCH("Lease",$C39))),"Yes","NA"))</f>
        <v/>
      </c>
      <c r="Z39" s="62" t="n"/>
      <c r="AA39" s="63">
        <f>IF(OR($K39="",$H39=""),"",MIN(MAX(0,IF($O39="WDV",$K39*$P39*MAX(0,(IF($I39="",AA$3,MIN($I39,AA$3)))-(MAX($H39,(EDATE(AA$3,-12)+1)))+1)/(AA$3-(EDATE(AA$3,-12)+1)+1),IF($N39=0,0,$Q39/$N39*MAX(0,(IF($I39="",AA$3,MIN($I39,AA$3)))-(MAX($H39,(EDATE(AA$3,-12)+1)))+1)/(AA$3-(EDATE(AA$3,-12)+1)+1)))*$W39),MAX(0,$K39-$M39)))</f>
        <v/>
      </c>
      <c r="AB39" s="64">
        <f>IF($K39="","",IF(AND($I39&lt;&gt;"",$I39&lt;=AA$3),0,$K39-AA39))</f>
        <v/>
      </c>
      <c r="AC39" s="63">
        <f>IF(OR($K39="",$H39=""),"",MIN(MAX(0,IF($O39="WDV",AB39*$P39*MAX(0,(IF($I39="",AC$3,MIN($I39,AC$3)))-(MAX($H39,(EDATE(AC$3,-12)+1)))+1)/(AC$3-(EDATE(AC$3,-12)+1)+1),IF($N39=0,0,$Q39/$N39*MAX(0,(IF($I39="",AC$3,MIN($I39,AC$3)))-(MAX($H39,(EDATE(AC$3,-12)+1)))+1)/(AC$3-(EDATE(AC$3,-12)+1)+1)))*$W39),MAX(0,AB39-$M39)))</f>
        <v/>
      </c>
      <c r="AD39" s="64">
        <f>IF($K39="","",IF(AND($I39&lt;&gt;"",$I39&lt;=AC$3),0,AB39-AC39))</f>
        <v/>
      </c>
      <c r="AE39" s="63">
        <f>IF(OR($K39="",$H39=""),"",MIN(MAX(0,IF($O39="WDV",AD39*$P39*MAX(0,(IF($I39="",AE$3,MIN($I39,AE$3)))-(MAX($H39,(EDATE(AE$3,-12)+1)))+1)/(AE$3-(EDATE(AE$3,-12)+1)+1),IF($N39=0,0,$Q39/$N39*MAX(0,(IF($I39="",AE$3,MIN($I39,AE$3)))-(MAX($H39,(EDATE(AE$3,-12)+1)))+1)/(AE$3-(EDATE(AE$3,-12)+1)+1)))*$W39),MAX(0,AD39-$M39)))</f>
        <v/>
      </c>
      <c r="AF39" s="64">
        <f>IF($K39="","",IF(AND($I39&lt;&gt;"",$I39&lt;=AE$3),0,AD39-AE39))</f>
        <v/>
      </c>
      <c r="AG39" s="63">
        <f>IF(OR($K39="",$H39=""),"",MIN(MAX(0,IF($O39="WDV",AF39*$P39*MAX(0,(IF($I39="",AG$3,MIN($I39,AG$3)))-(MAX($H39,(EDATE(AG$3,-12)+1)))+1)/(AG$3-(EDATE(AG$3,-12)+1)+1),IF($N39=0,0,$Q39/$N39*MAX(0,(IF($I39="",AG$3,MIN($I39,AG$3)))-(MAX($H39,(EDATE(AG$3,-12)+1)))+1)/(AG$3-(EDATE(AG$3,-12)+1)+1)))*$W39),MAX(0,AF39-$M39)))</f>
        <v/>
      </c>
      <c r="AH39" s="64">
        <f>IF($K39="","",IF(AND($I39&lt;&gt;"",$I39&lt;=AG$3),0,AF39-AG39))</f>
        <v/>
      </c>
      <c r="AI39" s="63">
        <f>IF(OR($K39="",$H39=""),"",MIN(MAX(0,IF($O39="WDV",AH39*$P39*MAX(0,(IF($I39="",AI$3,MIN($I39,AI$3)))-(MAX($H39,(EDATE(AI$3,-12)+1)))+1)/(AI$3-(EDATE(AI$3,-12)+1)+1),IF($N39=0,0,$Q39/$N39*MAX(0,(IF($I39="",AI$3,MIN($I39,AI$3)))-(MAX($H39,(EDATE(AI$3,-12)+1)))+1)/(AI$3-(EDATE(AI$3,-12)+1)+1)))*$W39),MAX(0,AH39-$M39)))</f>
        <v/>
      </c>
      <c r="AJ39" s="64">
        <f>IF($K39="","",IF(AND($I39&lt;&gt;"",$I39&lt;=AI$3),0,AH39-AI39))</f>
        <v/>
      </c>
      <c r="AK39" s="63">
        <f>IF(OR($K39="",$H39=""),"",MIN(MAX(0,IF($O39="WDV",AJ39*$P39*MAX(0,(IF($I39="",AK$3,MIN($I39,AK$3)))-(MAX($H39,(EDATE(AK$3,-12)+1)))+1)/(AK$3-(EDATE(AK$3,-12)+1)+1),IF($N39=0,0,$Q39/$N39*MAX(0,(IF($I39="",AK$3,MIN($I39,AK$3)))-(MAX($H39,(EDATE(AK$3,-12)+1)))+1)/(AK$3-(EDATE(AK$3,-12)+1)+1)))*$W39),MAX(0,AJ39-$M39)))</f>
        <v/>
      </c>
      <c r="AL39" s="64">
        <f>IF($K39="","",IF(AND($I39&lt;&gt;"",$I39&lt;=AK$3),0,AJ39-AK39))</f>
        <v/>
      </c>
      <c r="AM39" s="63">
        <f>IF(OR($K39="",$H39=""),"",MIN(MAX(0,IF($O39="WDV",AL39*$P39*MAX(0,(IF($I39="",AM$3,MIN($I39,AM$3)))-(MAX($H39,(EDATE(AM$3,-12)+1)))+1)/(AM$3-(EDATE(AM$3,-12)+1)+1),IF($N39=0,0,$Q39/$N39*MAX(0,(IF($I39="",AM$3,MIN($I39,AM$3)))-(MAX($H39,(EDATE(AM$3,-12)+1)))+1)/(AM$3-(EDATE(AM$3,-12)+1)+1)))*$W39),MAX(0,AL39-$M39)))</f>
        <v/>
      </c>
      <c r="AN39" s="64">
        <f>IF($K39="","",IF(AND($I39&lt;&gt;"",$I39&lt;=AM$3),0,AL39-AM39))</f>
        <v/>
      </c>
      <c r="AO39" s="63">
        <f>IF(OR($K39="",$H39=""),"",MIN(MAX(0,IF($O39="WDV",AN39*$P39*MAX(0,(IF($I39="",AO$3,MIN($I39,AO$3)))-(MAX($H39,(EDATE(AO$3,-12)+1)))+1)/(AO$3-(EDATE(AO$3,-12)+1)+1),IF($N39=0,0,$Q39/$N39*MAX(0,(IF($I39="",AO$3,MIN($I39,AO$3)))-(MAX($H39,(EDATE(AO$3,-12)+1)))+1)/(AO$3-(EDATE(AO$3,-12)+1)+1)))*$W39),MAX(0,AN39-$M39)))</f>
        <v/>
      </c>
      <c r="AP39" s="64">
        <f>IF($K39="","",IF(AND($I39&lt;&gt;"",$I39&lt;=AO$3),0,AN39-AO39))</f>
        <v/>
      </c>
      <c r="AQ39" s="63">
        <f>IF(OR($K39="",$H39=""),"",MIN(MAX(0,IF($O39="WDV",AP39*$P39*MAX(0,(IF($I39="",AQ$3,MIN($I39,AQ$3)))-(MAX($H39,(EDATE(AQ$3,-12)+1)))+1)/(AQ$3-(EDATE(AQ$3,-12)+1)+1),IF($N39=0,0,$Q39/$N39*MAX(0,(IF($I39="",AQ$3,MIN($I39,AQ$3)))-(MAX($H39,(EDATE(AQ$3,-12)+1)))+1)/(AQ$3-(EDATE(AQ$3,-12)+1)+1)))*$W39),MAX(0,AP39-$M39)))</f>
        <v/>
      </c>
      <c r="AR39" s="64">
        <f>IF($K39="","",IF(AND($I39&lt;&gt;"",$I39&lt;=AQ$3),0,AP39-AQ39))</f>
        <v/>
      </c>
      <c r="AS39" s="63">
        <f>IF(OR($K39="",$H39=""),"",MIN(MAX(0,IF($O39="WDV",AR39*$P39*MAX(0,(IF($I39="",AS$3,MIN($I39,AS$3)))-(MAX($H39,(EDATE(AS$3,-12)+1)))+1)/(AS$3-(EDATE(AS$3,-12)+1)+1),IF($N39=0,0,$Q39/$N39*MAX(0,(IF($I39="",AS$3,MIN($I39,AS$3)))-(MAX($H39,(EDATE(AS$3,-12)+1)))+1)/(AS$3-(EDATE(AS$3,-12)+1)+1)))*$W39),MAX(0,AR39-$M39)))</f>
        <v/>
      </c>
      <c r="AT39" s="64">
        <f>IF($K39="","",IF(AND($I39&lt;&gt;"",$I39&lt;=AS$3),0,AR39-AS39))</f>
        <v/>
      </c>
      <c r="AU39" s="63">
        <f>IF(OR($K39="",$H39=""),"",MIN(MAX(0,IF($O39="WDV",AT39*$P39*MAX(0,(IF($I39="",AU$3,MIN($I39,AU$3)))-(MAX($H39,(EDATE(AU$3,-12)+1)))+1)/(AU$3-(EDATE(AU$3,-12)+1)+1),IF($N39=0,0,$Q39/$N39*MAX(0,(IF($I39="",AU$3,MIN($I39,AU$3)))-(MAX($H39,(EDATE(AU$3,-12)+1)))+1)/(AU$3-(EDATE(AU$3,-12)+1)+1)))*$W39),MAX(0,AT39-$M39)))</f>
        <v/>
      </c>
      <c r="AV39" s="64">
        <f>IF($K39="","",IF(AND($I39&lt;&gt;"",$I39&lt;=AU$3),0,AT39-AU39))</f>
        <v/>
      </c>
      <c r="AW39" s="63">
        <f>IF(OR($K39="",$H39=""),"",MIN(MAX(0,IF($O39="WDV",AV39*$P39*MAX(0,(IF($I39="",AW$3,MIN($I39,AW$3)))-(MAX($H39,(EDATE(AW$3,-12)+1)))+1)/(AW$3-(EDATE(AW$3,-12)+1)+1),IF($N39=0,0,$Q39/$N39*MAX(0,(IF($I39="",AW$3,MIN($I39,AW$3)))-(MAX($H39,(EDATE(AW$3,-12)+1)))+1)/(AW$3-(EDATE(AW$3,-12)+1)+1)))*$W39),MAX(0,AV39-$M39)))</f>
        <v/>
      </c>
      <c r="AX39" s="64">
        <f>IF($K39="","",IF(AND($I39&lt;&gt;"",$I39&lt;=AW$3),0,AV39-AW39))</f>
        <v/>
      </c>
      <c r="AY39" s="63">
        <f>IF(OR($K39="",$H39=""),"",MIN(MAX(0,IF($O39="WDV",AX39*$P39*MAX(0,(IF($I39="",AY$3,MIN($I39,AY$3)))-(MAX($H39,(EDATE(AY$3,-12)+1)))+1)/(AY$3-(EDATE(AY$3,-12)+1)+1),IF($N39=0,0,$Q39/$N39*MAX(0,(IF($I39="",AY$3,MIN($I39,AY$3)))-(MAX($H39,(EDATE(AY$3,-12)+1)))+1)/(AY$3-(EDATE(AY$3,-12)+1)+1)))*$W39),MAX(0,AX39-$M39)))</f>
        <v/>
      </c>
      <c r="AZ39" s="64">
        <f>IF($K39="","",IF(AND($I39&lt;&gt;"",$I39&lt;=AY$3),0,AX39-AY39))</f>
        <v/>
      </c>
      <c r="BA39" s="63">
        <f>IF(OR($K39="",$H39=""),"",MIN(MAX(0,IF($O39="WDV",AZ39*$P39*MAX(0,(IF($I39="",BA$3,MIN($I39,BA$3)))-(MAX($H39,(EDATE(BA$3,-12)+1)))+1)/(BA$3-(EDATE(BA$3,-12)+1)+1),IF($N39=0,0,$Q39/$N39*MAX(0,(IF($I39="",BA$3,MIN($I39,BA$3)))-(MAX($H39,(EDATE(BA$3,-12)+1)))+1)/(BA$3-(EDATE(BA$3,-12)+1)+1)))*$W39),MAX(0,AZ39-$M39)))</f>
        <v/>
      </c>
      <c r="BB39" s="64">
        <f>IF($K39="","",IF(AND($I39&lt;&gt;"",$I39&lt;=BA$3),0,AZ39-BA39))</f>
        <v/>
      </c>
      <c r="BC39" s="63">
        <f>IF(OR($K39="",$H39=""),"",MIN(MAX(0,IF($O39="WDV",BB39*$P39*MAX(0,(IF($I39="",BC$3,MIN($I39,BC$3)))-(MAX($H39,(EDATE(BC$3,-12)+1)))+1)/(BC$3-(EDATE(BC$3,-12)+1)+1),IF($N39=0,0,$Q39/$N39*MAX(0,(IF($I39="",BC$3,MIN($I39,BC$3)))-(MAX($H39,(EDATE(BC$3,-12)+1)))+1)/(BC$3-(EDATE(BC$3,-12)+1)+1)))*$W39),MAX(0,BB39-$M39)))</f>
        <v/>
      </c>
      <c r="BD39" s="64">
        <f>IF($K39="","",IF(AND($I39&lt;&gt;"",$I39&lt;=BC$3),0,BB39-BC39))</f>
        <v/>
      </c>
      <c r="BE39" s="63">
        <f>IF(OR($K39="",$H39=""),"",MIN(MAX(0,IF($O39="WDV",BD39*$P39*MAX(0,(IF($I39="",BE$3,MIN($I39,BE$3)))-(MAX($H39,(EDATE(BE$3,-12)+1)))+1)/(BE$3-(EDATE(BE$3,-12)+1)+1),IF($N39=0,0,$Q39/$N39*MAX(0,(IF($I39="",BE$3,MIN($I39,BE$3)))-(MAX($H39,(EDATE(BE$3,-12)+1)))+1)/(BE$3-(EDATE(BE$3,-12)+1)+1)))*$W39),MAX(0,BD39-$M39)))</f>
        <v/>
      </c>
      <c r="BF39" s="64">
        <f>IF($K39="","",IF(AND($I39&lt;&gt;"",$I39&lt;=BE$3),0,BD39-BE39))</f>
        <v/>
      </c>
    </row>
    <row r="40">
      <c r="A40" s="65" t="n"/>
      <c r="B40" s="66" t="n"/>
      <c r="C40" s="66" t="n"/>
      <c r="D40" s="66" t="n"/>
      <c r="E40" s="67" t="n"/>
      <c r="F40" s="68" t="n"/>
      <c r="G40" s="69" t="n"/>
      <c r="H40" s="69" t="n"/>
      <c r="I40" s="70" t="n"/>
      <c r="J40" s="71" t="n"/>
      <c r="K40" s="72" t="n"/>
      <c r="L40" s="73">
        <f>DefaultResidual</f>
        <v/>
      </c>
      <c r="M40" s="74">
        <f>IF($K40="","",$K40*$L40)</f>
        <v/>
      </c>
      <c r="N40" s="22">
        <f>IF($C40="","",IFERROR(VLOOKUP($C40,ScheduleIITable,3,FALSE),"#N/A"))</f>
        <v/>
      </c>
      <c r="O40" s="75">
        <f>IF($K40="","",GlobalMethod)</f>
        <v/>
      </c>
      <c r="P40" s="23">
        <f>IF(OR($K40="",$N40="",$N40=0,$M40=0),0,1-($M40/$K40)^(1/$N40))</f>
        <v/>
      </c>
      <c r="Q40" s="74">
        <f>IF($K40="","",$K40-$M40)</f>
        <v/>
      </c>
      <c r="R40" s="76">
        <f>IF($K40="","",INDEX($AA40:$BF40,1,MATCH(ReportingFYEnd,$AA$3:$BF$3,0)))</f>
        <v/>
      </c>
      <c r="S40" s="74">
        <f>IF($K40="","",IF($U40="Disposed",0,$K40-$T40))</f>
        <v/>
      </c>
      <c r="T40" s="77">
        <f>IF($K40="","",INDEX($AA40:$BF40,1,MATCH(ReportingFYEnd,$AA$3:$BF$3,0)+1))</f>
        <v/>
      </c>
      <c r="U40" s="78">
        <f>IF($K40="","",IF(AND($I40&lt;&gt;"",$I40&lt;=ReportingFYEnd),"Disposed",IF(OR($H40="",$H40&gt;ReportingFYEnd),"Not Yet in Use","Active")))</f>
        <v/>
      </c>
      <c r="V40" s="79" t="n"/>
      <c r="W40" s="80">
        <f>IF($V40="Double",1.5,IF($V40="Triple",2,1))</f>
        <v/>
      </c>
      <c r="X40" s="69" t="n"/>
      <c r="Y40" s="78">
        <f>IF($K40="","",IF(OR(ISNUMBER(SEARCH("Build",$C40)),ISNUMBER(SEARCH("Lease",$C40))),"Yes","NA"))</f>
        <v/>
      </c>
      <c r="Z40" s="21" t="n"/>
      <c r="AA40" s="81">
        <f>IF(OR($K40="",$H40=""),"",MIN(MAX(0,IF($O40="WDV",$K40*$P40*MAX(0,(IF($I40="",AA$3,MIN($I40,AA$3)))-(MAX($H40,(EDATE(AA$3,-12)+1)))+1)/(AA$3-(EDATE(AA$3,-12)+1)+1),IF($N40=0,0,$Q40/$N40*MAX(0,(IF($I40="",AA$3,MIN($I40,AA$3)))-(MAX($H40,(EDATE(AA$3,-12)+1)))+1)/(AA$3-(EDATE(AA$3,-12)+1)+1)))*$W40),MAX(0,$K40-$M40)))</f>
        <v/>
      </c>
      <c r="AB40" s="81">
        <f>IF($K40="","",IF(AND($I40&lt;&gt;"",$I40&lt;=AA$3),0,$K40-AA40))</f>
        <v/>
      </c>
      <c r="AC40" s="81">
        <f>IF(OR($K40="",$H40=""),"",MIN(MAX(0,IF($O40="WDV",AB40*$P40*MAX(0,(IF($I40="",AC$3,MIN($I40,AC$3)))-(MAX($H40,(EDATE(AC$3,-12)+1)))+1)/(AC$3-(EDATE(AC$3,-12)+1)+1),IF($N40=0,0,$Q40/$N40*MAX(0,(IF($I40="",AC$3,MIN($I40,AC$3)))-(MAX($H40,(EDATE(AC$3,-12)+1)))+1)/(AC$3-(EDATE(AC$3,-12)+1)+1)))*$W40),MAX(0,AB40-$M40)))</f>
        <v/>
      </c>
      <c r="AD40" s="81">
        <f>IF($K40="","",IF(AND($I40&lt;&gt;"",$I40&lt;=AC$3),0,AB40-AC40))</f>
        <v/>
      </c>
      <c r="AE40" s="81">
        <f>IF(OR($K40="",$H40=""),"",MIN(MAX(0,IF($O40="WDV",AD40*$P40*MAX(0,(IF($I40="",AE$3,MIN($I40,AE$3)))-(MAX($H40,(EDATE(AE$3,-12)+1)))+1)/(AE$3-(EDATE(AE$3,-12)+1)+1),IF($N40=0,0,$Q40/$N40*MAX(0,(IF($I40="",AE$3,MIN($I40,AE$3)))-(MAX($H40,(EDATE(AE$3,-12)+1)))+1)/(AE$3-(EDATE(AE$3,-12)+1)+1)))*$W40),MAX(0,AD40-$M40)))</f>
        <v/>
      </c>
      <c r="AF40" s="81">
        <f>IF($K40="","",IF(AND($I40&lt;&gt;"",$I40&lt;=AE$3),0,AD40-AE40))</f>
        <v/>
      </c>
      <c r="AG40" s="81">
        <f>IF(OR($K40="",$H40=""),"",MIN(MAX(0,IF($O40="WDV",AF40*$P40*MAX(0,(IF($I40="",AG$3,MIN($I40,AG$3)))-(MAX($H40,(EDATE(AG$3,-12)+1)))+1)/(AG$3-(EDATE(AG$3,-12)+1)+1),IF($N40=0,0,$Q40/$N40*MAX(0,(IF($I40="",AG$3,MIN($I40,AG$3)))-(MAX($H40,(EDATE(AG$3,-12)+1)))+1)/(AG$3-(EDATE(AG$3,-12)+1)+1)))*$W40),MAX(0,AF40-$M40)))</f>
        <v/>
      </c>
      <c r="AH40" s="81">
        <f>IF($K40="","",IF(AND($I40&lt;&gt;"",$I40&lt;=AG$3),0,AF40-AG40))</f>
        <v/>
      </c>
      <c r="AI40" s="81">
        <f>IF(OR($K40="",$H40=""),"",MIN(MAX(0,IF($O40="WDV",AH40*$P40*MAX(0,(IF($I40="",AI$3,MIN($I40,AI$3)))-(MAX($H40,(EDATE(AI$3,-12)+1)))+1)/(AI$3-(EDATE(AI$3,-12)+1)+1),IF($N40=0,0,$Q40/$N40*MAX(0,(IF($I40="",AI$3,MIN($I40,AI$3)))-(MAX($H40,(EDATE(AI$3,-12)+1)))+1)/(AI$3-(EDATE(AI$3,-12)+1)+1)))*$W40),MAX(0,AH40-$M40)))</f>
        <v/>
      </c>
      <c r="AJ40" s="81">
        <f>IF($K40="","",IF(AND($I40&lt;&gt;"",$I40&lt;=AI$3),0,AH40-AI40))</f>
        <v/>
      </c>
      <c r="AK40" s="81">
        <f>IF(OR($K40="",$H40=""),"",MIN(MAX(0,IF($O40="WDV",AJ40*$P40*MAX(0,(IF($I40="",AK$3,MIN($I40,AK$3)))-(MAX($H40,(EDATE(AK$3,-12)+1)))+1)/(AK$3-(EDATE(AK$3,-12)+1)+1),IF($N40=0,0,$Q40/$N40*MAX(0,(IF($I40="",AK$3,MIN($I40,AK$3)))-(MAX($H40,(EDATE(AK$3,-12)+1)))+1)/(AK$3-(EDATE(AK$3,-12)+1)+1)))*$W40),MAX(0,AJ40-$M40)))</f>
        <v/>
      </c>
      <c r="AL40" s="81">
        <f>IF($K40="","",IF(AND($I40&lt;&gt;"",$I40&lt;=AK$3),0,AJ40-AK40))</f>
        <v/>
      </c>
      <c r="AM40" s="81">
        <f>IF(OR($K40="",$H40=""),"",MIN(MAX(0,IF($O40="WDV",AL40*$P40*MAX(0,(IF($I40="",AM$3,MIN($I40,AM$3)))-(MAX($H40,(EDATE(AM$3,-12)+1)))+1)/(AM$3-(EDATE(AM$3,-12)+1)+1),IF($N40=0,0,$Q40/$N40*MAX(0,(IF($I40="",AM$3,MIN($I40,AM$3)))-(MAX($H40,(EDATE(AM$3,-12)+1)))+1)/(AM$3-(EDATE(AM$3,-12)+1)+1)))*$W40),MAX(0,AL40-$M40)))</f>
        <v/>
      </c>
      <c r="AN40" s="81">
        <f>IF($K40="","",IF(AND($I40&lt;&gt;"",$I40&lt;=AM$3),0,AL40-AM40))</f>
        <v/>
      </c>
      <c r="AO40" s="81">
        <f>IF(OR($K40="",$H40=""),"",MIN(MAX(0,IF($O40="WDV",AN40*$P40*MAX(0,(IF($I40="",AO$3,MIN($I40,AO$3)))-(MAX($H40,(EDATE(AO$3,-12)+1)))+1)/(AO$3-(EDATE(AO$3,-12)+1)+1),IF($N40=0,0,$Q40/$N40*MAX(0,(IF($I40="",AO$3,MIN($I40,AO$3)))-(MAX($H40,(EDATE(AO$3,-12)+1)))+1)/(AO$3-(EDATE(AO$3,-12)+1)+1)))*$W40),MAX(0,AN40-$M40)))</f>
        <v/>
      </c>
      <c r="AP40" s="81">
        <f>IF($K40="","",IF(AND($I40&lt;&gt;"",$I40&lt;=AO$3),0,AN40-AO40))</f>
        <v/>
      </c>
      <c r="AQ40" s="81">
        <f>IF(OR($K40="",$H40=""),"",MIN(MAX(0,IF($O40="WDV",AP40*$P40*MAX(0,(IF($I40="",AQ$3,MIN($I40,AQ$3)))-(MAX($H40,(EDATE(AQ$3,-12)+1)))+1)/(AQ$3-(EDATE(AQ$3,-12)+1)+1),IF($N40=0,0,$Q40/$N40*MAX(0,(IF($I40="",AQ$3,MIN($I40,AQ$3)))-(MAX($H40,(EDATE(AQ$3,-12)+1)))+1)/(AQ$3-(EDATE(AQ$3,-12)+1)+1)))*$W40),MAX(0,AP40-$M40)))</f>
        <v/>
      </c>
      <c r="AR40" s="81">
        <f>IF($K40="","",IF(AND($I40&lt;&gt;"",$I40&lt;=AQ$3),0,AP40-AQ40))</f>
        <v/>
      </c>
      <c r="AS40" s="81">
        <f>IF(OR($K40="",$H40=""),"",MIN(MAX(0,IF($O40="WDV",AR40*$P40*MAX(0,(IF($I40="",AS$3,MIN($I40,AS$3)))-(MAX($H40,(EDATE(AS$3,-12)+1)))+1)/(AS$3-(EDATE(AS$3,-12)+1)+1),IF($N40=0,0,$Q40/$N40*MAX(0,(IF($I40="",AS$3,MIN($I40,AS$3)))-(MAX($H40,(EDATE(AS$3,-12)+1)))+1)/(AS$3-(EDATE(AS$3,-12)+1)+1)))*$W40),MAX(0,AR40-$M40)))</f>
        <v/>
      </c>
      <c r="AT40" s="81">
        <f>IF($K40="","",IF(AND($I40&lt;&gt;"",$I40&lt;=AS$3),0,AR40-AS40))</f>
        <v/>
      </c>
      <c r="AU40" s="81">
        <f>IF(OR($K40="",$H40=""),"",MIN(MAX(0,IF($O40="WDV",AT40*$P40*MAX(0,(IF($I40="",AU$3,MIN($I40,AU$3)))-(MAX($H40,(EDATE(AU$3,-12)+1)))+1)/(AU$3-(EDATE(AU$3,-12)+1)+1),IF($N40=0,0,$Q40/$N40*MAX(0,(IF($I40="",AU$3,MIN($I40,AU$3)))-(MAX($H40,(EDATE(AU$3,-12)+1)))+1)/(AU$3-(EDATE(AU$3,-12)+1)+1)))*$W40),MAX(0,AT40-$M40)))</f>
        <v/>
      </c>
      <c r="AV40" s="81">
        <f>IF($K40="","",IF(AND($I40&lt;&gt;"",$I40&lt;=AU$3),0,AT40-AU40))</f>
        <v/>
      </c>
      <c r="AW40" s="81">
        <f>IF(OR($K40="",$H40=""),"",MIN(MAX(0,IF($O40="WDV",AV40*$P40*MAX(0,(IF($I40="",AW$3,MIN($I40,AW$3)))-(MAX($H40,(EDATE(AW$3,-12)+1)))+1)/(AW$3-(EDATE(AW$3,-12)+1)+1),IF($N40=0,0,$Q40/$N40*MAX(0,(IF($I40="",AW$3,MIN($I40,AW$3)))-(MAX($H40,(EDATE(AW$3,-12)+1)))+1)/(AW$3-(EDATE(AW$3,-12)+1)+1)))*$W40),MAX(0,AV40-$M40)))</f>
        <v/>
      </c>
      <c r="AX40" s="81">
        <f>IF($K40="","",IF(AND($I40&lt;&gt;"",$I40&lt;=AW$3),0,AV40-AW40))</f>
        <v/>
      </c>
      <c r="AY40" s="81">
        <f>IF(OR($K40="",$H40=""),"",MIN(MAX(0,IF($O40="WDV",AX40*$P40*MAX(0,(IF($I40="",AY$3,MIN($I40,AY$3)))-(MAX($H40,(EDATE(AY$3,-12)+1)))+1)/(AY$3-(EDATE(AY$3,-12)+1)+1),IF($N40=0,0,$Q40/$N40*MAX(0,(IF($I40="",AY$3,MIN($I40,AY$3)))-(MAX($H40,(EDATE(AY$3,-12)+1)))+1)/(AY$3-(EDATE(AY$3,-12)+1)+1)))*$W40),MAX(0,AX40-$M40)))</f>
        <v/>
      </c>
      <c r="AZ40" s="81">
        <f>IF($K40="","",IF(AND($I40&lt;&gt;"",$I40&lt;=AY$3),0,AX40-AY40))</f>
        <v/>
      </c>
      <c r="BA40" s="81">
        <f>IF(OR($K40="",$H40=""),"",MIN(MAX(0,IF($O40="WDV",AZ40*$P40*MAX(0,(IF($I40="",BA$3,MIN($I40,BA$3)))-(MAX($H40,(EDATE(BA$3,-12)+1)))+1)/(BA$3-(EDATE(BA$3,-12)+1)+1),IF($N40=0,0,$Q40/$N40*MAX(0,(IF($I40="",BA$3,MIN($I40,BA$3)))-(MAX($H40,(EDATE(BA$3,-12)+1)))+1)/(BA$3-(EDATE(BA$3,-12)+1)+1)))*$W40),MAX(0,AZ40-$M40)))</f>
        <v/>
      </c>
      <c r="BB40" s="81">
        <f>IF($K40="","",IF(AND($I40&lt;&gt;"",$I40&lt;=BA$3),0,AZ40-BA40))</f>
        <v/>
      </c>
      <c r="BC40" s="81">
        <f>IF(OR($K40="",$H40=""),"",MIN(MAX(0,IF($O40="WDV",BB40*$P40*MAX(0,(IF($I40="",BC$3,MIN($I40,BC$3)))-(MAX($H40,(EDATE(BC$3,-12)+1)))+1)/(BC$3-(EDATE(BC$3,-12)+1)+1),IF($N40=0,0,$Q40/$N40*MAX(0,(IF($I40="",BC$3,MIN($I40,BC$3)))-(MAX($H40,(EDATE(BC$3,-12)+1)))+1)/(BC$3-(EDATE(BC$3,-12)+1)+1)))*$W40),MAX(0,BB40-$M40)))</f>
        <v/>
      </c>
      <c r="BD40" s="81">
        <f>IF($K40="","",IF(AND($I40&lt;&gt;"",$I40&lt;=BC$3),0,BB40-BC40))</f>
        <v/>
      </c>
      <c r="BE40" s="81">
        <f>IF(OR($K40="",$H40=""),"",MIN(MAX(0,IF($O40="WDV",BD40*$P40*MAX(0,(IF($I40="",BE$3,MIN($I40,BE$3)))-(MAX($H40,(EDATE(BE$3,-12)+1)))+1)/(BE$3-(EDATE(BE$3,-12)+1)+1),IF($N40=0,0,$Q40/$N40*MAX(0,(IF($I40="",BE$3,MIN($I40,BE$3)))-(MAX($H40,(EDATE(BE$3,-12)+1)))+1)/(BE$3-(EDATE(BE$3,-12)+1)+1)))*$W40),MAX(0,BD40-$M40)))</f>
        <v/>
      </c>
      <c r="BF40" s="81">
        <f>IF($K40="","",IF(AND($I40&lt;&gt;"",$I40&lt;=BE$3),0,BD40-BE40))</f>
        <v/>
      </c>
    </row>
    <row r="41">
      <c r="A41" s="44" t="n"/>
      <c r="B41" s="45" t="n"/>
      <c r="C41" s="45" t="n"/>
      <c r="D41" s="45" t="n"/>
      <c r="E41" s="46" t="n"/>
      <c r="F41" s="47" t="n"/>
      <c r="G41" s="48" t="n"/>
      <c r="H41" s="48" t="n"/>
      <c r="I41" s="49" t="n"/>
      <c r="J41" s="50" t="n"/>
      <c r="K41" s="51" t="n"/>
      <c r="L41" s="52">
        <f>DefaultResidual</f>
        <v/>
      </c>
      <c r="M41" s="53">
        <f>IF($K41="","",$K41*$L41)</f>
        <v/>
      </c>
      <c r="N41" s="54">
        <f>IF($C41="","",IFERROR(VLOOKUP($C41,ScheduleIITable,3,FALSE),"#N/A"))</f>
        <v/>
      </c>
      <c r="O41" s="55">
        <f>IF($K41="","",GlobalMethod)</f>
        <v/>
      </c>
      <c r="P41" s="56">
        <f>IF(OR($K41="",$N41="",$N41=0,$M41=0),0,1-($M41/$K41)^(1/$N41))</f>
        <v/>
      </c>
      <c r="Q41" s="53">
        <f>IF($K41="","",$K41-$M41)</f>
        <v/>
      </c>
      <c r="R41" s="57">
        <f>IF($K41="","",INDEX($AA41:$BF41,1,MATCH(ReportingFYEnd,$AA$3:$BF$3,0)))</f>
        <v/>
      </c>
      <c r="S41" s="53">
        <f>IF($K41="","",IF($U41="Disposed",0,$K41-$T41))</f>
        <v/>
      </c>
      <c r="T41" s="58">
        <f>IF($K41="","",INDEX($AA41:$BF41,1,MATCH(ReportingFYEnd,$AA$3:$BF$3,0)+1))</f>
        <v/>
      </c>
      <c r="U41" s="59">
        <f>IF($K41="","",IF(AND($I41&lt;&gt;"",$I41&lt;=ReportingFYEnd),"Disposed",IF(OR($H41="",$H41&gt;ReportingFYEnd),"Not Yet in Use","Active")))</f>
        <v/>
      </c>
      <c r="V41" s="60" t="n"/>
      <c r="W41" s="61">
        <f>IF($V41="Double",1.5,IF($V41="Triple",2,1))</f>
        <v/>
      </c>
      <c r="X41" s="48" t="n"/>
      <c r="Y41" s="59">
        <f>IF($K41="","",IF(OR(ISNUMBER(SEARCH("Build",$C41)),ISNUMBER(SEARCH("Lease",$C41))),"Yes","NA"))</f>
        <v/>
      </c>
      <c r="Z41" s="62" t="n"/>
      <c r="AA41" s="63">
        <f>IF(OR($K41="",$H41=""),"",MIN(MAX(0,IF($O41="WDV",$K41*$P41*MAX(0,(IF($I41="",AA$3,MIN($I41,AA$3)))-(MAX($H41,(EDATE(AA$3,-12)+1)))+1)/(AA$3-(EDATE(AA$3,-12)+1)+1),IF($N41=0,0,$Q41/$N41*MAX(0,(IF($I41="",AA$3,MIN($I41,AA$3)))-(MAX($H41,(EDATE(AA$3,-12)+1)))+1)/(AA$3-(EDATE(AA$3,-12)+1)+1)))*$W41),MAX(0,$K41-$M41)))</f>
        <v/>
      </c>
      <c r="AB41" s="64">
        <f>IF($K41="","",IF(AND($I41&lt;&gt;"",$I41&lt;=AA$3),0,$K41-AA41))</f>
        <v/>
      </c>
      <c r="AC41" s="63">
        <f>IF(OR($K41="",$H41=""),"",MIN(MAX(0,IF($O41="WDV",AB41*$P41*MAX(0,(IF($I41="",AC$3,MIN($I41,AC$3)))-(MAX($H41,(EDATE(AC$3,-12)+1)))+1)/(AC$3-(EDATE(AC$3,-12)+1)+1),IF($N41=0,0,$Q41/$N41*MAX(0,(IF($I41="",AC$3,MIN($I41,AC$3)))-(MAX($H41,(EDATE(AC$3,-12)+1)))+1)/(AC$3-(EDATE(AC$3,-12)+1)+1)))*$W41),MAX(0,AB41-$M41)))</f>
        <v/>
      </c>
      <c r="AD41" s="64">
        <f>IF($K41="","",IF(AND($I41&lt;&gt;"",$I41&lt;=AC$3),0,AB41-AC41))</f>
        <v/>
      </c>
      <c r="AE41" s="63">
        <f>IF(OR($K41="",$H41=""),"",MIN(MAX(0,IF($O41="WDV",AD41*$P41*MAX(0,(IF($I41="",AE$3,MIN($I41,AE$3)))-(MAX($H41,(EDATE(AE$3,-12)+1)))+1)/(AE$3-(EDATE(AE$3,-12)+1)+1),IF($N41=0,0,$Q41/$N41*MAX(0,(IF($I41="",AE$3,MIN($I41,AE$3)))-(MAX($H41,(EDATE(AE$3,-12)+1)))+1)/(AE$3-(EDATE(AE$3,-12)+1)+1)))*$W41),MAX(0,AD41-$M41)))</f>
        <v/>
      </c>
      <c r="AF41" s="64">
        <f>IF($K41="","",IF(AND($I41&lt;&gt;"",$I41&lt;=AE$3),0,AD41-AE41))</f>
        <v/>
      </c>
      <c r="AG41" s="63">
        <f>IF(OR($K41="",$H41=""),"",MIN(MAX(0,IF($O41="WDV",AF41*$P41*MAX(0,(IF($I41="",AG$3,MIN($I41,AG$3)))-(MAX($H41,(EDATE(AG$3,-12)+1)))+1)/(AG$3-(EDATE(AG$3,-12)+1)+1),IF($N41=0,0,$Q41/$N41*MAX(0,(IF($I41="",AG$3,MIN($I41,AG$3)))-(MAX($H41,(EDATE(AG$3,-12)+1)))+1)/(AG$3-(EDATE(AG$3,-12)+1)+1)))*$W41),MAX(0,AF41-$M41)))</f>
        <v/>
      </c>
      <c r="AH41" s="64">
        <f>IF($K41="","",IF(AND($I41&lt;&gt;"",$I41&lt;=AG$3),0,AF41-AG41))</f>
        <v/>
      </c>
      <c r="AI41" s="63">
        <f>IF(OR($K41="",$H41=""),"",MIN(MAX(0,IF($O41="WDV",AH41*$P41*MAX(0,(IF($I41="",AI$3,MIN($I41,AI$3)))-(MAX($H41,(EDATE(AI$3,-12)+1)))+1)/(AI$3-(EDATE(AI$3,-12)+1)+1),IF($N41=0,0,$Q41/$N41*MAX(0,(IF($I41="",AI$3,MIN($I41,AI$3)))-(MAX($H41,(EDATE(AI$3,-12)+1)))+1)/(AI$3-(EDATE(AI$3,-12)+1)+1)))*$W41),MAX(0,AH41-$M41)))</f>
        <v/>
      </c>
      <c r="AJ41" s="64">
        <f>IF($K41="","",IF(AND($I41&lt;&gt;"",$I41&lt;=AI$3),0,AH41-AI41))</f>
        <v/>
      </c>
      <c r="AK41" s="63">
        <f>IF(OR($K41="",$H41=""),"",MIN(MAX(0,IF($O41="WDV",AJ41*$P41*MAX(0,(IF($I41="",AK$3,MIN($I41,AK$3)))-(MAX($H41,(EDATE(AK$3,-12)+1)))+1)/(AK$3-(EDATE(AK$3,-12)+1)+1),IF($N41=0,0,$Q41/$N41*MAX(0,(IF($I41="",AK$3,MIN($I41,AK$3)))-(MAX($H41,(EDATE(AK$3,-12)+1)))+1)/(AK$3-(EDATE(AK$3,-12)+1)+1)))*$W41),MAX(0,AJ41-$M41)))</f>
        <v/>
      </c>
      <c r="AL41" s="64">
        <f>IF($K41="","",IF(AND($I41&lt;&gt;"",$I41&lt;=AK$3),0,AJ41-AK41))</f>
        <v/>
      </c>
      <c r="AM41" s="63">
        <f>IF(OR($K41="",$H41=""),"",MIN(MAX(0,IF($O41="WDV",AL41*$P41*MAX(0,(IF($I41="",AM$3,MIN($I41,AM$3)))-(MAX($H41,(EDATE(AM$3,-12)+1)))+1)/(AM$3-(EDATE(AM$3,-12)+1)+1),IF($N41=0,0,$Q41/$N41*MAX(0,(IF($I41="",AM$3,MIN($I41,AM$3)))-(MAX($H41,(EDATE(AM$3,-12)+1)))+1)/(AM$3-(EDATE(AM$3,-12)+1)+1)))*$W41),MAX(0,AL41-$M41)))</f>
        <v/>
      </c>
      <c r="AN41" s="64">
        <f>IF($K41="","",IF(AND($I41&lt;&gt;"",$I41&lt;=AM$3),0,AL41-AM41))</f>
        <v/>
      </c>
      <c r="AO41" s="63">
        <f>IF(OR($K41="",$H41=""),"",MIN(MAX(0,IF($O41="WDV",AN41*$P41*MAX(0,(IF($I41="",AO$3,MIN($I41,AO$3)))-(MAX($H41,(EDATE(AO$3,-12)+1)))+1)/(AO$3-(EDATE(AO$3,-12)+1)+1),IF($N41=0,0,$Q41/$N41*MAX(0,(IF($I41="",AO$3,MIN($I41,AO$3)))-(MAX($H41,(EDATE(AO$3,-12)+1)))+1)/(AO$3-(EDATE(AO$3,-12)+1)+1)))*$W41),MAX(0,AN41-$M41)))</f>
        <v/>
      </c>
      <c r="AP41" s="64">
        <f>IF($K41="","",IF(AND($I41&lt;&gt;"",$I41&lt;=AO$3),0,AN41-AO41))</f>
        <v/>
      </c>
      <c r="AQ41" s="63">
        <f>IF(OR($K41="",$H41=""),"",MIN(MAX(0,IF($O41="WDV",AP41*$P41*MAX(0,(IF($I41="",AQ$3,MIN($I41,AQ$3)))-(MAX($H41,(EDATE(AQ$3,-12)+1)))+1)/(AQ$3-(EDATE(AQ$3,-12)+1)+1),IF($N41=0,0,$Q41/$N41*MAX(0,(IF($I41="",AQ$3,MIN($I41,AQ$3)))-(MAX($H41,(EDATE(AQ$3,-12)+1)))+1)/(AQ$3-(EDATE(AQ$3,-12)+1)+1)))*$W41),MAX(0,AP41-$M41)))</f>
        <v/>
      </c>
      <c r="AR41" s="64">
        <f>IF($K41="","",IF(AND($I41&lt;&gt;"",$I41&lt;=AQ$3),0,AP41-AQ41))</f>
        <v/>
      </c>
      <c r="AS41" s="63">
        <f>IF(OR($K41="",$H41=""),"",MIN(MAX(0,IF($O41="WDV",AR41*$P41*MAX(0,(IF($I41="",AS$3,MIN($I41,AS$3)))-(MAX($H41,(EDATE(AS$3,-12)+1)))+1)/(AS$3-(EDATE(AS$3,-12)+1)+1),IF($N41=0,0,$Q41/$N41*MAX(0,(IF($I41="",AS$3,MIN($I41,AS$3)))-(MAX($H41,(EDATE(AS$3,-12)+1)))+1)/(AS$3-(EDATE(AS$3,-12)+1)+1)))*$W41),MAX(0,AR41-$M41)))</f>
        <v/>
      </c>
      <c r="AT41" s="64">
        <f>IF($K41="","",IF(AND($I41&lt;&gt;"",$I41&lt;=AS$3),0,AR41-AS41))</f>
        <v/>
      </c>
      <c r="AU41" s="63">
        <f>IF(OR($K41="",$H41=""),"",MIN(MAX(0,IF($O41="WDV",AT41*$P41*MAX(0,(IF($I41="",AU$3,MIN($I41,AU$3)))-(MAX($H41,(EDATE(AU$3,-12)+1)))+1)/(AU$3-(EDATE(AU$3,-12)+1)+1),IF($N41=0,0,$Q41/$N41*MAX(0,(IF($I41="",AU$3,MIN($I41,AU$3)))-(MAX($H41,(EDATE(AU$3,-12)+1)))+1)/(AU$3-(EDATE(AU$3,-12)+1)+1)))*$W41),MAX(0,AT41-$M41)))</f>
        <v/>
      </c>
      <c r="AV41" s="64">
        <f>IF($K41="","",IF(AND($I41&lt;&gt;"",$I41&lt;=AU$3),0,AT41-AU41))</f>
        <v/>
      </c>
      <c r="AW41" s="63">
        <f>IF(OR($K41="",$H41=""),"",MIN(MAX(0,IF($O41="WDV",AV41*$P41*MAX(0,(IF($I41="",AW$3,MIN($I41,AW$3)))-(MAX($H41,(EDATE(AW$3,-12)+1)))+1)/(AW$3-(EDATE(AW$3,-12)+1)+1),IF($N41=0,0,$Q41/$N41*MAX(0,(IF($I41="",AW$3,MIN($I41,AW$3)))-(MAX($H41,(EDATE(AW$3,-12)+1)))+1)/(AW$3-(EDATE(AW$3,-12)+1)+1)))*$W41),MAX(0,AV41-$M41)))</f>
        <v/>
      </c>
      <c r="AX41" s="64">
        <f>IF($K41="","",IF(AND($I41&lt;&gt;"",$I41&lt;=AW$3),0,AV41-AW41))</f>
        <v/>
      </c>
      <c r="AY41" s="63">
        <f>IF(OR($K41="",$H41=""),"",MIN(MAX(0,IF($O41="WDV",AX41*$P41*MAX(0,(IF($I41="",AY$3,MIN($I41,AY$3)))-(MAX($H41,(EDATE(AY$3,-12)+1)))+1)/(AY$3-(EDATE(AY$3,-12)+1)+1),IF($N41=0,0,$Q41/$N41*MAX(0,(IF($I41="",AY$3,MIN($I41,AY$3)))-(MAX($H41,(EDATE(AY$3,-12)+1)))+1)/(AY$3-(EDATE(AY$3,-12)+1)+1)))*$W41),MAX(0,AX41-$M41)))</f>
        <v/>
      </c>
      <c r="AZ41" s="64">
        <f>IF($K41="","",IF(AND($I41&lt;&gt;"",$I41&lt;=AY$3),0,AX41-AY41))</f>
        <v/>
      </c>
      <c r="BA41" s="63">
        <f>IF(OR($K41="",$H41=""),"",MIN(MAX(0,IF($O41="WDV",AZ41*$P41*MAX(0,(IF($I41="",BA$3,MIN($I41,BA$3)))-(MAX($H41,(EDATE(BA$3,-12)+1)))+1)/(BA$3-(EDATE(BA$3,-12)+1)+1),IF($N41=0,0,$Q41/$N41*MAX(0,(IF($I41="",BA$3,MIN($I41,BA$3)))-(MAX($H41,(EDATE(BA$3,-12)+1)))+1)/(BA$3-(EDATE(BA$3,-12)+1)+1)))*$W41),MAX(0,AZ41-$M41)))</f>
        <v/>
      </c>
      <c r="BB41" s="64">
        <f>IF($K41="","",IF(AND($I41&lt;&gt;"",$I41&lt;=BA$3),0,AZ41-BA41))</f>
        <v/>
      </c>
      <c r="BC41" s="63">
        <f>IF(OR($K41="",$H41=""),"",MIN(MAX(0,IF($O41="WDV",BB41*$P41*MAX(0,(IF($I41="",BC$3,MIN($I41,BC$3)))-(MAX($H41,(EDATE(BC$3,-12)+1)))+1)/(BC$3-(EDATE(BC$3,-12)+1)+1),IF($N41=0,0,$Q41/$N41*MAX(0,(IF($I41="",BC$3,MIN($I41,BC$3)))-(MAX($H41,(EDATE(BC$3,-12)+1)))+1)/(BC$3-(EDATE(BC$3,-12)+1)+1)))*$W41),MAX(0,BB41-$M41)))</f>
        <v/>
      </c>
      <c r="BD41" s="64">
        <f>IF($K41="","",IF(AND($I41&lt;&gt;"",$I41&lt;=BC$3),0,BB41-BC41))</f>
        <v/>
      </c>
      <c r="BE41" s="63">
        <f>IF(OR($K41="",$H41=""),"",MIN(MAX(0,IF($O41="WDV",BD41*$P41*MAX(0,(IF($I41="",BE$3,MIN($I41,BE$3)))-(MAX($H41,(EDATE(BE$3,-12)+1)))+1)/(BE$3-(EDATE(BE$3,-12)+1)+1),IF($N41=0,0,$Q41/$N41*MAX(0,(IF($I41="",BE$3,MIN($I41,BE$3)))-(MAX($H41,(EDATE(BE$3,-12)+1)))+1)/(BE$3-(EDATE(BE$3,-12)+1)+1)))*$W41),MAX(0,BD41-$M41)))</f>
        <v/>
      </c>
      <c r="BF41" s="64">
        <f>IF($K41="","",IF(AND($I41&lt;&gt;"",$I41&lt;=BE$3),0,BD41-BE41))</f>
        <v/>
      </c>
    </row>
    <row r="42">
      <c r="A42" s="65" t="n"/>
      <c r="B42" s="66" t="n"/>
      <c r="C42" s="66" t="n"/>
      <c r="D42" s="66" t="n"/>
      <c r="E42" s="67" t="n"/>
      <c r="F42" s="68" t="n"/>
      <c r="G42" s="69" t="n"/>
      <c r="H42" s="69" t="n"/>
      <c r="I42" s="70" t="n"/>
      <c r="J42" s="71" t="n"/>
      <c r="K42" s="72" t="n"/>
      <c r="L42" s="73">
        <f>DefaultResidual</f>
        <v/>
      </c>
      <c r="M42" s="74">
        <f>IF($K42="","",$K42*$L42)</f>
        <v/>
      </c>
      <c r="N42" s="22">
        <f>IF($C42="","",IFERROR(VLOOKUP($C42,ScheduleIITable,3,FALSE),"#N/A"))</f>
        <v/>
      </c>
      <c r="O42" s="75">
        <f>IF($K42="","",GlobalMethod)</f>
        <v/>
      </c>
      <c r="P42" s="23">
        <f>IF(OR($K42="",$N42="",$N42=0,$M42=0),0,1-($M42/$K42)^(1/$N42))</f>
        <v/>
      </c>
      <c r="Q42" s="74">
        <f>IF($K42="","",$K42-$M42)</f>
        <v/>
      </c>
      <c r="R42" s="76">
        <f>IF($K42="","",INDEX($AA42:$BF42,1,MATCH(ReportingFYEnd,$AA$3:$BF$3,0)))</f>
        <v/>
      </c>
      <c r="S42" s="74">
        <f>IF($K42="","",IF($U42="Disposed",0,$K42-$T42))</f>
        <v/>
      </c>
      <c r="T42" s="77">
        <f>IF($K42="","",INDEX($AA42:$BF42,1,MATCH(ReportingFYEnd,$AA$3:$BF$3,0)+1))</f>
        <v/>
      </c>
      <c r="U42" s="78">
        <f>IF($K42="","",IF(AND($I42&lt;&gt;"",$I42&lt;=ReportingFYEnd),"Disposed",IF(OR($H42="",$H42&gt;ReportingFYEnd),"Not Yet in Use","Active")))</f>
        <v/>
      </c>
      <c r="V42" s="79" t="n"/>
      <c r="W42" s="80">
        <f>IF($V42="Double",1.5,IF($V42="Triple",2,1))</f>
        <v/>
      </c>
      <c r="X42" s="69" t="n"/>
      <c r="Y42" s="78">
        <f>IF($K42="","",IF(OR(ISNUMBER(SEARCH("Build",$C42)),ISNUMBER(SEARCH("Lease",$C42))),"Yes","NA"))</f>
        <v/>
      </c>
      <c r="Z42" s="21" t="n"/>
      <c r="AA42" s="81">
        <f>IF(OR($K42="",$H42=""),"",MIN(MAX(0,IF($O42="WDV",$K42*$P42*MAX(0,(IF($I42="",AA$3,MIN($I42,AA$3)))-(MAX($H42,(EDATE(AA$3,-12)+1)))+1)/(AA$3-(EDATE(AA$3,-12)+1)+1),IF($N42=0,0,$Q42/$N42*MAX(0,(IF($I42="",AA$3,MIN($I42,AA$3)))-(MAX($H42,(EDATE(AA$3,-12)+1)))+1)/(AA$3-(EDATE(AA$3,-12)+1)+1)))*$W42),MAX(0,$K42-$M42)))</f>
        <v/>
      </c>
      <c r="AB42" s="81">
        <f>IF($K42="","",IF(AND($I42&lt;&gt;"",$I42&lt;=AA$3),0,$K42-AA42))</f>
        <v/>
      </c>
      <c r="AC42" s="81">
        <f>IF(OR($K42="",$H42=""),"",MIN(MAX(0,IF($O42="WDV",AB42*$P42*MAX(0,(IF($I42="",AC$3,MIN($I42,AC$3)))-(MAX($H42,(EDATE(AC$3,-12)+1)))+1)/(AC$3-(EDATE(AC$3,-12)+1)+1),IF($N42=0,0,$Q42/$N42*MAX(0,(IF($I42="",AC$3,MIN($I42,AC$3)))-(MAX($H42,(EDATE(AC$3,-12)+1)))+1)/(AC$3-(EDATE(AC$3,-12)+1)+1)))*$W42),MAX(0,AB42-$M42)))</f>
        <v/>
      </c>
      <c r="AD42" s="81">
        <f>IF($K42="","",IF(AND($I42&lt;&gt;"",$I42&lt;=AC$3),0,AB42-AC42))</f>
        <v/>
      </c>
      <c r="AE42" s="81">
        <f>IF(OR($K42="",$H42=""),"",MIN(MAX(0,IF($O42="WDV",AD42*$P42*MAX(0,(IF($I42="",AE$3,MIN($I42,AE$3)))-(MAX($H42,(EDATE(AE$3,-12)+1)))+1)/(AE$3-(EDATE(AE$3,-12)+1)+1),IF($N42=0,0,$Q42/$N42*MAX(0,(IF($I42="",AE$3,MIN($I42,AE$3)))-(MAX($H42,(EDATE(AE$3,-12)+1)))+1)/(AE$3-(EDATE(AE$3,-12)+1)+1)))*$W42),MAX(0,AD42-$M42)))</f>
        <v/>
      </c>
      <c r="AF42" s="81">
        <f>IF($K42="","",IF(AND($I42&lt;&gt;"",$I42&lt;=AE$3),0,AD42-AE42))</f>
        <v/>
      </c>
      <c r="AG42" s="81">
        <f>IF(OR($K42="",$H42=""),"",MIN(MAX(0,IF($O42="WDV",AF42*$P42*MAX(0,(IF($I42="",AG$3,MIN($I42,AG$3)))-(MAX($H42,(EDATE(AG$3,-12)+1)))+1)/(AG$3-(EDATE(AG$3,-12)+1)+1),IF($N42=0,0,$Q42/$N42*MAX(0,(IF($I42="",AG$3,MIN($I42,AG$3)))-(MAX($H42,(EDATE(AG$3,-12)+1)))+1)/(AG$3-(EDATE(AG$3,-12)+1)+1)))*$W42),MAX(0,AF42-$M42)))</f>
        <v/>
      </c>
      <c r="AH42" s="81">
        <f>IF($K42="","",IF(AND($I42&lt;&gt;"",$I42&lt;=AG$3),0,AF42-AG42))</f>
        <v/>
      </c>
      <c r="AI42" s="81">
        <f>IF(OR($K42="",$H42=""),"",MIN(MAX(0,IF($O42="WDV",AH42*$P42*MAX(0,(IF($I42="",AI$3,MIN($I42,AI$3)))-(MAX($H42,(EDATE(AI$3,-12)+1)))+1)/(AI$3-(EDATE(AI$3,-12)+1)+1),IF($N42=0,0,$Q42/$N42*MAX(0,(IF($I42="",AI$3,MIN($I42,AI$3)))-(MAX($H42,(EDATE(AI$3,-12)+1)))+1)/(AI$3-(EDATE(AI$3,-12)+1)+1)))*$W42),MAX(0,AH42-$M42)))</f>
        <v/>
      </c>
      <c r="AJ42" s="81">
        <f>IF($K42="","",IF(AND($I42&lt;&gt;"",$I42&lt;=AI$3),0,AH42-AI42))</f>
        <v/>
      </c>
      <c r="AK42" s="81">
        <f>IF(OR($K42="",$H42=""),"",MIN(MAX(0,IF($O42="WDV",AJ42*$P42*MAX(0,(IF($I42="",AK$3,MIN($I42,AK$3)))-(MAX($H42,(EDATE(AK$3,-12)+1)))+1)/(AK$3-(EDATE(AK$3,-12)+1)+1),IF($N42=0,0,$Q42/$N42*MAX(0,(IF($I42="",AK$3,MIN($I42,AK$3)))-(MAX($H42,(EDATE(AK$3,-12)+1)))+1)/(AK$3-(EDATE(AK$3,-12)+1)+1)))*$W42),MAX(0,AJ42-$M42)))</f>
        <v/>
      </c>
      <c r="AL42" s="81">
        <f>IF($K42="","",IF(AND($I42&lt;&gt;"",$I42&lt;=AK$3),0,AJ42-AK42))</f>
        <v/>
      </c>
      <c r="AM42" s="81">
        <f>IF(OR($K42="",$H42=""),"",MIN(MAX(0,IF($O42="WDV",AL42*$P42*MAX(0,(IF($I42="",AM$3,MIN($I42,AM$3)))-(MAX($H42,(EDATE(AM$3,-12)+1)))+1)/(AM$3-(EDATE(AM$3,-12)+1)+1),IF($N42=0,0,$Q42/$N42*MAX(0,(IF($I42="",AM$3,MIN($I42,AM$3)))-(MAX($H42,(EDATE(AM$3,-12)+1)))+1)/(AM$3-(EDATE(AM$3,-12)+1)+1)))*$W42),MAX(0,AL42-$M42)))</f>
        <v/>
      </c>
      <c r="AN42" s="81">
        <f>IF($K42="","",IF(AND($I42&lt;&gt;"",$I42&lt;=AM$3),0,AL42-AM42))</f>
        <v/>
      </c>
      <c r="AO42" s="81">
        <f>IF(OR($K42="",$H42=""),"",MIN(MAX(0,IF($O42="WDV",AN42*$P42*MAX(0,(IF($I42="",AO$3,MIN($I42,AO$3)))-(MAX($H42,(EDATE(AO$3,-12)+1)))+1)/(AO$3-(EDATE(AO$3,-12)+1)+1),IF($N42=0,0,$Q42/$N42*MAX(0,(IF($I42="",AO$3,MIN($I42,AO$3)))-(MAX($H42,(EDATE(AO$3,-12)+1)))+1)/(AO$3-(EDATE(AO$3,-12)+1)+1)))*$W42),MAX(0,AN42-$M42)))</f>
        <v/>
      </c>
      <c r="AP42" s="81">
        <f>IF($K42="","",IF(AND($I42&lt;&gt;"",$I42&lt;=AO$3),0,AN42-AO42))</f>
        <v/>
      </c>
      <c r="AQ42" s="81">
        <f>IF(OR($K42="",$H42=""),"",MIN(MAX(0,IF($O42="WDV",AP42*$P42*MAX(0,(IF($I42="",AQ$3,MIN($I42,AQ$3)))-(MAX($H42,(EDATE(AQ$3,-12)+1)))+1)/(AQ$3-(EDATE(AQ$3,-12)+1)+1),IF($N42=0,0,$Q42/$N42*MAX(0,(IF($I42="",AQ$3,MIN($I42,AQ$3)))-(MAX($H42,(EDATE(AQ$3,-12)+1)))+1)/(AQ$3-(EDATE(AQ$3,-12)+1)+1)))*$W42),MAX(0,AP42-$M42)))</f>
        <v/>
      </c>
      <c r="AR42" s="81">
        <f>IF($K42="","",IF(AND($I42&lt;&gt;"",$I42&lt;=AQ$3),0,AP42-AQ42))</f>
        <v/>
      </c>
      <c r="AS42" s="81">
        <f>IF(OR($K42="",$H42=""),"",MIN(MAX(0,IF($O42="WDV",AR42*$P42*MAX(0,(IF($I42="",AS$3,MIN($I42,AS$3)))-(MAX($H42,(EDATE(AS$3,-12)+1)))+1)/(AS$3-(EDATE(AS$3,-12)+1)+1),IF($N42=0,0,$Q42/$N42*MAX(0,(IF($I42="",AS$3,MIN($I42,AS$3)))-(MAX($H42,(EDATE(AS$3,-12)+1)))+1)/(AS$3-(EDATE(AS$3,-12)+1)+1)))*$W42),MAX(0,AR42-$M42)))</f>
        <v/>
      </c>
      <c r="AT42" s="81">
        <f>IF($K42="","",IF(AND($I42&lt;&gt;"",$I42&lt;=AS$3),0,AR42-AS42))</f>
        <v/>
      </c>
      <c r="AU42" s="81">
        <f>IF(OR($K42="",$H42=""),"",MIN(MAX(0,IF($O42="WDV",AT42*$P42*MAX(0,(IF($I42="",AU$3,MIN($I42,AU$3)))-(MAX($H42,(EDATE(AU$3,-12)+1)))+1)/(AU$3-(EDATE(AU$3,-12)+1)+1),IF($N42=0,0,$Q42/$N42*MAX(0,(IF($I42="",AU$3,MIN($I42,AU$3)))-(MAX($H42,(EDATE(AU$3,-12)+1)))+1)/(AU$3-(EDATE(AU$3,-12)+1)+1)))*$W42),MAX(0,AT42-$M42)))</f>
        <v/>
      </c>
      <c r="AV42" s="81">
        <f>IF($K42="","",IF(AND($I42&lt;&gt;"",$I42&lt;=AU$3),0,AT42-AU42))</f>
        <v/>
      </c>
      <c r="AW42" s="81">
        <f>IF(OR($K42="",$H42=""),"",MIN(MAX(0,IF($O42="WDV",AV42*$P42*MAX(0,(IF($I42="",AW$3,MIN($I42,AW$3)))-(MAX($H42,(EDATE(AW$3,-12)+1)))+1)/(AW$3-(EDATE(AW$3,-12)+1)+1),IF($N42=0,0,$Q42/$N42*MAX(0,(IF($I42="",AW$3,MIN($I42,AW$3)))-(MAX($H42,(EDATE(AW$3,-12)+1)))+1)/(AW$3-(EDATE(AW$3,-12)+1)+1)))*$W42),MAX(0,AV42-$M42)))</f>
        <v/>
      </c>
      <c r="AX42" s="81">
        <f>IF($K42="","",IF(AND($I42&lt;&gt;"",$I42&lt;=AW$3),0,AV42-AW42))</f>
        <v/>
      </c>
      <c r="AY42" s="81">
        <f>IF(OR($K42="",$H42=""),"",MIN(MAX(0,IF($O42="WDV",AX42*$P42*MAX(0,(IF($I42="",AY$3,MIN($I42,AY$3)))-(MAX($H42,(EDATE(AY$3,-12)+1)))+1)/(AY$3-(EDATE(AY$3,-12)+1)+1),IF($N42=0,0,$Q42/$N42*MAX(0,(IF($I42="",AY$3,MIN($I42,AY$3)))-(MAX($H42,(EDATE(AY$3,-12)+1)))+1)/(AY$3-(EDATE(AY$3,-12)+1)+1)))*$W42),MAX(0,AX42-$M42)))</f>
        <v/>
      </c>
      <c r="AZ42" s="81">
        <f>IF($K42="","",IF(AND($I42&lt;&gt;"",$I42&lt;=AY$3),0,AX42-AY42))</f>
        <v/>
      </c>
      <c r="BA42" s="81">
        <f>IF(OR($K42="",$H42=""),"",MIN(MAX(0,IF($O42="WDV",AZ42*$P42*MAX(0,(IF($I42="",BA$3,MIN($I42,BA$3)))-(MAX($H42,(EDATE(BA$3,-12)+1)))+1)/(BA$3-(EDATE(BA$3,-12)+1)+1),IF($N42=0,0,$Q42/$N42*MAX(0,(IF($I42="",BA$3,MIN($I42,BA$3)))-(MAX($H42,(EDATE(BA$3,-12)+1)))+1)/(BA$3-(EDATE(BA$3,-12)+1)+1)))*$W42),MAX(0,AZ42-$M42)))</f>
        <v/>
      </c>
      <c r="BB42" s="81">
        <f>IF($K42="","",IF(AND($I42&lt;&gt;"",$I42&lt;=BA$3),0,AZ42-BA42))</f>
        <v/>
      </c>
      <c r="BC42" s="81">
        <f>IF(OR($K42="",$H42=""),"",MIN(MAX(0,IF($O42="WDV",BB42*$P42*MAX(0,(IF($I42="",BC$3,MIN($I42,BC$3)))-(MAX($H42,(EDATE(BC$3,-12)+1)))+1)/(BC$3-(EDATE(BC$3,-12)+1)+1),IF($N42=0,0,$Q42/$N42*MAX(0,(IF($I42="",BC$3,MIN($I42,BC$3)))-(MAX($H42,(EDATE(BC$3,-12)+1)))+1)/(BC$3-(EDATE(BC$3,-12)+1)+1)))*$W42),MAX(0,BB42-$M42)))</f>
        <v/>
      </c>
      <c r="BD42" s="81">
        <f>IF($K42="","",IF(AND($I42&lt;&gt;"",$I42&lt;=BC$3),0,BB42-BC42))</f>
        <v/>
      </c>
      <c r="BE42" s="81">
        <f>IF(OR($K42="",$H42=""),"",MIN(MAX(0,IF($O42="WDV",BD42*$P42*MAX(0,(IF($I42="",BE$3,MIN($I42,BE$3)))-(MAX($H42,(EDATE(BE$3,-12)+1)))+1)/(BE$3-(EDATE(BE$3,-12)+1)+1),IF($N42=0,0,$Q42/$N42*MAX(0,(IF($I42="",BE$3,MIN($I42,BE$3)))-(MAX($H42,(EDATE(BE$3,-12)+1)))+1)/(BE$3-(EDATE(BE$3,-12)+1)+1)))*$W42),MAX(0,BD42-$M42)))</f>
        <v/>
      </c>
      <c r="BF42" s="81">
        <f>IF($K42="","",IF(AND($I42&lt;&gt;"",$I42&lt;=BE$3),0,BD42-BE42))</f>
        <v/>
      </c>
    </row>
    <row r="43">
      <c r="A43" s="44" t="n"/>
      <c r="B43" s="45" t="n"/>
      <c r="C43" s="45" t="n"/>
      <c r="D43" s="45" t="n"/>
      <c r="E43" s="46" t="n"/>
      <c r="F43" s="47" t="n"/>
      <c r="G43" s="48" t="n"/>
      <c r="H43" s="48" t="n"/>
      <c r="I43" s="49" t="n"/>
      <c r="J43" s="50" t="n"/>
      <c r="K43" s="51" t="n"/>
      <c r="L43" s="52">
        <f>DefaultResidual</f>
        <v/>
      </c>
      <c r="M43" s="53">
        <f>IF($K43="","",$K43*$L43)</f>
        <v/>
      </c>
      <c r="N43" s="54">
        <f>IF($C43="","",IFERROR(VLOOKUP($C43,ScheduleIITable,3,FALSE),"#N/A"))</f>
        <v/>
      </c>
      <c r="O43" s="55">
        <f>IF($K43="","",GlobalMethod)</f>
        <v/>
      </c>
      <c r="P43" s="56">
        <f>IF(OR($K43="",$N43="",$N43=0,$M43=0),0,1-($M43/$K43)^(1/$N43))</f>
        <v/>
      </c>
      <c r="Q43" s="53">
        <f>IF($K43="","",$K43-$M43)</f>
        <v/>
      </c>
      <c r="R43" s="57">
        <f>IF($K43="","",INDEX($AA43:$BF43,1,MATCH(ReportingFYEnd,$AA$3:$BF$3,0)))</f>
        <v/>
      </c>
      <c r="S43" s="53">
        <f>IF($K43="","",IF($U43="Disposed",0,$K43-$T43))</f>
        <v/>
      </c>
      <c r="T43" s="58">
        <f>IF($K43="","",INDEX($AA43:$BF43,1,MATCH(ReportingFYEnd,$AA$3:$BF$3,0)+1))</f>
        <v/>
      </c>
      <c r="U43" s="59">
        <f>IF($K43="","",IF(AND($I43&lt;&gt;"",$I43&lt;=ReportingFYEnd),"Disposed",IF(OR($H43="",$H43&gt;ReportingFYEnd),"Not Yet in Use","Active")))</f>
        <v/>
      </c>
      <c r="V43" s="60" t="n"/>
      <c r="W43" s="61">
        <f>IF($V43="Double",1.5,IF($V43="Triple",2,1))</f>
        <v/>
      </c>
      <c r="X43" s="48" t="n"/>
      <c r="Y43" s="59">
        <f>IF($K43="","",IF(OR(ISNUMBER(SEARCH("Build",$C43)),ISNUMBER(SEARCH("Lease",$C43))),"Yes","NA"))</f>
        <v/>
      </c>
      <c r="Z43" s="62" t="n"/>
      <c r="AA43" s="63">
        <f>IF(OR($K43="",$H43=""),"",MIN(MAX(0,IF($O43="WDV",$K43*$P43*MAX(0,(IF($I43="",AA$3,MIN($I43,AA$3)))-(MAX($H43,(EDATE(AA$3,-12)+1)))+1)/(AA$3-(EDATE(AA$3,-12)+1)+1),IF($N43=0,0,$Q43/$N43*MAX(0,(IF($I43="",AA$3,MIN($I43,AA$3)))-(MAX($H43,(EDATE(AA$3,-12)+1)))+1)/(AA$3-(EDATE(AA$3,-12)+1)+1)))*$W43),MAX(0,$K43-$M43)))</f>
        <v/>
      </c>
      <c r="AB43" s="64">
        <f>IF($K43="","",IF(AND($I43&lt;&gt;"",$I43&lt;=AA$3),0,$K43-AA43))</f>
        <v/>
      </c>
      <c r="AC43" s="63">
        <f>IF(OR($K43="",$H43=""),"",MIN(MAX(0,IF($O43="WDV",AB43*$P43*MAX(0,(IF($I43="",AC$3,MIN($I43,AC$3)))-(MAX($H43,(EDATE(AC$3,-12)+1)))+1)/(AC$3-(EDATE(AC$3,-12)+1)+1),IF($N43=0,0,$Q43/$N43*MAX(0,(IF($I43="",AC$3,MIN($I43,AC$3)))-(MAX($H43,(EDATE(AC$3,-12)+1)))+1)/(AC$3-(EDATE(AC$3,-12)+1)+1)))*$W43),MAX(0,AB43-$M43)))</f>
        <v/>
      </c>
      <c r="AD43" s="64">
        <f>IF($K43="","",IF(AND($I43&lt;&gt;"",$I43&lt;=AC$3),0,AB43-AC43))</f>
        <v/>
      </c>
      <c r="AE43" s="63">
        <f>IF(OR($K43="",$H43=""),"",MIN(MAX(0,IF($O43="WDV",AD43*$P43*MAX(0,(IF($I43="",AE$3,MIN($I43,AE$3)))-(MAX($H43,(EDATE(AE$3,-12)+1)))+1)/(AE$3-(EDATE(AE$3,-12)+1)+1),IF($N43=0,0,$Q43/$N43*MAX(0,(IF($I43="",AE$3,MIN($I43,AE$3)))-(MAX($H43,(EDATE(AE$3,-12)+1)))+1)/(AE$3-(EDATE(AE$3,-12)+1)+1)))*$W43),MAX(0,AD43-$M43)))</f>
        <v/>
      </c>
      <c r="AF43" s="64">
        <f>IF($K43="","",IF(AND($I43&lt;&gt;"",$I43&lt;=AE$3),0,AD43-AE43))</f>
        <v/>
      </c>
      <c r="AG43" s="63">
        <f>IF(OR($K43="",$H43=""),"",MIN(MAX(0,IF($O43="WDV",AF43*$P43*MAX(0,(IF($I43="",AG$3,MIN($I43,AG$3)))-(MAX($H43,(EDATE(AG$3,-12)+1)))+1)/(AG$3-(EDATE(AG$3,-12)+1)+1),IF($N43=0,0,$Q43/$N43*MAX(0,(IF($I43="",AG$3,MIN($I43,AG$3)))-(MAX($H43,(EDATE(AG$3,-12)+1)))+1)/(AG$3-(EDATE(AG$3,-12)+1)+1)))*$W43),MAX(0,AF43-$M43)))</f>
        <v/>
      </c>
      <c r="AH43" s="64">
        <f>IF($K43="","",IF(AND($I43&lt;&gt;"",$I43&lt;=AG$3),0,AF43-AG43))</f>
        <v/>
      </c>
      <c r="AI43" s="63">
        <f>IF(OR($K43="",$H43=""),"",MIN(MAX(0,IF($O43="WDV",AH43*$P43*MAX(0,(IF($I43="",AI$3,MIN($I43,AI$3)))-(MAX($H43,(EDATE(AI$3,-12)+1)))+1)/(AI$3-(EDATE(AI$3,-12)+1)+1),IF($N43=0,0,$Q43/$N43*MAX(0,(IF($I43="",AI$3,MIN($I43,AI$3)))-(MAX($H43,(EDATE(AI$3,-12)+1)))+1)/(AI$3-(EDATE(AI$3,-12)+1)+1)))*$W43),MAX(0,AH43-$M43)))</f>
        <v/>
      </c>
      <c r="AJ43" s="64">
        <f>IF($K43="","",IF(AND($I43&lt;&gt;"",$I43&lt;=AI$3),0,AH43-AI43))</f>
        <v/>
      </c>
      <c r="AK43" s="63">
        <f>IF(OR($K43="",$H43=""),"",MIN(MAX(0,IF($O43="WDV",AJ43*$P43*MAX(0,(IF($I43="",AK$3,MIN($I43,AK$3)))-(MAX($H43,(EDATE(AK$3,-12)+1)))+1)/(AK$3-(EDATE(AK$3,-12)+1)+1),IF($N43=0,0,$Q43/$N43*MAX(0,(IF($I43="",AK$3,MIN($I43,AK$3)))-(MAX($H43,(EDATE(AK$3,-12)+1)))+1)/(AK$3-(EDATE(AK$3,-12)+1)+1)))*$W43),MAX(0,AJ43-$M43)))</f>
        <v/>
      </c>
      <c r="AL43" s="64">
        <f>IF($K43="","",IF(AND($I43&lt;&gt;"",$I43&lt;=AK$3),0,AJ43-AK43))</f>
        <v/>
      </c>
      <c r="AM43" s="63">
        <f>IF(OR($K43="",$H43=""),"",MIN(MAX(0,IF($O43="WDV",AL43*$P43*MAX(0,(IF($I43="",AM$3,MIN($I43,AM$3)))-(MAX($H43,(EDATE(AM$3,-12)+1)))+1)/(AM$3-(EDATE(AM$3,-12)+1)+1),IF($N43=0,0,$Q43/$N43*MAX(0,(IF($I43="",AM$3,MIN($I43,AM$3)))-(MAX($H43,(EDATE(AM$3,-12)+1)))+1)/(AM$3-(EDATE(AM$3,-12)+1)+1)))*$W43),MAX(0,AL43-$M43)))</f>
        <v/>
      </c>
      <c r="AN43" s="64">
        <f>IF($K43="","",IF(AND($I43&lt;&gt;"",$I43&lt;=AM$3),0,AL43-AM43))</f>
        <v/>
      </c>
      <c r="AO43" s="63">
        <f>IF(OR($K43="",$H43=""),"",MIN(MAX(0,IF($O43="WDV",AN43*$P43*MAX(0,(IF($I43="",AO$3,MIN($I43,AO$3)))-(MAX($H43,(EDATE(AO$3,-12)+1)))+1)/(AO$3-(EDATE(AO$3,-12)+1)+1),IF($N43=0,0,$Q43/$N43*MAX(0,(IF($I43="",AO$3,MIN($I43,AO$3)))-(MAX($H43,(EDATE(AO$3,-12)+1)))+1)/(AO$3-(EDATE(AO$3,-12)+1)+1)))*$W43),MAX(0,AN43-$M43)))</f>
        <v/>
      </c>
      <c r="AP43" s="64">
        <f>IF($K43="","",IF(AND($I43&lt;&gt;"",$I43&lt;=AO$3),0,AN43-AO43))</f>
        <v/>
      </c>
      <c r="AQ43" s="63">
        <f>IF(OR($K43="",$H43=""),"",MIN(MAX(0,IF($O43="WDV",AP43*$P43*MAX(0,(IF($I43="",AQ$3,MIN($I43,AQ$3)))-(MAX($H43,(EDATE(AQ$3,-12)+1)))+1)/(AQ$3-(EDATE(AQ$3,-12)+1)+1),IF($N43=0,0,$Q43/$N43*MAX(0,(IF($I43="",AQ$3,MIN($I43,AQ$3)))-(MAX($H43,(EDATE(AQ$3,-12)+1)))+1)/(AQ$3-(EDATE(AQ$3,-12)+1)+1)))*$W43),MAX(0,AP43-$M43)))</f>
        <v/>
      </c>
      <c r="AR43" s="64">
        <f>IF($K43="","",IF(AND($I43&lt;&gt;"",$I43&lt;=AQ$3),0,AP43-AQ43))</f>
        <v/>
      </c>
      <c r="AS43" s="63">
        <f>IF(OR($K43="",$H43=""),"",MIN(MAX(0,IF($O43="WDV",AR43*$P43*MAX(0,(IF($I43="",AS$3,MIN($I43,AS$3)))-(MAX($H43,(EDATE(AS$3,-12)+1)))+1)/(AS$3-(EDATE(AS$3,-12)+1)+1),IF($N43=0,0,$Q43/$N43*MAX(0,(IF($I43="",AS$3,MIN($I43,AS$3)))-(MAX($H43,(EDATE(AS$3,-12)+1)))+1)/(AS$3-(EDATE(AS$3,-12)+1)+1)))*$W43),MAX(0,AR43-$M43)))</f>
        <v/>
      </c>
      <c r="AT43" s="64">
        <f>IF($K43="","",IF(AND($I43&lt;&gt;"",$I43&lt;=AS$3),0,AR43-AS43))</f>
        <v/>
      </c>
      <c r="AU43" s="63">
        <f>IF(OR($K43="",$H43=""),"",MIN(MAX(0,IF($O43="WDV",AT43*$P43*MAX(0,(IF($I43="",AU$3,MIN($I43,AU$3)))-(MAX($H43,(EDATE(AU$3,-12)+1)))+1)/(AU$3-(EDATE(AU$3,-12)+1)+1),IF($N43=0,0,$Q43/$N43*MAX(0,(IF($I43="",AU$3,MIN($I43,AU$3)))-(MAX($H43,(EDATE(AU$3,-12)+1)))+1)/(AU$3-(EDATE(AU$3,-12)+1)+1)))*$W43),MAX(0,AT43-$M43)))</f>
        <v/>
      </c>
      <c r="AV43" s="64">
        <f>IF($K43="","",IF(AND($I43&lt;&gt;"",$I43&lt;=AU$3),0,AT43-AU43))</f>
        <v/>
      </c>
      <c r="AW43" s="63">
        <f>IF(OR($K43="",$H43=""),"",MIN(MAX(0,IF($O43="WDV",AV43*$P43*MAX(0,(IF($I43="",AW$3,MIN($I43,AW$3)))-(MAX($H43,(EDATE(AW$3,-12)+1)))+1)/(AW$3-(EDATE(AW$3,-12)+1)+1),IF($N43=0,0,$Q43/$N43*MAX(0,(IF($I43="",AW$3,MIN($I43,AW$3)))-(MAX($H43,(EDATE(AW$3,-12)+1)))+1)/(AW$3-(EDATE(AW$3,-12)+1)+1)))*$W43),MAX(0,AV43-$M43)))</f>
        <v/>
      </c>
      <c r="AX43" s="64">
        <f>IF($K43="","",IF(AND($I43&lt;&gt;"",$I43&lt;=AW$3),0,AV43-AW43))</f>
        <v/>
      </c>
      <c r="AY43" s="63">
        <f>IF(OR($K43="",$H43=""),"",MIN(MAX(0,IF($O43="WDV",AX43*$P43*MAX(0,(IF($I43="",AY$3,MIN($I43,AY$3)))-(MAX($H43,(EDATE(AY$3,-12)+1)))+1)/(AY$3-(EDATE(AY$3,-12)+1)+1),IF($N43=0,0,$Q43/$N43*MAX(0,(IF($I43="",AY$3,MIN($I43,AY$3)))-(MAX($H43,(EDATE(AY$3,-12)+1)))+1)/(AY$3-(EDATE(AY$3,-12)+1)+1)))*$W43),MAX(0,AX43-$M43)))</f>
        <v/>
      </c>
      <c r="AZ43" s="64">
        <f>IF($K43="","",IF(AND($I43&lt;&gt;"",$I43&lt;=AY$3),0,AX43-AY43))</f>
        <v/>
      </c>
      <c r="BA43" s="63">
        <f>IF(OR($K43="",$H43=""),"",MIN(MAX(0,IF($O43="WDV",AZ43*$P43*MAX(0,(IF($I43="",BA$3,MIN($I43,BA$3)))-(MAX($H43,(EDATE(BA$3,-12)+1)))+1)/(BA$3-(EDATE(BA$3,-12)+1)+1),IF($N43=0,0,$Q43/$N43*MAX(0,(IF($I43="",BA$3,MIN($I43,BA$3)))-(MAX($H43,(EDATE(BA$3,-12)+1)))+1)/(BA$3-(EDATE(BA$3,-12)+1)+1)))*$W43),MAX(0,AZ43-$M43)))</f>
        <v/>
      </c>
      <c r="BB43" s="64">
        <f>IF($K43="","",IF(AND($I43&lt;&gt;"",$I43&lt;=BA$3),0,AZ43-BA43))</f>
        <v/>
      </c>
      <c r="BC43" s="63">
        <f>IF(OR($K43="",$H43=""),"",MIN(MAX(0,IF($O43="WDV",BB43*$P43*MAX(0,(IF($I43="",BC$3,MIN($I43,BC$3)))-(MAX($H43,(EDATE(BC$3,-12)+1)))+1)/(BC$3-(EDATE(BC$3,-12)+1)+1),IF($N43=0,0,$Q43/$N43*MAX(0,(IF($I43="",BC$3,MIN($I43,BC$3)))-(MAX($H43,(EDATE(BC$3,-12)+1)))+1)/(BC$3-(EDATE(BC$3,-12)+1)+1)))*$W43),MAX(0,BB43-$M43)))</f>
        <v/>
      </c>
      <c r="BD43" s="64">
        <f>IF($K43="","",IF(AND($I43&lt;&gt;"",$I43&lt;=BC$3),0,BB43-BC43))</f>
        <v/>
      </c>
      <c r="BE43" s="63">
        <f>IF(OR($K43="",$H43=""),"",MIN(MAX(0,IF($O43="WDV",BD43*$P43*MAX(0,(IF($I43="",BE$3,MIN($I43,BE$3)))-(MAX($H43,(EDATE(BE$3,-12)+1)))+1)/(BE$3-(EDATE(BE$3,-12)+1)+1),IF($N43=0,0,$Q43/$N43*MAX(0,(IF($I43="",BE$3,MIN($I43,BE$3)))-(MAX($H43,(EDATE(BE$3,-12)+1)))+1)/(BE$3-(EDATE(BE$3,-12)+1)+1)))*$W43),MAX(0,BD43-$M43)))</f>
        <v/>
      </c>
      <c r="BF43" s="64">
        <f>IF($K43="","",IF(AND($I43&lt;&gt;"",$I43&lt;=BE$3),0,BD43-BE43))</f>
        <v/>
      </c>
    </row>
    <row r="44">
      <c r="A44" s="65" t="n"/>
      <c r="B44" s="66" t="n"/>
      <c r="C44" s="66" t="n"/>
      <c r="D44" s="66" t="n"/>
      <c r="E44" s="67" t="n"/>
      <c r="F44" s="68" t="n"/>
      <c r="G44" s="69" t="n"/>
      <c r="H44" s="69" t="n"/>
      <c r="I44" s="70" t="n"/>
      <c r="J44" s="71" t="n"/>
      <c r="K44" s="72" t="n"/>
      <c r="L44" s="73">
        <f>DefaultResidual</f>
        <v/>
      </c>
      <c r="M44" s="74">
        <f>IF($K44="","",$K44*$L44)</f>
        <v/>
      </c>
      <c r="N44" s="22">
        <f>IF($C44="","",IFERROR(VLOOKUP($C44,ScheduleIITable,3,FALSE),"#N/A"))</f>
        <v/>
      </c>
      <c r="O44" s="75">
        <f>IF($K44="","",GlobalMethod)</f>
        <v/>
      </c>
      <c r="P44" s="23">
        <f>IF(OR($K44="",$N44="",$N44=0,$M44=0),0,1-($M44/$K44)^(1/$N44))</f>
        <v/>
      </c>
      <c r="Q44" s="74">
        <f>IF($K44="","",$K44-$M44)</f>
        <v/>
      </c>
      <c r="R44" s="76">
        <f>IF($K44="","",INDEX($AA44:$BF44,1,MATCH(ReportingFYEnd,$AA$3:$BF$3,0)))</f>
        <v/>
      </c>
      <c r="S44" s="74">
        <f>IF($K44="","",IF($U44="Disposed",0,$K44-$T44))</f>
        <v/>
      </c>
      <c r="T44" s="77">
        <f>IF($K44="","",INDEX($AA44:$BF44,1,MATCH(ReportingFYEnd,$AA$3:$BF$3,0)+1))</f>
        <v/>
      </c>
      <c r="U44" s="78">
        <f>IF($K44="","",IF(AND($I44&lt;&gt;"",$I44&lt;=ReportingFYEnd),"Disposed",IF(OR($H44="",$H44&gt;ReportingFYEnd),"Not Yet in Use","Active")))</f>
        <v/>
      </c>
      <c r="V44" s="79" t="n"/>
      <c r="W44" s="80">
        <f>IF($V44="Double",1.5,IF($V44="Triple",2,1))</f>
        <v/>
      </c>
      <c r="X44" s="69" t="n"/>
      <c r="Y44" s="78">
        <f>IF($K44="","",IF(OR(ISNUMBER(SEARCH("Build",$C44)),ISNUMBER(SEARCH("Lease",$C44))),"Yes","NA"))</f>
        <v/>
      </c>
      <c r="Z44" s="21" t="n"/>
      <c r="AA44" s="81">
        <f>IF(OR($K44="",$H44=""),"",MIN(MAX(0,IF($O44="WDV",$K44*$P44*MAX(0,(IF($I44="",AA$3,MIN($I44,AA$3)))-(MAX($H44,(EDATE(AA$3,-12)+1)))+1)/(AA$3-(EDATE(AA$3,-12)+1)+1),IF($N44=0,0,$Q44/$N44*MAX(0,(IF($I44="",AA$3,MIN($I44,AA$3)))-(MAX($H44,(EDATE(AA$3,-12)+1)))+1)/(AA$3-(EDATE(AA$3,-12)+1)+1)))*$W44),MAX(0,$K44-$M44)))</f>
        <v/>
      </c>
      <c r="AB44" s="81">
        <f>IF($K44="","",IF(AND($I44&lt;&gt;"",$I44&lt;=AA$3),0,$K44-AA44))</f>
        <v/>
      </c>
      <c r="AC44" s="81">
        <f>IF(OR($K44="",$H44=""),"",MIN(MAX(0,IF($O44="WDV",AB44*$P44*MAX(0,(IF($I44="",AC$3,MIN($I44,AC$3)))-(MAX($H44,(EDATE(AC$3,-12)+1)))+1)/(AC$3-(EDATE(AC$3,-12)+1)+1),IF($N44=0,0,$Q44/$N44*MAX(0,(IF($I44="",AC$3,MIN($I44,AC$3)))-(MAX($H44,(EDATE(AC$3,-12)+1)))+1)/(AC$3-(EDATE(AC$3,-12)+1)+1)))*$W44),MAX(0,AB44-$M44)))</f>
        <v/>
      </c>
      <c r="AD44" s="81">
        <f>IF($K44="","",IF(AND($I44&lt;&gt;"",$I44&lt;=AC$3),0,AB44-AC44))</f>
        <v/>
      </c>
      <c r="AE44" s="81">
        <f>IF(OR($K44="",$H44=""),"",MIN(MAX(0,IF($O44="WDV",AD44*$P44*MAX(0,(IF($I44="",AE$3,MIN($I44,AE$3)))-(MAX($H44,(EDATE(AE$3,-12)+1)))+1)/(AE$3-(EDATE(AE$3,-12)+1)+1),IF($N44=0,0,$Q44/$N44*MAX(0,(IF($I44="",AE$3,MIN($I44,AE$3)))-(MAX($H44,(EDATE(AE$3,-12)+1)))+1)/(AE$3-(EDATE(AE$3,-12)+1)+1)))*$W44),MAX(0,AD44-$M44)))</f>
        <v/>
      </c>
      <c r="AF44" s="81">
        <f>IF($K44="","",IF(AND($I44&lt;&gt;"",$I44&lt;=AE$3),0,AD44-AE44))</f>
        <v/>
      </c>
      <c r="AG44" s="81">
        <f>IF(OR($K44="",$H44=""),"",MIN(MAX(0,IF($O44="WDV",AF44*$P44*MAX(0,(IF($I44="",AG$3,MIN($I44,AG$3)))-(MAX($H44,(EDATE(AG$3,-12)+1)))+1)/(AG$3-(EDATE(AG$3,-12)+1)+1),IF($N44=0,0,$Q44/$N44*MAX(0,(IF($I44="",AG$3,MIN($I44,AG$3)))-(MAX($H44,(EDATE(AG$3,-12)+1)))+1)/(AG$3-(EDATE(AG$3,-12)+1)+1)))*$W44),MAX(0,AF44-$M44)))</f>
        <v/>
      </c>
      <c r="AH44" s="81">
        <f>IF($K44="","",IF(AND($I44&lt;&gt;"",$I44&lt;=AG$3),0,AF44-AG44))</f>
        <v/>
      </c>
      <c r="AI44" s="81">
        <f>IF(OR($K44="",$H44=""),"",MIN(MAX(0,IF($O44="WDV",AH44*$P44*MAX(0,(IF($I44="",AI$3,MIN($I44,AI$3)))-(MAX($H44,(EDATE(AI$3,-12)+1)))+1)/(AI$3-(EDATE(AI$3,-12)+1)+1),IF($N44=0,0,$Q44/$N44*MAX(0,(IF($I44="",AI$3,MIN($I44,AI$3)))-(MAX($H44,(EDATE(AI$3,-12)+1)))+1)/(AI$3-(EDATE(AI$3,-12)+1)+1)))*$W44),MAX(0,AH44-$M44)))</f>
        <v/>
      </c>
      <c r="AJ44" s="81">
        <f>IF($K44="","",IF(AND($I44&lt;&gt;"",$I44&lt;=AI$3),0,AH44-AI44))</f>
        <v/>
      </c>
      <c r="AK44" s="81">
        <f>IF(OR($K44="",$H44=""),"",MIN(MAX(0,IF($O44="WDV",AJ44*$P44*MAX(0,(IF($I44="",AK$3,MIN($I44,AK$3)))-(MAX($H44,(EDATE(AK$3,-12)+1)))+1)/(AK$3-(EDATE(AK$3,-12)+1)+1),IF($N44=0,0,$Q44/$N44*MAX(0,(IF($I44="",AK$3,MIN($I44,AK$3)))-(MAX($H44,(EDATE(AK$3,-12)+1)))+1)/(AK$3-(EDATE(AK$3,-12)+1)+1)))*$W44),MAX(0,AJ44-$M44)))</f>
        <v/>
      </c>
      <c r="AL44" s="81">
        <f>IF($K44="","",IF(AND($I44&lt;&gt;"",$I44&lt;=AK$3),0,AJ44-AK44))</f>
        <v/>
      </c>
      <c r="AM44" s="81">
        <f>IF(OR($K44="",$H44=""),"",MIN(MAX(0,IF($O44="WDV",AL44*$P44*MAX(0,(IF($I44="",AM$3,MIN($I44,AM$3)))-(MAX($H44,(EDATE(AM$3,-12)+1)))+1)/(AM$3-(EDATE(AM$3,-12)+1)+1),IF($N44=0,0,$Q44/$N44*MAX(0,(IF($I44="",AM$3,MIN($I44,AM$3)))-(MAX($H44,(EDATE(AM$3,-12)+1)))+1)/(AM$3-(EDATE(AM$3,-12)+1)+1)))*$W44),MAX(0,AL44-$M44)))</f>
        <v/>
      </c>
      <c r="AN44" s="81">
        <f>IF($K44="","",IF(AND($I44&lt;&gt;"",$I44&lt;=AM$3),0,AL44-AM44))</f>
        <v/>
      </c>
      <c r="AO44" s="81">
        <f>IF(OR($K44="",$H44=""),"",MIN(MAX(0,IF($O44="WDV",AN44*$P44*MAX(0,(IF($I44="",AO$3,MIN($I44,AO$3)))-(MAX($H44,(EDATE(AO$3,-12)+1)))+1)/(AO$3-(EDATE(AO$3,-12)+1)+1),IF($N44=0,0,$Q44/$N44*MAX(0,(IF($I44="",AO$3,MIN($I44,AO$3)))-(MAX($H44,(EDATE(AO$3,-12)+1)))+1)/(AO$3-(EDATE(AO$3,-12)+1)+1)))*$W44),MAX(0,AN44-$M44)))</f>
        <v/>
      </c>
      <c r="AP44" s="81">
        <f>IF($K44="","",IF(AND($I44&lt;&gt;"",$I44&lt;=AO$3),0,AN44-AO44))</f>
        <v/>
      </c>
      <c r="AQ44" s="81">
        <f>IF(OR($K44="",$H44=""),"",MIN(MAX(0,IF($O44="WDV",AP44*$P44*MAX(0,(IF($I44="",AQ$3,MIN($I44,AQ$3)))-(MAX($H44,(EDATE(AQ$3,-12)+1)))+1)/(AQ$3-(EDATE(AQ$3,-12)+1)+1),IF($N44=0,0,$Q44/$N44*MAX(0,(IF($I44="",AQ$3,MIN($I44,AQ$3)))-(MAX($H44,(EDATE(AQ$3,-12)+1)))+1)/(AQ$3-(EDATE(AQ$3,-12)+1)+1)))*$W44),MAX(0,AP44-$M44)))</f>
        <v/>
      </c>
      <c r="AR44" s="81">
        <f>IF($K44="","",IF(AND($I44&lt;&gt;"",$I44&lt;=AQ$3),0,AP44-AQ44))</f>
        <v/>
      </c>
      <c r="AS44" s="81">
        <f>IF(OR($K44="",$H44=""),"",MIN(MAX(0,IF($O44="WDV",AR44*$P44*MAX(0,(IF($I44="",AS$3,MIN($I44,AS$3)))-(MAX($H44,(EDATE(AS$3,-12)+1)))+1)/(AS$3-(EDATE(AS$3,-12)+1)+1),IF($N44=0,0,$Q44/$N44*MAX(0,(IF($I44="",AS$3,MIN($I44,AS$3)))-(MAX($H44,(EDATE(AS$3,-12)+1)))+1)/(AS$3-(EDATE(AS$3,-12)+1)+1)))*$W44),MAX(0,AR44-$M44)))</f>
        <v/>
      </c>
      <c r="AT44" s="81">
        <f>IF($K44="","",IF(AND($I44&lt;&gt;"",$I44&lt;=AS$3),0,AR44-AS44))</f>
        <v/>
      </c>
      <c r="AU44" s="81">
        <f>IF(OR($K44="",$H44=""),"",MIN(MAX(0,IF($O44="WDV",AT44*$P44*MAX(0,(IF($I44="",AU$3,MIN($I44,AU$3)))-(MAX($H44,(EDATE(AU$3,-12)+1)))+1)/(AU$3-(EDATE(AU$3,-12)+1)+1),IF($N44=0,0,$Q44/$N44*MAX(0,(IF($I44="",AU$3,MIN($I44,AU$3)))-(MAX($H44,(EDATE(AU$3,-12)+1)))+1)/(AU$3-(EDATE(AU$3,-12)+1)+1)))*$W44),MAX(0,AT44-$M44)))</f>
        <v/>
      </c>
      <c r="AV44" s="81">
        <f>IF($K44="","",IF(AND($I44&lt;&gt;"",$I44&lt;=AU$3),0,AT44-AU44))</f>
        <v/>
      </c>
      <c r="AW44" s="81">
        <f>IF(OR($K44="",$H44=""),"",MIN(MAX(0,IF($O44="WDV",AV44*$P44*MAX(0,(IF($I44="",AW$3,MIN($I44,AW$3)))-(MAX($H44,(EDATE(AW$3,-12)+1)))+1)/(AW$3-(EDATE(AW$3,-12)+1)+1),IF($N44=0,0,$Q44/$N44*MAX(0,(IF($I44="",AW$3,MIN($I44,AW$3)))-(MAX($H44,(EDATE(AW$3,-12)+1)))+1)/(AW$3-(EDATE(AW$3,-12)+1)+1)))*$W44),MAX(0,AV44-$M44)))</f>
        <v/>
      </c>
      <c r="AX44" s="81">
        <f>IF($K44="","",IF(AND($I44&lt;&gt;"",$I44&lt;=AW$3),0,AV44-AW44))</f>
        <v/>
      </c>
      <c r="AY44" s="81">
        <f>IF(OR($K44="",$H44=""),"",MIN(MAX(0,IF($O44="WDV",AX44*$P44*MAX(0,(IF($I44="",AY$3,MIN($I44,AY$3)))-(MAX($H44,(EDATE(AY$3,-12)+1)))+1)/(AY$3-(EDATE(AY$3,-12)+1)+1),IF($N44=0,0,$Q44/$N44*MAX(0,(IF($I44="",AY$3,MIN($I44,AY$3)))-(MAX($H44,(EDATE(AY$3,-12)+1)))+1)/(AY$3-(EDATE(AY$3,-12)+1)+1)))*$W44),MAX(0,AX44-$M44)))</f>
        <v/>
      </c>
      <c r="AZ44" s="81">
        <f>IF($K44="","",IF(AND($I44&lt;&gt;"",$I44&lt;=AY$3),0,AX44-AY44))</f>
        <v/>
      </c>
      <c r="BA44" s="81">
        <f>IF(OR($K44="",$H44=""),"",MIN(MAX(0,IF($O44="WDV",AZ44*$P44*MAX(0,(IF($I44="",BA$3,MIN($I44,BA$3)))-(MAX($H44,(EDATE(BA$3,-12)+1)))+1)/(BA$3-(EDATE(BA$3,-12)+1)+1),IF($N44=0,0,$Q44/$N44*MAX(0,(IF($I44="",BA$3,MIN($I44,BA$3)))-(MAX($H44,(EDATE(BA$3,-12)+1)))+1)/(BA$3-(EDATE(BA$3,-12)+1)+1)))*$W44),MAX(0,AZ44-$M44)))</f>
        <v/>
      </c>
      <c r="BB44" s="81">
        <f>IF($K44="","",IF(AND($I44&lt;&gt;"",$I44&lt;=BA$3),0,AZ44-BA44))</f>
        <v/>
      </c>
      <c r="BC44" s="81">
        <f>IF(OR($K44="",$H44=""),"",MIN(MAX(0,IF($O44="WDV",BB44*$P44*MAX(0,(IF($I44="",BC$3,MIN($I44,BC$3)))-(MAX($H44,(EDATE(BC$3,-12)+1)))+1)/(BC$3-(EDATE(BC$3,-12)+1)+1),IF($N44=0,0,$Q44/$N44*MAX(0,(IF($I44="",BC$3,MIN($I44,BC$3)))-(MAX($H44,(EDATE(BC$3,-12)+1)))+1)/(BC$3-(EDATE(BC$3,-12)+1)+1)))*$W44),MAX(0,BB44-$M44)))</f>
        <v/>
      </c>
      <c r="BD44" s="81">
        <f>IF($K44="","",IF(AND($I44&lt;&gt;"",$I44&lt;=BC$3),0,BB44-BC44))</f>
        <v/>
      </c>
      <c r="BE44" s="81">
        <f>IF(OR($K44="",$H44=""),"",MIN(MAX(0,IF($O44="WDV",BD44*$P44*MAX(0,(IF($I44="",BE$3,MIN($I44,BE$3)))-(MAX($H44,(EDATE(BE$3,-12)+1)))+1)/(BE$3-(EDATE(BE$3,-12)+1)+1),IF($N44=0,0,$Q44/$N44*MAX(0,(IF($I44="",BE$3,MIN($I44,BE$3)))-(MAX($H44,(EDATE(BE$3,-12)+1)))+1)/(BE$3-(EDATE(BE$3,-12)+1)+1)))*$W44),MAX(0,BD44-$M44)))</f>
        <v/>
      </c>
      <c r="BF44" s="81">
        <f>IF($K44="","",IF(AND($I44&lt;&gt;"",$I44&lt;=BE$3),0,BD44-BE44))</f>
        <v/>
      </c>
    </row>
    <row r="45">
      <c r="A45" s="44" t="n"/>
      <c r="B45" s="45" t="n"/>
      <c r="C45" s="45" t="n"/>
      <c r="D45" s="45" t="n"/>
      <c r="E45" s="46" t="n"/>
      <c r="F45" s="47" t="n"/>
      <c r="G45" s="48" t="n"/>
      <c r="H45" s="48" t="n"/>
      <c r="I45" s="49" t="n"/>
      <c r="J45" s="50" t="n"/>
      <c r="K45" s="51" t="n"/>
      <c r="L45" s="52">
        <f>DefaultResidual</f>
        <v/>
      </c>
      <c r="M45" s="53">
        <f>IF($K45="","",$K45*$L45)</f>
        <v/>
      </c>
      <c r="N45" s="54">
        <f>IF($C45="","",IFERROR(VLOOKUP($C45,ScheduleIITable,3,FALSE),"#N/A"))</f>
        <v/>
      </c>
      <c r="O45" s="55">
        <f>IF($K45="","",GlobalMethod)</f>
        <v/>
      </c>
      <c r="P45" s="56">
        <f>IF(OR($K45="",$N45="",$N45=0,$M45=0),0,1-($M45/$K45)^(1/$N45))</f>
        <v/>
      </c>
      <c r="Q45" s="53">
        <f>IF($K45="","",$K45-$M45)</f>
        <v/>
      </c>
      <c r="R45" s="57">
        <f>IF($K45="","",INDEX($AA45:$BF45,1,MATCH(ReportingFYEnd,$AA$3:$BF$3,0)))</f>
        <v/>
      </c>
      <c r="S45" s="53">
        <f>IF($K45="","",IF($U45="Disposed",0,$K45-$T45))</f>
        <v/>
      </c>
      <c r="T45" s="58">
        <f>IF($K45="","",INDEX($AA45:$BF45,1,MATCH(ReportingFYEnd,$AA$3:$BF$3,0)+1))</f>
        <v/>
      </c>
      <c r="U45" s="59">
        <f>IF($K45="","",IF(AND($I45&lt;&gt;"",$I45&lt;=ReportingFYEnd),"Disposed",IF(OR($H45="",$H45&gt;ReportingFYEnd),"Not Yet in Use","Active")))</f>
        <v/>
      </c>
      <c r="V45" s="60" t="n"/>
      <c r="W45" s="61">
        <f>IF($V45="Double",1.5,IF($V45="Triple",2,1))</f>
        <v/>
      </c>
      <c r="X45" s="48" t="n"/>
      <c r="Y45" s="59">
        <f>IF($K45="","",IF(OR(ISNUMBER(SEARCH("Build",$C45)),ISNUMBER(SEARCH("Lease",$C45))),"Yes","NA"))</f>
        <v/>
      </c>
      <c r="Z45" s="62" t="n"/>
      <c r="AA45" s="63">
        <f>IF(OR($K45="",$H45=""),"",MIN(MAX(0,IF($O45="WDV",$K45*$P45*MAX(0,(IF($I45="",AA$3,MIN($I45,AA$3)))-(MAX($H45,(EDATE(AA$3,-12)+1)))+1)/(AA$3-(EDATE(AA$3,-12)+1)+1),IF($N45=0,0,$Q45/$N45*MAX(0,(IF($I45="",AA$3,MIN($I45,AA$3)))-(MAX($H45,(EDATE(AA$3,-12)+1)))+1)/(AA$3-(EDATE(AA$3,-12)+1)+1)))*$W45),MAX(0,$K45-$M45)))</f>
        <v/>
      </c>
      <c r="AB45" s="64">
        <f>IF($K45="","",IF(AND($I45&lt;&gt;"",$I45&lt;=AA$3),0,$K45-AA45))</f>
        <v/>
      </c>
      <c r="AC45" s="63">
        <f>IF(OR($K45="",$H45=""),"",MIN(MAX(0,IF($O45="WDV",AB45*$P45*MAX(0,(IF($I45="",AC$3,MIN($I45,AC$3)))-(MAX($H45,(EDATE(AC$3,-12)+1)))+1)/(AC$3-(EDATE(AC$3,-12)+1)+1),IF($N45=0,0,$Q45/$N45*MAX(0,(IF($I45="",AC$3,MIN($I45,AC$3)))-(MAX($H45,(EDATE(AC$3,-12)+1)))+1)/(AC$3-(EDATE(AC$3,-12)+1)+1)))*$W45),MAX(0,AB45-$M45)))</f>
        <v/>
      </c>
      <c r="AD45" s="64">
        <f>IF($K45="","",IF(AND($I45&lt;&gt;"",$I45&lt;=AC$3),0,AB45-AC45))</f>
        <v/>
      </c>
      <c r="AE45" s="63">
        <f>IF(OR($K45="",$H45=""),"",MIN(MAX(0,IF($O45="WDV",AD45*$P45*MAX(0,(IF($I45="",AE$3,MIN($I45,AE$3)))-(MAX($H45,(EDATE(AE$3,-12)+1)))+1)/(AE$3-(EDATE(AE$3,-12)+1)+1),IF($N45=0,0,$Q45/$N45*MAX(0,(IF($I45="",AE$3,MIN($I45,AE$3)))-(MAX($H45,(EDATE(AE$3,-12)+1)))+1)/(AE$3-(EDATE(AE$3,-12)+1)+1)))*$W45),MAX(0,AD45-$M45)))</f>
        <v/>
      </c>
      <c r="AF45" s="64">
        <f>IF($K45="","",IF(AND($I45&lt;&gt;"",$I45&lt;=AE$3),0,AD45-AE45))</f>
        <v/>
      </c>
      <c r="AG45" s="63">
        <f>IF(OR($K45="",$H45=""),"",MIN(MAX(0,IF($O45="WDV",AF45*$P45*MAX(0,(IF($I45="",AG$3,MIN($I45,AG$3)))-(MAX($H45,(EDATE(AG$3,-12)+1)))+1)/(AG$3-(EDATE(AG$3,-12)+1)+1),IF($N45=0,0,$Q45/$N45*MAX(0,(IF($I45="",AG$3,MIN($I45,AG$3)))-(MAX($H45,(EDATE(AG$3,-12)+1)))+1)/(AG$3-(EDATE(AG$3,-12)+1)+1)))*$W45),MAX(0,AF45-$M45)))</f>
        <v/>
      </c>
      <c r="AH45" s="64">
        <f>IF($K45="","",IF(AND($I45&lt;&gt;"",$I45&lt;=AG$3),0,AF45-AG45))</f>
        <v/>
      </c>
      <c r="AI45" s="63">
        <f>IF(OR($K45="",$H45=""),"",MIN(MAX(0,IF($O45="WDV",AH45*$P45*MAX(0,(IF($I45="",AI$3,MIN($I45,AI$3)))-(MAX($H45,(EDATE(AI$3,-12)+1)))+1)/(AI$3-(EDATE(AI$3,-12)+1)+1),IF($N45=0,0,$Q45/$N45*MAX(0,(IF($I45="",AI$3,MIN($I45,AI$3)))-(MAX($H45,(EDATE(AI$3,-12)+1)))+1)/(AI$3-(EDATE(AI$3,-12)+1)+1)))*$W45),MAX(0,AH45-$M45)))</f>
        <v/>
      </c>
      <c r="AJ45" s="64">
        <f>IF($K45="","",IF(AND($I45&lt;&gt;"",$I45&lt;=AI$3),0,AH45-AI45))</f>
        <v/>
      </c>
      <c r="AK45" s="63">
        <f>IF(OR($K45="",$H45=""),"",MIN(MAX(0,IF($O45="WDV",AJ45*$P45*MAX(0,(IF($I45="",AK$3,MIN($I45,AK$3)))-(MAX($H45,(EDATE(AK$3,-12)+1)))+1)/(AK$3-(EDATE(AK$3,-12)+1)+1),IF($N45=0,0,$Q45/$N45*MAX(0,(IF($I45="",AK$3,MIN($I45,AK$3)))-(MAX($H45,(EDATE(AK$3,-12)+1)))+1)/(AK$3-(EDATE(AK$3,-12)+1)+1)))*$W45),MAX(0,AJ45-$M45)))</f>
        <v/>
      </c>
      <c r="AL45" s="64">
        <f>IF($K45="","",IF(AND($I45&lt;&gt;"",$I45&lt;=AK$3),0,AJ45-AK45))</f>
        <v/>
      </c>
      <c r="AM45" s="63">
        <f>IF(OR($K45="",$H45=""),"",MIN(MAX(0,IF($O45="WDV",AL45*$P45*MAX(0,(IF($I45="",AM$3,MIN($I45,AM$3)))-(MAX($H45,(EDATE(AM$3,-12)+1)))+1)/(AM$3-(EDATE(AM$3,-12)+1)+1),IF($N45=0,0,$Q45/$N45*MAX(0,(IF($I45="",AM$3,MIN($I45,AM$3)))-(MAX($H45,(EDATE(AM$3,-12)+1)))+1)/(AM$3-(EDATE(AM$3,-12)+1)+1)))*$W45),MAX(0,AL45-$M45)))</f>
        <v/>
      </c>
      <c r="AN45" s="64">
        <f>IF($K45="","",IF(AND($I45&lt;&gt;"",$I45&lt;=AM$3),0,AL45-AM45))</f>
        <v/>
      </c>
      <c r="AO45" s="63">
        <f>IF(OR($K45="",$H45=""),"",MIN(MAX(0,IF($O45="WDV",AN45*$P45*MAX(0,(IF($I45="",AO$3,MIN($I45,AO$3)))-(MAX($H45,(EDATE(AO$3,-12)+1)))+1)/(AO$3-(EDATE(AO$3,-12)+1)+1),IF($N45=0,0,$Q45/$N45*MAX(0,(IF($I45="",AO$3,MIN($I45,AO$3)))-(MAX($H45,(EDATE(AO$3,-12)+1)))+1)/(AO$3-(EDATE(AO$3,-12)+1)+1)))*$W45),MAX(0,AN45-$M45)))</f>
        <v/>
      </c>
      <c r="AP45" s="64">
        <f>IF($K45="","",IF(AND($I45&lt;&gt;"",$I45&lt;=AO$3),0,AN45-AO45))</f>
        <v/>
      </c>
      <c r="AQ45" s="63">
        <f>IF(OR($K45="",$H45=""),"",MIN(MAX(0,IF($O45="WDV",AP45*$P45*MAX(0,(IF($I45="",AQ$3,MIN($I45,AQ$3)))-(MAX($H45,(EDATE(AQ$3,-12)+1)))+1)/(AQ$3-(EDATE(AQ$3,-12)+1)+1),IF($N45=0,0,$Q45/$N45*MAX(0,(IF($I45="",AQ$3,MIN($I45,AQ$3)))-(MAX($H45,(EDATE(AQ$3,-12)+1)))+1)/(AQ$3-(EDATE(AQ$3,-12)+1)+1)))*$W45),MAX(0,AP45-$M45)))</f>
        <v/>
      </c>
      <c r="AR45" s="64">
        <f>IF($K45="","",IF(AND($I45&lt;&gt;"",$I45&lt;=AQ$3),0,AP45-AQ45))</f>
        <v/>
      </c>
      <c r="AS45" s="63">
        <f>IF(OR($K45="",$H45=""),"",MIN(MAX(0,IF($O45="WDV",AR45*$P45*MAX(0,(IF($I45="",AS$3,MIN($I45,AS$3)))-(MAX($H45,(EDATE(AS$3,-12)+1)))+1)/(AS$3-(EDATE(AS$3,-12)+1)+1),IF($N45=0,0,$Q45/$N45*MAX(0,(IF($I45="",AS$3,MIN($I45,AS$3)))-(MAX($H45,(EDATE(AS$3,-12)+1)))+1)/(AS$3-(EDATE(AS$3,-12)+1)+1)))*$W45),MAX(0,AR45-$M45)))</f>
        <v/>
      </c>
      <c r="AT45" s="64">
        <f>IF($K45="","",IF(AND($I45&lt;&gt;"",$I45&lt;=AS$3),0,AR45-AS45))</f>
        <v/>
      </c>
      <c r="AU45" s="63">
        <f>IF(OR($K45="",$H45=""),"",MIN(MAX(0,IF($O45="WDV",AT45*$P45*MAX(0,(IF($I45="",AU$3,MIN($I45,AU$3)))-(MAX($H45,(EDATE(AU$3,-12)+1)))+1)/(AU$3-(EDATE(AU$3,-12)+1)+1),IF($N45=0,0,$Q45/$N45*MAX(0,(IF($I45="",AU$3,MIN($I45,AU$3)))-(MAX($H45,(EDATE(AU$3,-12)+1)))+1)/(AU$3-(EDATE(AU$3,-12)+1)+1)))*$W45),MAX(0,AT45-$M45)))</f>
        <v/>
      </c>
      <c r="AV45" s="64">
        <f>IF($K45="","",IF(AND($I45&lt;&gt;"",$I45&lt;=AU$3),0,AT45-AU45))</f>
        <v/>
      </c>
      <c r="AW45" s="63">
        <f>IF(OR($K45="",$H45=""),"",MIN(MAX(0,IF($O45="WDV",AV45*$P45*MAX(0,(IF($I45="",AW$3,MIN($I45,AW$3)))-(MAX($H45,(EDATE(AW$3,-12)+1)))+1)/(AW$3-(EDATE(AW$3,-12)+1)+1),IF($N45=0,0,$Q45/$N45*MAX(0,(IF($I45="",AW$3,MIN($I45,AW$3)))-(MAX($H45,(EDATE(AW$3,-12)+1)))+1)/(AW$3-(EDATE(AW$3,-12)+1)+1)))*$W45),MAX(0,AV45-$M45)))</f>
        <v/>
      </c>
      <c r="AX45" s="64">
        <f>IF($K45="","",IF(AND($I45&lt;&gt;"",$I45&lt;=AW$3),0,AV45-AW45))</f>
        <v/>
      </c>
      <c r="AY45" s="63">
        <f>IF(OR($K45="",$H45=""),"",MIN(MAX(0,IF($O45="WDV",AX45*$P45*MAX(0,(IF($I45="",AY$3,MIN($I45,AY$3)))-(MAX($H45,(EDATE(AY$3,-12)+1)))+1)/(AY$3-(EDATE(AY$3,-12)+1)+1),IF($N45=0,0,$Q45/$N45*MAX(0,(IF($I45="",AY$3,MIN($I45,AY$3)))-(MAX($H45,(EDATE(AY$3,-12)+1)))+1)/(AY$3-(EDATE(AY$3,-12)+1)+1)))*$W45),MAX(0,AX45-$M45)))</f>
        <v/>
      </c>
      <c r="AZ45" s="64">
        <f>IF($K45="","",IF(AND($I45&lt;&gt;"",$I45&lt;=AY$3),0,AX45-AY45))</f>
        <v/>
      </c>
      <c r="BA45" s="63">
        <f>IF(OR($K45="",$H45=""),"",MIN(MAX(0,IF($O45="WDV",AZ45*$P45*MAX(0,(IF($I45="",BA$3,MIN($I45,BA$3)))-(MAX($H45,(EDATE(BA$3,-12)+1)))+1)/(BA$3-(EDATE(BA$3,-12)+1)+1),IF($N45=0,0,$Q45/$N45*MAX(0,(IF($I45="",BA$3,MIN($I45,BA$3)))-(MAX($H45,(EDATE(BA$3,-12)+1)))+1)/(BA$3-(EDATE(BA$3,-12)+1)+1)))*$W45),MAX(0,AZ45-$M45)))</f>
        <v/>
      </c>
      <c r="BB45" s="64">
        <f>IF($K45="","",IF(AND($I45&lt;&gt;"",$I45&lt;=BA$3),0,AZ45-BA45))</f>
        <v/>
      </c>
      <c r="BC45" s="63">
        <f>IF(OR($K45="",$H45=""),"",MIN(MAX(0,IF($O45="WDV",BB45*$P45*MAX(0,(IF($I45="",BC$3,MIN($I45,BC$3)))-(MAX($H45,(EDATE(BC$3,-12)+1)))+1)/(BC$3-(EDATE(BC$3,-12)+1)+1),IF($N45=0,0,$Q45/$N45*MAX(0,(IF($I45="",BC$3,MIN($I45,BC$3)))-(MAX($H45,(EDATE(BC$3,-12)+1)))+1)/(BC$3-(EDATE(BC$3,-12)+1)+1)))*$W45),MAX(0,BB45-$M45)))</f>
        <v/>
      </c>
      <c r="BD45" s="64">
        <f>IF($K45="","",IF(AND($I45&lt;&gt;"",$I45&lt;=BC$3),0,BB45-BC45))</f>
        <v/>
      </c>
      <c r="BE45" s="63">
        <f>IF(OR($K45="",$H45=""),"",MIN(MAX(0,IF($O45="WDV",BD45*$P45*MAX(0,(IF($I45="",BE$3,MIN($I45,BE$3)))-(MAX($H45,(EDATE(BE$3,-12)+1)))+1)/(BE$3-(EDATE(BE$3,-12)+1)+1),IF($N45=0,0,$Q45/$N45*MAX(0,(IF($I45="",BE$3,MIN($I45,BE$3)))-(MAX($H45,(EDATE(BE$3,-12)+1)))+1)/(BE$3-(EDATE(BE$3,-12)+1)+1)))*$W45),MAX(0,BD45-$M45)))</f>
        <v/>
      </c>
      <c r="BF45" s="64">
        <f>IF($K45="","",IF(AND($I45&lt;&gt;"",$I45&lt;=BE$3),0,BD45-BE45))</f>
        <v/>
      </c>
    </row>
    <row r="46">
      <c r="A46" s="65" t="n"/>
      <c r="B46" s="66" t="n"/>
      <c r="C46" s="66" t="n"/>
      <c r="D46" s="66" t="n"/>
      <c r="E46" s="67" t="n"/>
      <c r="F46" s="68" t="n"/>
      <c r="G46" s="69" t="n"/>
      <c r="H46" s="69" t="n"/>
      <c r="I46" s="70" t="n"/>
      <c r="J46" s="71" t="n"/>
      <c r="K46" s="72" t="n"/>
      <c r="L46" s="73">
        <f>DefaultResidual</f>
        <v/>
      </c>
      <c r="M46" s="74">
        <f>IF($K46="","",$K46*$L46)</f>
        <v/>
      </c>
      <c r="N46" s="22">
        <f>IF($C46="","",IFERROR(VLOOKUP($C46,ScheduleIITable,3,FALSE),"#N/A"))</f>
        <v/>
      </c>
      <c r="O46" s="75">
        <f>IF($K46="","",GlobalMethod)</f>
        <v/>
      </c>
      <c r="P46" s="23">
        <f>IF(OR($K46="",$N46="",$N46=0,$M46=0),0,1-($M46/$K46)^(1/$N46))</f>
        <v/>
      </c>
      <c r="Q46" s="74">
        <f>IF($K46="","",$K46-$M46)</f>
        <v/>
      </c>
      <c r="R46" s="76">
        <f>IF($K46="","",INDEX($AA46:$BF46,1,MATCH(ReportingFYEnd,$AA$3:$BF$3,0)))</f>
        <v/>
      </c>
      <c r="S46" s="74">
        <f>IF($K46="","",IF($U46="Disposed",0,$K46-$T46))</f>
        <v/>
      </c>
      <c r="T46" s="77">
        <f>IF($K46="","",INDEX($AA46:$BF46,1,MATCH(ReportingFYEnd,$AA$3:$BF$3,0)+1))</f>
        <v/>
      </c>
      <c r="U46" s="78">
        <f>IF($K46="","",IF(AND($I46&lt;&gt;"",$I46&lt;=ReportingFYEnd),"Disposed",IF(OR($H46="",$H46&gt;ReportingFYEnd),"Not Yet in Use","Active")))</f>
        <v/>
      </c>
      <c r="V46" s="79" t="n"/>
      <c r="W46" s="80">
        <f>IF($V46="Double",1.5,IF($V46="Triple",2,1))</f>
        <v/>
      </c>
      <c r="X46" s="69" t="n"/>
      <c r="Y46" s="78">
        <f>IF($K46="","",IF(OR(ISNUMBER(SEARCH("Build",$C46)),ISNUMBER(SEARCH("Lease",$C46))),"Yes","NA"))</f>
        <v/>
      </c>
      <c r="Z46" s="21" t="n"/>
      <c r="AA46" s="81">
        <f>IF(OR($K46="",$H46=""),"",MIN(MAX(0,IF($O46="WDV",$K46*$P46*MAX(0,(IF($I46="",AA$3,MIN($I46,AA$3)))-(MAX($H46,(EDATE(AA$3,-12)+1)))+1)/(AA$3-(EDATE(AA$3,-12)+1)+1),IF($N46=0,0,$Q46/$N46*MAX(0,(IF($I46="",AA$3,MIN($I46,AA$3)))-(MAX($H46,(EDATE(AA$3,-12)+1)))+1)/(AA$3-(EDATE(AA$3,-12)+1)+1)))*$W46),MAX(0,$K46-$M46)))</f>
        <v/>
      </c>
      <c r="AB46" s="81">
        <f>IF($K46="","",IF(AND($I46&lt;&gt;"",$I46&lt;=AA$3),0,$K46-AA46))</f>
        <v/>
      </c>
      <c r="AC46" s="81">
        <f>IF(OR($K46="",$H46=""),"",MIN(MAX(0,IF($O46="WDV",AB46*$P46*MAX(0,(IF($I46="",AC$3,MIN($I46,AC$3)))-(MAX($H46,(EDATE(AC$3,-12)+1)))+1)/(AC$3-(EDATE(AC$3,-12)+1)+1),IF($N46=0,0,$Q46/$N46*MAX(0,(IF($I46="",AC$3,MIN($I46,AC$3)))-(MAX($H46,(EDATE(AC$3,-12)+1)))+1)/(AC$3-(EDATE(AC$3,-12)+1)+1)))*$W46),MAX(0,AB46-$M46)))</f>
        <v/>
      </c>
      <c r="AD46" s="81">
        <f>IF($K46="","",IF(AND($I46&lt;&gt;"",$I46&lt;=AC$3),0,AB46-AC46))</f>
        <v/>
      </c>
      <c r="AE46" s="81">
        <f>IF(OR($K46="",$H46=""),"",MIN(MAX(0,IF($O46="WDV",AD46*$P46*MAX(0,(IF($I46="",AE$3,MIN($I46,AE$3)))-(MAX($H46,(EDATE(AE$3,-12)+1)))+1)/(AE$3-(EDATE(AE$3,-12)+1)+1),IF($N46=0,0,$Q46/$N46*MAX(0,(IF($I46="",AE$3,MIN($I46,AE$3)))-(MAX($H46,(EDATE(AE$3,-12)+1)))+1)/(AE$3-(EDATE(AE$3,-12)+1)+1)))*$W46),MAX(0,AD46-$M46)))</f>
        <v/>
      </c>
      <c r="AF46" s="81">
        <f>IF($K46="","",IF(AND($I46&lt;&gt;"",$I46&lt;=AE$3),0,AD46-AE46))</f>
        <v/>
      </c>
      <c r="AG46" s="81">
        <f>IF(OR($K46="",$H46=""),"",MIN(MAX(0,IF($O46="WDV",AF46*$P46*MAX(0,(IF($I46="",AG$3,MIN($I46,AG$3)))-(MAX($H46,(EDATE(AG$3,-12)+1)))+1)/(AG$3-(EDATE(AG$3,-12)+1)+1),IF($N46=0,0,$Q46/$N46*MAX(0,(IF($I46="",AG$3,MIN($I46,AG$3)))-(MAX($H46,(EDATE(AG$3,-12)+1)))+1)/(AG$3-(EDATE(AG$3,-12)+1)+1)))*$W46),MAX(0,AF46-$M46)))</f>
        <v/>
      </c>
      <c r="AH46" s="81">
        <f>IF($K46="","",IF(AND($I46&lt;&gt;"",$I46&lt;=AG$3),0,AF46-AG46))</f>
        <v/>
      </c>
      <c r="AI46" s="81">
        <f>IF(OR($K46="",$H46=""),"",MIN(MAX(0,IF($O46="WDV",AH46*$P46*MAX(0,(IF($I46="",AI$3,MIN($I46,AI$3)))-(MAX($H46,(EDATE(AI$3,-12)+1)))+1)/(AI$3-(EDATE(AI$3,-12)+1)+1),IF($N46=0,0,$Q46/$N46*MAX(0,(IF($I46="",AI$3,MIN($I46,AI$3)))-(MAX($H46,(EDATE(AI$3,-12)+1)))+1)/(AI$3-(EDATE(AI$3,-12)+1)+1)))*$W46),MAX(0,AH46-$M46)))</f>
        <v/>
      </c>
      <c r="AJ46" s="81">
        <f>IF($K46="","",IF(AND($I46&lt;&gt;"",$I46&lt;=AI$3),0,AH46-AI46))</f>
        <v/>
      </c>
      <c r="AK46" s="81">
        <f>IF(OR($K46="",$H46=""),"",MIN(MAX(0,IF($O46="WDV",AJ46*$P46*MAX(0,(IF($I46="",AK$3,MIN($I46,AK$3)))-(MAX($H46,(EDATE(AK$3,-12)+1)))+1)/(AK$3-(EDATE(AK$3,-12)+1)+1),IF($N46=0,0,$Q46/$N46*MAX(0,(IF($I46="",AK$3,MIN($I46,AK$3)))-(MAX($H46,(EDATE(AK$3,-12)+1)))+1)/(AK$3-(EDATE(AK$3,-12)+1)+1)))*$W46),MAX(0,AJ46-$M46)))</f>
        <v/>
      </c>
      <c r="AL46" s="81">
        <f>IF($K46="","",IF(AND($I46&lt;&gt;"",$I46&lt;=AK$3),0,AJ46-AK46))</f>
        <v/>
      </c>
      <c r="AM46" s="81">
        <f>IF(OR($K46="",$H46=""),"",MIN(MAX(0,IF($O46="WDV",AL46*$P46*MAX(0,(IF($I46="",AM$3,MIN($I46,AM$3)))-(MAX($H46,(EDATE(AM$3,-12)+1)))+1)/(AM$3-(EDATE(AM$3,-12)+1)+1),IF($N46=0,0,$Q46/$N46*MAX(0,(IF($I46="",AM$3,MIN($I46,AM$3)))-(MAX($H46,(EDATE(AM$3,-12)+1)))+1)/(AM$3-(EDATE(AM$3,-12)+1)+1)))*$W46),MAX(0,AL46-$M46)))</f>
        <v/>
      </c>
      <c r="AN46" s="81">
        <f>IF($K46="","",IF(AND($I46&lt;&gt;"",$I46&lt;=AM$3),0,AL46-AM46))</f>
        <v/>
      </c>
      <c r="AO46" s="81">
        <f>IF(OR($K46="",$H46=""),"",MIN(MAX(0,IF($O46="WDV",AN46*$P46*MAX(0,(IF($I46="",AO$3,MIN($I46,AO$3)))-(MAX($H46,(EDATE(AO$3,-12)+1)))+1)/(AO$3-(EDATE(AO$3,-12)+1)+1),IF($N46=0,0,$Q46/$N46*MAX(0,(IF($I46="",AO$3,MIN($I46,AO$3)))-(MAX($H46,(EDATE(AO$3,-12)+1)))+1)/(AO$3-(EDATE(AO$3,-12)+1)+1)))*$W46),MAX(0,AN46-$M46)))</f>
        <v/>
      </c>
      <c r="AP46" s="81">
        <f>IF($K46="","",IF(AND($I46&lt;&gt;"",$I46&lt;=AO$3),0,AN46-AO46))</f>
        <v/>
      </c>
      <c r="AQ46" s="81">
        <f>IF(OR($K46="",$H46=""),"",MIN(MAX(0,IF($O46="WDV",AP46*$P46*MAX(0,(IF($I46="",AQ$3,MIN($I46,AQ$3)))-(MAX($H46,(EDATE(AQ$3,-12)+1)))+1)/(AQ$3-(EDATE(AQ$3,-12)+1)+1),IF($N46=0,0,$Q46/$N46*MAX(0,(IF($I46="",AQ$3,MIN($I46,AQ$3)))-(MAX($H46,(EDATE(AQ$3,-12)+1)))+1)/(AQ$3-(EDATE(AQ$3,-12)+1)+1)))*$W46),MAX(0,AP46-$M46)))</f>
        <v/>
      </c>
      <c r="AR46" s="81">
        <f>IF($K46="","",IF(AND($I46&lt;&gt;"",$I46&lt;=AQ$3),0,AP46-AQ46))</f>
        <v/>
      </c>
      <c r="AS46" s="81">
        <f>IF(OR($K46="",$H46=""),"",MIN(MAX(0,IF($O46="WDV",AR46*$P46*MAX(0,(IF($I46="",AS$3,MIN($I46,AS$3)))-(MAX($H46,(EDATE(AS$3,-12)+1)))+1)/(AS$3-(EDATE(AS$3,-12)+1)+1),IF($N46=0,0,$Q46/$N46*MAX(0,(IF($I46="",AS$3,MIN($I46,AS$3)))-(MAX($H46,(EDATE(AS$3,-12)+1)))+1)/(AS$3-(EDATE(AS$3,-12)+1)+1)))*$W46),MAX(0,AR46-$M46)))</f>
        <v/>
      </c>
      <c r="AT46" s="81">
        <f>IF($K46="","",IF(AND($I46&lt;&gt;"",$I46&lt;=AS$3),0,AR46-AS46))</f>
        <v/>
      </c>
      <c r="AU46" s="81">
        <f>IF(OR($K46="",$H46=""),"",MIN(MAX(0,IF($O46="WDV",AT46*$P46*MAX(0,(IF($I46="",AU$3,MIN($I46,AU$3)))-(MAX($H46,(EDATE(AU$3,-12)+1)))+1)/(AU$3-(EDATE(AU$3,-12)+1)+1),IF($N46=0,0,$Q46/$N46*MAX(0,(IF($I46="",AU$3,MIN($I46,AU$3)))-(MAX($H46,(EDATE(AU$3,-12)+1)))+1)/(AU$3-(EDATE(AU$3,-12)+1)+1)))*$W46),MAX(0,AT46-$M46)))</f>
        <v/>
      </c>
      <c r="AV46" s="81">
        <f>IF($K46="","",IF(AND($I46&lt;&gt;"",$I46&lt;=AU$3),0,AT46-AU46))</f>
        <v/>
      </c>
      <c r="AW46" s="81">
        <f>IF(OR($K46="",$H46=""),"",MIN(MAX(0,IF($O46="WDV",AV46*$P46*MAX(0,(IF($I46="",AW$3,MIN($I46,AW$3)))-(MAX($H46,(EDATE(AW$3,-12)+1)))+1)/(AW$3-(EDATE(AW$3,-12)+1)+1),IF($N46=0,0,$Q46/$N46*MAX(0,(IF($I46="",AW$3,MIN($I46,AW$3)))-(MAX($H46,(EDATE(AW$3,-12)+1)))+1)/(AW$3-(EDATE(AW$3,-12)+1)+1)))*$W46),MAX(0,AV46-$M46)))</f>
        <v/>
      </c>
      <c r="AX46" s="81">
        <f>IF($K46="","",IF(AND($I46&lt;&gt;"",$I46&lt;=AW$3),0,AV46-AW46))</f>
        <v/>
      </c>
      <c r="AY46" s="81">
        <f>IF(OR($K46="",$H46=""),"",MIN(MAX(0,IF($O46="WDV",AX46*$P46*MAX(0,(IF($I46="",AY$3,MIN($I46,AY$3)))-(MAX($H46,(EDATE(AY$3,-12)+1)))+1)/(AY$3-(EDATE(AY$3,-12)+1)+1),IF($N46=0,0,$Q46/$N46*MAX(0,(IF($I46="",AY$3,MIN($I46,AY$3)))-(MAX($H46,(EDATE(AY$3,-12)+1)))+1)/(AY$3-(EDATE(AY$3,-12)+1)+1)))*$W46),MAX(0,AX46-$M46)))</f>
        <v/>
      </c>
      <c r="AZ46" s="81">
        <f>IF($K46="","",IF(AND($I46&lt;&gt;"",$I46&lt;=AY$3),0,AX46-AY46))</f>
        <v/>
      </c>
      <c r="BA46" s="81">
        <f>IF(OR($K46="",$H46=""),"",MIN(MAX(0,IF($O46="WDV",AZ46*$P46*MAX(0,(IF($I46="",BA$3,MIN($I46,BA$3)))-(MAX($H46,(EDATE(BA$3,-12)+1)))+1)/(BA$3-(EDATE(BA$3,-12)+1)+1),IF($N46=0,0,$Q46/$N46*MAX(0,(IF($I46="",BA$3,MIN($I46,BA$3)))-(MAX($H46,(EDATE(BA$3,-12)+1)))+1)/(BA$3-(EDATE(BA$3,-12)+1)+1)))*$W46),MAX(0,AZ46-$M46)))</f>
        <v/>
      </c>
      <c r="BB46" s="81">
        <f>IF($K46="","",IF(AND($I46&lt;&gt;"",$I46&lt;=BA$3),0,AZ46-BA46))</f>
        <v/>
      </c>
      <c r="BC46" s="81">
        <f>IF(OR($K46="",$H46=""),"",MIN(MAX(0,IF($O46="WDV",BB46*$P46*MAX(0,(IF($I46="",BC$3,MIN($I46,BC$3)))-(MAX($H46,(EDATE(BC$3,-12)+1)))+1)/(BC$3-(EDATE(BC$3,-12)+1)+1),IF($N46=0,0,$Q46/$N46*MAX(0,(IF($I46="",BC$3,MIN($I46,BC$3)))-(MAX($H46,(EDATE(BC$3,-12)+1)))+1)/(BC$3-(EDATE(BC$3,-12)+1)+1)))*$W46),MAX(0,BB46-$M46)))</f>
        <v/>
      </c>
      <c r="BD46" s="81">
        <f>IF($K46="","",IF(AND($I46&lt;&gt;"",$I46&lt;=BC$3),0,BB46-BC46))</f>
        <v/>
      </c>
      <c r="BE46" s="81">
        <f>IF(OR($K46="",$H46=""),"",MIN(MAX(0,IF($O46="WDV",BD46*$P46*MAX(0,(IF($I46="",BE$3,MIN($I46,BE$3)))-(MAX($H46,(EDATE(BE$3,-12)+1)))+1)/(BE$3-(EDATE(BE$3,-12)+1)+1),IF($N46=0,0,$Q46/$N46*MAX(0,(IF($I46="",BE$3,MIN($I46,BE$3)))-(MAX($H46,(EDATE(BE$3,-12)+1)))+1)/(BE$3-(EDATE(BE$3,-12)+1)+1)))*$W46),MAX(0,BD46-$M46)))</f>
        <v/>
      </c>
      <c r="BF46" s="81">
        <f>IF($K46="","",IF(AND($I46&lt;&gt;"",$I46&lt;=BE$3),0,BD46-BE46))</f>
        <v/>
      </c>
    </row>
    <row r="47">
      <c r="A47" s="44" t="n"/>
      <c r="B47" s="45" t="n"/>
      <c r="C47" s="45" t="n"/>
      <c r="D47" s="45" t="n"/>
      <c r="E47" s="46" t="n"/>
      <c r="F47" s="47" t="n"/>
      <c r="G47" s="48" t="n"/>
      <c r="H47" s="48" t="n"/>
      <c r="I47" s="49" t="n"/>
      <c r="J47" s="50" t="n"/>
      <c r="K47" s="51" t="n"/>
      <c r="L47" s="52">
        <f>DefaultResidual</f>
        <v/>
      </c>
      <c r="M47" s="53">
        <f>IF($K47="","",$K47*$L47)</f>
        <v/>
      </c>
      <c r="N47" s="54">
        <f>IF($C47="","",IFERROR(VLOOKUP($C47,ScheduleIITable,3,FALSE),"#N/A"))</f>
        <v/>
      </c>
      <c r="O47" s="55">
        <f>IF($K47="","",GlobalMethod)</f>
        <v/>
      </c>
      <c r="P47" s="56">
        <f>IF(OR($K47="",$N47="",$N47=0,$M47=0),0,1-($M47/$K47)^(1/$N47))</f>
        <v/>
      </c>
      <c r="Q47" s="53">
        <f>IF($K47="","",$K47-$M47)</f>
        <v/>
      </c>
      <c r="R47" s="57">
        <f>IF($K47="","",INDEX($AA47:$BF47,1,MATCH(ReportingFYEnd,$AA$3:$BF$3,0)))</f>
        <v/>
      </c>
      <c r="S47" s="53">
        <f>IF($K47="","",IF($U47="Disposed",0,$K47-$T47))</f>
        <v/>
      </c>
      <c r="T47" s="58">
        <f>IF($K47="","",INDEX($AA47:$BF47,1,MATCH(ReportingFYEnd,$AA$3:$BF$3,0)+1))</f>
        <v/>
      </c>
      <c r="U47" s="59">
        <f>IF($K47="","",IF(AND($I47&lt;&gt;"",$I47&lt;=ReportingFYEnd),"Disposed",IF(OR($H47="",$H47&gt;ReportingFYEnd),"Not Yet in Use","Active")))</f>
        <v/>
      </c>
      <c r="V47" s="60" t="n"/>
      <c r="W47" s="61">
        <f>IF($V47="Double",1.5,IF($V47="Triple",2,1))</f>
        <v/>
      </c>
      <c r="X47" s="48" t="n"/>
      <c r="Y47" s="59">
        <f>IF($K47="","",IF(OR(ISNUMBER(SEARCH("Build",$C47)),ISNUMBER(SEARCH("Lease",$C47))),"Yes","NA"))</f>
        <v/>
      </c>
      <c r="Z47" s="62" t="n"/>
      <c r="AA47" s="63">
        <f>IF(OR($K47="",$H47=""),"",MIN(MAX(0,IF($O47="WDV",$K47*$P47*MAX(0,(IF($I47="",AA$3,MIN($I47,AA$3)))-(MAX($H47,(EDATE(AA$3,-12)+1)))+1)/(AA$3-(EDATE(AA$3,-12)+1)+1),IF($N47=0,0,$Q47/$N47*MAX(0,(IF($I47="",AA$3,MIN($I47,AA$3)))-(MAX($H47,(EDATE(AA$3,-12)+1)))+1)/(AA$3-(EDATE(AA$3,-12)+1)+1)))*$W47),MAX(0,$K47-$M47)))</f>
        <v/>
      </c>
      <c r="AB47" s="64">
        <f>IF($K47="","",IF(AND($I47&lt;&gt;"",$I47&lt;=AA$3),0,$K47-AA47))</f>
        <v/>
      </c>
      <c r="AC47" s="63">
        <f>IF(OR($K47="",$H47=""),"",MIN(MAX(0,IF($O47="WDV",AB47*$P47*MAX(0,(IF($I47="",AC$3,MIN($I47,AC$3)))-(MAX($H47,(EDATE(AC$3,-12)+1)))+1)/(AC$3-(EDATE(AC$3,-12)+1)+1),IF($N47=0,0,$Q47/$N47*MAX(0,(IF($I47="",AC$3,MIN($I47,AC$3)))-(MAX($H47,(EDATE(AC$3,-12)+1)))+1)/(AC$3-(EDATE(AC$3,-12)+1)+1)))*$W47),MAX(0,AB47-$M47)))</f>
        <v/>
      </c>
      <c r="AD47" s="64">
        <f>IF($K47="","",IF(AND($I47&lt;&gt;"",$I47&lt;=AC$3),0,AB47-AC47))</f>
        <v/>
      </c>
      <c r="AE47" s="63">
        <f>IF(OR($K47="",$H47=""),"",MIN(MAX(0,IF($O47="WDV",AD47*$P47*MAX(0,(IF($I47="",AE$3,MIN($I47,AE$3)))-(MAX($H47,(EDATE(AE$3,-12)+1)))+1)/(AE$3-(EDATE(AE$3,-12)+1)+1),IF($N47=0,0,$Q47/$N47*MAX(0,(IF($I47="",AE$3,MIN($I47,AE$3)))-(MAX($H47,(EDATE(AE$3,-12)+1)))+1)/(AE$3-(EDATE(AE$3,-12)+1)+1)))*$W47),MAX(0,AD47-$M47)))</f>
        <v/>
      </c>
      <c r="AF47" s="64">
        <f>IF($K47="","",IF(AND($I47&lt;&gt;"",$I47&lt;=AE$3),0,AD47-AE47))</f>
        <v/>
      </c>
      <c r="AG47" s="63">
        <f>IF(OR($K47="",$H47=""),"",MIN(MAX(0,IF($O47="WDV",AF47*$P47*MAX(0,(IF($I47="",AG$3,MIN($I47,AG$3)))-(MAX($H47,(EDATE(AG$3,-12)+1)))+1)/(AG$3-(EDATE(AG$3,-12)+1)+1),IF($N47=0,0,$Q47/$N47*MAX(0,(IF($I47="",AG$3,MIN($I47,AG$3)))-(MAX($H47,(EDATE(AG$3,-12)+1)))+1)/(AG$3-(EDATE(AG$3,-12)+1)+1)))*$W47),MAX(0,AF47-$M47)))</f>
        <v/>
      </c>
      <c r="AH47" s="64">
        <f>IF($K47="","",IF(AND($I47&lt;&gt;"",$I47&lt;=AG$3),0,AF47-AG47))</f>
        <v/>
      </c>
      <c r="AI47" s="63">
        <f>IF(OR($K47="",$H47=""),"",MIN(MAX(0,IF($O47="WDV",AH47*$P47*MAX(0,(IF($I47="",AI$3,MIN($I47,AI$3)))-(MAX($H47,(EDATE(AI$3,-12)+1)))+1)/(AI$3-(EDATE(AI$3,-12)+1)+1),IF($N47=0,0,$Q47/$N47*MAX(0,(IF($I47="",AI$3,MIN($I47,AI$3)))-(MAX($H47,(EDATE(AI$3,-12)+1)))+1)/(AI$3-(EDATE(AI$3,-12)+1)+1)))*$W47),MAX(0,AH47-$M47)))</f>
        <v/>
      </c>
      <c r="AJ47" s="64">
        <f>IF($K47="","",IF(AND($I47&lt;&gt;"",$I47&lt;=AI$3),0,AH47-AI47))</f>
        <v/>
      </c>
      <c r="AK47" s="63">
        <f>IF(OR($K47="",$H47=""),"",MIN(MAX(0,IF($O47="WDV",AJ47*$P47*MAX(0,(IF($I47="",AK$3,MIN($I47,AK$3)))-(MAX($H47,(EDATE(AK$3,-12)+1)))+1)/(AK$3-(EDATE(AK$3,-12)+1)+1),IF($N47=0,0,$Q47/$N47*MAX(0,(IF($I47="",AK$3,MIN($I47,AK$3)))-(MAX($H47,(EDATE(AK$3,-12)+1)))+1)/(AK$3-(EDATE(AK$3,-12)+1)+1)))*$W47),MAX(0,AJ47-$M47)))</f>
        <v/>
      </c>
      <c r="AL47" s="64">
        <f>IF($K47="","",IF(AND($I47&lt;&gt;"",$I47&lt;=AK$3),0,AJ47-AK47))</f>
        <v/>
      </c>
      <c r="AM47" s="63">
        <f>IF(OR($K47="",$H47=""),"",MIN(MAX(0,IF($O47="WDV",AL47*$P47*MAX(0,(IF($I47="",AM$3,MIN($I47,AM$3)))-(MAX($H47,(EDATE(AM$3,-12)+1)))+1)/(AM$3-(EDATE(AM$3,-12)+1)+1),IF($N47=0,0,$Q47/$N47*MAX(0,(IF($I47="",AM$3,MIN($I47,AM$3)))-(MAX($H47,(EDATE(AM$3,-12)+1)))+1)/(AM$3-(EDATE(AM$3,-12)+1)+1)))*$W47),MAX(0,AL47-$M47)))</f>
        <v/>
      </c>
      <c r="AN47" s="64">
        <f>IF($K47="","",IF(AND($I47&lt;&gt;"",$I47&lt;=AM$3),0,AL47-AM47))</f>
        <v/>
      </c>
      <c r="AO47" s="63">
        <f>IF(OR($K47="",$H47=""),"",MIN(MAX(0,IF($O47="WDV",AN47*$P47*MAX(0,(IF($I47="",AO$3,MIN($I47,AO$3)))-(MAX($H47,(EDATE(AO$3,-12)+1)))+1)/(AO$3-(EDATE(AO$3,-12)+1)+1),IF($N47=0,0,$Q47/$N47*MAX(0,(IF($I47="",AO$3,MIN($I47,AO$3)))-(MAX($H47,(EDATE(AO$3,-12)+1)))+1)/(AO$3-(EDATE(AO$3,-12)+1)+1)))*$W47),MAX(0,AN47-$M47)))</f>
        <v/>
      </c>
      <c r="AP47" s="64">
        <f>IF($K47="","",IF(AND($I47&lt;&gt;"",$I47&lt;=AO$3),0,AN47-AO47))</f>
        <v/>
      </c>
      <c r="AQ47" s="63">
        <f>IF(OR($K47="",$H47=""),"",MIN(MAX(0,IF($O47="WDV",AP47*$P47*MAX(0,(IF($I47="",AQ$3,MIN($I47,AQ$3)))-(MAX($H47,(EDATE(AQ$3,-12)+1)))+1)/(AQ$3-(EDATE(AQ$3,-12)+1)+1),IF($N47=0,0,$Q47/$N47*MAX(0,(IF($I47="",AQ$3,MIN($I47,AQ$3)))-(MAX($H47,(EDATE(AQ$3,-12)+1)))+1)/(AQ$3-(EDATE(AQ$3,-12)+1)+1)))*$W47),MAX(0,AP47-$M47)))</f>
        <v/>
      </c>
      <c r="AR47" s="64">
        <f>IF($K47="","",IF(AND($I47&lt;&gt;"",$I47&lt;=AQ$3),0,AP47-AQ47))</f>
        <v/>
      </c>
      <c r="AS47" s="63">
        <f>IF(OR($K47="",$H47=""),"",MIN(MAX(0,IF($O47="WDV",AR47*$P47*MAX(0,(IF($I47="",AS$3,MIN($I47,AS$3)))-(MAX($H47,(EDATE(AS$3,-12)+1)))+1)/(AS$3-(EDATE(AS$3,-12)+1)+1),IF($N47=0,0,$Q47/$N47*MAX(0,(IF($I47="",AS$3,MIN($I47,AS$3)))-(MAX($H47,(EDATE(AS$3,-12)+1)))+1)/(AS$3-(EDATE(AS$3,-12)+1)+1)))*$W47),MAX(0,AR47-$M47)))</f>
        <v/>
      </c>
      <c r="AT47" s="64">
        <f>IF($K47="","",IF(AND($I47&lt;&gt;"",$I47&lt;=AS$3),0,AR47-AS47))</f>
        <v/>
      </c>
      <c r="AU47" s="63">
        <f>IF(OR($K47="",$H47=""),"",MIN(MAX(0,IF($O47="WDV",AT47*$P47*MAX(0,(IF($I47="",AU$3,MIN($I47,AU$3)))-(MAX($H47,(EDATE(AU$3,-12)+1)))+1)/(AU$3-(EDATE(AU$3,-12)+1)+1),IF($N47=0,0,$Q47/$N47*MAX(0,(IF($I47="",AU$3,MIN($I47,AU$3)))-(MAX($H47,(EDATE(AU$3,-12)+1)))+1)/(AU$3-(EDATE(AU$3,-12)+1)+1)))*$W47),MAX(0,AT47-$M47)))</f>
        <v/>
      </c>
      <c r="AV47" s="64">
        <f>IF($K47="","",IF(AND($I47&lt;&gt;"",$I47&lt;=AU$3),0,AT47-AU47))</f>
        <v/>
      </c>
      <c r="AW47" s="63">
        <f>IF(OR($K47="",$H47=""),"",MIN(MAX(0,IF($O47="WDV",AV47*$P47*MAX(0,(IF($I47="",AW$3,MIN($I47,AW$3)))-(MAX($H47,(EDATE(AW$3,-12)+1)))+1)/(AW$3-(EDATE(AW$3,-12)+1)+1),IF($N47=0,0,$Q47/$N47*MAX(0,(IF($I47="",AW$3,MIN($I47,AW$3)))-(MAX($H47,(EDATE(AW$3,-12)+1)))+1)/(AW$3-(EDATE(AW$3,-12)+1)+1)))*$W47),MAX(0,AV47-$M47)))</f>
        <v/>
      </c>
      <c r="AX47" s="64">
        <f>IF($K47="","",IF(AND($I47&lt;&gt;"",$I47&lt;=AW$3),0,AV47-AW47))</f>
        <v/>
      </c>
      <c r="AY47" s="63">
        <f>IF(OR($K47="",$H47=""),"",MIN(MAX(0,IF($O47="WDV",AX47*$P47*MAX(0,(IF($I47="",AY$3,MIN($I47,AY$3)))-(MAX($H47,(EDATE(AY$3,-12)+1)))+1)/(AY$3-(EDATE(AY$3,-12)+1)+1),IF($N47=0,0,$Q47/$N47*MAX(0,(IF($I47="",AY$3,MIN($I47,AY$3)))-(MAX($H47,(EDATE(AY$3,-12)+1)))+1)/(AY$3-(EDATE(AY$3,-12)+1)+1)))*$W47),MAX(0,AX47-$M47)))</f>
        <v/>
      </c>
      <c r="AZ47" s="64">
        <f>IF($K47="","",IF(AND($I47&lt;&gt;"",$I47&lt;=AY$3),0,AX47-AY47))</f>
        <v/>
      </c>
      <c r="BA47" s="63">
        <f>IF(OR($K47="",$H47=""),"",MIN(MAX(0,IF($O47="WDV",AZ47*$P47*MAX(0,(IF($I47="",BA$3,MIN($I47,BA$3)))-(MAX($H47,(EDATE(BA$3,-12)+1)))+1)/(BA$3-(EDATE(BA$3,-12)+1)+1),IF($N47=0,0,$Q47/$N47*MAX(0,(IF($I47="",BA$3,MIN($I47,BA$3)))-(MAX($H47,(EDATE(BA$3,-12)+1)))+1)/(BA$3-(EDATE(BA$3,-12)+1)+1)))*$W47),MAX(0,AZ47-$M47)))</f>
        <v/>
      </c>
      <c r="BB47" s="64">
        <f>IF($K47="","",IF(AND($I47&lt;&gt;"",$I47&lt;=BA$3),0,AZ47-BA47))</f>
        <v/>
      </c>
      <c r="BC47" s="63">
        <f>IF(OR($K47="",$H47=""),"",MIN(MAX(0,IF($O47="WDV",BB47*$P47*MAX(0,(IF($I47="",BC$3,MIN($I47,BC$3)))-(MAX($H47,(EDATE(BC$3,-12)+1)))+1)/(BC$3-(EDATE(BC$3,-12)+1)+1),IF($N47=0,0,$Q47/$N47*MAX(0,(IF($I47="",BC$3,MIN($I47,BC$3)))-(MAX($H47,(EDATE(BC$3,-12)+1)))+1)/(BC$3-(EDATE(BC$3,-12)+1)+1)))*$W47),MAX(0,BB47-$M47)))</f>
        <v/>
      </c>
      <c r="BD47" s="64">
        <f>IF($K47="","",IF(AND($I47&lt;&gt;"",$I47&lt;=BC$3),0,BB47-BC47))</f>
        <v/>
      </c>
      <c r="BE47" s="63">
        <f>IF(OR($K47="",$H47=""),"",MIN(MAX(0,IF($O47="WDV",BD47*$P47*MAX(0,(IF($I47="",BE$3,MIN($I47,BE$3)))-(MAX($H47,(EDATE(BE$3,-12)+1)))+1)/(BE$3-(EDATE(BE$3,-12)+1)+1),IF($N47=0,0,$Q47/$N47*MAX(0,(IF($I47="",BE$3,MIN($I47,BE$3)))-(MAX($H47,(EDATE(BE$3,-12)+1)))+1)/(BE$3-(EDATE(BE$3,-12)+1)+1)))*$W47),MAX(0,BD47-$M47)))</f>
        <v/>
      </c>
      <c r="BF47" s="64">
        <f>IF($K47="","",IF(AND($I47&lt;&gt;"",$I47&lt;=BE$3),0,BD47-BE47))</f>
        <v/>
      </c>
    </row>
    <row r="48">
      <c r="A48" s="65" t="n"/>
      <c r="B48" s="66" t="n"/>
      <c r="C48" s="66" t="n"/>
      <c r="D48" s="66" t="n"/>
      <c r="E48" s="67" t="n"/>
      <c r="F48" s="68" t="n"/>
      <c r="G48" s="69" t="n"/>
      <c r="H48" s="69" t="n"/>
      <c r="I48" s="70" t="n"/>
      <c r="J48" s="71" t="n"/>
      <c r="K48" s="72" t="n"/>
      <c r="L48" s="73">
        <f>DefaultResidual</f>
        <v/>
      </c>
      <c r="M48" s="74">
        <f>IF($K48="","",$K48*$L48)</f>
        <v/>
      </c>
      <c r="N48" s="22">
        <f>IF($C48="","",IFERROR(VLOOKUP($C48,ScheduleIITable,3,FALSE),"#N/A"))</f>
        <v/>
      </c>
      <c r="O48" s="75">
        <f>IF($K48="","",GlobalMethod)</f>
        <v/>
      </c>
      <c r="P48" s="23">
        <f>IF(OR($K48="",$N48="",$N48=0,$M48=0),0,1-($M48/$K48)^(1/$N48))</f>
        <v/>
      </c>
      <c r="Q48" s="74">
        <f>IF($K48="","",$K48-$M48)</f>
        <v/>
      </c>
      <c r="R48" s="76">
        <f>IF($K48="","",INDEX($AA48:$BF48,1,MATCH(ReportingFYEnd,$AA$3:$BF$3,0)))</f>
        <v/>
      </c>
      <c r="S48" s="74">
        <f>IF($K48="","",IF($U48="Disposed",0,$K48-$T48))</f>
        <v/>
      </c>
      <c r="T48" s="77">
        <f>IF($K48="","",INDEX($AA48:$BF48,1,MATCH(ReportingFYEnd,$AA$3:$BF$3,0)+1))</f>
        <v/>
      </c>
      <c r="U48" s="78">
        <f>IF($K48="","",IF(AND($I48&lt;&gt;"",$I48&lt;=ReportingFYEnd),"Disposed",IF(OR($H48="",$H48&gt;ReportingFYEnd),"Not Yet in Use","Active")))</f>
        <v/>
      </c>
      <c r="V48" s="79" t="n"/>
      <c r="W48" s="80">
        <f>IF($V48="Double",1.5,IF($V48="Triple",2,1))</f>
        <v/>
      </c>
      <c r="X48" s="69" t="n"/>
      <c r="Y48" s="78">
        <f>IF($K48="","",IF(OR(ISNUMBER(SEARCH("Build",$C48)),ISNUMBER(SEARCH("Lease",$C48))),"Yes","NA"))</f>
        <v/>
      </c>
      <c r="Z48" s="21" t="n"/>
      <c r="AA48" s="81">
        <f>IF(OR($K48="",$H48=""),"",MIN(MAX(0,IF($O48="WDV",$K48*$P48*MAX(0,(IF($I48="",AA$3,MIN($I48,AA$3)))-(MAX($H48,(EDATE(AA$3,-12)+1)))+1)/(AA$3-(EDATE(AA$3,-12)+1)+1),IF($N48=0,0,$Q48/$N48*MAX(0,(IF($I48="",AA$3,MIN($I48,AA$3)))-(MAX($H48,(EDATE(AA$3,-12)+1)))+1)/(AA$3-(EDATE(AA$3,-12)+1)+1)))*$W48),MAX(0,$K48-$M48)))</f>
        <v/>
      </c>
      <c r="AB48" s="81">
        <f>IF($K48="","",IF(AND($I48&lt;&gt;"",$I48&lt;=AA$3),0,$K48-AA48))</f>
        <v/>
      </c>
      <c r="AC48" s="81">
        <f>IF(OR($K48="",$H48=""),"",MIN(MAX(0,IF($O48="WDV",AB48*$P48*MAX(0,(IF($I48="",AC$3,MIN($I48,AC$3)))-(MAX($H48,(EDATE(AC$3,-12)+1)))+1)/(AC$3-(EDATE(AC$3,-12)+1)+1),IF($N48=0,0,$Q48/$N48*MAX(0,(IF($I48="",AC$3,MIN($I48,AC$3)))-(MAX($H48,(EDATE(AC$3,-12)+1)))+1)/(AC$3-(EDATE(AC$3,-12)+1)+1)))*$W48),MAX(0,AB48-$M48)))</f>
        <v/>
      </c>
      <c r="AD48" s="81">
        <f>IF($K48="","",IF(AND($I48&lt;&gt;"",$I48&lt;=AC$3),0,AB48-AC48))</f>
        <v/>
      </c>
      <c r="AE48" s="81">
        <f>IF(OR($K48="",$H48=""),"",MIN(MAX(0,IF($O48="WDV",AD48*$P48*MAX(0,(IF($I48="",AE$3,MIN($I48,AE$3)))-(MAX($H48,(EDATE(AE$3,-12)+1)))+1)/(AE$3-(EDATE(AE$3,-12)+1)+1),IF($N48=0,0,$Q48/$N48*MAX(0,(IF($I48="",AE$3,MIN($I48,AE$3)))-(MAX($H48,(EDATE(AE$3,-12)+1)))+1)/(AE$3-(EDATE(AE$3,-12)+1)+1)))*$W48),MAX(0,AD48-$M48)))</f>
        <v/>
      </c>
      <c r="AF48" s="81">
        <f>IF($K48="","",IF(AND($I48&lt;&gt;"",$I48&lt;=AE$3),0,AD48-AE48))</f>
        <v/>
      </c>
      <c r="AG48" s="81">
        <f>IF(OR($K48="",$H48=""),"",MIN(MAX(0,IF($O48="WDV",AF48*$P48*MAX(0,(IF($I48="",AG$3,MIN($I48,AG$3)))-(MAX($H48,(EDATE(AG$3,-12)+1)))+1)/(AG$3-(EDATE(AG$3,-12)+1)+1),IF($N48=0,0,$Q48/$N48*MAX(0,(IF($I48="",AG$3,MIN($I48,AG$3)))-(MAX($H48,(EDATE(AG$3,-12)+1)))+1)/(AG$3-(EDATE(AG$3,-12)+1)+1)))*$W48),MAX(0,AF48-$M48)))</f>
        <v/>
      </c>
      <c r="AH48" s="81">
        <f>IF($K48="","",IF(AND($I48&lt;&gt;"",$I48&lt;=AG$3),0,AF48-AG48))</f>
        <v/>
      </c>
      <c r="AI48" s="81">
        <f>IF(OR($K48="",$H48=""),"",MIN(MAX(0,IF($O48="WDV",AH48*$P48*MAX(0,(IF($I48="",AI$3,MIN($I48,AI$3)))-(MAX($H48,(EDATE(AI$3,-12)+1)))+1)/(AI$3-(EDATE(AI$3,-12)+1)+1),IF($N48=0,0,$Q48/$N48*MAX(0,(IF($I48="",AI$3,MIN($I48,AI$3)))-(MAX($H48,(EDATE(AI$3,-12)+1)))+1)/(AI$3-(EDATE(AI$3,-12)+1)+1)))*$W48),MAX(0,AH48-$M48)))</f>
        <v/>
      </c>
      <c r="AJ48" s="81">
        <f>IF($K48="","",IF(AND($I48&lt;&gt;"",$I48&lt;=AI$3),0,AH48-AI48))</f>
        <v/>
      </c>
      <c r="AK48" s="81">
        <f>IF(OR($K48="",$H48=""),"",MIN(MAX(0,IF($O48="WDV",AJ48*$P48*MAX(0,(IF($I48="",AK$3,MIN($I48,AK$3)))-(MAX($H48,(EDATE(AK$3,-12)+1)))+1)/(AK$3-(EDATE(AK$3,-12)+1)+1),IF($N48=0,0,$Q48/$N48*MAX(0,(IF($I48="",AK$3,MIN($I48,AK$3)))-(MAX($H48,(EDATE(AK$3,-12)+1)))+1)/(AK$3-(EDATE(AK$3,-12)+1)+1)))*$W48),MAX(0,AJ48-$M48)))</f>
        <v/>
      </c>
      <c r="AL48" s="81">
        <f>IF($K48="","",IF(AND($I48&lt;&gt;"",$I48&lt;=AK$3),0,AJ48-AK48))</f>
        <v/>
      </c>
      <c r="AM48" s="81">
        <f>IF(OR($K48="",$H48=""),"",MIN(MAX(0,IF($O48="WDV",AL48*$P48*MAX(0,(IF($I48="",AM$3,MIN($I48,AM$3)))-(MAX($H48,(EDATE(AM$3,-12)+1)))+1)/(AM$3-(EDATE(AM$3,-12)+1)+1),IF($N48=0,0,$Q48/$N48*MAX(0,(IF($I48="",AM$3,MIN($I48,AM$3)))-(MAX($H48,(EDATE(AM$3,-12)+1)))+1)/(AM$3-(EDATE(AM$3,-12)+1)+1)))*$W48),MAX(0,AL48-$M48)))</f>
        <v/>
      </c>
      <c r="AN48" s="81">
        <f>IF($K48="","",IF(AND($I48&lt;&gt;"",$I48&lt;=AM$3),0,AL48-AM48))</f>
        <v/>
      </c>
      <c r="AO48" s="81">
        <f>IF(OR($K48="",$H48=""),"",MIN(MAX(0,IF($O48="WDV",AN48*$P48*MAX(0,(IF($I48="",AO$3,MIN($I48,AO$3)))-(MAX($H48,(EDATE(AO$3,-12)+1)))+1)/(AO$3-(EDATE(AO$3,-12)+1)+1),IF($N48=0,0,$Q48/$N48*MAX(0,(IF($I48="",AO$3,MIN($I48,AO$3)))-(MAX($H48,(EDATE(AO$3,-12)+1)))+1)/(AO$3-(EDATE(AO$3,-12)+1)+1)))*$W48),MAX(0,AN48-$M48)))</f>
        <v/>
      </c>
      <c r="AP48" s="81">
        <f>IF($K48="","",IF(AND($I48&lt;&gt;"",$I48&lt;=AO$3),0,AN48-AO48))</f>
        <v/>
      </c>
      <c r="AQ48" s="81">
        <f>IF(OR($K48="",$H48=""),"",MIN(MAX(0,IF($O48="WDV",AP48*$P48*MAX(0,(IF($I48="",AQ$3,MIN($I48,AQ$3)))-(MAX($H48,(EDATE(AQ$3,-12)+1)))+1)/(AQ$3-(EDATE(AQ$3,-12)+1)+1),IF($N48=0,0,$Q48/$N48*MAX(0,(IF($I48="",AQ$3,MIN($I48,AQ$3)))-(MAX($H48,(EDATE(AQ$3,-12)+1)))+1)/(AQ$3-(EDATE(AQ$3,-12)+1)+1)))*$W48),MAX(0,AP48-$M48)))</f>
        <v/>
      </c>
      <c r="AR48" s="81">
        <f>IF($K48="","",IF(AND($I48&lt;&gt;"",$I48&lt;=AQ$3),0,AP48-AQ48))</f>
        <v/>
      </c>
      <c r="AS48" s="81">
        <f>IF(OR($K48="",$H48=""),"",MIN(MAX(0,IF($O48="WDV",AR48*$P48*MAX(0,(IF($I48="",AS$3,MIN($I48,AS$3)))-(MAX($H48,(EDATE(AS$3,-12)+1)))+1)/(AS$3-(EDATE(AS$3,-12)+1)+1),IF($N48=0,0,$Q48/$N48*MAX(0,(IF($I48="",AS$3,MIN($I48,AS$3)))-(MAX($H48,(EDATE(AS$3,-12)+1)))+1)/(AS$3-(EDATE(AS$3,-12)+1)+1)))*$W48),MAX(0,AR48-$M48)))</f>
        <v/>
      </c>
      <c r="AT48" s="81">
        <f>IF($K48="","",IF(AND($I48&lt;&gt;"",$I48&lt;=AS$3),0,AR48-AS48))</f>
        <v/>
      </c>
      <c r="AU48" s="81">
        <f>IF(OR($K48="",$H48=""),"",MIN(MAX(0,IF($O48="WDV",AT48*$P48*MAX(0,(IF($I48="",AU$3,MIN($I48,AU$3)))-(MAX($H48,(EDATE(AU$3,-12)+1)))+1)/(AU$3-(EDATE(AU$3,-12)+1)+1),IF($N48=0,0,$Q48/$N48*MAX(0,(IF($I48="",AU$3,MIN($I48,AU$3)))-(MAX($H48,(EDATE(AU$3,-12)+1)))+1)/(AU$3-(EDATE(AU$3,-12)+1)+1)))*$W48),MAX(0,AT48-$M48)))</f>
        <v/>
      </c>
      <c r="AV48" s="81">
        <f>IF($K48="","",IF(AND($I48&lt;&gt;"",$I48&lt;=AU$3),0,AT48-AU48))</f>
        <v/>
      </c>
      <c r="AW48" s="81">
        <f>IF(OR($K48="",$H48=""),"",MIN(MAX(0,IF($O48="WDV",AV48*$P48*MAX(0,(IF($I48="",AW$3,MIN($I48,AW$3)))-(MAX($H48,(EDATE(AW$3,-12)+1)))+1)/(AW$3-(EDATE(AW$3,-12)+1)+1),IF($N48=0,0,$Q48/$N48*MAX(0,(IF($I48="",AW$3,MIN($I48,AW$3)))-(MAX($H48,(EDATE(AW$3,-12)+1)))+1)/(AW$3-(EDATE(AW$3,-12)+1)+1)))*$W48),MAX(0,AV48-$M48)))</f>
        <v/>
      </c>
      <c r="AX48" s="81">
        <f>IF($K48="","",IF(AND($I48&lt;&gt;"",$I48&lt;=AW$3),0,AV48-AW48))</f>
        <v/>
      </c>
      <c r="AY48" s="81">
        <f>IF(OR($K48="",$H48=""),"",MIN(MAX(0,IF($O48="WDV",AX48*$P48*MAX(0,(IF($I48="",AY$3,MIN($I48,AY$3)))-(MAX($H48,(EDATE(AY$3,-12)+1)))+1)/(AY$3-(EDATE(AY$3,-12)+1)+1),IF($N48=0,0,$Q48/$N48*MAX(0,(IF($I48="",AY$3,MIN($I48,AY$3)))-(MAX($H48,(EDATE(AY$3,-12)+1)))+1)/(AY$3-(EDATE(AY$3,-12)+1)+1)))*$W48),MAX(0,AX48-$M48)))</f>
        <v/>
      </c>
      <c r="AZ48" s="81">
        <f>IF($K48="","",IF(AND($I48&lt;&gt;"",$I48&lt;=AY$3),0,AX48-AY48))</f>
        <v/>
      </c>
      <c r="BA48" s="81">
        <f>IF(OR($K48="",$H48=""),"",MIN(MAX(0,IF($O48="WDV",AZ48*$P48*MAX(0,(IF($I48="",BA$3,MIN($I48,BA$3)))-(MAX($H48,(EDATE(BA$3,-12)+1)))+1)/(BA$3-(EDATE(BA$3,-12)+1)+1),IF($N48=0,0,$Q48/$N48*MAX(0,(IF($I48="",BA$3,MIN($I48,BA$3)))-(MAX($H48,(EDATE(BA$3,-12)+1)))+1)/(BA$3-(EDATE(BA$3,-12)+1)+1)))*$W48),MAX(0,AZ48-$M48)))</f>
        <v/>
      </c>
      <c r="BB48" s="81">
        <f>IF($K48="","",IF(AND($I48&lt;&gt;"",$I48&lt;=BA$3),0,AZ48-BA48))</f>
        <v/>
      </c>
      <c r="BC48" s="81">
        <f>IF(OR($K48="",$H48=""),"",MIN(MAX(0,IF($O48="WDV",BB48*$P48*MAX(0,(IF($I48="",BC$3,MIN($I48,BC$3)))-(MAX($H48,(EDATE(BC$3,-12)+1)))+1)/(BC$3-(EDATE(BC$3,-12)+1)+1),IF($N48=0,0,$Q48/$N48*MAX(0,(IF($I48="",BC$3,MIN($I48,BC$3)))-(MAX($H48,(EDATE(BC$3,-12)+1)))+1)/(BC$3-(EDATE(BC$3,-12)+1)+1)))*$W48),MAX(0,BB48-$M48)))</f>
        <v/>
      </c>
      <c r="BD48" s="81">
        <f>IF($K48="","",IF(AND($I48&lt;&gt;"",$I48&lt;=BC$3),0,BB48-BC48))</f>
        <v/>
      </c>
      <c r="BE48" s="81">
        <f>IF(OR($K48="",$H48=""),"",MIN(MAX(0,IF($O48="WDV",BD48*$P48*MAX(0,(IF($I48="",BE$3,MIN($I48,BE$3)))-(MAX($H48,(EDATE(BE$3,-12)+1)))+1)/(BE$3-(EDATE(BE$3,-12)+1)+1),IF($N48=0,0,$Q48/$N48*MAX(0,(IF($I48="",BE$3,MIN($I48,BE$3)))-(MAX($H48,(EDATE(BE$3,-12)+1)))+1)/(BE$3-(EDATE(BE$3,-12)+1)+1)))*$W48),MAX(0,BD48-$M48)))</f>
        <v/>
      </c>
      <c r="BF48" s="81">
        <f>IF($K48="","",IF(AND($I48&lt;&gt;"",$I48&lt;=BE$3),0,BD48-BE48))</f>
        <v/>
      </c>
    </row>
    <row r="49">
      <c r="A49" s="44" t="n"/>
      <c r="B49" s="45" t="n"/>
      <c r="C49" s="45" t="n"/>
      <c r="D49" s="45" t="n"/>
      <c r="E49" s="46" t="n"/>
      <c r="F49" s="47" t="n"/>
      <c r="G49" s="48" t="n"/>
      <c r="H49" s="48" t="n"/>
      <c r="I49" s="49" t="n"/>
      <c r="J49" s="50" t="n"/>
      <c r="K49" s="51" t="n"/>
      <c r="L49" s="52">
        <f>DefaultResidual</f>
        <v/>
      </c>
      <c r="M49" s="53">
        <f>IF($K49="","",$K49*$L49)</f>
        <v/>
      </c>
      <c r="N49" s="54">
        <f>IF($C49="","",IFERROR(VLOOKUP($C49,ScheduleIITable,3,FALSE),"#N/A"))</f>
        <v/>
      </c>
      <c r="O49" s="55">
        <f>IF($K49="","",GlobalMethod)</f>
        <v/>
      </c>
      <c r="P49" s="56">
        <f>IF(OR($K49="",$N49="",$N49=0,$M49=0),0,1-($M49/$K49)^(1/$N49))</f>
        <v/>
      </c>
      <c r="Q49" s="53">
        <f>IF($K49="","",$K49-$M49)</f>
        <v/>
      </c>
      <c r="R49" s="57">
        <f>IF($K49="","",INDEX($AA49:$BF49,1,MATCH(ReportingFYEnd,$AA$3:$BF$3,0)))</f>
        <v/>
      </c>
      <c r="S49" s="53">
        <f>IF($K49="","",IF($U49="Disposed",0,$K49-$T49))</f>
        <v/>
      </c>
      <c r="T49" s="58">
        <f>IF($K49="","",INDEX($AA49:$BF49,1,MATCH(ReportingFYEnd,$AA$3:$BF$3,0)+1))</f>
        <v/>
      </c>
      <c r="U49" s="59">
        <f>IF($K49="","",IF(AND($I49&lt;&gt;"",$I49&lt;=ReportingFYEnd),"Disposed",IF(OR($H49="",$H49&gt;ReportingFYEnd),"Not Yet in Use","Active")))</f>
        <v/>
      </c>
      <c r="V49" s="60" t="n"/>
      <c r="W49" s="61">
        <f>IF($V49="Double",1.5,IF($V49="Triple",2,1))</f>
        <v/>
      </c>
      <c r="X49" s="48" t="n"/>
      <c r="Y49" s="59">
        <f>IF($K49="","",IF(OR(ISNUMBER(SEARCH("Build",$C49)),ISNUMBER(SEARCH("Lease",$C49))),"Yes","NA"))</f>
        <v/>
      </c>
      <c r="Z49" s="62" t="n"/>
      <c r="AA49" s="63">
        <f>IF(OR($K49="",$H49=""),"",MIN(MAX(0,IF($O49="WDV",$K49*$P49*MAX(0,(IF($I49="",AA$3,MIN($I49,AA$3)))-(MAX($H49,(EDATE(AA$3,-12)+1)))+1)/(AA$3-(EDATE(AA$3,-12)+1)+1),IF($N49=0,0,$Q49/$N49*MAX(0,(IF($I49="",AA$3,MIN($I49,AA$3)))-(MAX($H49,(EDATE(AA$3,-12)+1)))+1)/(AA$3-(EDATE(AA$3,-12)+1)+1)))*$W49),MAX(0,$K49-$M49)))</f>
        <v/>
      </c>
      <c r="AB49" s="64">
        <f>IF($K49="","",IF(AND($I49&lt;&gt;"",$I49&lt;=AA$3),0,$K49-AA49))</f>
        <v/>
      </c>
      <c r="AC49" s="63">
        <f>IF(OR($K49="",$H49=""),"",MIN(MAX(0,IF($O49="WDV",AB49*$P49*MAX(0,(IF($I49="",AC$3,MIN($I49,AC$3)))-(MAX($H49,(EDATE(AC$3,-12)+1)))+1)/(AC$3-(EDATE(AC$3,-12)+1)+1),IF($N49=0,0,$Q49/$N49*MAX(0,(IF($I49="",AC$3,MIN($I49,AC$3)))-(MAX($H49,(EDATE(AC$3,-12)+1)))+1)/(AC$3-(EDATE(AC$3,-12)+1)+1)))*$W49),MAX(0,AB49-$M49)))</f>
        <v/>
      </c>
      <c r="AD49" s="64">
        <f>IF($K49="","",IF(AND($I49&lt;&gt;"",$I49&lt;=AC$3),0,AB49-AC49))</f>
        <v/>
      </c>
      <c r="AE49" s="63">
        <f>IF(OR($K49="",$H49=""),"",MIN(MAX(0,IF($O49="WDV",AD49*$P49*MAX(0,(IF($I49="",AE$3,MIN($I49,AE$3)))-(MAX($H49,(EDATE(AE$3,-12)+1)))+1)/(AE$3-(EDATE(AE$3,-12)+1)+1),IF($N49=0,0,$Q49/$N49*MAX(0,(IF($I49="",AE$3,MIN($I49,AE$3)))-(MAX($H49,(EDATE(AE$3,-12)+1)))+1)/(AE$3-(EDATE(AE$3,-12)+1)+1)))*$W49),MAX(0,AD49-$M49)))</f>
        <v/>
      </c>
      <c r="AF49" s="64">
        <f>IF($K49="","",IF(AND($I49&lt;&gt;"",$I49&lt;=AE$3),0,AD49-AE49))</f>
        <v/>
      </c>
      <c r="AG49" s="63">
        <f>IF(OR($K49="",$H49=""),"",MIN(MAX(0,IF($O49="WDV",AF49*$P49*MAX(0,(IF($I49="",AG$3,MIN($I49,AG$3)))-(MAX($H49,(EDATE(AG$3,-12)+1)))+1)/(AG$3-(EDATE(AG$3,-12)+1)+1),IF($N49=0,0,$Q49/$N49*MAX(0,(IF($I49="",AG$3,MIN($I49,AG$3)))-(MAX($H49,(EDATE(AG$3,-12)+1)))+1)/(AG$3-(EDATE(AG$3,-12)+1)+1)))*$W49),MAX(0,AF49-$M49)))</f>
        <v/>
      </c>
      <c r="AH49" s="64">
        <f>IF($K49="","",IF(AND($I49&lt;&gt;"",$I49&lt;=AG$3),0,AF49-AG49))</f>
        <v/>
      </c>
      <c r="AI49" s="63">
        <f>IF(OR($K49="",$H49=""),"",MIN(MAX(0,IF($O49="WDV",AH49*$P49*MAX(0,(IF($I49="",AI$3,MIN($I49,AI$3)))-(MAX($H49,(EDATE(AI$3,-12)+1)))+1)/(AI$3-(EDATE(AI$3,-12)+1)+1),IF($N49=0,0,$Q49/$N49*MAX(0,(IF($I49="",AI$3,MIN($I49,AI$3)))-(MAX($H49,(EDATE(AI$3,-12)+1)))+1)/(AI$3-(EDATE(AI$3,-12)+1)+1)))*$W49),MAX(0,AH49-$M49)))</f>
        <v/>
      </c>
      <c r="AJ49" s="64">
        <f>IF($K49="","",IF(AND($I49&lt;&gt;"",$I49&lt;=AI$3),0,AH49-AI49))</f>
        <v/>
      </c>
      <c r="AK49" s="63">
        <f>IF(OR($K49="",$H49=""),"",MIN(MAX(0,IF($O49="WDV",AJ49*$P49*MAX(0,(IF($I49="",AK$3,MIN($I49,AK$3)))-(MAX($H49,(EDATE(AK$3,-12)+1)))+1)/(AK$3-(EDATE(AK$3,-12)+1)+1),IF($N49=0,0,$Q49/$N49*MAX(0,(IF($I49="",AK$3,MIN($I49,AK$3)))-(MAX($H49,(EDATE(AK$3,-12)+1)))+1)/(AK$3-(EDATE(AK$3,-12)+1)+1)))*$W49),MAX(0,AJ49-$M49)))</f>
        <v/>
      </c>
      <c r="AL49" s="64">
        <f>IF($K49="","",IF(AND($I49&lt;&gt;"",$I49&lt;=AK$3),0,AJ49-AK49))</f>
        <v/>
      </c>
      <c r="AM49" s="63">
        <f>IF(OR($K49="",$H49=""),"",MIN(MAX(0,IF($O49="WDV",AL49*$P49*MAX(0,(IF($I49="",AM$3,MIN($I49,AM$3)))-(MAX($H49,(EDATE(AM$3,-12)+1)))+1)/(AM$3-(EDATE(AM$3,-12)+1)+1),IF($N49=0,0,$Q49/$N49*MAX(0,(IF($I49="",AM$3,MIN($I49,AM$3)))-(MAX($H49,(EDATE(AM$3,-12)+1)))+1)/(AM$3-(EDATE(AM$3,-12)+1)+1)))*$W49),MAX(0,AL49-$M49)))</f>
        <v/>
      </c>
      <c r="AN49" s="64">
        <f>IF($K49="","",IF(AND($I49&lt;&gt;"",$I49&lt;=AM$3),0,AL49-AM49))</f>
        <v/>
      </c>
      <c r="AO49" s="63">
        <f>IF(OR($K49="",$H49=""),"",MIN(MAX(0,IF($O49="WDV",AN49*$P49*MAX(0,(IF($I49="",AO$3,MIN($I49,AO$3)))-(MAX($H49,(EDATE(AO$3,-12)+1)))+1)/(AO$3-(EDATE(AO$3,-12)+1)+1),IF($N49=0,0,$Q49/$N49*MAX(0,(IF($I49="",AO$3,MIN($I49,AO$3)))-(MAX($H49,(EDATE(AO$3,-12)+1)))+1)/(AO$3-(EDATE(AO$3,-12)+1)+1)))*$W49),MAX(0,AN49-$M49)))</f>
        <v/>
      </c>
      <c r="AP49" s="64">
        <f>IF($K49="","",IF(AND($I49&lt;&gt;"",$I49&lt;=AO$3),0,AN49-AO49))</f>
        <v/>
      </c>
      <c r="AQ49" s="63">
        <f>IF(OR($K49="",$H49=""),"",MIN(MAX(0,IF($O49="WDV",AP49*$P49*MAX(0,(IF($I49="",AQ$3,MIN($I49,AQ$3)))-(MAX($H49,(EDATE(AQ$3,-12)+1)))+1)/(AQ$3-(EDATE(AQ$3,-12)+1)+1),IF($N49=0,0,$Q49/$N49*MAX(0,(IF($I49="",AQ$3,MIN($I49,AQ$3)))-(MAX($H49,(EDATE(AQ$3,-12)+1)))+1)/(AQ$3-(EDATE(AQ$3,-12)+1)+1)))*$W49),MAX(0,AP49-$M49)))</f>
        <v/>
      </c>
      <c r="AR49" s="64">
        <f>IF($K49="","",IF(AND($I49&lt;&gt;"",$I49&lt;=AQ$3),0,AP49-AQ49))</f>
        <v/>
      </c>
      <c r="AS49" s="63">
        <f>IF(OR($K49="",$H49=""),"",MIN(MAX(0,IF($O49="WDV",AR49*$P49*MAX(0,(IF($I49="",AS$3,MIN($I49,AS$3)))-(MAX($H49,(EDATE(AS$3,-12)+1)))+1)/(AS$3-(EDATE(AS$3,-12)+1)+1),IF($N49=0,0,$Q49/$N49*MAX(0,(IF($I49="",AS$3,MIN($I49,AS$3)))-(MAX($H49,(EDATE(AS$3,-12)+1)))+1)/(AS$3-(EDATE(AS$3,-12)+1)+1)))*$W49),MAX(0,AR49-$M49)))</f>
        <v/>
      </c>
      <c r="AT49" s="64">
        <f>IF($K49="","",IF(AND($I49&lt;&gt;"",$I49&lt;=AS$3),0,AR49-AS49))</f>
        <v/>
      </c>
      <c r="AU49" s="63">
        <f>IF(OR($K49="",$H49=""),"",MIN(MAX(0,IF($O49="WDV",AT49*$P49*MAX(0,(IF($I49="",AU$3,MIN($I49,AU$3)))-(MAX($H49,(EDATE(AU$3,-12)+1)))+1)/(AU$3-(EDATE(AU$3,-12)+1)+1),IF($N49=0,0,$Q49/$N49*MAX(0,(IF($I49="",AU$3,MIN($I49,AU$3)))-(MAX($H49,(EDATE(AU$3,-12)+1)))+1)/(AU$3-(EDATE(AU$3,-12)+1)+1)))*$W49),MAX(0,AT49-$M49)))</f>
        <v/>
      </c>
      <c r="AV49" s="64">
        <f>IF($K49="","",IF(AND($I49&lt;&gt;"",$I49&lt;=AU$3),0,AT49-AU49))</f>
        <v/>
      </c>
      <c r="AW49" s="63">
        <f>IF(OR($K49="",$H49=""),"",MIN(MAX(0,IF($O49="WDV",AV49*$P49*MAX(0,(IF($I49="",AW$3,MIN($I49,AW$3)))-(MAX($H49,(EDATE(AW$3,-12)+1)))+1)/(AW$3-(EDATE(AW$3,-12)+1)+1),IF($N49=0,0,$Q49/$N49*MAX(0,(IF($I49="",AW$3,MIN($I49,AW$3)))-(MAX($H49,(EDATE(AW$3,-12)+1)))+1)/(AW$3-(EDATE(AW$3,-12)+1)+1)))*$W49),MAX(0,AV49-$M49)))</f>
        <v/>
      </c>
      <c r="AX49" s="64">
        <f>IF($K49="","",IF(AND($I49&lt;&gt;"",$I49&lt;=AW$3),0,AV49-AW49))</f>
        <v/>
      </c>
      <c r="AY49" s="63">
        <f>IF(OR($K49="",$H49=""),"",MIN(MAX(0,IF($O49="WDV",AX49*$P49*MAX(0,(IF($I49="",AY$3,MIN($I49,AY$3)))-(MAX($H49,(EDATE(AY$3,-12)+1)))+1)/(AY$3-(EDATE(AY$3,-12)+1)+1),IF($N49=0,0,$Q49/$N49*MAX(0,(IF($I49="",AY$3,MIN($I49,AY$3)))-(MAX($H49,(EDATE(AY$3,-12)+1)))+1)/(AY$3-(EDATE(AY$3,-12)+1)+1)))*$W49),MAX(0,AX49-$M49)))</f>
        <v/>
      </c>
      <c r="AZ49" s="64">
        <f>IF($K49="","",IF(AND($I49&lt;&gt;"",$I49&lt;=AY$3),0,AX49-AY49))</f>
        <v/>
      </c>
      <c r="BA49" s="63">
        <f>IF(OR($K49="",$H49=""),"",MIN(MAX(0,IF($O49="WDV",AZ49*$P49*MAX(0,(IF($I49="",BA$3,MIN($I49,BA$3)))-(MAX($H49,(EDATE(BA$3,-12)+1)))+1)/(BA$3-(EDATE(BA$3,-12)+1)+1),IF($N49=0,0,$Q49/$N49*MAX(0,(IF($I49="",BA$3,MIN($I49,BA$3)))-(MAX($H49,(EDATE(BA$3,-12)+1)))+1)/(BA$3-(EDATE(BA$3,-12)+1)+1)))*$W49),MAX(0,AZ49-$M49)))</f>
        <v/>
      </c>
      <c r="BB49" s="64">
        <f>IF($K49="","",IF(AND($I49&lt;&gt;"",$I49&lt;=BA$3),0,AZ49-BA49))</f>
        <v/>
      </c>
      <c r="BC49" s="63">
        <f>IF(OR($K49="",$H49=""),"",MIN(MAX(0,IF($O49="WDV",BB49*$P49*MAX(0,(IF($I49="",BC$3,MIN($I49,BC$3)))-(MAX($H49,(EDATE(BC$3,-12)+1)))+1)/(BC$3-(EDATE(BC$3,-12)+1)+1),IF($N49=0,0,$Q49/$N49*MAX(0,(IF($I49="",BC$3,MIN($I49,BC$3)))-(MAX($H49,(EDATE(BC$3,-12)+1)))+1)/(BC$3-(EDATE(BC$3,-12)+1)+1)))*$W49),MAX(0,BB49-$M49)))</f>
        <v/>
      </c>
      <c r="BD49" s="64">
        <f>IF($K49="","",IF(AND($I49&lt;&gt;"",$I49&lt;=BC$3),0,BB49-BC49))</f>
        <v/>
      </c>
      <c r="BE49" s="63">
        <f>IF(OR($K49="",$H49=""),"",MIN(MAX(0,IF($O49="WDV",BD49*$P49*MAX(0,(IF($I49="",BE$3,MIN($I49,BE$3)))-(MAX($H49,(EDATE(BE$3,-12)+1)))+1)/(BE$3-(EDATE(BE$3,-12)+1)+1),IF($N49=0,0,$Q49/$N49*MAX(0,(IF($I49="",BE$3,MIN($I49,BE$3)))-(MAX($H49,(EDATE(BE$3,-12)+1)))+1)/(BE$3-(EDATE(BE$3,-12)+1)+1)))*$W49),MAX(0,BD49-$M49)))</f>
        <v/>
      </c>
      <c r="BF49" s="64">
        <f>IF($K49="","",IF(AND($I49&lt;&gt;"",$I49&lt;=BE$3),0,BD49-BE49))</f>
        <v/>
      </c>
    </row>
    <row r="50">
      <c r="A50" s="65" t="n"/>
      <c r="B50" s="66" t="n"/>
      <c r="C50" s="66" t="n"/>
      <c r="D50" s="66" t="n"/>
      <c r="E50" s="67" t="n"/>
      <c r="F50" s="68" t="n"/>
      <c r="G50" s="69" t="n"/>
      <c r="H50" s="69" t="n"/>
      <c r="I50" s="70" t="n"/>
      <c r="J50" s="71" t="n"/>
      <c r="K50" s="72" t="n"/>
      <c r="L50" s="73">
        <f>DefaultResidual</f>
        <v/>
      </c>
      <c r="M50" s="74">
        <f>IF($K50="","",$K50*$L50)</f>
        <v/>
      </c>
      <c r="N50" s="22">
        <f>IF($C50="","",IFERROR(VLOOKUP($C50,ScheduleIITable,3,FALSE),"#N/A"))</f>
        <v/>
      </c>
      <c r="O50" s="75">
        <f>IF($K50="","",GlobalMethod)</f>
        <v/>
      </c>
      <c r="P50" s="23">
        <f>IF(OR($K50="",$N50="",$N50=0,$M50=0),0,1-($M50/$K50)^(1/$N50))</f>
        <v/>
      </c>
      <c r="Q50" s="74">
        <f>IF($K50="","",$K50-$M50)</f>
        <v/>
      </c>
      <c r="R50" s="76">
        <f>IF($K50="","",INDEX($AA50:$BF50,1,MATCH(ReportingFYEnd,$AA$3:$BF$3,0)))</f>
        <v/>
      </c>
      <c r="S50" s="74">
        <f>IF($K50="","",IF($U50="Disposed",0,$K50-$T50))</f>
        <v/>
      </c>
      <c r="T50" s="77">
        <f>IF($K50="","",INDEX($AA50:$BF50,1,MATCH(ReportingFYEnd,$AA$3:$BF$3,0)+1))</f>
        <v/>
      </c>
      <c r="U50" s="78">
        <f>IF($K50="","",IF(AND($I50&lt;&gt;"",$I50&lt;=ReportingFYEnd),"Disposed",IF(OR($H50="",$H50&gt;ReportingFYEnd),"Not Yet in Use","Active")))</f>
        <v/>
      </c>
      <c r="V50" s="79" t="n"/>
      <c r="W50" s="80">
        <f>IF($V50="Double",1.5,IF($V50="Triple",2,1))</f>
        <v/>
      </c>
      <c r="X50" s="69" t="n"/>
      <c r="Y50" s="78">
        <f>IF($K50="","",IF(OR(ISNUMBER(SEARCH("Build",$C50)),ISNUMBER(SEARCH("Lease",$C50))),"Yes","NA"))</f>
        <v/>
      </c>
      <c r="Z50" s="21" t="n"/>
      <c r="AA50" s="81">
        <f>IF(OR($K50="",$H50=""),"",MIN(MAX(0,IF($O50="WDV",$K50*$P50*MAX(0,(IF($I50="",AA$3,MIN($I50,AA$3)))-(MAX($H50,(EDATE(AA$3,-12)+1)))+1)/(AA$3-(EDATE(AA$3,-12)+1)+1),IF($N50=0,0,$Q50/$N50*MAX(0,(IF($I50="",AA$3,MIN($I50,AA$3)))-(MAX($H50,(EDATE(AA$3,-12)+1)))+1)/(AA$3-(EDATE(AA$3,-12)+1)+1)))*$W50),MAX(0,$K50-$M50)))</f>
        <v/>
      </c>
      <c r="AB50" s="81">
        <f>IF($K50="","",IF(AND($I50&lt;&gt;"",$I50&lt;=AA$3),0,$K50-AA50))</f>
        <v/>
      </c>
      <c r="AC50" s="81">
        <f>IF(OR($K50="",$H50=""),"",MIN(MAX(0,IF($O50="WDV",AB50*$P50*MAX(0,(IF($I50="",AC$3,MIN($I50,AC$3)))-(MAX($H50,(EDATE(AC$3,-12)+1)))+1)/(AC$3-(EDATE(AC$3,-12)+1)+1),IF($N50=0,0,$Q50/$N50*MAX(0,(IF($I50="",AC$3,MIN($I50,AC$3)))-(MAX($H50,(EDATE(AC$3,-12)+1)))+1)/(AC$3-(EDATE(AC$3,-12)+1)+1)))*$W50),MAX(0,AB50-$M50)))</f>
        <v/>
      </c>
      <c r="AD50" s="81">
        <f>IF($K50="","",IF(AND($I50&lt;&gt;"",$I50&lt;=AC$3),0,AB50-AC50))</f>
        <v/>
      </c>
      <c r="AE50" s="81">
        <f>IF(OR($K50="",$H50=""),"",MIN(MAX(0,IF($O50="WDV",AD50*$P50*MAX(0,(IF($I50="",AE$3,MIN($I50,AE$3)))-(MAX($H50,(EDATE(AE$3,-12)+1)))+1)/(AE$3-(EDATE(AE$3,-12)+1)+1),IF($N50=0,0,$Q50/$N50*MAX(0,(IF($I50="",AE$3,MIN($I50,AE$3)))-(MAX($H50,(EDATE(AE$3,-12)+1)))+1)/(AE$3-(EDATE(AE$3,-12)+1)+1)))*$W50),MAX(0,AD50-$M50)))</f>
        <v/>
      </c>
      <c r="AF50" s="81">
        <f>IF($K50="","",IF(AND($I50&lt;&gt;"",$I50&lt;=AE$3),0,AD50-AE50))</f>
        <v/>
      </c>
      <c r="AG50" s="81">
        <f>IF(OR($K50="",$H50=""),"",MIN(MAX(0,IF($O50="WDV",AF50*$P50*MAX(0,(IF($I50="",AG$3,MIN($I50,AG$3)))-(MAX($H50,(EDATE(AG$3,-12)+1)))+1)/(AG$3-(EDATE(AG$3,-12)+1)+1),IF($N50=0,0,$Q50/$N50*MAX(0,(IF($I50="",AG$3,MIN($I50,AG$3)))-(MAX($H50,(EDATE(AG$3,-12)+1)))+1)/(AG$3-(EDATE(AG$3,-12)+1)+1)))*$W50),MAX(0,AF50-$M50)))</f>
        <v/>
      </c>
      <c r="AH50" s="81">
        <f>IF($K50="","",IF(AND($I50&lt;&gt;"",$I50&lt;=AG$3),0,AF50-AG50))</f>
        <v/>
      </c>
      <c r="AI50" s="81">
        <f>IF(OR($K50="",$H50=""),"",MIN(MAX(0,IF($O50="WDV",AH50*$P50*MAX(0,(IF($I50="",AI$3,MIN($I50,AI$3)))-(MAX($H50,(EDATE(AI$3,-12)+1)))+1)/(AI$3-(EDATE(AI$3,-12)+1)+1),IF($N50=0,0,$Q50/$N50*MAX(0,(IF($I50="",AI$3,MIN($I50,AI$3)))-(MAX($H50,(EDATE(AI$3,-12)+1)))+1)/(AI$3-(EDATE(AI$3,-12)+1)+1)))*$W50),MAX(0,AH50-$M50)))</f>
        <v/>
      </c>
      <c r="AJ50" s="81">
        <f>IF($K50="","",IF(AND($I50&lt;&gt;"",$I50&lt;=AI$3),0,AH50-AI50))</f>
        <v/>
      </c>
      <c r="AK50" s="81">
        <f>IF(OR($K50="",$H50=""),"",MIN(MAX(0,IF($O50="WDV",AJ50*$P50*MAX(0,(IF($I50="",AK$3,MIN($I50,AK$3)))-(MAX($H50,(EDATE(AK$3,-12)+1)))+1)/(AK$3-(EDATE(AK$3,-12)+1)+1),IF($N50=0,0,$Q50/$N50*MAX(0,(IF($I50="",AK$3,MIN($I50,AK$3)))-(MAX($H50,(EDATE(AK$3,-12)+1)))+1)/(AK$3-(EDATE(AK$3,-12)+1)+1)))*$W50),MAX(0,AJ50-$M50)))</f>
        <v/>
      </c>
      <c r="AL50" s="81">
        <f>IF($K50="","",IF(AND($I50&lt;&gt;"",$I50&lt;=AK$3),0,AJ50-AK50))</f>
        <v/>
      </c>
      <c r="AM50" s="81">
        <f>IF(OR($K50="",$H50=""),"",MIN(MAX(0,IF($O50="WDV",AL50*$P50*MAX(0,(IF($I50="",AM$3,MIN($I50,AM$3)))-(MAX($H50,(EDATE(AM$3,-12)+1)))+1)/(AM$3-(EDATE(AM$3,-12)+1)+1),IF($N50=0,0,$Q50/$N50*MAX(0,(IF($I50="",AM$3,MIN($I50,AM$3)))-(MAX($H50,(EDATE(AM$3,-12)+1)))+1)/(AM$3-(EDATE(AM$3,-12)+1)+1)))*$W50),MAX(0,AL50-$M50)))</f>
        <v/>
      </c>
      <c r="AN50" s="81">
        <f>IF($K50="","",IF(AND($I50&lt;&gt;"",$I50&lt;=AM$3),0,AL50-AM50))</f>
        <v/>
      </c>
      <c r="AO50" s="81">
        <f>IF(OR($K50="",$H50=""),"",MIN(MAX(0,IF($O50="WDV",AN50*$P50*MAX(0,(IF($I50="",AO$3,MIN($I50,AO$3)))-(MAX($H50,(EDATE(AO$3,-12)+1)))+1)/(AO$3-(EDATE(AO$3,-12)+1)+1),IF($N50=0,0,$Q50/$N50*MAX(0,(IF($I50="",AO$3,MIN($I50,AO$3)))-(MAX($H50,(EDATE(AO$3,-12)+1)))+1)/(AO$3-(EDATE(AO$3,-12)+1)+1)))*$W50),MAX(0,AN50-$M50)))</f>
        <v/>
      </c>
      <c r="AP50" s="81">
        <f>IF($K50="","",IF(AND($I50&lt;&gt;"",$I50&lt;=AO$3),0,AN50-AO50))</f>
        <v/>
      </c>
      <c r="AQ50" s="81">
        <f>IF(OR($K50="",$H50=""),"",MIN(MAX(0,IF($O50="WDV",AP50*$P50*MAX(0,(IF($I50="",AQ$3,MIN($I50,AQ$3)))-(MAX($H50,(EDATE(AQ$3,-12)+1)))+1)/(AQ$3-(EDATE(AQ$3,-12)+1)+1),IF($N50=0,0,$Q50/$N50*MAX(0,(IF($I50="",AQ$3,MIN($I50,AQ$3)))-(MAX($H50,(EDATE(AQ$3,-12)+1)))+1)/(AQ$3-(EDATE(AQ$3,-12)+1)+1)))*$W50),MAX(0,AP50-$M50)))</f>
        <v/>
      </c>
      <c r="AR50" s="81">
        <f>IF($K50="","",IF(AND($I50&lt;&gt;"",$I50&lt;=AQ$3),0,AP50-AQ50))</f>
        <v/>
      </c>
      <c r="AS50" s="81">
        <f>IF(OR($K50="",$H50=""),"",MIN(MAX(0,IF($O50="WDV",AR50*$P50*MAX(0,(IF($I50="",AS$3,MIN($I50,AS$3)))-(MAX($H50,(EDATE(AS$3,-12)+1)))+1)/(AS$3-(EDATE(AS$3,-12)+1)+1),IF($N50=0,0,$Q50/$N50*MAX(0,(IF($I50="",AS$3,MIN($I50,AS$3)))-(MAX($H50,(EDATE(AS$3,-12)+1)))+1)/(AS$3-(EDATE(AS$3,-12)+1)+1)))*$W50),MAX(0,AR50-$M50)))</f>
        <v/>
      </c>
      <c r="AT50" s="81">
        <f>IF($K50="","",IF(AND($I50&lt;&gt;"",$I50&lt;=AS$3),0,AR50-AS50))</f>
        <v/>
      </c>
      <c r="AU50" s="81">
        <f>IF(OR($K50="",$H50=""),"",MIN(MAX(0,IF($O50="WDV",AT50*$P50*MAX(0,(IF($I50="",AU$3,MIN($I50,AU$3)))-(MAX($H50,(EDATE(AU$3,-12)+1)))+1)/(AU$3-(EDATE(AU$3,-12)+1)+1),IF($N50=0,0,$Q50/$N50*MAX(0,(IF($I50="",AU$3,MIN($I50,AU$3)))-(MAX($H50,(EDATE(AU$3,-12)+1)))+1)/(AU$3-(EDATE(AU$3,-12)+1)+1)))*$W50),MAX(0,AT50-$M50)))</f>
        <v/>
      </c>
      <c r="AV50" s="81">
        <f>IF($K50="","",IF(AND($I50&lt;&gt;"",$I50&lt;=AU$3),0,AT50-AU50))</f>
        <v/>
      </c>
      <c r="AW50" s="81">
        <f>IF(OR($K50="",$H50=""),"",MIN(MAX(0,IF($O50="WDV",AV50*$P50*MAX(0,(IF($I50="",AW$3,MIN($I50,AW$3)))-(MAX($H50,(EDATE(AW$3,-12)+1)))+1)/(AW$3-(EDATE(AW$3,-12)+1)+1),IF($N50=0,0,$Q50/$N50*MAX(0,(IF($I50="",AW$3,MIN($I50,AW$3)))-(MAX($H50,(EDATE(AW$3,-12)+1)))+1)/(AW$3-(EDATE(AW$3,-12)+1)+1)))*$W50),MAX(0,AV50-$M50)))</f>
        <v/>
      </c>
      <c r="AX50" s="81">
        <f>IF($K50="","",IF(AND($I50&lt;&gt;"",$I50&lt;=AW$3),0,AV50-AW50))</f>
        <v/>
      </c>
      <c r="AY50" s="81">
        <f>IF(OR($K50="",$H50=""),"",MIN(MAX(0,IF($O50="WDV",AX50*$P50*MAX(0,(IF($I50="",AY$3,MIN($I50,AY$3)))-(MAX($H50,(EDATE(AY$3,-12)+1)))+1)/(AY$3-(EDATE(AY$3,-12)+1)+1),IF($N50=0,0,$Q50/$N50*MAX(0,(IF($I50="",AY$3,MIN($I50,AY$3)))-(MAX($H50,(EDATE(AY$3,-12)+1)))+1)/(AY$3-(EDATE(AY$3,-12)+1)+1)))*$W50),MAX(0,AX50-$M50)))</f>
        <v/>
      </c>
      <c r="AZ50" s="81">
        <f>IF($K50="","",IF(AND($I50&lt;&gt;"",$I50&lt;=AY$3),0,AX50-AY50))</f>
        <v/>
      </c>
      <c r="BA50" s="81">
        <f>IF(OR($K50="",$H50=""),"",MIN(MAX(0,IF($O50="WDV",AZ50*$P50*MAX(0,(IF($I50="",BA$3,MIN($I50,BA$3)))-(MAX($H50,(EDATE(BA$3,-12)+1)))+1)/(BA$3-(EDATE(BA$3,-12)+1)+1),IF($N50=0,0,$Q50/$N50*MAX(0,(IF($I50="",BA$3,MIN($I50,BA$3)))-(MAX($H50,(EDATE(BA$3,-12)+1)))+1)/(BA$3-(EDATE(BA$3,-12)+1)+1)))*$W50),MAX(0,AZ50-$M50)))</f>
        <v/>
      </c>
      <c r="BB50" s="81">
        <f>IF($K50="","",IF(AND($I50&lt;&gt;"",$I50&lt;=BA$3),0,AZ50-BA50))</f>
        <v/>
      </c>
      <c r="BC50" s="81">
        <f>IF(OR($K50="",$H50=""),"",MIN(MAX(0,IF($O50="WDV",BB50*$P50*MAX(0,(IF($I50="",BC$3,MIN($I50,BC$3)))-(MAX($H50,(EDATE(BC$3,-12)+1)))+1)/(BC$3-(EDATE(BC$3,-12)+1)+1),IF($N50=0,0,$Q50/$N50*MAX(0,(IF($I50="",BC$3,MIN($I50,BC$3)))-(MAX($H50,(EDATE(BC$3,-12)+1)))+1)/(BC$3-(EDATE(BC$3,-12)+1)+1)))*$W50),MAX(0,BB50-$M50)))</f>
        <v/>
      </c>
      <c r="BD50" s="81">
        <f>IF($K50="","",IF(AND($I50&lt;&gt;"",$I50&lt;=BC$3),0,BB50-BC50))</f>
        <v/>
      </c>
      <c r="BE50" s="81">
        <f>IF(OR($K50="",$H50=""),"",MIN(MAX(0,IF($O50="WDV",BD50*$P50*MAX(0,(IF($I50="",BE$3,MIN($I50,BE$3)))-(MAX($H50,(EDATE(BE$3,-12)+1)))+1)/(BE$3-(EDATE(BE$3,-12)+1)+1),IF($N50=0,0,$Q50/$N50*MAX(0,(IF($I50="",BE$3,MIN($I50,BE$3)))-(MAX($H50,(EDATE(BE$3,-12)+1)))+1)/(BE$3-(EDATE(BE$3,-12)+1)+1)))*$W50),MAX(0,BD50-$M50)))</f>
        <v/>
      </c>
      <c r="BF50" s="81">
        <f>IF($K50="","",IF(AND($I50&lt;&gt;"",$I50&lt;=BE$3),0,BD50-BE50))</f>
        <v/>
      </c>
    </row>
    <row r="51">
      <c r="A51" s="44" t="n"/>
      <c r="B51" s="45" t="n"/>
      <c r="C51" s="45" t="n"/>
      <c r="D51" s="45" t="n"/>
      <c r="E51" s="46" t="n"/>
      <c r="F51" s="47" t="n"/>
      <c r="G51" s="48" t="n"/>
      <c r="H51" s="48" t="n"/>
      <c r="I51" s="49" t="n"/>
      <c r="J51" s="50" t="n"/>
      <c r="K51" s="51" t="n"/>
      <c r="L51" s="52">
        <f>DefaultResidual</f>
        <v/>
      </c>
      <c r="M51" s="53">
        <f>IF($K51="","",$K51*$L51)</f>
        <v/>
      </c>
      <c r="N51" s="54">
        <f>IF($C51="","",IFERROR(VLOOKUP($C51,ScheduleIITable,3,FALSE),"#N/A"))</f>
        <v/>
      </c>
      <c r="O51" s="55">
        <f>IF($K51="","",GlobalMethod)</f>
        <v/>
      </c>
      <c r="P51" s="56">
        <f>IF(OR($K51="",$N51="",$N51=0,$M51=0),0,1-($M51/$K51)^(1/$N51))</f>
        <v/>
      </c>
      <c r="Q51" s="53">
        <f>IF($K51="","",$K51-$M51)</f>
        <v/>
      </c>
      <c r="R51" s="57">
        <f>IF($K51="","",INDEX($AA51:$BF51,1,MATCH(ReportingFYEnd,$AA$3:$BF$3,0)))</f>
        <v/>
      </c>
      <c r="S51" s="53">
        <f>IF($K51="","",IF($U51="Disposed",0,$K51-$T51))</f>
        <v/>
      </c>
      <c r="T51" s="58">
        <f>IF($K51="","",INDEX($AA51:$BF51,1,MATCH(ReportingFYEnd,$AA$3:$BF$3,0)+1))</f>
        <v/>
      </c>
      <c r="U51" s="59">
        <f>IF($K51="","",IF(AND($I51&lt;&gt;"",$I51&lt;=ReportingFYEnd),"Disposed",IF(OR($H51="",$H51&gt;ReportingFYEnd),"Not Yet in Use","Active")))</f>
        <v/>
      </c>
      <c r="V51" s="60" t="n"/>
      <c r="W51" s="61">
        <f>IF($V51="Double",1.5,IF($V51="Triple",2,1))</f>
        <v/>
      </c>
      <c r="X51" s="48" t="n"/>
      <c r="Y51" s="59">
        <f>IF($K51="","",IF(OR(ISNUMBER(SEARCH("Build",$C51)),ISNUMBER(SEARCH("Lease",$C51))),"Yes","NA"))</f>
        <v/>
      </c>
      <c r="Z51" s="62" t="n"/>
      <c r="AA51" s="63">
        <f>IF(OR($K51="",$H51=""),"",MIN(MAX(0,IF($O51="WDV",$K51*$P51*MAX(0,(IF($I51="",AA$3,MIN($I51,AA$3)))-(MAX($H51,(EDATE(AA$3,-12)+1)))+1)/(AA$3-(EDATE(AA$3,-12)+1)+1),IF($N51=0,0,$Q51/$N51*MAX(0,(IF($I51="",AA$3,MIN($I51,AA$3)))-(MAX($H51,(EDATE(AA$3,-12)+1)))+1)/(AA$3-(EDATE(AA$3,-12)+1)+1)))*$W51),MAX(0,$K51-$M51)))</f>
        <v/>
      </c>
      <c r="AB51" s="64">
        <f>IF($K51="","",IF(AND($I51&lt;&gt;"",$I51&lt;=AA$3),0,$K51-AA51))</f>
        <v/>
      </c>
      <c r="AC51" s="63">
        <f>IF(OR($K51="",$H51=""),"",MIN(MAX(0,IF($O51="WDV",AB51*$P51*MAX(0,(IF($I51="",AC$3,MIN($I51,AC$3)))-(MAX($H51,(EDATE(AC$3,-12)+1)))+1)/(AC$3-(EDATE(AC$3,-12)+1)+1),IF($N51=0,0,$Q51/$N51*MAX(0,(IF($I51="",AC$3,MIN($I51,AC$3)))-(MAX($H51,(EDATE(AC$3,-12)+1)))+1)/(AC$3-(EDATE(AC$3,-12)+1)+1)))*$W51),MAX(0,AB51-$M51)))</f>
        <v/>
      </c>
      <c r="AD51" s="64">
        <f>IF($K51="","",IF(AND($I51&lt;&gt;"",$I51&lt;=AC$3),0,AB51-AC51))</f>
        <v/>
      </c>
      <c r="AE51" s="63">
        <f>IF(OR($K51="",$H51=""),"",MIN(MAX(0,IF($O51="WDV",AD51*$P51*MAX(0,(IF($I51="",AE$3,MIN($I51,AE$3)))-(MAX($H51,(EDATE(AE$3,-12)+1)))+1)/(AE$3-(EDATE(AE$3,-12)+1)+1),IF($N51=0,0,$Q51/$N51*MAX(0,(IF($I51="",AE$3,MIN($I51,AE$3)))-(MAX($H51,(EDATE(AE$3,-12)+1)))+1)/(AE$3-(EDATE(AE$3,-12)+1)+1)))*$W51),MAX(0,AD51-$M51)))</f>
        <v/>
      </c>
      <c r="AF51" s="64">
        <f>IF($K51="","",IF(AND($I51&lt;&gt;"",$I51&lt;=AE$3),0,AD51-AE51))</f>
        <v/>
      </c>
      <c r="AG51" s="63">
        <f>IF(OR($K51="",$H51=""),"",MIN(MAX(0,IF($O51="WDV",AF51*$P51*MAX(0,(IF($I51="",AG$3,MIN($I51,AG$3)))-(MAX($H51,(EDATE(AG$3,-12)+1)))+1)/(AG$3-(EDATE(AG$3,-12)+1)+1),IF($N51=0,0,$Q51/$N51*MAX(0,(IF($I51="",AG$3,MIN($I51,AG$3)))-(MAX($H51,(EDATE(AG$3,-12)+1)))+1)/(AG$3-(EDATE(AG$3,-12)+1)+1)))*$W51),MAX(0,AF51-$M51)))</f>
        <v/>
      </c>
      <c r="AH51" s="64">
        <f>IF($K51="","",IF(AND($I51&lt;&gt;"",$I51&lt;=AG$3),0,AF51-AG51))</f>
        <v/>
      </c>
      <c r="AI51" s="63">
        <f>IF(OR($K51="",$H51=""),"",MIN(MAX(0,IF($O51="WDV",AH51*$P51*MAX(0,(IF($I51="",AI$3,MIN($I51,AI$3)))-(MAX($H51,(EDATE(AI$3,-12)+1)))+1)/(AI$3-(EDATE(AI$3,-12)+1)+1),IF($N51=0,0,$Q51/$N51*MAX(0,(IF($I51="",AI$3,MIN($I51,AI$3)))-(MAX($H51,(EDATE(AI$3,-12)+1)))+1)/(AI$3-(EDATE(AI$3,-12)+1)+1)))*$W51),MAX(0,AH51-$M51)))</f>
        <v/>
      </c>
      <c r="AJ51" s="64">
        <f>IF($K51="","",IF(AND($I51&lt;&gt;"",$I51&lt;=AI$3),0,AH51-AI51))</f>
        <v/>
      </c>
      <c r="AK51" s="63">
        <f>IF(OR($K51="",$H51=""),"",MIN(MAX(0,IF($O51="WDV",AJ51*$P51*MAX(0,(IF($I51="",AK$3,MIN($I51,AK$3)))-(MAX($H51,(EDATE(AK$3,-12)+1)))+1)/(AK$3-(EDATE(AK$3,-12)+1)+1),IF($N51=0,0,$Q51/$N51*MAX(0,(IF($I51="",AK$3,MIN($I51,AK$3)))-(MAX($H51,(EDATE(AK$3,-12)+1)))+1)/(AK$3-(EDATE(AK$3,-12)+1)+1)))*$W51),MAX(0,AJ51-$M51)))</f>
        <v/>
      </c>
      <c r="AL51" s="64">
        <f>IF($K51="","",IF(AND($I51&lt;&gt;"",$I51&lt;=AK$3),0,AJ51-AK51))</f>
        <v/>
      </c>
      <c r="AM51" s="63">
        <f>IF(OR($K51="",$H51=""),"",MIN(MAX(0,IF($O51="WDV",AL51*$P51*MAX(0,(IF($I51="",AM$3,MIN($I51,AM$3)))-(MAX($H51,(EDATE(AM$3,-12)+1)))+1)/(AM$3-(EDATE(AM$3,-12)+1)+1),IF($N51=0,0,$Q51/$N51*MAX(0,(IF($I51="",AM$3,MIN($I51,AM$3)))-(MAX($H51,(EDATE(AM$3,-12)+1)))+1)/(AM$3-(EDATE(AM$3,-12)+1)+1)))*$W51),MAX(0,AL51-$M51)))</f>
        <v/>
      </c>
      <c r="AN51" s="64">
        <f>IF($K51="","",IF(AND($I51&lt;&gt;"",$I51&lt;=AM$3),0,AL51-AM51))</f>
        <v/>
      </c>
      <c r="AO51" s="63">
        <f>IF(OR($K51="",$H51=""),"",MIN(MAX(0,IF($O51="WDV",AN51*$P51*MAX(0,(IF($I51="",AO$3,MIN($I51,AO$3)))-(MAX($H51,(EDATE(AO$3,-12)+1)))+1)/(AO$3-(EDATE(AO$3,-12)+1)+1),IF($N51=0,0,$Q51/$N51*MAX(0,(IF($I51="",AO$3,MIN($I51,AO$3)))-(MAX($H51,(EDATE(AO$3,-12)+1)))+1)/(AO$3-(EDATE(AO$3,-12)+1)+1)))*$W51),MAX(0,AN51-$M51)))</f>
        <v/>
      </c>
      <c r="AP51" s="64">
        <f>IF($K51="","",IF(AND($I51&lt;&gt;"",$I51&lt;=AO$3),0,AN51-AO51))</f>
        <v/>
      </c>
      <c r="AQ51" s="63">
        <f>IF(OR($K51="",$H51=""),"",MIN(MAX(0,IF($O51="WDV",AP51*$P51*MAX(0,(IF($I51="",AQ$3,MIN($I51,AQ$3)))-(MAX($H51,(EDATE(AQ$3,-12)+1)))+1)/(AQ$3-(EDATE(AQ$3,-12)+1)+1),IF($N51=0,0,$Q51/$N51*MAX(0,(IF($I51="",AQ$3,MIN($I51,AQ$3)))-(MAX($H51,(EDATE(AQ$3,-12)+1)))+1)/(AQ$3-(EDATE(AQ$3,-12)+1)+1)))*$W51),MAX(0,AP51-$M51)))</f>
        <v/>
      </c>
      <c r="AR51" s="64">
        <f>IF($K51="","",IF(AND($I51&lt;&gt;"",$I51&lt;=AQ$3),0,AP51-AQ51))</f>
        <v/>
      </c>
      <c r="AS51" s="63">
        <f>IF(OR($K51="",$H51=""),"",MIN(MAX(0,IF($O51="WDV",AR51*$P51*MAX(0,(IF($I51="",AS$3,MIN($I51,AS$3)))-(MAX($H51,(EDATE(AS$3,-12)+1)))+1)/(AS$3-(EDATE(AS$3,-12)+1)+1),IF($N51=0,0,$Q51/$N51*MAX(0,(IF($I51="",AS$3,MIN($I51,AS$3)))-(MAX($H51,(EDATE(AS$3,-12)+1)))+1)/(AS$3-(EDATE(AS$3,-12)+1)+1)))*$W51),MAX(0,AR51-$M51)))</f>
        <v/>
      </c>
      <c r="AT51" s="64">
        <f>IF($K51="","",IF(AND($I51&lt;&gt;"",$I51&lt;=AS$3),0,AR51-AS51))</f>
        <v/>
      </c>
      <c r="AU51" s="63">
        <f>IF(OR($K51="",$H51=""),"",MIN(MAX(0,IF($O51="WDV",AT51*$P51*MAX(0,(IF($I51="",AU$3,MIN($I51,AU$3)))-(MAX($H51,(EDATE(AU$3,-12)+1)))+1)/(AU$3-(EDATE(AU$3,-12)+1)+1),IF($N51=0,0,$Q51/$N51*MAX(0,(IF($I51="",AU$3,MIN($I51,AU$3)))-(MAX($H51,(EDATE(AU$3,-12)+1)))+1)/(AU$3-(EDATE(AU$3,-12)+1)+1)))*$W51),MAX(0,AT51-$M51)))</f>
        <v/>
      </c>
      <c r="AV51" s="64">
        <f>IF($K51="","",IF(AND($I51&lt;&gt;"",$I51&lt;=AU$3),0,AT51-AU51))</f>
        <v/>
      </c>
      <c r="AW51" s="63">
        <f>IF(OR($K51="",$H51=""),"",MIN(MAX(0,IF($O51="WDV",AV51*$P51*MAX(0,(IF($I51="",AW$3,MIN($I51,AW$3)))-(MAX($H51,(EDATE(AW$3,-12)+1)))+1)/(AW$3-(EDATE(AW$3,-12)+1)+1),IF($N51=0,0,$Q51/$N51*MAX(0,(IF($I51="",AW$3,MIN($I51,AW$3)))-(MAX($H51,(EDATE(AW$3,-12)+1)))+1)/(AW$3-(EDATE(AW$3,-12)+1)+1)))*$W51),MAX(0,AV51-$M51)))</f>
        <v/>
      </c>
      <c r="AX51" s="64">
        <f>IF($K51="","",IF(AND($I51&lt;&gt;"",$I51&lt;=AW$3),0,AV51-AW51))</f>
        <v/>
      </c>
      <c r="AY51" s="63">
        <f>IF(OR($K51="",$H51=""),"",MIN(MAX(0,IF($O51="WDV",AX51*$P51*MAX(0,(IF($I51="",AY$3,MIN($I51,AY$3)))-(MAX($H51,(EDATE(AY$3,-12)+1)))+1)/(AY$3-(EDATE(AY$3,-12)+1)+1),IF($N51=0,0,$Q51/$N51*MAX(0,(IF($I51="",AY$3,MIN($I51,AY$3)))-(MAX($H51,(EDATE(AY$3,-12)+1)))+1)/(AY$3-(EDATE(AY$3,-12)+1)+1)))*$W51),MAX(0,AX51-$M51)))</f>
        <v/>
      </c>
      <c r="AZ51" s="64">
        <f>IF($K51="","",IF(AND($I51&lt;&gt;"",$I51&lt;=AY$3),0,AX51-AY51))</f>
        <v/>
      </c>
      <c r="BA51" s="63">
        <f>IF(OR($K51="",$H51=""),"",MIN(MAX(0,IF($O51="WDV",AZ51*$P51*MAX(0,(IF($I51="",BA$3,MIN($I51,BA$3)))-(MAX($H51,(EDATE(BA$3,-12)+1)))+1)/(BA$3-(EDATE(BA$3,-12)+1)+1),IF($N51=0,0,$Q51/$N51*MAX(0,(IF($I51="",BA$3,MIN($I51,BA$3)))-(MAX($H51,(EDATE(BA$3,-12)+1)))+1)/(BA$3-(EDATE(BA$3,-12)+1)+1)))*$W51),MAX(0,AZ51-$M51)))</f>
        <v/>
      </c>
      <c r="BB51" s="64">
        <f>IF($K51="","",IF(AND($I51&lt;&gt;"",$I51&lt;=BA$3),0,AZ51-BA51))</f>
        <v/>
      </c>
      <c r="BC51" s="63">
        <f>IF(OR($K51="",$H51=""),"",MIN(MAX(0,IF($O51="WDV",BB51*$P51*MAX(0,(IF($I51="",BC$3,MIN($I51,BC$3)))-(MAX($H51,(EDATE(BC$3,-12)+1)))+1)/(BC$3-(EDATE(BC$3,-12)+1)+1),IF($N51=0,0,$Q51/$N51*MAX(0,(IF($I51="",BC$3,MIN($I51,BC$3)))-(MAX($H51,(EDATE(BC$3,-12)+1)))+1)/(BC$3-(EDATE(BC$3,-12)+1)+1)))*$W51),MAX(0,BB51-$M51)))</f>
        <v/>
      </c>
      <c r="BD51" s="64">
        <f>IF($K51="","",IF(AND($I51&lt;&gt;"",$I51&lt;=BC$3),0,BB51-BC51))</f>
        <v/>
      </c>
      <c r="BE51" s="63">
        <f>IF(OR($K51="",$H51=""),"",MIN(MAX(0,IF($O51="WDV",BD51*$P51*MAX(0,(IF($I51="",BE$3,MIN($I51,BE$3)))-(MAX($H51,(EDATE(BE$3,-12)+1)))+1)/(BE$3-(EDATE(BE$3,-12)+1)+1),IF($N51=0,0,$Q51/$N51*MAX(0,(IF($I51="",BE$3,MIN($I51,BE$3)))-(MAX($H51,(EDATE(BE$3,-12)+1)))+1)/(BE$3-(EDATE(BE$3,-12)+1)+1)))*$W51),MAX(0,BD51-$M51)))</f>
        <v/>
      </c>
      <c r="BF51" s="64">
        <f>IF($K51="","",IF(AND($I51&lt;&gt;"",$I51&lt;=BE$3),0,BD51-BE51))</f>
        <v/>
      </c>
    </row>
    <row r="52">
      <c r="A52" s="65" t="n"/>
      <c r="B52" s="66" t="n"/>
      <c r="C52" s="66" t="n"/>
      <c r="D52" s="66" t="n"/>
      <c r="E52" s="67" t="n"/>
      <c r="F52" s="68" t="n"/>
      <c r="G52" s="69" t="n"/>
      <c r="H52" s="69" t="n"/>
      <c r="I52" s="70" t="n"/>
      <c r="J52" s="71" t="n"/>
      <c r="K52" s="72" t="n"/>
      <c r="L52" s="73">
        <f>DefaultResidual</f>
        <v/>
      </c>
      <c r="M52" s="74">
        <f>IF($K52="","",$K52*$L52)</f>
        <v/>
      </c>
      <c r="N52" s="22">
        <f>IF($C52="","",IFERROR(VLOOKUP($C52,ScheduleIITable,3,FALSE),"#N/A"))</f>
        <v/>
      </c>
      <c r="O52" s="75">
        <f>IF($K52="","",GlobalMethod)</f>
        <v/>
      </c>
      <c r="P52" s="23">
        <f>IF(OR($K52="",$N52="",$N52=0,$M52=0),0,1-($M52/$K52)^(1/$N52))</f>
        <v/>
      </c>
      <c r="Q52" s="74">
        <f>IF($K52="","",$K52-$M52)</f>
        <v/>
      </c>
      <c r="R52" s="76">
        <f>IF($K52="","",INDEX($AA52:$BF52,1,MATCH(ReportingFYEnd,$AA$3:$BF$3,0)))</f>
        <v/>
      </c>
      <c r="S52" s="74">
        <f>IF($K52="","",IF($U52="Disposed",0,$K52-$T52))</f>
        <v/>
      </c>
      <c r="T52" s="77">
        <f>IF($K52="","",INDEX($AA52:$BF52,1,MATCH(ReportingFYEnd,$AA$3:$BF$3,0)+1))</f>
        <v/>
      </c>
      <c r="U52" s="78">
        <f>IF($K52="","",IF(AND($I52&lt;&gt;"",$I52&lt;=ReportingFYEnd),"Disposed",IF(OR($H52="",$H52&gt;ReportingFYEnd),"Not Yet in Use","Active")))</f>
        <v/>
      </c>
      <c r="V52" s="79" t="n"/>
      <c r="W52" s="80">
        <f>IF($V52="Double",1.5,IF($V52="Triple",2,1))</f>
        <v/>
      </c>
      <c r="X52" s="69" t="n"/>
      <c r="Y52" s="78">
        <f>IF($K52="","",IF(OR(ISNUMBER(SEARCH("Build",$C52)),ISNUMBER(SEARCH("Lease",$C52))),"Yes","NA"))</f>
        <v/>
      </c>
      <c r="Z52" s="21" t="n"/>
      <c r="AA52" s="81">
        <f>IF(OR($K52="",$H52=""),"",MIN(MAX(0,IF($O52="WDV",$K52*$P52*MAX(0,(IF($I52="",AA$3,MIN($I52,AA$3)))-(MAX($H52,(EDATE(AA$3,-12)+1)))+1)/(AA$3-(EDATE(AA$3,-12)+1)+1),IF($N52=0,0,$Q52/$N52*MAX(0,(IF($I52="",AA$3,MIN($I52,AA$3)))-(MAX($H52,(EDATE(AA$3,-12)+1)))+1)/(AA$3-(EDATE(AA$3,-12)+1)+1)))*$W52),MAX(0,$K52-$M52)))</f>
        <v/>
      </c>
      <c r="AB52" s="81">
        <f>IF($K52="","",IF(AND($I52&lt;&gt;"",$I52&lt;=AA$3),0,$K52-AA52))</f>
        <v/>
      </c>
      <c r="AC52" s="81">
        <f>IF(OR($K52="",$H52=""),"",MIN(MAX(0,IF($O52="WDV",AB52*$P52*MAX(0,(IF($I52="",AC$3,MIN($I52,AC$3)))-(MAX($H52,(EDATE(AC$3,-12)+1)))+1)/(AC$3-(EDATE(AC$3,-12)+1)+1),IF($N52=0,0,$Q52/$N52*MAX(0,(IF($I52="",AC$3,MIN($I52,AC$3)))-(MAX($H52,(EDATE(AC$3,-12)+1)))+1)/(AC$3-(EDATE(AC$3,-12)+1)+1)))*$W52),MAX(0,AB52-$M52)))</f>
        <v/>
      </c>
      <c r="AD52" s="81">
        <f>IF($K52="","",IF(AND($I52&lt;&gt;"",$I52&lt;=AC$3),0,AB52-AC52))</f>
        <v/>
      </c>
      <c r="AE52" s="81">
        <f>IF(OR($K52="",$H52=""),"",MIN(MAX(0,IF($O52="WDV",AD52*$P52*MAX(0,(IF($I52="",AE$3,MIN($I52,AE$3)))-(MAX($H52,(EDATE(AE$3,-12)+1)))+1)/(AE$3-(EDATE(AE$3,-12)+1)+1),IF($N52=0,0,$Q52/$N52*MAX(0,(IF($I52="",AE$3,MIN($I52,AE$3)))-(MAX($H52,(EDATE(AE$3,-12)+1)))+1)/(AE$3-(EDATE(AE$3,-12)+1)+1)))*$W52),MAX(0,AD52-$M52)))</f>
        <v/>
      </c>
      <c r="AF52" s="81">
        <f>IF($K52="","",IF(AND($I52&lt;&gt;"",$I52&lt;=AE$3),0,AD52-AE52))</f>
        <v/>
      </c>
      <c r="AG52" s="81">
        <f>IF(OR($K52="",$H52=""),"",MIN(MAX(0,IF($O52="WDV",AF52*$P52*MAX(0,(IF($I52="",AG$3,MIN($I52,AG$3)))-(MAX($H52,(EDATE(AG$3,-12)+1)))+1)/(AG$3-(EDATE(AG$3,-12)+1)+1),IF($N52=0,0,$Q52/$N52*MAX(0,(IF($I52="",AG$3,MIN($I52,AG$3)))-(MAX($H52,(EDATE(AG$3,-12)+1)))+1)/(AG$3-(EDATE(AG$3,-12)+1)+1)))*$W52),MAX(0,AF52-$M52)))</f>
        <v/>
      </c>
      <c r="AH52" s="81">
        <f>IF($K52="","",IF(AND($I52&lt;&gt;"",$I52&lt;=AG$3),0,AF52-AG52))</f>
        <v/>
      </c>
      <c r="AI52" s="81">
        <f>IF(OR($K52="",$H52=""),"",MIN(MAX(0,IF($O52="WDV",AH52*$P52*MAX(0,(IF($I52="",AI$3,MIN($I52,AI$3)))-(MAX($H52,(EDATE(AI$3,-12)+1)))+1)/(AI$3-(EDATE(AI$3,-12)+1)+1),IF($N52=0,0,$Q52/$N52*MAX(0,(IF($I52="",AI$3,MIN($I52,AI$3)))-(MAX($H52,(EDATE(AI$3,-12)+1)))+1)/(AI$3-(EDATE(AI$3,-12)+1)+1)))*$W52),MAX(0,AH52-$M52)))</f>
        <v/>
      </c>
      <c r="AJ52" s="81">
        <f>IF($K52="","",IF(AND($I52&lt;&gt;"",$I52&lt;=AI$3),0,AH52-AI52))</f>
        <v/>
      </c>
      <c r="AK52" s="81">
        <f>IF(OR($K52="",$H52=""),"",MIN(MAX(0,IF($O52="WDV",AJ52*$P52*MAX(0,(IF($I52="",AK$3,MIN($I52,AK$3)))-(MAX($H52,(EDATE(AK$3,-12)+1)))+1)/(AK$3-(EDATE(AK$3,-12)+1)+1),IF($N52=0,0,$Q52/$N52*MAX(0,(IF($I52="",AK$3,MIN($I52,AK$3)))-(MAX($H52,(EDATE(AK$3,-12)+1)))+1)/(AK$3-(EDATE(AK$3,-12)+1)+1)))*$W52),MAX(0,AJ52-$M52)))</f>
        <v/>
      </c>
      <c r="AL52" s="81">
        <f>IF($K52="","",IF(AND($I52&lt;&gt;"",$I52&lt;=AK$3),0,AJ52-AK52))</f>
        <v/>
      </c>
      <c r="AM52" s="81">
        <f>IF(OR($K52="",$H52=""),"",MIN(MAX(0,IF($O52="WDV",AL52*$P52*MAX(0,(IF($I52="",AM$3,MIN($I52,AM$3)))-(MAX($H52,(EDATE(AM$3,-12)+1)))+1)/(AM$3-(EDATE(AM$3,-12)+1)+1),IF($N52=0,0,$Q52/$N52*MAX(0,(IF($I52="",AM$3,MIN($I52,AM$3)))-(MAX($H52,(EDATE(AM$3,-12)+1)))+1)/(AM$3-(EDATE(AM$3,-12)+1)+1)))*$W52),MAX(0,AL52-$M52)))</f>
        <v/>
      </c>
      <c r="AN52" s="81">
        <f>IF($K52="","",IF(AND($I52&lt;&gt;"",$I52&lt;=AM$3),0,AL52-AM52))</f>
        <v/>
      </c>
      <c r="AO52" s="81">
        <f>IF(OR($K52="",$H52=""),"",MIN(MAX(0,IF($O52="WDV",AN52*$P52*MAX(0,(IF($I52="",AO$3,MIN($I52,AO$3)))-(MAX($H52,(EDATE(AO$3,-12)+1)))+1)/(AO$3-(EDATE(AO$3,-12)+1)+1),IF($N52=0,0,$Q52/$N52*MAX(0,(IF($I52="",AO$3,MIN($I52,AO$3)))-(MAX($H52,(EDATE(AO$3,-12)+1)))+1)/(AO$3-(EDATE(AO$3,-12)+1)+1)))*$W52),MAX(0,AN52-$M52)))</f>
        <v/>
      </c>
      <c r="AP52" s="81">
        <f>IF($K52="","",IF(AND($I52&lt;&gt;"",$I52&lt;=AO$3),0,AN52-AO52))</f>
        <v/>
      </c>
      <c r="AQ52" s="81">
        <f>IF(OR($K52="",$H52=""),"",MIN(MAX(0,IF($O52="WDV",AP52*$P52*MAX(0,(IF($I52="",AQ$3,MIN($I52,AQ$3)))-(MAX($H52,(EDATE(AQ$3,-12)+1)))+1)/(AQ$3-(EDATE(AQ$3,-12)+1)+1),IF($N52=0,0,$Q52/$N52*MAX(0,(IF($I52="",AQ$3,MIN($I52,AQ$3)))-(MAX($H52,(EDATE(AQ$3,-12)+1)))+1)/(AQ$3-(EDATE(AQ$3,-12)+1)+1)))*$W52),MAX(0,AP52-$M52)))</f>
        <v/>
      </c>
      <c r="AR52" s="81">
        <f>IF($K52="","",IF(AND($I52&lt;&gt;"",$I52&lt;=AQ$3),0,AP52-AQ52))</f>
        <v/>
      </c>
      <c r="AS52" s="81">
        <f>IF(OR($K52="",$H52=""),"",MIN(MAX(0,IF($O52="WDV",AR52*$P52*MAX(0,(IF($I52="",AS$3,MIN($I52,AS$3)))-(MAX($H52,(EDATE(AS$3,-12)+1)))+1)/(AS$3-(EDATE(AS$3,-12)+1)+1),IF($N52=0,0,$Q52/$N52*MAX(0,(IF($I52="",AS$3,MIN($I52,AS$3)))-(MAX($H52,(EDATE(AS$3,-12)+1)))+1)/(AS$3-(EDATE(AS$3,-12)+1)+1)))*$W52),MAX(0,AR52-$M52)))</f>
        <v/>
      </c>
      <c r="AT52" s="81">
        <f>IF($K52="","",IF(AND($I52&lt;&gt;"",$I52&lt;=AS$3),0,AR52-AS52))</f>
        <v/>
      </c>
      <c r="AU52" s="81">
        <f>IF(OR($K52="",$H52=""),"",MIN(MAX(0,IF($O52="WDV",AT52*$P52*MAX(0,(IF($I52="",AU$3,MIN($I52,AU$3)))-(MAX($H52,(EDATE(AU$3,-12)+1)))+1)/(AU$3-(EDATE(AU$3,-12)+1)+1),IF($N52=0,0,$Q52/$N52*MAX(0,(IF($I52="",AU$3,MIN($I52,AU$3)))-(MAX($H52,(EDATE(AU$3,-12)+1)))+1)/(AU$3-(EDATE(AU$3,-12)+1)+1)))*$W52),MAX(0,AT52-$M52)))</f>
        <v/>
      </c>
      <c r="AV52" s="81">
        <f>IF($K52="","",IF(AND($I52&lt;&gt;"",$I52&lt;=AU$3),0,AT52-AU52))</f>
        <v/>
      </c>
      <c r="AW52" s="81">
        <f>IF(OR($K52="",$H52=""),"",MIN(MAX(0,IF($O52="WDV",AV52*$P52*MAX(0,(IF($I52="",AW$3,MIN($I52,AW$3)))-(MAX($H52,(EDATE(AW$3,-12)+1)))+1)/(AW$3-(EDATE(AW$3,-12)+1)+1),IF($N52=0,0,$Q52/$N52*MAX(0,(IF($I52="",AW$3,MIN($I52,AW$3)))-(MAX($H52,(EDATE(AW$3,-12)+1)))+1)/(AW$3-(EDATE(AW$3,-12)+1)+1)))*$W52),MAX(0,AV52-$M52)))</f>
        <v/>
      </c>
      <c r="AX52" s="81">
        <f>IF($K52="","",IF(AND($I52&lt;&gt;"",$I52&lt;=AW$3),0,AV52-AW52))</f>
        <v/>
      </c>
      <c r="AY52" s="81">
        <f>IF(OR($K52="",$H52=""),"",MIN(MAX(0,IF($O52="WDV",AX52*$P52*MAX(0,(IF($I52="",AY$3,MIN($I52,AY$3)))-(MAX($H52,(EDATE(AY$3,-12)+1)))+1)/(AY$3-(EDATE(AY$3,-12)+1)+1),IF($N52=0,0,$Q52/$N52*MAX(0,(IF($I52="",AY$3,MIN($I52,AY$3)))-(MAX($H52,(EDATE(AY$3,-12)+1)))+1)/(AY$3-(EDATE(AY$3,-12)+1)+1)))*$W52),MAX(0,AX52-$M52)))</f>
        <v/>
      </c>
      <c r="AZ52" s="81">
        <f>IF($K52="","",IF(AND($I52&lt;&gt;"",$I52&lt;=AY$3),0,AX52-AY52))</f>
        <v/>
      </c>
      <c r="BA52" s="81">
        <f>IF(OR($K52="",$H52=""),"",MIN(MAX(0,IF($O52="WDV",AZ52*$P52*MAX(0,(IF($I52="",BA$3,MIN($I52,BA$3)))-(MAX($H52,(EDATE(BA$3,-12)+1)))+1)/(BA$3-(EDATE(BA$3,-12)+1)+1),IF($N52=0,0,$Q52/$N52*MAX(0,(IF($I52="",BA$3,MIN($I52,BA$3)))-(MAX($H52,(EDATE(BA$3,-12)+1)))+1)/(BA$3-(EDATE(BA$3,-12)+1)+1)))*$W52),MAX(0,AZ52-$M52)))</f>
        <v/>
      </c>
      <c r="BB52" s="81">
        <f>IF($K52="","",IF(AND($I52&lt;&gt;"",$I52&lt;=BA$3),0,AZ52-BA52))</f>
        <v/>
      </c>
      <c r="BC52" s="81">
        <f>IF(OR($K52="",$H52=""),"",MIN(MAX(0,IF($O52="WDV",BB52*$P52*MAX(0,(IF($I52="",BC$3,MIN($I52,BC$3)))-(MAX($H52,(EDATE(BC$3,-12)+1)))+1)/(BC$3-(EDATE(BC$3,-12)+1)+1),IF($N52=0,0,$Q52/$N52*MAX(0,(IF($I52="",BC$3,MIN($I52,BC$3)))-(MAX($H52,(EDATE(BC$3,-12)+1)))+1)/(BC$3-(EDATE(BC$3,-12)+1)+1)))*$W52),MAX(0,BB52-$M52)))</f>
        <v/>
      </c>
      <c r="BD52" s="81">
        <f>IF($K52="","",IF(AND($I52&lt;&gt;"",$I52&lt;=BC$3),0,BB52-BC52))</f>
        <v/>
      </c>
      <c r="BE52" s="81">
        <f>IF(OR($K52="",$H52=""),"",MIN(MAX(0,IF($O52="WDV",BD52*$P52*MAX(0,(IF($I52="",BE$3,MIN($I52,BE$3)))-(MAX($H52,(EDATE(BE$3,-12)+1)))+1)/(BE$3-(EDATE(BE$3,-12)+1)+1),IF($N52=0,0,$Q52/$N52*MAX(0,(IF($I52="",BE$3,MIN($I52,BE$3)))-(MAX($H52,(EDATE(BE$3,-12)+1)))+1)/(BE$3-(EDATE(BE$3,-12)+1)+1)))*$W52),MAX(0,BD52-$M52)))</f>
        <v/>
      </c>
      <c r="BF52" s="81">
        <f>IF($K52="","",IF(AND($I52&lt;&gt;"",$I52&lt;=BE$3),0,BD52-BE52))</f>
        <v/>
      </c>
    </row>
    <row r="53">
      <c r="A53" s="44" t="n"/>
      <c r="B53" s="45" t="n"/>
      <c r="C53" s="45" t="n"/>
      <c r="D53" s="45" t="n"/>
      <c r="E53" s="46" t="n"/>
      <c r="F53" s="47" t="n"/>
      <c r="G53" s="48" t="n"/>
      <c r="H53" s="48" t="n"/>
      <c r="I53" s="49" t="n"/>
      <c r="J53" s="50" t="n"/>
      <c r="K53" s="51" t="n"/>
      <c r="L53" s="52">
        <f>DefaultResidual</f>
        <v/>
      </c>
      <c r="M53" s="53">
        <f>IF($K53="","",$K53*$L53)</f>
        <v/>
      </c>
      <c r="N53" s="54">
        <f>IF($C53="","",IFERROR(VLOOKUP($C53,ScheduleIITable,3,FALSE),"#N/A"))</f>
        <v/>
      </c>
      <c r="O53" s="55">
        <f>IF($K53="","",GlobalMethod)</f>
        <v/>
      </c>
      <c r="P53" s="56">
        <f>IF(OR($K53="",$N53="",$N53=0,$M53=0),0,1-($M53/$K53)^(1/$N53))</f>
        <v/>
      </c>
      <c r="Q53" s="53">
        <f>IF($K53="","",$K53-$M53)</f>
        <v/>
      </c>
      <c r="R53" s="57">
        <f>IF($K53="","",INDEX($AA53:$BF53,1,MATCH(ReportingFYEnd,$AA$3:$BF$3,0)))</f>
        <v/>
      </c>
      <c r="S53" s="53">
        <f>IF($K53="","",IF($U53="Disposed",0,$K53-$T53))</f>
        <v/>
      </c>
      <c r="T53" s="58">
        <f>IF($K53="","",INDEX($AA53:$BF53,1,MATCH(ReportingFYEnd,$AA$3:$BF$3,0)+1))</f>
        <v/>
      </c>
      <c r="U53" s="59">
        <f>IF($K53="","",IF(AND($I53&lt;&gt;"",$I53&lt;=ReportingFYEnd),"Disposed",IF(OR($H53="",$H53&gt;ReportingFYEnd),"Not Yet in Use","Active")))</f>
        <v/>
      </c>
      <c r="V53" s="60" t="n"/>
      <c r="W53" s="61">
        <f>IF($V53="Double",1.5,IF($V53="Triple",2,1))</f>
        <v/>
      </c>
      <c r="X53" s="48" t="n"/>
      <c r="Y53" s="59">
        <f>IF($K53="","",IF(OR(ISNUMBER(SEARCH("Build",$C53)),ISNUMBER(SEARCH("Lease",$C53))),"Yes","NA"))</f>
        <v/>
      </c>
      <c r="Z53" s="62" t="n"/>
      <c r="AA53" s="63">
        <f>IF(OR($K53="",$H53=""),"",MIN(MAX(0,IF($O53="WDV",$K53*$P53*MAX(0,(IF($I53="",AA$3,MIN($I53,AA$3)))-(MAX($H53,(EDATE(AA$3,-12)+1)))+1)/(AA$3-(EDATE(AA$3,-12)+1)+1),IF($N53=0,0,$Q53/$N53*MAX(0,(IF($I53="",AA$3,MIN($I53,AA$3)))-(MAX($H53,(EDATE(AA$3,-12)+1)))+1)/(AA$3-(EDATE(AA$3,-12)+1)+1)))*$W53),MAX(0,$K53-$M53)))</f>
        <v/>
      </c>
      <c r="AB53" s="64">
        <f>IF($K53="","",IF(AND($I53&lt;&gt;"",$I53&lt;=AA$3),0,$K53-AA53))</f>
        <v/>
      </c>
      <c r="AC53" s="63">
        <f>IF(OR($K53="",$H53=""),"",MIN(MAX(0,IF($O53="WDV",AB53*$P53*MAX(0,(IF($I53="",AC$3,MIN($I53,AC$3)))-(MAX($H53,(EDATE(AC$3,-12)+1)))+1)/(AC$3-(EDATE(AC$3,-12)+1)+1),IF($N53=0,0,$Q53/$N53*MAX(0,(IF($I53="",AC$3,MIN($I53,AC$3)))-(MAX($H53,(EDATE(AC$3,-12)+1)))+1)/(AC$3-(EDATE(AC$3,-12)+1)+1)))*$W53),MAX(0,AB53-$M53)))</f>
        <v/>
      </c>
      <c r="AD53" s="64">
        <f>IF($K53="","",IF(AND($I53&lt;&gt;"",$I53&lt;=AC$3),0,AB53-AC53))</f>
        <v/>
      </c>
      <c r="AE53" s="63">
        <f>IF(OR($K53="",$H53=""),"",MIN(MAX(0,IF($O53="WDV",AD53*$P53*MAX(0,(IF($I53="",AE$3,MIN($I53,AE$3)))-(MAX($H53,(EDATE(AE$3,-12)+1)))+1)/(AE$3-(EDATE(AE$3,-12)+1)+1),IF($N53=0,0,$Q53/$N53*MAX(0,(IF($I53="",AE$3,MIN($I53,AE$3)))-(MAX($H53,(EDATE(AE$3,-12)+1)))+1)/(AE$3-(EDATE(AE$3,-12)+1)+1)))*$W53),MAX(0,AD53-$M53)))</f>
        <v/>
      </c>
      <c r="AF53" s="64">
        <f>IF($K53="","",IF(AND($I53&lt;&gt;"",$I53&lt;=AE$3),0,AD53-AE53))</f>
        <v/>
      </c>
      <c r="AG53" s="63">
        <f>IF(OR($K53="",$H53=""),"",MIN(MAX(0,IF($O53="WDV",AF53*$P53*MAX(0,(IF($I53="",AG$3,MIN($I53,AG$3)))-(MAX($H53,(EDATE(AG$3,-12)+1)))+1)/(AG$3-(EDATE(AG$3,-12)+1)+1),IF($N53=0,0,$Q53/$N53*MAX(0,(IF($I53="",AG$3,MIN($I53,AG$3)))-(MAX($H53,(EDATE(AG$3,-12)+1)))+1)/(AG$3-(EDATE(AG$3,-12)+1)+1)))*$W53),MAX(0,AF53-$M53)))</f>
        <v/>
      </c>
      <c r="AH53" s="64">
        <f>IF($K53="","",IF(AND($I53&lt;&gt;"",$I53&lt;=AG$3),0,AF53-AG53))</f>
        <v/>
      </c>
      <c r="AI53" s="63">
        <f>IF(OR($K53="",$H53=""),"",MIN(MAX(0,IF($O53="WDV",AH53*$P53*MAX(0,(IF($I53="",AI$3,MIN($I53,AI$3)))-(MAX($H53,(EDATE(AI$3,-12)+1)))+1)/(AI$3-(EDATE(AI$3,-12)+1)+1),IF($N53=0,0,$Q53/$N53*MAX(0,(IF($I53="",AI$3,MIN($I53,AI$3)))-(MAX($H53,(EDATE(AI$3,-12)+1)))+1)/(AI$3-(EDATE(AI$3,-12)+1)+1)))*$W53),MAX(0,AH53-$M53)))</f>
        <v/>
      </c>
      <c r="AJ53" s="64">
        <f>IF($K53="","",IF(AND($I53&lt;&gt;"",$I53&lt;=AI$3),0,AH53-AI53))</f>
        <v/>
      </c>
      <c r="AK53" s="63">
        <f>IF(OR($K53="",$H53=""),"",MIN(MAX(0,IF($O53="WDV",AJ53*$P53*MAX(0,(IF($I53="",AK$3,MIN($I53,AK$3)))-(MAX($H53,(EDATE(AK$3,-12)+1)))+1)/(AK$3-(EDATE(AK$3,-12)+1)+1),IF($N53=0,0,$Q53/$N53*MAX(0,(IF($I53="",AK$3,MIN($I53,AK$3)))-(MAX($H53,(EDATE(AK$3,-12)+1)))+1)/(AK$3-(EDATE(AK$3,-12)+1)+1)))*$W53),MAX(0,AJ53-$M53)))</f>
        <v/>
      </c>
      <c r="AL53" s="64">
        <f>IF($K53="","",IF(AND($I53&lt;&gt;"",$I53&lt;=AK$3),0,AJ53-AK53))</f>
        <v/>
      </c>
      <c r="AM53" s="63">
        <f>IF(OR($K53="",$H53=""),"",MIN(MAX(0,IF($O53="WDV",AL53*$P53*MAX(0,(IF($I53="",AM$3,MIN($I53,AM$3)))-(MAX($H53,(EDATE(AM$3,-12)+1)))+1)/(AM$3-(EDATE(AM$3,-12)+1)+1),IF($N53=0,0,$Q53/$N53*MAX(0,(IF($I53="",AM$3,MIN($I53,AM$3)))-(MAX($H53,(EDATE(AM$3,-12)+1)))+1)/(AM$3-(EDATE(AM$3,-12)+1)+1)))*$W53),MAX(0,AL53-$M53)))</f>
        <v/>
      </c>
      <c r="AN53" s="64">
        <f>IF($K53="","",IF(AND($I53&lt;&gt;"",$I53&lt;=AM$3),0,AL53-AM53))</f>
        <v/>
      </c>
      <c r="AO53" s="63">
        <f>IF(OR($K53="",$H53=""),"",MIN(MAX(0,IF($O53="WDV",AN53*$P53*MAX(0,(IF($I53="",AO$3,MIN($I53,AO$3)))-(MAX($H53,(EDATE(AO$3,-12)+1)))+1)/(AO$3-(EDATE(AO$3,-12)+1)+1),IF($N53=0,0,$Q53/$N53*MAX(0,(IF($I53="",AO$3,MIN($I53,AO$3)))-(MAX($H53,(EDATE(AO$3,-12)+1)))+1)/(AO$3-(EDATE(AO$3,-12)+1)+1)))*$W53),MAX(0,AN53-$M53)))</f>
        <v/>
      </c>
      <c r="AP53" s="64">
        <f>IF($K53="","",IF(AND($I53&lt;&gt;"",$I53&lt;=AO$3),0,AN53-AO53))</f>
        <v/>
      </c>
      <c r="AQ53" s="63">
        <f>IF(OR($K53="",$H53=""),"",MIN(MAX(0,IF($O53="WDV",AP53*$P53*MAX(0,(IF($I53="",AQ$3,MIN($I53,AQ$3)))-(MAX($H53,(EDATE(AQ$3,-12)+1)))+1)/(AQ$3-(EDATE(AQ$3,-12)+1)+1),IF($N53=0,0,$Q53/$N53*MAX(0,(IF($I53="",AQ$3,MIN($I53,AQ$3)))-(MAX($H53,(EDATE(AQ$3,-12)+1)))+1)/(AQ$3-(EDATE(AQ$3,-12)+1)+1)))*$W53),MAX(0,AP53-$M53)))</f>
        <v/>
      </c>
      <c r="AR53" s="64">
        <f>IF($K53="","",IF(AND($I53&lt;&gt;"",$I53&lt;=AQ$3),0,AP53-AQ53))</f>
        <v/>
      </c>
      <c r="AS53" s="63">
        <f>IF(OR($K53="",$H53=""),"",MIN(MAX(0,IF($O53="WDV",AR53*$P53*MAX(0,(IF($I53="",AS$3,MIN($I53,AS$3)))-(MAX($H53,(EDATE(AS$3,-12)+1)))+1)/(AS$3-(EDATE(AS$3,-12)+1)+1),IF($N53=0,0,$Q53/$N53*MAX(0,(IF($I53="",AS$3,MIN($I53,AS$3)))-(MAX($H53,(EDATE(AS$3,-12)+1)))+1)/(AS$3-(EDATE(AS$3,-12)+1)+1)))*$W53),MAX(0,AR53-$M53)))</f>
        <v/>
      </c>
      <c r="AT53" s="64">
        <f>IF($K53="","",IF(AND($I53&lt;&gt;"",$I53&lt;=AS$3),0,AR53-AS53))</f>
        <v/>
      </c>
      <c r="AU53" s="63">
        <f>IF(OR($K53="",$H53=""),"",MIN(MAX(0,IF($O53="WDV",AT53*$P53*MAX(0,(IF($I53="",AU$3,MIN($I53,AU$3)))-(MAX($H53,(EDATE(AU$3,-12)+1)))+1)/(AU$3-(EDATE(AU$3,-12)+1)+1),IF($N53=0,0,$Q53/$N53*MAX(0,(IF($I53="",AU$3,MIN($I53,AU$3)))-(MAX($H53,(EDATE(AU$3,-12)+1)))+1)/(AU$3-(EDATE(AU$3,-12)+1)+1)))*$W53),MAX(0,AT53-$M53)))</f>
        <v/>
      </c>
      <c r="AV53" s="64">
        <f>IF($K53="","",IF(AND($I53&lt;&gt;"",$I53&lt;=AU$3),0,AT53-AU53))</f>
        <v/>
      </c>
      <c r="AW53" s="63">
        <f>IF(OR($K53="",$H53=""),"",MIN(MAX(0,IF($O53="WDV",AV53*$P53*MAX(0,(IF($I53="",AW$3,MIN($I53,AW$3)))-(MAX($H53,(EDATE(AW$3,-12)+1)))+1)/(AW$3-(EDATE(AW$3,-12)+1)+1),IF($N53=0,0,$Q53/$N53*MAX(0,(IF($I53="",AW$3,MIN($I53,AW$3)))-(MAX($H53,(EDATE(AW$3,-12)+1)))+1)/(AW$3-(EDATE(AW$3,-12)+1)+1)))*$W53),MAX(0,AV53-$M53)))</f>
        <v/>
      </c>
      <c r="AX53" s="64">
        <f>IF($K53="","",IF(AND($I53&lt;&gt;"",$I53&lt;=AW$3),0,AV53-AW53))</f>
        <v/>
      </c>
      <c r="AY53" s="63">
        <f>IF(OR($K53="",$H53=""),"",MIN(MAX(0,IF($O53="WDV",AX53*$P53*MAX(0,(IF($I53="",AY$3,MIN($I53,AY$3)))-(MAX($H53,(EDATE(AY$3,-12)+1)))+1)/(AY$3-(EDATE(AY$3,-12)+1)+1),IF($N53=0,0,$Q53/$N53*MAX(0,(IF($I53="",AY$3,MIN($I53,AY$3)))-(MAX($H53,(EDATE(AY$3,-12)+1)))+1)/(AY$3-(EDATE(AY$3,-12)+1)+1)))*$W53),MAX(0,AX53-$M53)))</f>
        <v/>
      </c>
      <c r="AZ53" s="64">
        <f>IF($K53="","",IF(AND($I53&lt;&gt;"",$I53&lt;=AY$3),0,AX53-AY53))</f>
        <v/>
      </c>
      <c r="BA53" s="63">
        <f>IF(OR($K53="",$H53=""),"",MIN(MAX(0,IF($O53="WDV",AZ53*$P53*MAX(0,(IF($I53="",BA$3,MIN($I53,BA$3)))-(MAX($H53,(EDATE(BA$3,-12)+1)))+1)/(BA$3-(EDATE(BA$3,-12)+1)+1),IF($N53=0,0,$Q53/$N53*MAX(0,(IF($I53="",BA$3,MIN($I53,BA$3)))-(MAX($H53,(EDATE(BA$3,-12)+1)))+1)/(BA$3-(EDATE(BA$3,-12)+1)+1)))*$W53),MAX(0,AZ53-$M53)))</f>
        <v/>
      </c>
      <c r="BB53" s="64">
        <f>IF($K53="","",IF(AND($I53&lt;&gt;"",$I53&lt;=BA$3),0,AZ53-BA53))</f>
        <v/>
      </c>
      <c r="BC53" s="63">
        <f>IF(OR($K53="",$H53=""),"",MIN(MAX(0,IF($O53="WDV",BB53*$P53*MAX(0,(IF($I53="",BC$3,MIN($I53,BC$3)))-(MAX($H53,(EDATE(BC$3,-12)+1)))+1)/(BC$3-(EDATE(BC$3,-12)+1)+1),IF($N53=0,0,$Q53/$N53*MAX(0,(IF($I53="",BC$3,MIN($I53,BC$3)))-(MAX($H53,(EDATE(BC$3,-12)+1)))+1)/(BC$3-(EDATE(BC$3,-12)+1)+1)))*$W53),MAX(0,BB53-$M53)))</f>
        <v/>
      </c>
      <c r="BD53" s="64">
        <f>IF($K53="","",IF(AND($I53&lt;&gt;"",$I53&lt;=BC$3),0,BB53-BC53))</f>
        <v/>
      </c>
      <c r="BE53" s="63">
        <f>IF(OR($K53="",$H53=""),"",MIN(MAX(0,IF($O53="WDV",BD53*$P53*MAX(0,(IF($I53="",BE$3,MIN($I53,BE$3)))-(MAX($H53,(EDATE(BE$3,-12)+1)))+1)/(BE$3-(EDATE(BE$3,-12)+1)+1),IF($N53=0,0,$Q53/$N53*MAX(0,(IF($I53="",BE$3,MIN($I53,BE$3)))-(MAX($H53,(EDATE(BE$3,-12)+1)))+1)/(BE$3-(EDATE(BE$3,-12)+1)+1)))*$W53),MAX(0,BD53-$M53)))</f>
        <v/>
      </c>
      <c r="BF53" s="64">
        <f>IF($K53="","",IF(AND($I53&lt;&gt;"",$I53&lt;=BE$3),0,BD53-BE53))</f>
        <v/>
      </c>
    </row>
    <row r="54">
      <c r="A54" s="65" t="n"/>
      <c r="B54" s="66" t="n"/>
      <c r="C54" s="66" t="n"/>
      <c r="D54" s="66" t="n"/>
      <c r="E54" s="67" t="n"/>
      <c r="F54" s="68" t="n"/>
      <c r="G54" s="69" t="n"/>
      <c r="H54" s="69" t="n"/>
      <c r="I54" s="70" t="n"/>
      <c r="J54" s="71" t="n"/>
      <c r="K54" s="72" t="n"/>
      <c r="L54" s="73">
        <f>DefaultResidual</f>
        <v/>
      </c>
      <c r="M54" s="74">
        <f>IF($K54="","",$K54*$L54)</f>
        <v/>
      </c>
      <c r="N54" s="22">
        <f>IF($C54="","",IFERROR(VLOOKUP($C54,ScheduleIITable,3,FALSE),"#N/A"))</f>
        <v/>
      </c>
      <c r="O54" s="75">
        <f>IF($K54="","",GlobalMethod)</f>
        <v/>
      </c>
      <c r="P54" s="23">
        <f>IF(OR($K54="",$N54="",$N54=0,$M54=0),0,1-($M54/$K54)^(1/$N54))</f>
        <v/>
      </c>
      <c r="Q54" s="74">
        <f>IF($K54="","",$K54-$M54)</f>
        <v/>
      </c>
      <c r="R54" s="76">
        <f>IF($K54="","",INDEX($AA54:$BF54,1,MATCH(ReportingFYEnd,$AA$3:$BF$3,0)))</f>
        <v/>
      </c>
      <c r="S54" s="74">
        <f>IF($K54="","",IF($U54="Disposed",0,$K54-$T54))</f>
        <v/>
      </c>
      <c r="T54" s="77">
        <f>IF($K54="","",INDEX($AA54:$BF54,1,MATCH(ReportingFYEnd,$AA$3:$BF$3,0)+1))</f>
        <v/>
      </c>
      <c r="U54" s="78">
        <f>IF($K54="","",IF(AND($I54&lt;&gt;"",$I54&lt;=ReportingFYEnd),"Disposed",IF(OR($H54="",$H54&gt;ReportingFYEnd),"Not Yet in Use","Active")))</f>
        <v/>
      </c>
      <c r="V54" s="79" t="n"/>
      <c r="W54" s="80">
        <f>IF($V54="Double",1.5,IF($V54="Triple",2,1))</f>
        <v/>
      </c>
      <c r="X54" s="69" t="n"/>
      <c r="Y54" s="78">
        <f>IF($K54="","",IF(OR(ISNUMBER(SEARCH("Build",$C54)),ISNUMBER(SEARCH("Lease",$C54))),"Yes","NA"))</f>
        <v/>
      </c>
      <c r="Z54" s="21" t="n"/>
      <c r="AA54" s="81">
        <f>IF(OR($K54="",$H54=""),"",MIN(MAX(0,IF($O54="WDV",$K54*$P54*MAX(0,(IF($I54="",AA$3,MIN($I54,AA$3)))-(MAX($H54,(EDATE(AA$3,-12)+1)))+1)/(AA$3-(EDATE(AA$3,-12)+1)+1),IF($N54=0,0,$Q54/$N54*MAX(0,(IF($I54="",AA$3,MIN($I54,AA$3)))-(MAX($H54,(EDATE(AA$3,-12)+1)))+1)/(AA$3-(EDATE(AA$3,-12)+1)+1)))*$W54),MAX(0,$K54-$M54)))</f>
        <v/>
      </c>
      <c r="AB54" s="81">
        <f>IF($K54="","",IF(AND($I54&lt;&gt;"",$I54&lt;=AA$3),0,$K54-AA54))</f>
        <v/>
      </c>
      <c r="AC54" s="81">
        <f>IF(OR($K54="",$H54=""),"",MIN(MAX(0,IF($O54="WDV",AB54*$P54*MAX(0,(IF($I54="",AC$3,MIN($I54,AC$3)))-(MAX($H54,(EDATE(AC$3,-12)+1)))+1)/(AC$3-(EDATE(AC$3,-12)+1)+1),IF($N54=0,0,$Q54/$N54*MAX(0,(IF($I54="",AC$3,MIN($I54,AC$3)))-(MAX($H54,(EDATE(AC$3,-12)+1)))+1)/(AC$3-(EDATE(AC$3,-12)+1)+1)))*$W54),MAX(0,AB54-$M54)))</f>
        <v/>
      </c>
      <c r="AD54" s="81">
        <f>IF($K54="","",IF(AND($I54&lt;&gt;"",$I54&lt;=AC$3),0,AB54-AC54))</f>
        <v/>
      </c>
      <c r="AE54" s="81">
        <f>IF(OR($K54="",$H54=""),"",MIN(MAX(0,IF($O54="WDV",AD54*$P54*MAX(0,(IF($I54="",AE$3,MIN($I54,AE$3)))-(MAX($H54,(EDATE(AE$3,-12)+1)))+1)/(AE$3-(EDATE(AE$3,-12)+1)+1),IF($N54=0,0,$Q54/$N54*MAX(0,(IF($I54="",AE$3,MIN($I54,AE$3)))-(MAX($H54,(EDATE(AE$3,-12)+1)))+1)/(AE$3-(EDATE(AE$3,-12)+1)+1)))*$W54),MAX(0,AD54-$M54)))</f>
        <v/>
      </c>
      <c r="AF54" s="81">
        <f>IF($K54="","",IF(AND($I54&lt;&gt;"",$I54&lt;=AE$3),0,AD54-AE54))</f>
        <v/>
      </c>
      <c r="AG54" s="81">
        <f>IF(OR($K54="",$H54=""),"",MIN(MAX(0,IF($O54="WDV",AF54*$P54*MAX(0,(IF($I54="",AG$3,MIN($I54,AG$3)))-(MAX($H54,(EDATE(AG$3,-12)+1)))+1)/(AG$3-(EDATE(AG$3,-12)+1)+1),IF($N54=0,0,$Q54/$N54*MAX(0,(IF($I54="",AG$3,MIN($I54,AG$3)))-(MAX($H54,(EDATE(AG$3,-12)+1)))+1)/(AG$3-(EDATE(AG$3,-12)+1)+1)))*$W54),MAX(0,AF54-$M54)))</f>
        <v/>
      </c>
      <c r="AH54" s="81">
        <f>IF($K54="","",IF(AND($I54&lt;&gt;"",$I54&lt;=AG$3),0,AF54-AG54))</f>
        <v/>
      </c>
      <c r="AI54" s="81">
        <f>IF(OR($K54="",$H54=""),"",MIN(MAX(0,IF($O54="WDV",AH54*$P54*MAX(0,(IF($I54="",AI$3,MIN($I54,AI$3)))-(MAX($H54,(EDATE(AI$3,-12)+1)))+1)/(AI$3-(EDATE(AI$3,-12)+1)+1),IF($N54=0,0,$Q54/$N54*MAX(0,(IF($I54="",AI$3,MIN($I54,AI$3)))-(MAX($H54,(EDATE(AI$3,-12)+1)))+1)/(AI$3-(EDATE(AI$3,-12)+1)+1)))*$W54),MAX(0,AH54-$M54)))</f>
        <v/>
      </c>
      <c r="AJ54" s="81">
        <f>IF($K54="","",IF(AND($I54&lt;&gt;"",$I54&lt;=AI$3),0,AH54-AI54))</f>
        <v/>
      </c>
      <c r="AK54" s="81">
        <f>IF(OR($K54="",$H54=""),"",MIN(MAX(0,IF($O54="WDV",AJ54*$P54*MAX(0,(IF($I54="",AK$3,MIN($I54,AK$3)))-(MAX($H54,(EDATE(AK$3,-12)+1)))+1)/(AK$3-(EDATE(AK$3,-12)+1)+1),IF($N54=0,0,$Q54/$N54*MAX(0,(IF($I54="",AK$3,MIN($I54,AK$3)))-(MAX($H54,(EDATE(AK$3,-12)+1)))+1)/(AK$3-(EDATE(AK$3,-12)+1)+1)))*$W54),MAX(0,AJ54-$M54)))</f>
        <v/>
      </c>
      <c r="AL54" s="81">
        <f>IF($K54="","",IF(AND($I54&lt;&gt;"",$I54&lt;=AK$3),0,AJ54-AK54))</f>
        <v/>
      </c>
      <c r="AM54" s="81">
        <f>IF(OR($K54="",$H54=""),"",MIN(MAX(0,IF($O54="WDV",AL54*$P54*MAX(0,(IF($I54="",AM$3,MIN($I54,AM$3)))-(MAX($H54,(EDATE(AM$3,-12)+1)))+1)/(AM$3-(EDATE(AM$3,-12)+1)+1),IF($N54=0,0,$Q54/$N54*MAX(0,(IF($I54="",AM$3,MIN($I54,AM$3)))-(MAX($H54,(EDATE(AM$3,-12)+1)))+1)/(AM$3-(EDATE(AM$3,-12)+1)+1)))*$W54),MAX(0,AL54-$M54)))</f>
        <v/>
      </c>
      <c r="AN54" s="81">
        <f>IF($K54="","",IF(AND($I54&lt;&gt;"",$I54&lt;=AM$3),0,AL54-AM54))</f>
        <v/>
      </c>
      <c r="AO54" s="81">
        <f>IF(OR($K54="",$H54=""),"",MIN(MAX(0,IF($O54="WDV",AN54*$P54*MAX(0,(IF($I54="",AO$3,MIN($I54,AO$3)))-(MAX($H54,(EDATE(AO$3,-12)+1)))+1)/(AO$3-(EDATE(AO$3,-12)+1)+1),IF($N54=0,0,$Q54/$N54*MAX(0,(IF($I54="",AO$3,MIN($I54,AO$3)))-(MAX($H54,(EDATE(AO$3,-12)+1)))+1)/(AO$3-(EDATE(AO$3,-12)+1)+1)))*$W54),MAX(0,AN54-$M54)))</f>
        <v/>
      </c>
      <c r="AP54" s="81">
        <f>IF($K54="","",IF(AND($I54&lt;&gt;"",$I54&lt;=AO$3),0,AN54-AO54))</f>
        <v/>
      </c>
      <c r="AQ54" s="81">
        <f>IF(OR($K54="",$H54=""),"",MIN(MAX(0,IF($O54="WDV",AP54*$P54*MAX(0,(IF($I54="",AQ$3,MIN($I54,AQ$3)))-(MAX($H54,(EDATE(AQ$3,-12)+1)))+1)/(AQ$3-(EDATE(AQ$3,-12)+1)+1),IF($N54=0,0,$Q54/$N54*MAX(0,(IF($I54="",AQ$3,MIN($I54,AQ$3)))-(MAX($H54,(EDATE(AQ$3,-12)+1)))+1)/(AQ$3-(EDATE(AQ$3,-12)+1)+1)))*$W54),MAX(0,AP54-$M54)))</f>
        <v/>
      </c>
      <c r="AR54" s="81">
        <f>IF($K54="","",IF(AND($I54&lt;&gt;"",$I54&lt;=AQ$3),0,AP54-AQ54))</f>
        <v/>
      </c>
      <c r="AS54" s="81">
        <f>IF(OR($K54="",$H54=""),"",MIN(MAX(0,IF($O54="WDV",AR54*$P54*MAX(0,(IF($I54="",AS$3,MIN($I54,AS$3)))-(MAX($H54,(EDATE(AS$3,-12)+1)))+1)/(AS$3-(EDATE(AS$3,-12)+1)+1),IF($N54=0,0,$Q54/$N54*MAX(0,(IF($I54="",AS$3,MIN($I54,AS$3)))-(MAX($H54,(EDATE(AS$3,-12)+1)))+1)/(AS$3-(EDATE(AS$3,-12)+1)+1)))*$W54),MAX(0,AR54-$M54)))</f>
        <v/>
      </c>
      <c r="AT54" s="81">
        <f>IF($K54="","",IF(AND($I54&lt;&gt;"",$I54&lt;=AS$3),0,AR54-AS54))</f>
        <v/>
      </c>
      <c r="AU54" s="81">
        <f>IF(OR($K54="",$H54=""),"",MIN(MAX(0,IF($O54="WDV",AT54*$P54*MAX(0,(IF($I54="",AU$3,MIN($I54,AU$3)))-(MAX($H54,(EDATE(AU$3,-12)+1)))+1)/(AU$3-(EDATE(AU$3,-12)+1)+1),IF($N54=0,0,$Q54/$N54*MAX(0,(IF($I54="",AU$3,MIN($I54,AU$3)))-(MAX($H54,(EDATE(AU$3,-12)+1)))+1)/(AU$3-(EDATE(AU$3,-12)+1)+1)))*$W54),MAX(0,AT54-$M54)))</f>
        <v/>
      </c>
      <c r="AV54" s="81">
        <f>IF($K54="","",IF(AND($I54&lt;&gt;"",$I54&lt;=AU$3),0,AT54-AU54))</f>
        <v/>
      </c>
      <c r="AW54" s="81">
        <f>IF(OR($K54="",$H54=""),"",MIN(MAX(0,IF($O54="WDV",AV54*$P54*MAX(0,(IF($I54="",AW$3,MIN($I54,AW$3)))-(MAX($H54,(EDATE(AW$3,-12)+1)))+1)/(AW$3-(EDATE(AW$3,-12)+1)+1),IF($N54=0,0,$Q54/$N54*MAX(0,(IF($I54="",AW$3,MIN($I54,AW$3)))-(MAX($H54,(EDATE(AW$3,-12)+1)))+1)/(AW$3-(EDATE(AW$3,-12)+1)+1)))*$W54),MAX(0,AV54-$M54)))</f>
        <v/>
      </c>
      <c r="AX54" s="81">
        <f>IF($K54="","",IF(AND($I54&lt;&gt;"",$I54&lt;=AW$3),0,AV54-AW54))</f>
        <v/>
      </c>
      <c r="AY54" s="81">
        <f>IF(OR($K54="",$H54=""),"",MIN(MAX(0,IF($O54="WDV",AX54*$P54*MAX(0,(IF($I54="",AY$3,MIN($I54,AY$3)))-(MAX($H54,(EDATE(AY$3,-12)+1)))+1)/(AY$3-(EDATE(AY$3,-12)+1)+1),IF($N54=0,0,$Q54/$N54*MAX(0,(IF($I54="",AY$3,MIN($I54,AY$3)))-(MAX($H54,(EDATE(AY$3,-12)+1)))+1)/(AY$3-(EDATE(AY$3,-12)+1)+1)))*$W54),MAX(0,AX54-$M54)))</f>
        <v/>
      </c>
      <c r="AZ54" s="81">
        <f>IF($K54="","",IF(AND($I54&lt;&gt;"",$I54&lt;=AY$3),0,AX54-AY54))</f>
        <v/>
      </c>
      <c r="BA54" s="81">
        <f>IF(OR($K54="",$H54=""),"",MIN(MAX(0,IF($O54="WDV",AZ54*$P54*MAX(0,(IF($I54="",BA$3,MIN($I54,BA$3)))-(MAX($H54,(EDATE(BA$3,-12)+1)))+1)/(BA$3-(EDATE(BA$3,-12)+1)+1),IF($N54=0,0,$Q54/$N54*MAX(0,(IF($I54="",BA$3,MIN($I54,BA$3)))-(MAX($H54,(EDATE(BA$3,-12)+1)))+1)/(BA$3-(EDATE(BA$3,-12)+1)+1)))*$W54),MAX(0,AZ54-$M54)))</f>
        <v/>
      </c>
      <c r="BB54" s="81">
        <f>IF($K54="","",IF(AND($I54&lt;&gt;"",$I54&lt;=BA$3),0,AZ54-BA54))</f>
        <v/>
      </c>
      <c r="BC54" s="81">
        <f>IF(OR($K54="",$H54=""),"",MIN(MAX(0,IF($O54="WDV",BB54*$P54*MAX(0,(IF($I54="",BC$3,MIN($I54,BC$3)))-(MAX($H54,(EDATE(BC$3,-12)+1)))+1)/(BC$3-(EDATE(BC$3,-12)+1)+1),IF($N54=0,0,$Q54/$N54*MAX(0,(IF($I54="",BC$3,MIN($I54,BC$3)))-(MAX($H54,(EDATE(BC$3,-12)+1)))+1)/(BC$3-(EDATE(BC$3,-12)+1)+1)))*$W54),MAX(0,BB54-$M54)))</f>
        <v/>
      </c>
      <c r="BD54" s="81">
        <f>IF($K54="","",IF(AND($I54&lt;&gt;"",$I54&lt;=BC$3),0,BB54-BC54))</f>
        <v/>
      </c>
      <c r="BE54" s="81">
        <f>IF(OR($K54="",$H54=""),"",MIN(MAX(0,IF($O54="WDV",BD54*$P54*MAX(0,(IF($I54="",BE$3,MIN($I54,BE$3)))-(MAX($H54,(EDATE(BE$3,-12)+1)))+1)/(BE$3-(EDATE(BE$3,-12)+1)+1),IF($N54=0,0,$Q54/$N54*MAX(0,(IF($I54="",BE$3,MIN($I54,BE$3)))-(MAX($H54,(EDATE(BE$3,-12)+1)))+1)/(BE$3-(EDATE(BE$3,-12)+1)+1)))*$W54),MAX(0,BD54-$M54)))</f>
        <v/>
      </c>
      <c r="BF54" s="81">
        <f>IF($K54="","",IF(AND($I54&lt;&gt;"",$I54&lt;=BE$3),0,BD54-BE54))</f>
        <v/>
      </c>
    </row>
    <row r="55">
      <c r="A55" s="44" t="n"/>
      <c r="B55" s="45" t="n"/>
      <c r="C55" s="45" t="n"/>
      <c r="D55" s="45" t="n"/>
      <c r="E55" s="46" t="n"/>
      <c r="F55" s="47" t="n"/>
      <c r="G55" s="48" t="n"/>
      <c r="H55" s="48" t="n"/>
      <c r="I55" s="49" t="n"/>
      <c r="J55" s="50" t="n"/>
      <c r="K55" s="51" t="n"/>
      <c r="L55" s="52">
        <f>DefaultResidual</f>
        <v/>
      </c>
      <c r="M55" s="53">
        <f>IF($K55="","",$K55*$L55)</f>
        <v/>
      </c>
      <c r="N55" s="54">
        <f>IF($C55="","",IFERROR(VLOOKUP($C55,ScheduleIITable,3,FALSE),"#N/A"))</f>
        <v/>
      </c>
      <c r="O55" s="55">
        <f>IF($K55="","",GlobalMethod)</f>
        <v/>
      </c>
      <c r="P55" s="56">
        <f>IF(OR($K55="",$N55="",$N55=0,$M55=0),0,1-($M55/$K55)^(1/$N55))</f>
        <v/>
      </c>
      <c r="Q55" s="53">
        <f>IF($K55="","",$K55-$M55)</f>
        <v/>
      </c>
      <c r="R55" s="57">
        <f>IF($K55="","",INDEX($AA55:$BF55,1,MATCH(ReportingFYEnd,$AA$3:$BF$3,0)))</f>
        <v/>
      </c>
      <c r="S55" s="53">
        <f>IF($K55="","",IF($U55="Disposed",0,$K55-$T55))</f>
        <v/>
      </c>
      <c r="T55" s="58">
        <f>IF($K55="","",INDEX($AA55:$BF55,1,MATCH(ReportingFYEnd,$AA$3:$BF$3,0)+1))</f>
        <v/>
      </c>
      <c r="U55" s="59">
        <f>IF($K55="","",IF(AND($I55&lt;&gt;"",$I55&lt;=ReportingFYEnd),"Disposed",IF(OR($H55="",$H55&gt;ReportingFYEnd),"Not Yet in Use","Active")))</f>
        <v/>
      </c>
      <c r="V55" s="60" t="n"/>
      <c r="W55" s="61">
        <f>IF($V55="Double",1.5,IF($V55="Triple",2,1))</f>
        <v/>
      </c>
      <c r="X55" s="48" t="n"/>
      <c r="Y55" s="59">
        <f>IF($K55="","",IF(OR(ISNUMBER(SEARCH("Build",$C55)),ISNUMBER(SEARCH("Lease",$C55))),"Yes","NA"))</f>
        <v/>
      </c>
      <c r="Z55" s="62" t="n"/>
      <c r="AA55" s="63">
        <f>IF(OR($K55="",$H55=""),"",MIN(MAX(0,IF($O55="WDV",$K55*$P55*MAX(0,(IF($I55="",AA$3,MIN($I55,AA$3)))-(MAX($H55,(EDATE(AA$3,-12)+1)))+1)/(AA$3-(EDATE(AA$3,-12)+1)+1),IF($N55=0,0,$Q55/$N55*MAX(0,(IF($I55="",AA$3,MIN($I55,AA$3)))-(MAX($H55,(EDATE(AA$3,-12)+1)))+1)/(AA$3-(EDATE(AA$3,-12)+1)+1)))*$W55),MAX(0,$K55-$M55)))</f>
        <v/>
      </c>
      <c r="AB55" s="64">
        <f>IF($K55="","",IF(AND($I55&lt;&gt;"",$I55&lt;=AA$3),0,$K55-AA55))</f>
        <v/>
      </c>
      <c r="AC55" s="63">
        <f>IF(OR($K55="",$H55=""),"",MIN(MAX(0,IF($O55="WDV",AB55*$P55*MAX(0,(IF($I55="",AC$3,MIN($I55,AC$3)))-(MAX($H55,(EDATE(AC$3,-12)+1)))+1)/(AC$3-(EDATE(AC$3,-12)+1)+1),IF($N55=0,0,$Q55/$N55*MAX(0,(IF($I55="",AC$3,MIN($I55,AC$3)))-(MAX($H55,(EDATE(AC$3,-12)+1)))+1)/(AC$3-(EDATE(AC$3,-12)+1)+1)))*$W55),MAX(0,AB55-$M55)))</f>
        <v/>
      </c>
      <c r="AD55" s="64">
        <f>IF($K55="","",IF(AND($I55&lt;&gt;"",$I55&lt;=AC$3),0,AB55-AC55))</f>
        <v/>
      </c>
      <c r="AE55" s="63">
        <f>IF(OR($K55="",$H55=""),"",MIN(MAX(0,IF($O55="WDV",AD55*$P55*MAX(0,(IF($I55="",AE$3,MIN($I55,AE$3)))-(MAX($H55,(EDATE(AE$3,-12)+1)))+1)/(AE$3-(EDATE(AE$3,-12)+1)+1),IF($N55=0,0,$Q55/$N55*MAX(0,(IF($I55="",AE$3,MIN($I55,AE$3)))-(MAX($H55,(EDATE(AE$3,-12)+1)))+1)/(AE$3-(EDATE(AE$3,-12)+1)+1)))*$W55),MAX(0,AD55-$M55)))</f>
        <v/>
      </c>
      <c r="AF55" s="64">
        <f>IF($K55="","",IF(AND($I55&lt;&gt;"",$I55&lt;=AE$3),0,AD55-AE55))</f>
        <v/>
      </c>
      <c r="AG55" s="63">
        <f>IF(OR($K55="",$H55=""),"",MIN(MAX(0,IF($O55="WDV",AF55*$P55*MAX(0,(IF($I55="",AG$3,MIN($I55,AG$3)))-(MAX($H55,(EDATE(AG$3,-12)+1)))+1)/(AG$3-(EDATE(AG$3,-12)+1)+1),IF($N55=0,0,$Q55/$N55*MAX(0,(IF($I55="",AG$3,MIN($I55,AG$3)))-(MAX($H55,(EDATE(AG$3,-12)+1)))+1)/(AG$3-(EDATE(AG$3,-12)+1)+1)))*$W55),MAX(0,AF55-$M55)))</f>
        <v/>
      </c>
      <c r="AH55" s="64">
        <f>IF($K55="","",IF(AND($I55&lt;&gt;"",$I55&lt;=AG$3),0,AF55-AG55))</f>
        <v/>
      </c>
      <c r="AI55" s="63">
        <f>IF(OR($K55="",$H55=""),"",MIN(MAX(0,IF($O55="WDV",AH55*$P55*MAX(0,(IF($I55="",AI$3,MIN($I55,AI$3)))-(MAX($H55,(EDATE(AI$3,-12)+1)))+1)/(AI$3-(EDATE(AI$3,-12)+1)+1),IF($N55=0,0,$Q55/$N55*MAX(0,(IF($I55="",AI$3,MIN($I55,AI$3)))-(MAX($H55,(EDATE(AI$3,-12)+1)))+1)/(AI$3-(EDATE(AI$3,-12)+1)+1)))*$W55),MAX(0,AH55-$M55)))</f>
        <v/>
      </c>
      <c r="AJ55" s="64">
        <f>IF($K55="","",IF(AND($I55&lt;&gt;"",$I55&lt;=AI$3),0,AH55-AI55))</f>
        <v/>
      </c>
      <c r="AK55" s="63">
        <f>IF(OR($K55="",$H55=""),"",MIN(MAX(0,IF($O55="WDV",AJ55*$P55*MAX(0,(IF($I55="",AK$3,MIN($I55,AK$3)))-(MAX($H55,(EDATE(AK$3,-12)+1)))+1)/(AK$3-(EDATE(AK$3,-12)+1)+1),IF($N55=0,0,$Q55/$N55*MAX(0,(IF($I55="",AK$3,MIN($I55,AK$3)))-(MAX($H55,(EDATE(AK$3,-12)+1)))+1)/(AK$3-(EDATE(AK$3,-12)+1)+1)))*$W55),MAX(0,AJ55-$M55)))</f>
        <v/>
      </c>
      <c r="AL55" s="64">
        <f>IF($K55="","",IF(AND($I55&lt;&gt;"",$I55&lt;=AK$3),0,AJ55-AK55))</f>
        <v/>
      </c>
      <c r="AM55" s="63">
        <f>IF(OR($K55="",$H55=""),"",MIN(MAX(0,IF($O55="WDV",AL55*$P55*MAX(0,(IF($I55="",AM$3,MIN($I55,AM$3)))-(MAX($H55,(EDATE(AM$3,-12)+1)))+1)/(AM$3-(EDATE(AM$3,-12)+1)+1),IF($N55=0,0,$Q55/$N55*MAX(0,(IF($I55="",AM$3,MIN($I55,AM$3)))-(MAX($H55,(EDATE(AM$3,-12)+1)))+1)/(AM$3-(EDATE(AM$3,-12)+1)+1)))*$W55),MAX(0,AL55-$M55)))</f>
        <v/>
      </c>
      <c r="AN55" s="64">
        <f>IF($K55="","",IF(AND($I55&lt;&gt;"",$I55&lt;=AM$3),0,AL55-AM55))</f>
        <v/>
      </c>
      <c r="AO55" s="63">
        <f>IF(OR($K55="",$H55=""),"",MIN(MAX(0,IF($O55="WDV",AN55*$P55*MAX(0,(IF($I55="",AO$3,MIN($I55,AO$3)))-(MAX($H55,(EDATE(AO$3,-12)+1)))+1)/(AO$3-(EDATE(AO$3,-12)+1)+1),IF($N55=0,0,$Q55/$N55*MAX(0,(IF($I55="",AO$3,MIN($I55,AO$3)))-(MAX($H55,(EDATE(AO$3,-12)+1)))+1)/(AO$3-(EDATE(AO$3,-12)+1)+1)))*$W55),MAX(0,AN55-$M55)))</f>
        <v/>
      </c>
      <c r="AP55" s="64">
        <f>IF($K55="","",IF(AND($I55&lt;&gt;"",$I55&lt;=AO$3),0,AN55-AO55))</f>
        <v/>
      </c>
      <c r="AQ55" s="63">
        <f>IF(OR($K55="",$H55=""),"",MIN(MAX(0,IF($O55="WDV",AP55*$P55*MAX(0,(IF($I55="",AQ$3,MIN($I55,AQ$3)))-(MAX($H55,(EDATE(AQ$3,-12)+1)))+1)/(AQ$3-(EDATE(AQ$3,-12)+1)+1),IF($N55=0,0,$Q55/$N55*MAX(0,(IF($I55="",AQ$3,MIN($I55,AQ$3)))-(MAX($H55,(EDATE(AQ$3,-12)+1)))+1)/(AQ$3-(EDATE(AQ$3,-12)+1)+1)))*$W55),MAX(0,AP55-$M55)))</f>
        <v/>
      </c>
      <c r="AR55" s="64">
        <f>IF($K55="","",IF(AND($I55&lt;&gt;"",$I55&lt;=AQ$3),0,AP55-AQ55))</f>
        <v/>
      </c>
      <c r="AS55" s="63">
        <f>IF(OR($K55="",$H55=""),"",MIN(MAX(0,IF($O55="WDV",AR55*$P55*MAX(0,(IF($I55="",AS$3,MIN($I55,AS$3)))-(MAX($H55,(EDATE(AS$3,-12)+1)))+1)/(AS$3-(EDATE(AS$3,-12)+1)+1),IF($N55=0,0,$Q55/$N55*MAX(0,(IF($I55="",AS$3,MIN($I55,AS$3)))-(MAX($H55,(EDATE(AS$3,-12)+1)))+1)/(AS$3-(EDATE(AS$3,-12)+1)+1)))*$W55),MAX(0,AR55-$M55)))</f>
        <v/>
      </c>
      <c r="AT55" s="64">
        <f>IF($K55="","",IF(AND($I55&lt;&gt;"",$I55&lt;=AS$3),0,AR55-AS55))</f>
        <v/>
      </c>
      <c r="AU55" s="63">
        <f>IF(OR($K55="",$H55=""),"",MIN(MAX(0,IF($O55="WDV",AT55*$P55*MAX(0,(IF($I55="",AU$3,MIN($I55,AU$3)))-(MAX($H55,(EDATE(AU$3,-12)+1)))+1)/(AU$3-(EDATE(AU$3,-12)+1)+1),IF($N55=0,0,$Q55/$N55*MAX(0,(IF($I55="",AU$3,MIN($I55,AU$3)))-(MAX($H55,(EDATE(AU$3,-12)+1)))+1)/(AU$3-(EDATE(AU$3,-12)+1)+1)))*$W55),MAX(0,AT55-$M55)))</f>
        <v/>
      </c>
      <c r="AV55" s="64">
        <f>IF($K55="","",IF(AND($I55&lt;&gt;"",$I55&lt;=AU$3),0,AT55-AU55))</f>
        <v/>
      </c>
      <c r="AW55" s="63">
        <f>IF(OR($K55="",$H55=""),"",MIN(MAX(0,IF($O55="WDV",AV55*$P55*MAX(0,(IF($I55="",AW$3,MIN($I55,AW$3)))-(MAX($H55,(EDATE(AW$3,-12)+1)))+1)/(AW$3-(EDATE(AW$3,-12)+1)+1),IF($N55=0,0,$Q55/$N55*MAX(0,(IF($I55="",AW$3,MIN($I55,AW$3)))-(MAX($H55,(EDATE(AW$3,-12)+1)))+1)/(AW$3-(EDATE(AW$3,-12)+1)+1)))*$W55),MAX(0,AV55-$M55)))</f>
        <v/>
      </c>
      <c r="AX55" s="64">
        <f>IF($K55="","",IF(AND($I55&lt;&gt;"",$I55&lt;=AW$3),0,AV55-AW55))</f>
        <v/>
      </c>
      <c r="AY55" s="63">
        <f>IF(OR($K55="",$H55=""),"",MIN(MAX(0,IF($O55="WDV",AX55*$P55*MAX(0,(IF($I55="",AY$3,MIN($I55,AY$3)))-(MAX($H55,(EDATE(AY$3,-12)+1)))+1)/(AY$3-(EDATE(AY$3,-12)+1)+1),IF($N55=0,0,$Q55/$N55*MAX(0,(IF($I55="",AY$3,MIN($I55,AY$3)))-(MAX($H55,(EDATE(AY$3,-12)+1)))+1)/(AY$3-(EDATE(AY$3,-12)+1)+1)))*$W55),MAX(0,AX55-$M55)))</f>
        <v/>
      </c>
      <c r="AZ55" s="64">
        <f>IF($K55="","",IF(AND($I55&lt;&gt;"",$I55&lt;=AY$3),0,AX55-AY55))</f>
        <v/>
      </c>
      <c r="BA55" s="63">
        <f>IF(OR($K55="",$H55=""),"",MIN(MAX(0,IF($O55="WDV",AZ55*$P55*MAX(0,(IF($I55="",BA$3,MIN($I55,BA$3)))-(MAX($H55,(EDATE(BA$3,-12)+1)))+1)/(BA$3-(EDATE(BA$3,-12)+1)+1),IF($N55=0,0,$Q55/$N55*MAX(0,(IF($I55="",BA$3,MIN($I55,BA$3)))-(MAX($H55,(EDATE(BA$3,-12)+1)))+1)/(BA$3-(EDATE(BA$3,-12)+1)+1)))*$W55),MAX(0,AZ55-$M55)))</f>
        <v/>
      </c>
      <c r="BB55" s="64">
        <f>IF($K55="","",IF(AND($I55&lt;&gt;"",$I55&lt;=BA$3),0,AZ55-BA55))</f>
        <v/>
      </c>
      <c r="BC55" s="63">
        <f>IF(OR($K55="",$H55=""),"",MIN(MAX(0,IF($O55="WDV",BB55*$P55*MAX(0,(IF($I55="",BC$3,MIN($I55,BC$3)))-(MAX($H55,(EDATE(BC$3,-12)+1)))+1)/(BC$3-(EDATE(BC$3,-12)+1)+1),IF($N55=0,0,$Q55/$N55*MAX(0,(IF($I55="",BC$3,MIN($I55,BC$3)))-(MAX($H55,(EDATE(BC$3,-12)+1)))+1)/(BC$3-(EDATE(BC$3,-12)+1)+1)))*$W55),MAX(0,BB55-$M55)))</f>
        <v/>
      </c>
      <c r="BD55" s="64">
        <f>IF($K55="","",IF(AND($I55&lt;&gt;"",$I55&lt;=BC$3),0,BB55-BC55))</f>
        <v/>
      </c>
      <c r="BE55" s="63">
        <f>IF(OR($K55="",$H55=""),"",MIN(MAX(0,IF($O55="WDV",BD55*$P55*MAX(0,(IF($I55="",BE$3,MIN($I55,BE$3)))-(MAX($H55,(EDATE(BE$3,-12)+1)))+1)/(BE$3-(EDATE(BE$3,-12)+1)+1),IF($N55=0,0,$Q55/$N55*MAX(0,(IF($I55="",BE$3,MIN($I55,BE$3)))-(MAX($H55,(EDATE(BE$3,-12)+1)))+1)/(BE$3-(EDATE(BE$3,-12)+1)+1)))*$W55),MAX(0,BD55-$M55)))</f>
        <v/>
      </c>
      <c r="BF55" s="64">
        <f>IF($K55="","",IF(AND($I55&lt;&gt;"",$I55&lt;=BE$3),0,BD55-BE55))</f>
        <v/>
      </c>
    </row>
    <row r="56">
      <c r="A56" s="65" t="n"/>
      <c r="B56" s="66" t="n"/>
      <c r="C56" s="66" t="n"/>
      <c r="D56" s="66" t="n"/>
      <c r="E56" s="67" t="n"/>
      <c r="F56" s="68" t="n"/>
      <c r="G56" s="69" t="n"/>
      <c r="H56" s="69" t="n"/>
      <c r="I56" s="70" t="n"/>
      <c r="J56" s="71" t="n"/>
      <c r="K56" s="72" t="n"/>
      <c r="L56" s="73">
        <f>DefaultResidual</f>
        <v/>
      </c>
      <c r="M56" s="74">
        <f>IF($K56="","",$K56*$L56)</f>
        <v/>
      </c>
      <c r="N56" s="22">
        <f>IF($C56="","",IFERROR(VLOOKUP($C56,ScheduleIITable,3,FALSE),"#N/A"))</f>
        <v/>
      </c>
      <c r="O56" s="75">
        <f>IF($K56="","",GlobalMethod)</f>
        <v/>
      </c>
      <c r="P56" s="23">
        <f>IF(OR($K56="",$N56="",$N56=0,$M56=0),0,1-($M56/$K56)^(1/$N56))</f>
        <v/>
      </c>
      <c r="Q56" s="74">
        <f>IF($K56="","",$K56-$M56)</f>
        <v/>
      </c>
      <c r="R56" s="76">
        <f>IF($K56="","",INDEX($AA56:$BF56,1,MATCH(ReportingFYEnd,$AA$3:$BF$3,0)))</f>
        <v/>
      </c>
      <c r="S56" s="74">
        <f>IF($K56="","",IF($U56="Disposed",0,$K56-$T56))</f>
        <v/>
      </c>
      <c r="T56" s="77">
        <f>IF($K56="","",INDEX($AA56:$BF56,1,MATCH(ReportingFYEnd,$AA$3:$BF$3,0)+1))</f>
        <v/>
      </c>
      <c r="U56" s="78">
        <f>IF($K56="","",IF(AND($I56&lt;&gt;"",$I56&lt;=ReportingFYEnd),"Disposed",IF(OR($H56="",$H56&gt;ReportingFYEnd),"Not Yet in Use","Active")))</f>
        <v/>
      </c>
      <c r="V56" s="79" t="n"/>
      <c r="W56" s="80">
        <f>IF($V56="Double",1.5,IF($V56="Triple",2,1))</f>
        <v/>
      </c>
      <c r="X56" s="69" t="n"/>
      <c r="Y56" s="78">
        <f>IF($K56="","",IF(OR(ISNUMBER(SEARCH("Build",$C56)),ISNUMBER(SEARCH("Lease",$C56))),"Yes","NA"))</f>
        <v/>
      </c>
      <c r="Z56" s="21" t="n"/>
      <c r="AA56" s="81">
        <f>IF(OR($K56="",$H56=""),"",MIN(MAX(0,IF($O56="WDV",$K56*$P56*MAX(0,(IF($I56="",AA$3,MIN($I56,AA$3)))-(MAX($H56,(EDATE(AA$3,-12)+1)))+1)/(AA$3-(EDATE(AA$3,-12)+1)+1),IF($N56=0,0,$Q56/$N56*MAX(0,(IF($I56="",AA$3,MIN($I56,AA$3)))-(MAX($H56,(EDATE(AA$3,-12)+1)))+1)/(AA$3-(EDATE(AA$3,-12)+1)+1)))*$W56),MAX(0,$K56-$M56)))</f>
        <v/>
      </c>
      <c r="AB56" s="81">
        <f>IF($K56="","",IF(AND($I56&lt;&gt;"",$I56&lt;=AA$3),0,$K56-AA56))</f>
        <v/>
      </c>
      <c r="AC56" s="81">
        <f>IF(OR($K56="",$H56=""),"",MIN(MAX(0,IF($O56="WDV",AB56*$P56*MAX(0,(IF($I56="",AC$3,MIN($I56,AC$3)))-(MAX($H56,(EDATE(AC$3,-12)+1)))+1)/(AC$3-(EDATE(AC$3,-12)+1)+1),IF($N56=0,0,$Q56/$N56*MAX(0,(IF($I56="",AC$3,MIN($I56,AC$3)))-(MAX($H56,(EDATE(AC$3,-12)+1)))+1)/(AC$3-(EDATE(AC$3,-12)+1)+1)))*$W56),MAX(0,AB56-$M56)))</f>
        <v/>
      </c>
      <c r="AD56" s="81">
        <f>IF($K56="","",IF(AND($I56&lt;&gt;"",$I56&lt;=AC$3),0,AB56-AC56))</f>
        <v/>
      </c>
      <c r="AE56" s="81">
        <f>IF(OR($K56="",$H56=""),"",MIN(MAX(0,IF($O56="WDV",AD56*$P56*MAX(0,(IF($I56="",AE$3,MIN($I56,AE$3)))-(MAX($H56,(EDATE(AE$3,-12)+1)))+1)/(AE$3-(EDATE(AE$3,-12)+1)+1),IF($N56=0,0,$Q56/$N56*MAX(0,(IF($I56="",AE$3,MIN($I56,AE$3)))-(MAX($H56,(EDATE(AE$3,-12)+1)))+1)/(AE$3-(EDATE(AE$3,-12)+1)+1)))*$W56),MAX(0,AD56-$M56)))</f>
        <v/>
      </c>
      <c r="AF56" s="81">
        <f>IF($K56="","",IF(AND($I56&lt;&gt;"",$I56&lt;=AE$3),0,AD56-AE56))</f>
        <v/>
      </c>
      <c r="AG56" s="81">
        <f>IF(OR($K56="",$H56=""),"",MIN(MAX(0,IF($O56="WDV",AF56*$P56*MAX(0,(IF($I56="",AG$3,MIN($I56,AG$3)))-(MAX($H56,(EDATE(AG$3,-12)+1)))+1)/(AG$3-(EDATE(AG$3,-12)+1)+1),IF($N56=0,0,$Q56/$N56*MAX(0,(IF($I56="",AG$3,MIN($I56,AG$3)))-(MAX($H56,(EDATE(AG$3,-12)+1)))+1)/(AG$3-(EDATE(AG$3,-12)+1)+1)))*$W56),MAX(0,AF56-$M56)))</f>
        <v/>
      </c>
      <c r="AH56" s="81">
        <f>IF($K56="","",IF(AND($I56&lt;&gt;"",$I56&lt;=AG$3),0,AF56-AG56))</f>
        <v/>
      </c>
      <c r="AI56" s="81">
        <f>IF(OR($K56="",$H56=""),"",MIN(MAX(0,IF($O56="WDV",AH56*$P56*MAX(0,(IF($I56="",AI$3,MIN($I56,AI$3)))-(MAX($H56,(EDATE(AI$3,-12)+1)))+1)/(AI$3-(EDATE(AI$3,-12)+1)+1),IF($N56=0,0,$Q56/$N56*MAX(0,(IF($I56="",AI$3,MIN($I56,AI$3)))-(MAX($H56,(EDATE(AI$3,-12)+1)))+1)/(AI$3-(EDATE(AI$3,-12)+1)+1)))*$W56),MAX(0,AH56-$M56)))</f>
        <v/>
      </c>
      <c r="AJ56" s="81">
        <f>IF($K56="","",IF(AND($I56&lt;&gt;"",$I56&lt;=AI$3),0,AH56-AI56))</f>
        <v/>
      </c>
      <c r="AK56" s="81">
        <f>IF(OR($K56="",$H56=""),"",MIN(MAX(0,IF($O56="WDV",AJ56*$P56*MAX(0,(IF($I56="",AK$3,MIN($I56,AK$3)))-(MAX($H56,(EDATE(AK$3,-12)+1)))+1)/(AK$3-(EDATE(AK$3,-12)+1)+1),IF($N56=0,0,$Q56/$N56*MAX(0,(IF($I56="",AK$3,MIN($I56,AK$3)))-(MAX($H56,(EDATE(AK$3,-12)+1)))+1)/(AK$3-(EDATE(AK$3,-12)+1)+1)))*$W56),MAX(0,AJ56-$M56)))</f>
        <v/>
      </c>
      <c r="AL56" s="81">
        <f>IF($K56="","",IF(AND($I56&lt;&gt;"",$I56&lt;=AK$3),0,AJ56-AK56))</f>
        <v/>
      </c>
      <c r="AM56" s="81">
        <f>IF(OR($K56="",$H56=""),"",MIN(MAX(0,IF($O56="WDV",AL56*$P56*MAX(0,(IF($I56="",AM$3,MIN($I56,AM$3)))-(MAX($H56,(EDATE(AM$3,-12)+1)))+1)/(AM$3-(EDATE(AM$3,-12)+1)+1),IF($N56=0,0,$Q56/$N56*MAX(0,(IF($I56="",AM$3,MIN($I56,AM$3)))-(MAX($H56,(EDATE(AM$3,-12)+1)))+1)/(AM$3-(EDATE(AM$3,-12)+1)+1)))*$W56),MAX(0,AL56-$M56)))</f>
        <v/>
      </c>
      <c r="AN56" s="81">
        <f>IF($K56="","",IF(AND($I56&lt;&gt;"",$I56&lt;=AM$3),0,AL56-AM56))</f>
        <v/>
      </c>
      <c r="AO56" s="81">
        <f>IF(OR($K56="",$H56=""),"",MIN(MAX(0,IF($O56="WDV",AN56*$P56*MAX(0,(IF($I56="",AO$3,MIN($I56,AO$3)))-(MAX($H56,(EDATE(AO$3,-12)+1)))+1)/(AO$3-(EDATE(AO$3,-12)+1)+1),IF($N56=0,0,$Q56/$N56*MAX(0,(IF($I56="",AO$3,MIN($I56,AO$3)))-(MAX($H56,(EDATE(AO$3,-12)+1)))+1)/(AO$3-(EDATE(AO$3,-12)+1)+1)))*$W56),MAX(0,AN56-$M56)))</f>
        <v/>
      </c>
      <c r="AP56" s="81">
        <f>IF($K56="","",IF(AND($I56&lt;&gt;"",$I56&lt;=AO$3),0,AN56-AO56))</f>
        <v/>
      </c>
      <c r="AQ56" s="81">
        <f>IF(OR($K56="",$H56=""),"",MIN(MAX(0,IF($O56="WDV",AP56*$P56*MAX(0,(IF($I56="",AQ$3,MIN($I56,AQ$3)))-(MAX($H56,(EDATE(AQ$3,-12)+1)))+1)/(AQ$3-(EDATE(AQ$3,-12)+1)+1),IF($N56=0,0,$Q56/$N56*MAX(0,(IF($I56="",AQ$3,MIN($I56,AQ$3)))-(MAX($H56,(EDATE(AQ$3,-12)+1)))+1)/(AQ$3-(EDATE(AQ$3,-12)+1)+1)))*$W56),MAX(0,AP56-$M56)))</f>
        <v/>
      </c>
      <c r="AR56" s="81">
        <f>IF($K56="","",IF(AND($I56&lt;&gt;"",$I56&lt;=AQ$3),0,AP56-AQ56))</f>
        <v/>
      </c>
      <c r="AS56" s="81">
        <f>IF(OR($K56="",$H56=""),"",MIN(MAX(0,IF($O56="WDV",AR56*$P56*MAX(0,(IF($I56="",AS$3,MIN($I56,AS$3)))-(MAX($H56,(EDATE(AS$3,-12)+1)))+1)/(AS$3-(EDATE(AS$3,-12)+1)+1),IF($N56=0,0,$Q56/$N56*MAX(0,(IF($I56="",AS$3,MIN($I56,AS$3)))-(MAX($H56,(EDATE(AS$3,-12)+1)))+1)/(AS$3-(EDATE(AS$3,-12)+1)+1)))*$W56),MAX(0,AR56-$M56)))</f>
        <v/>
      </c>
      <c r="AT56" s="81">
        <f>IF($K56="","",IF(AND($I56&lt;&gt;"",$I56&lt;=AS$3),0,AR56-AS56))</f>
        <v/>
      </c>
      <c r="AU56" s="81">
        <f>IF(OR($K56="",$H56=""),"",MIN(MAX(0,IF($O56="WDV",AT56*$P56*MAX(0,(IF($I56="",AU$3,MIN($I56,AU$3)))-(MAX($H56,(EDATE(AU$3,-12)+1)))+1)/(AU$3-(EDATE(AU$3,-12)+1)+1),IF($N56=0,0,$Q56/$N56*MAX(0,(IF($I56="",AU$3,MIN($I56,AU$3)))-(MAX($H56,(EDATE(AU$3,-12)+1)))+1)/(AU$3-(EDATE(AU$3,-12)+1)+1)))*$W56),MAX(0,AT56-$M56)))</f>
        <v/>
      </c>
      <c r="AV56" s="81">
        <f>IF($K56="","",IF(AND($I56&lt;&gt;"",$I56&lt;=AU$3),0,AT56-AU56))</f>
        <v/>
      </c>
      <c r="AW56" s="81">
        <f>IF(OR($K56="",$H56=""),"",MIN(MAX(0,IF($O56="WDV",AV56*$P56*MAX(0,(IF($I56="",AW$3,MIN($I56,AW$3)))-(MAX($H56,(EDATE(AW$3,-12)+1)))+1)/(AW$3-(EDATE(AW$3,-12)+1)+1),IF($N56=0,0,$Q56/$N56*MAX(0,(IF($I56="",AW$3,MIN($I56,AW$3)))-(MAX($H56,(EDATE(AW$3,-12)+1)))+1)/(AW$3-(EDATE(AW$3,-12)+1)+1)))*$W56),MAX(0,AV56-$M56)))</f>
        <v/>
      </c>
      <c r="AX56" s="81">
        <f>IF($K56="","",IF(AND($I56&lt;&gt;"",$I56&lt;=AW$3),0,AV56-AW56))</f>
        <v/>
      </c>
      <c r="AY56" s="81">
        <f>IF(OR($K56="",$H56=""),"",MIN(MAX(0,IF($O56="WDV",AX56*$P56*MAX(0,(IF($I56="",AY$3,MIN($I56,AY$3)))-(MAX($H56,(EDATE(AY$3,-12)+1)))+1)/(AY$3-(EDATE(AY$3,-12)+1)+1),IF($N56=0,0,$Q56/$N56*MAX(0,(IF($I56="",AY$3,MIN($I56,AY$3)))-(MAX($H56,(EDATE(AY$3,-12)+1)))+1)/(AY$3-(EDATE(AY$3,-12)+1)+1)))*$W56),MAX(0,AX56-$M56)))</f>
        <v/>
      </c>
      <c r="AZ56" s="81">
        <f>IF($K56="","",IF(AND($I56&lt;&gt;"",$I56&lt;=AY$3),0,AX56-AY56))</f>
        <v/>
      </c>
      <c r="BA56" s="81">
        <f>IF(OR($K56="",$H56=""),"",MIN(MAX(0,IF($O56="WDV",AZ56*$P56*MAX(0,(IF($I56="",BA$3,MIN($I56,BA$3)))-(MAX($H56,(EDATE(BA$3,-12)+1)))+1)/(BA$3-(EDATE(BA$3,-12)+1)+1),IF($N56=0,0,$Q56/$N56*MAX(0,(IF($I56="",BA$3,MIN($I56,BA$3)))-(MAX($H56,(EDATE(BA$3,-12)+1)))+1)/(BA$3-(EDATE(BA$3,-12)+1)+1)))*$W56),MAX(0,AZ56-$M56)))</f>
        <v/>
      </c>
      <c r="BB56" s="81">
        <f>IF($K56="","",IF(AND($I56&lt;&gt;"",$I56&lt;=BA$3),0,AZ56-BA56))</f>
        <v/>
      </c>
      <c r="BC56" s="81">
        <f>IF(OR($K56="",$H56=""),"",MIN(MAX(0,IF($O56="WDV",BB56*$P56*MAX(0,(IF($I56="",BC$3,MIN($I56,BC$3)))-(MAX($H56,(EDATE(BC$3,-12)+1)))+1)/(BC$3-(EDATE(BC$3,-12)+1)+1),IF($N56=0,0,$Q56/$N56*MAX(0,(IF($I56="",BC$3,MIN($I56,BC$3)))-(MAX($H56,(EDATE(BC$3,-12)+1)))+1)/(BC$3-(EDATE(BC$3,-12)+1)+1)))*$W56),MAX(0,BB56-$M56)))</f>
        <v/>
      </c>
      <c r="BD56" s="81">
        <f>IF($K56="","",IF(AND($I56&lt;&gt;"",$I56&lt;=BC$3),0,BB56-BC56))</f>
        <v/>
      </c>
      <c r="BE56" s="81">
        <f>IF(OR($K56="",$H56=""),"",MIN(MAX(0,IF($O56="WDV",BD56*$P56*MAX(0,(IF($I56="",BE$3,MIN($I56,BE$3)))-(MAX($H56,(EDATE(BE$3,-12)+1)))+1)/(BE$3-(EDATE(BE$3,-12)+1)+1),IF($N56=0,0,$Q56/$N56*MAX(0,(IF($I56="",BE$3,MIN($I56,BE$3)))-(MAX($H56,(EDATE(BE$3,-12)+1)))+1)/(BE$3-(EDATE(BE$3,-12)+1)+1)))*$W56),MAX(0,BD56-$M56)))</f>
        <v/>
      </c>
      <c r="BF56" s="81">
        <f>IF($K56="","",IF(AND($I56&lt;&gt;"",$I56&lt;=BE$3),0,BD56-BE56))</f>
        <v/>
      </c>
    </row>
    <row r="57">
      <c r="A57" s="44" t="n"/>
      <c r="B57" s="45" t="n"/>
      <c r="C57" s="45" t="n"/>
      <c r="D57" s="45" t="n"/>
      <c r="E57" s="46" t="n"/>
      <c r="F57" s="47" t="n"/>
      <c r="G57" s="48" t="n"/>
      <c r="H57" s="48" t="n"/>
      <c r="I57" s="49" t="n"/>
      <c r="J57" s="50" t="n"/>
      <c r="K57" s="51" t="n"/>
      <c r="L57" s="52">
        <f>DefaultResidual</f>
        <v/>
      </c>
      <c r="M57" s="53">
        <f>IF($K57="","",$K57*$L57)</f>
        <v/>
      </c>
      <c r="N57" s="54">
        <f>IF($C57="","",IFERROR(VLOOKUP($C57,ScheduleIITable,3,FALSE),"#N/A"))</f>
        <v/>
      </c>
      <c r="O57" s="55">
        <f>IF($K57="","",GlobalMethod)</f>
        <v/>
      </c>
      <c r="P57" s="56">
        <f>IF(OR($K57="",$N57="",$N57=0,$M57=0),0,1-($M57/$K57)^(1/$N57))</f>
        <v/>
      </c>
      <c r="Q57" s="53">
        <f>IF($K57="","",$K57-$M57)</f>
        <v/>
      </c>
      <c r="R57" s="57">
        <f>IF($K57="","",INDEX($AA57:$BF57,1,MATCH(ReportingFYEnd,$AA$3:$BF$3,0)))</f>
        <v/>
      </c>
      <c r="S57" s="53">
        <f>IF($K57="","",IF($U57="Disposed",0,$K57-$T57))</f>
        <v/>
      </c>
      <c r="T57" s="58">
        <f>IF($K57="","",INDEX($AA57:$BF57,1,MATCH(ReportingFYEnd,$AA$3:$BF$3,0)+1))</f>
        <v/>
      </c>
      <c r="U57" s="59">
        <f>IF($K57="","",IF(AND($I57&lt;&gt;"",$I57&lt;=ReportingFYEnd),"Disposed",IF(OR($H57="",$H57&gt;ReportingFYEnd),"Not Yet in Use","Active")))</f>
        <v/>
      </c>
      <c r="V57" s="60" t="n"/>
      <c r="W57" s="61">
        <f>IF($V57="Double",1.5,IF($V57="Triple",2,1))</f>
        <v/>
      </c>
      <c r="X57" s="48" t="n"/>
      <c r="Y57" s="59">
        <f>IF($K57="","",IF(OR(ISNUMBER(SEARCH("Build",$C57)),ISNUMBER(SEARCH("Lease",$C57))),"Yes","NA"))</f>
        <v/>
      </c>
      <c r="Z57" s="62" t="n"/>
      <c r="AA57" s="63">
        <f>IF(OR($K57="",$H57=""),"",MIN(MAX(0,IF($O57="WDV",$K57*$P57*MAX(0,(IF($I57="",AA$3,MIN($I57,AA$3)))-(MAX($H57,(EDATE(AA$3,-12)+1)))+1)/(AA$3-(EDATE(AA$3,-12)+1)+1),IF($N57=0,0,$Q57/$N57*MAX(0,(IF($I57="",AA$3,MIN($I57,AA$3)))-(MAX($H57,(EDATE(AA$3,-12)+1)))+1)/(AA$3-(EDATE(AA$3,-12)+1)+1)))*$W57),MAX(0,$K57-$M57)))</f>
        <v/>
      </c>
      <c r="AB57" s="64">
        <f>IF($K57="","",IF(AND($I57&lt;&gt;"",$I57&lt;=AA$3),0,$K57-AA57))</f>
        <v/>
      </c>
      <c r="AC57" s="63">
        <f>IF(OR($K57="",$H57=""),"",MIN(MAX(0,IF($O57="WDV",AB57*$P57*MAX(0,(IF($I57="",AC$3,MIN($I57,AC$3)))-(MAX($H57,(EDATE(AC$3,-12)+1)))+1)/(AC$3-(EDATE(AC$3,-12)+1)+1),IF($N57=0,0,$Q57/$N57*MAX(0,(IF($I57="",AC$3,MIN($I57,AC$3)))-(MAX($H57,(EDATE(AC$3,-12)+1)))+1)/(AC$3-(EDATE(AC$3,-12)+1)+1)))*$W57),MAX(0,AB57-$M57)))</f>
        <v/>
      </c>
      <c r="AD57" s="64">
        <f>IF($K57="","",IF(AND($I57&lt;&gt;"",$I57&lt;=AC$3),0,AB57-AC57))</f>
        <v/>
      </c>
      <c r="AE57" s="63">
        <f>IF(OR($K57="",$H57=""),"",MIN(MAX(0,IF($O57="WDV",AD57*$P57*MAX(0,(IF($I57="",AE$3,MIN($I57,AE$3)))-(MAX($H57,(EDATE(AE$3,-12)+1)))+1)/(AE$3-(EDATE(AE$3,-12)+1)+1),IF($N57=0,0,$Q57/$N57*MAX(0,(IF($I57="",AE$3,MIN($I57,AE$3)))-(MAX($H57,(EDATE(AE$3,-12)+1)))+1)/(AE$3-(EDATE(AE$3,-12)+1)+1)))*$W57),MAX(0,AD57-$M57)))</f>
        <v/>
      </c>
      <c r="AF57" s="64">
        <f>IF($K57="","",IF(AND($I57&lt;&gt;"",$I57&lt;=AE$3),0,AD57-AE57))</f>
        <v/>
      </c>
      <c r="AG57" s="63">
        <f>IF(OR($K57="",$H57=""),"",MIN(MAX(0,IF($O57="WDV",AF57*$P57*MAX(0,(IF($I57="",AG$3,MIN($I57,AG$3)))-(MAX($H57,(EDATE(AG$3,-12)+1)))+1)/(AG$3-(EDATE(AG$3,-12)+1)+1),IF($N57=0,0,$Q57/$N57*MAX(0,(IF($I57="",AG$3,MIN($I57,AG$3)))-(MAX($H57,(EDATE(AG$3,-12)+1)))+1)/(AG$3-(EDATE(AG$3,-12)+1)+1)))*$W57),MAX(0,AF57-$M57)))</f>
        <v/>
      </c>
      <c r="AH57" s="64">
        <f>IF($K57="","",IF(AND($I57&lt;&gt;"",$I57&lt;=AG$3),0,AF57-AG57))</f>
        <v/>
      </c>
      <c r="AI57" s="63">
        <f>IF(OR($K57="",$H57=""),"",MIN(MAX(0,IF($O57="WDV",AH57*$P57*MAX(0,(IF($I57="",AI$3,MIN($I57,AI$3)))-(MAX($H57,(EDATE(AI$3,-12)+1)))+1)/(AI$3-(EDATE(AI$3,-12)+1)+1),IF($N57=0,0,$Q57/$N57*MAX(0,(IF($I57="",AI$3,MIN($I57,AI$3)))-(MAX($H57,(EDATE(AI$3,-12)+1)))+1)/(AI$3-(EDATE(AI$3,-12)+1)+1)))*$W57),MAX(0,AH57-$M57)))</f>
        <v/>
      </c>
      <c r="AJ57" s="64">
        <f>IF($K57="","",IF(AND($I57&lt;&gt;"",$I57&lt;=AI$3),0,AH57-AI57))</f>
        <v/>
      </c>
      <c r="AK57" s="63">
        <f>IF(OR($K57="",$H57=""),"",MIN(MAX(0,IF($O57="WDV",AJ57*$P57*MAX(0,(IF($I57="",AK$3,MIN($I57,AK$3)))-(MAX($H57,(EDATE(AK$3,-12)+1)))+1)/(AK$3-(EDATE(AK$3,-12)+1)+1),IF($N57=0,0,$Q57/$N57*MAX(0,(IF($I57="",AK$3,MIN($I57,AK$3)))-(MAX($H57,(EDATE(AK$3,-12)+1)))+1)/(AK$3-(EDATE(AK$3,-12)+1)+1)))*$W57),MAX(0,AJ57-$M57)))</f>
        <v/>
      </c>
      <c r="AL57" s="64">
        <f>IF($K57="","",IF(AND($I57&lt;&gt;"",$I57&lt;=AK$3),0,AJ57-AK57))</f>
        <v/>
      </c>
      <c r="AM57" s="63">
        <f>IF(OR($K57="",$H57=""),"",MIN(MAX(0,IF($O57="WDV",AL57*$P57*MAX(0,(IF($I57="",AM$3,MIN($I57,AM$3)))-(MAX($H57,(EDATE(AM$3,-12)+1)))+1)/(AM$3-(EDATE(AM$3,-12)+1)+1),IF($N57=0,0,$Q57/$N57*MAX(0,(IF($I57="",AM$3,MIN($I57,AM$3)))-(MAX($H57,(EDATE(AM$3,-12)+1)))+1)/(AM$3-(EDATE(AM$3,-12)+1)+1)))*$W57),MAX(0,AL57-$M57)))</f>
        <v/>
      </c>
      <c r="AN57" s="64">
        <f>IF($K57="","",IF(AND($I57&lt;&gt;"",$I57&lt;=AM$3),0,AL57-AM57))</f>
        <v/>
      </c>
      <c r="AO57" s="63">
        <f>IF(OR($K57="",$H57=""),"",MIN(MAX(0,IF($O57="WDV",AN57*$P57*MAX(0,(IF($I57="",AO$3,MIN($I57,AO$3)))-(MAX($H57,(EDATE(AO$3,-12)+1)))+1)/(AO$3-(EDATE(AO$3,-12)+1)+1),IF($N57=0,0,$Q57/$N57*MAX(0,(IF($I57="",AO$3,MIN($I57,AO$3)))-(MAX($H57,(EDATE(AO$3,-12)+1)))+1)/(AO$3-(EDATE(AO$3,-12)+1)+1)))*$W57),MAX(0,AN57-$M57)))</f>
        <v/>
      </c>
      <c r="AP57" s="64">
        <f>IF($K57="","",IF(AND($I57&lt;&gt;"",$I57&lt;=AO$3),0,AN57-AO57))</f>
        <v/>
      </c>
      <c r="AQ57" s="63">
        <f>IF(OR($K57="",$H57=""),"",MIN(MAX(0,IF($O57="WDV",AP57*$P57*MAX(0,(IF($I57="",AQ$3,MIN($I57,AQ$3)))-(MAX($H57,(EDATE(AQ$3,-12)+1)))+1)/(AQ$3-(EDATE(AQ$3,-12)+1)+1),IF($N57=0,0,$Q57/$N57*MAX(0,(IF($I57="",AQ$3,MIN($I57,AQ$3)))-(MAX($H57,(EDATE(AQ$3,-12)+1)))+1)/(AQ$3-(EDATE(AQ$3,-12)+1)+1)))*$W57),MAX(0,AP57-$M57)))</f>
        <v/>
      </c>
      <c r="AR57" s="64">
        <f>IF($K57="","",IF(AND($I57&lt;&gt;"",$I57&lt;=AQ$3),0,AP57-AQ57))</f>
        <v/>
      </c>
      <c r="AS57" s="63">
        <f>IF(OR($K57="",$H57=""),"",MIN(MAX(0,IF($O57="WDV",AR57*$P57*MAX(0,(IF($I57="",AS$3,MIN($I57,AS$3)))-(MAX($H57,(EDATE(AS$3,-12)+1)))+1)/(AS$3-(EDATE(AS$3,-12)+1)+1),IF($N57=0,0,$Q57/$N57*MAX(0,(IF($I57="",AS$3,MIN($I57,AS$3)))-(MAX($H57,(EDATE(AS$3,-12)+1)))+1)/(AS$3-(EDATE(AS$3,-12)+1)+1)))*$W57),MAX(0,AR57-$M57)))</f>
        <v/>
      </c>
      <c r="AT57" s="64">
        <f>IF($K57="","",IF(AND($I57&lt;&gt;"",$I57&lt;=AS$3),0,AR57-AS57))</f>
        <v/>
      </c>
      <c r="AU57" s="63">
        <f>IF(OR($K57="",$H57=""),"",MIN(MAX(0,IF($O57="WDV",AT57*$P57*MAX(0,(IF($I57="",AU$3,MIN($I57,AU$3)))-(MAX($H57,(EDATE(AU$3,-12)+1)))+1)/(AU$3-(EDATE(AU$3,-12)+1)+1),IF($N57=0,0,$Q57/$N57*MAX(0,(IF($I57="",AU$3,MIN($I57,AU$3)))-(MAX($H57,(EDATE(AU$3,-12)+1)))+1)/(AU$3-(EDATE(AU$3,-12)+1)+1)))*$W57),MAX(0,AT57-$M57)))</f>
        <v/>
      </c>
      <c r="AV57" s="64">
        <f>IF($K57="","",IF(AND($I57&lt;&gt;"",$I57&lt;=AU$3),0,AT57-AU57))</f>
        <v/>
      </c>
      <c r="AW57" s="63">
        <f>IF(OR($K57="",$H57=""),"",MIN(MAX(0,IF($O57="WDV",AV57*$P57*MAX(0,(IF($I57="",AW$3,MIN($I57,AW$3)))-(MAX($H57,(EDATE(AW$3,-12)+1)))+1)/(AW$3-(EDATE(AW$3,-12)+1)+1),IF($N57=0,0,$Q57/$N57*MAX(0,(IF($I57="",AW$3,MIN($I57,AW$3)))-(MAX($H57,(EDATE(AW$3,-12)+1)))+1)/(AW$3-(EDATE(AW$3,-12)+1)+1)))*$W57),MAX(0,AV57-$M57)))</f>
        <v/>
      </c>
      <c r="AX57" s="64">
        <f>IF($K57="","",IF(AND($I57&lt;&gt;"",$I57&lt;=AW$3),0,AV57-AW57))</f>
        <v/>
      </c>
      <c r="AY57" s="63">
        <f>IF(OR($K57="",$H57=""),"",MIN(MAX(0,IF($O57="WDV",AX57*$P57*MAX(0,(IF($I57="",AY$3,MIN($I57,AY$3)))-(MAX($H57,(EDATE(AY$3,-12)+1)))+1)/(AY$3-(EDATE(AY$3,-12)+1)+1),IF($N57=0,0,$Q57/$N57*MAX(0,(IF($I57="",AY$3,MIN($I57,AY$3)))-(MAX($H57,(EDATE(AY$3,-12)+1)))+1)/(AY$3-(EDATE(AY$3,-12)+1)+1)))*$W57),MAX(0,AX57-$M57)))</f>
        <v/>
      </c>
      <c r="AZ57" s="64">
        <f>IF($K57="","",IF(AND($I57&lt;&gt;"",$I57&lt;=AY$3),0,AX57-AY57))</f>
        <v/>
      </c>
      <c r="BA57" s="63">
        <f>IF(OR($K57="",$H57=""),"",MIN(MAX(0,IF($O57="WDV",AZ57*$P57*MAX(0,(IF($I57="",BA$3,MIN($I57,BA$3)))-(MAX($H57,(EDATE(BA$3,-12)+1)))+1)/(BA$3-(EDATE(BA$3,-12)+1)+1),IF($N57=0,0,$Q57/$N57*MAX(0,(IF($I57="",BA$3,MIN($I57,BA$3)))-(MAX($H57,(EDATE(BA$3,-12)+1)))+1)/(BA$3-(EDATE(BA$3,-12)+1)+1)))*$W57),MAX(0,AZ57-$M57)))</f>
        <v/>
      </c>
      <c r="BB57" s="64">
        <f>IF($K57="","",IF(AND($I57&lt;&gt;"",$I57&lt;=BA$3),0,AZ57-BA57))</f>
        <v/>
      </c>
      <c r="BC57" s="63">
        <f>IF(OR($K57="",$H57=""),"",MIN(MAX(0,IF($O57="WDV",BB57*$P57*MAX(0,(IF($I57="",BC$3,MIN($I57,BC$3)))-(MAX($H57,(EDATE(BC$3,-12)+1)))+1)/(BC$3-(EDATE(BC$3,-12)+1)+1),IF($N57=0,0,$Q57/$N57*MAX(0,(IF($I57="",BC$3,MIN($I57,BC$3)))-(MAX($H57,(EDATE(BC$3,-12)+1)))+1)/(BC$3-(EDATE(BC$3,-12)+1)+1)))*$W57),MAX(0,BB57-$M57)))</f>
        <v/>
      </c>
      <c r="BD57" s="64">
        <f>IF($K57="","",IF(AND($I57&lt;&gt;"",$I57&lt;=BC$3),0,BB57-BC57))</f>
        <v/>
      </c>
      <c r="BE57" s="63">
        <f>IF(OR($K57="",$H57=""),"",MIN(MAX(0,IF($O57="WDV",BD57*$P57*MAX(0,(IF($I57="",BE$3,MIN($I57,BE$3)))-(MAX($H57,(EDATE(BE$3,-12)+1)))+1)/(BE$3-(EDATE(BE$3,-12)+1)+1),IF($N57=0,0,$Q57/$N57*MAX(0,(IF($I57="",BE$3,MIN($I57,BE$3)))-(MAX($H57,(EDATE(BE$3,-12)+1)))+1)/(BE$3-(EDATE(BE$3,-12)+1)+1)))*$W57),MAX(0,BD57-$M57)))</f>
        <v/>
      </c>
      <c r="BF57" s="64">
        <f>IF($K57="","",IF(AND($I57&lt;&gt;"",$I57&lt;=BE$3),0,BD57-BE57))</f>
        <v/>
      </c>
    </row>
    <row r="58">
      <c r="A58" s="65" t="n"/>
      <c r="B58" s="66" t="n"/>
      <c r="C58" s="66" t="n"/>
      <c r="D58" s="66" t="n"/>
      <c r="E58" s="67" t="n"/>
      <c r="F58" s="68" t="n"/>
      <c r="G58" s="69" t="n"/>
      <c r="H58" s="69" t="n"/>
      <c r="I58" s="70" t="n"/>
      <c r="J58" s="71" t="n"/>
      <c r="K58" s="72" t="n"/>
      <c r="L58" s="73">
        <f>DefaultResidual</f>
        <v/>
      </c>
      <c r="M58" s="74">
        <f>IF($K58="","",$K58*$L58)</f>
        <v/>
      </c>
      <c r="N58" s="22">
        <f>IF($C58="","",IFERROR(VLOOKUP($C58,ScheduleIITable,3,FALSE),"#N/A"))</f>
        <v/>
      </c>
      <c r="O58" s="75">
        <f>IF($K58="","",GlobalMethod)</f>
        <v/>
      </c>
      <c r="P58" s="23">
        <f>IF(OR($K58="",$N58="",$N58=0,$M58=0),0,1-($M58/$K58)^(1/$N58))</f>
        <v/>
      </c>
      <c r="Q58" s="74">
        <f>IF($K58="","",$K58-$M58)</f>
        <v/>
      </c>
      <c r="R58" s="76">
        <f>IF($K58="","",INDEX($AA58:$BF58,1,MATCH(ReportingFYEnd,$AA$3:$BF$3,0)))</f>
        <v/>
      </c>
      <c r="S58" s="74">
        <f>IF($K58="","",IF($U58="Disposed",0,$K58-$T58))</f>
        <v/>
      </c>
      <c r="T58" s="77">
        <f>IF($K58="","",INDEX($AA58:$BF58,1,MATCH(ReportingFYEnd,$AA$3:$BF$3,0)+1))</f>
        <v/>
      </c>
      <c r="U58" s="78">
        <f>IF($K58="","",IF(AND($I58&lt;&gt;"",$I58&lt;=ReportingFYEnd),"Disposed",IF(OR($H58="",$H58&gt;ReportingFYEnd),"Not Yet in Use","Active")))</f>
        <v/>
      </c>
      <c r="V58" s="79" t="n"/>
      <c r="W58" s="80">
        <f>IF($V58="Double",1.5,IF($V58="Triple",2,1))</f>
        <v/>
      </c>
      <c r="X58" s="69" t="n"/>
      <c r="Y58" s="78">
        <f>IF($K58="","",IF(OR(ISNUMBER(SEARCH("Build",$C58)),ISNUMBER(SEARCH("Lease",$C58))),"Yes","NA"))</f>
        <v/>
      </c>
      <c r="Z58" s="21" t="n"/>
      <c r="AA58" s="81">
        <f>IF(OR($K58="",$H58=""),"",MIN(MAX(0,IF($O58="WDV",$K58*$P58*MAX(0,(IF($I58="",AA$3,MIN($I58,AA$3)))-(MAX($H58,(EDATE(AA$3,-12)+1)))+1)/(AA$3-(EDATE(AA$3,-12)+1)+1),IF($N58=0,0,$Q58/$N58*MAX(0,(IF($I58="",AA$3,MIN($I58,AA$3)))-(MAX($H58,(EDATE(AA$3,-12)+1)))+1)/(AA$3-(EDATE(AA$3,-12)+1)+1)))*$W58),MAX(0,$K58-$M58)))</f>
        <v/>
      </c>
      <c r="AB58" s="81">
        <f>IF($K58="","",IF(AND($I58&lt;&gt;"",$I58&lt;=AA$3),0,$K58-AA58))</f>
        <v/>
      </c>
      <c r="AC58" s="81">
        <f>IF(OR($K58="",$H58=""),"",MIN(MAX(0,IF($O58="WDV",AB58*$P58*MAX(0,(IF($I58="",AC$3,MIN($I58,AC$3)))-(MAX($H58,(EDATE(AC$3,-12)+1)))+1)/(AC$3-(EDATE(AC$3,-12)+1)+1),IF($N58=0,0,$Q58/$N58*MAX(0,(IF($I58="",AC$3,MIN($I58,AC$3)))-(MAX($H58,(EDATE(AC$3,-12)+1)))+1)/(AC$3-(EDATE(AC$3,-12)+1)+1)))*$W58),MAX(0,AB58-$M58)))</f>
        <v/>
      </c>
      <c r="AD58" s="81">
        <f>IF($K58="","",IF(AND($I58&lt;&gt;"",$I58&lt;=AC$3),0,AB58-AC58))</f>
        <v/>
      </c>
      <c r="AE58" s="81">
        <f>IF(OR($K58="",$H58=""),"",MIN(MAX(0,IF($O58="WDV",AD58*$P58*MAX(0,(IF($I58="",AE$3,MIN($I58,AE$3)))-(MAX($H58,(EDATE(AE$3,-12)+1)))+1)/(AE$3-(EDATE(AE$3,-12)+1)+1),IF($N58=0,0,$Q58/$N58*MAX(0,(IF($I58="",AE$3,MIN($I58,AE$3)))-(MAX($H58,(EDATE(AE$3,-12)+1)))+1)/(AE$3-(EDATE(AE$3,-12)+1)+1)))*$W58),MAX(0,AD58-$M58)))</f>
        <v/>
      </c>
      <c r="AF58" s="81">
        <f>IF($K58="","",IF(AND($I58&lt;&gt;"",$I58&lt;=AE$3),0,AD58-AE58))</f>
        <v/>
      </c>
      <c r="AG58" s="81">
        <f>IF(OR($K58="",$H58=""),"",MIN(MAX(0,IF($O58="WDV",AF58*$P58*MAX(0,(IF($I58="",AG$3,MIN($I58,AG$3)))-(MAX($H58,(EDATE(AG$3,-12)+1)))+1)/(AG$3-(EDATE(AG$3,-12)+1)+1),IF($N58=0,0,$Q58/$N58*MAX(0,(IF($I58="",AG$3,MIN($I58,AG$3)))-(MAX($H58,(EDATE(AG$3,-12)+1)))+1)/(AG$3-(EDATE(AG$3,-12)+1)+1)))*$W58),MAX(0,AF58-$M58)))</f>
        <v/>
      </c>
      <c r="AH58" s="81">
        <f>IF($K58="","",IF(AND($I58&lt;&gt;"",$I58&lt;=AG$3),0,AF58-AG58))</f>
        <v/>
      </c>
      <c r="AI58" s="81">
        <f>IF(OR($K58="",$H58=""),"",MIN(MAX(0,IF($O58="WDV",AH58*$P58*MAX(0,(IF($I58="",AI$3,MIN($I58,AI$3)))-(MAX($H58,(EDATE(AI$3,-12)+1)))+1)/(AI$3-(EDATE(AI$3,-12)+1)+1),IF($N58=0,0,$Q58/$N58*MAX(0,(IF($I58="",AI$3,MIN($I58,AI$3)))-(MAX($H58,(EDATE(AI$3,-12)+1)))+1)/(AI$3-(EDATE(AI$3,-12)+1)+1)))*$W58),MAX(0,AH58-$M58)))</f>
        <v/>
      </c>
      <c r="AJ58" s="81">
        <f>IF($K58="","",IF(AND($I58&lt;&gt;"",$I58&lt;=AI$3),0,AH58-AI58))</f>
        <v/>
      </c>
      <c r="AK58" s="81">
        <f>IF(OR($K58="",$H58=""),"",MIN(MAX(0,IF($O58="WDV",AJ58*$P58*MAX(0,(IF($I58="",AK$3,MIN($I58,AK$3)))-(MAX($H58,(EDATE(AK$3,-12)+1)))+1)/(AK$3-(EDATE(AK$3,-12)+1)+1),IF($N58=0,0,$Q58/$N58*MAX(0,(IF($I58="",AK$3,MIN($I58,AK$3)))-(MAX($H58,(EDATE(AK$3,-12)+1)))+1)/(AK$3-(EDATE(AK$3,-12)+1)+1)))*$W58),MAX(0,AJ58-$M58)))</f>
        <v/>
      </c>
      <c r="AL58" s="81">
        <f>IF($K58="","",IF(AND($I58&lt;&gt;"",$I58&lt;=AK$3),0,AJ58-AK58))</f>
        <v/>
      </c>
      <c r="AM58" s="81">
        <f>IF(OR($K58="",$H58=""),"",MIN(MAX(0,IF($O58="WDV",AL58*$P58*MAX(0,(IF($I58="",AM$3,MIN($I58,AM$3)))-(MAX($H58,(EDATE(AM$3,-12)+1)))+1)/(AM$3-(EDATE(AM$3,-12)+1)+1),IF($N58=0,0,$Q58/$N58*MAX(0,(IF($I58="",AM$3,MIN($I58,AM$3)))-(MAX($H58,(EDATE(AM$3,-12)+1)))+1)/(AM$3-(EDATE(AM$3,-12)+1)+1)))*$W58),MAX(0,AL58-$M58)))</f>
        <v/>
      </c>
      <c r="AN58" s="81">
        <f>IF($K58="","",IF(AND($I58&lt;&gt;"",$I58&lt;=AM$3),0,AL58-AM58))</f>
        <v/>
      </c>
      <c r="AO58" s="81">
        <f>IF(OR($K58="",$H58=""),"",MIN(MAX(0,IF($O58="WDV",AN58*$P58*MAX(0,(IF($I58="",AO$3,MIN($I58,AO$3)))-(MAX($H58,(EDATE(AO$3,-12)+1)))+1)/(AO$3-(EDATE(AO$3,-12)+1)+1),IF($N58=0,0,$Q58/$N58*MAX(0,(IF($I58="",AO$3,MIN($I58,AO$3)))-(MAX($H58,(EDATE(AO$3,-12)+1)))+1)/(AO$3-(EDATE(AO$3,-12)+1)+1)))*$W58),MAX(0,AN58-$M58)))</f>
        <v/>
      </c>
      <c r="AP58" s="81">
        <f>IF($K58="","",IF(AND($I58&lt;&gt;"",$I58&lt;=AO$3),0,AN58-AO58))</f>
        <v/>
      </c>
      <c r="AQ58" s="81">
        <f>IF(OR($K58="",$H58=""),"",MIN(MAX(0,IF($O58="WDV",AP58*$P58*MAX(0,(IF($I58="",AQ$3,MIN($I58,AQ$3)))-(MAX($H58,(EDATE(AQ$3,-12)+1)))+1)/(AQ$3-(EDATE(AQ$3,-12)+1)+1),IF($N58=0,0,$Q58/$N58*MAX(0,(IF($I58="",AQ$3,MIN($I58,AQ$3)))-(MAX($H58,(EDATE(AQ$3,-12)+1)))+1)/(AQ$3-(EDATE(AQ$3,-12)+1)+1)))*$W58),MAX(0,AP58-$M58)))</f>
        <v/>
      </c>
      <c r="AR58" s="81">
        <f>IF($K58="","",IF(AND($I58&lt;&gt;"",$I58&lt;=AQ$3),0,AP58-AQ58))</f>
        <v/>
      </c>
      <c r="AS58" s="81">
        <f>IF(OR($K58="",$H58=""),"",MIN(MAX(0,IF($O58="WDV",AR58*$P58*MAX(0,(IF($I58="",AS$3,MIN($I58,AS$3)))-(MAX($H58,(EDATE(AS$3,-12)+1)))+1)/(AS$3-(EDATE(AS$3,-12)+1)+1),IF($N58=0,0,$Q58/$N58*MAX(0,(IF($I58="",AS$3,MIN($I58,AS$3)))-(MAX($H58,(EDATE(AS$3,-12)+1)))+1)/(AS$3-(EDATE(AS$3,-12)+1)+1)))*$W58),MAX(0,AR58-$M58)))</f>
        <v/>
      </c>
      <c r="AT58" s="81">
        <f>IF($K58="","",IF(AND($I58&lt;&gt;"",$I58&lt;=AS$3),0,AR58-AS58))</f>
        <v/>
      </c>
      <c r="AU58" s="81">
        <f>IF(OR($K58="",$H58=""),"",MIN(MAX(0,IF($O58="WDV",AT58*$P58*MAX(0,(IF($I58="",AU$3,MIN($I58,AU$3)))-(MAX($H58,(EDATE(AU$3,-12)+1)))+1)/(AU$3-(EDATE(AU$3,-12)+1)+1),IF($N58=0,0,$Q58/$N58*MAX(0,(IF($I58="",AU$3,MIN($I58,AU$3)))-(MAX($H58,(EDATE(AU$3,-12)+1)))+1)/(AU$3-(EDATE(AU$3,-12)+1)+1)))*$W58),MAX(0,AT58-$M58)))</f>
        <v/>
      </c>
      <c r="AV58" s="81">
        <f>IF($K58="","",IF(AND($I58&lt;&gt;"",$I58&lt;=AU$3),0,AT58-AU58))</f>
        <v/>
      </c>
      <c r="AW58" s="81">
        <f>IF(OR($K58="",$H58=""),"",MIN(MAX(0,IF($O58="WDV",AV58*$P58*MAX(0,(IF($I58="",AW$3,MIN($I58,AW$3)))-(MAX($H58,(EDATE(AW$3,-12)+1)))+1)/(AW$3-(EDATE(AW$3,-12)+1)+1),IF($N58=0,0,$Q58/$N58*MAX(0,(IF($I58="",AW$3,MIN($I58,AW$3)))-(MAX($H58,(EDATE(AW$3,-12)+1)))+1)/(AW$3-(EDATE(AW$3,-12)+1)+1)))*$W58),MAX(0,AV58-$M58)))</f>
        <v/>
      </c>
      <c r="AX58" s="81">
        <f>IF($K58="","",IF(AND($I58&lt;&gt;"",$I58&lt;=AW$3),0,AV58-AW58))</f>
        <v/>
      </c>
      <c r="AY58" s="81">
        <f>IF(OR($K58="",$H58=""),"",MIN(MAX(0,IF($O58="WDV",AX58*$P58*MAX(0,(IF($I58="",AY$3,MIN($I58,AY$3)))-(MAX($H58,(EDATE(AY$3,-12)+1)))+1)/(AY$3-(EDATE(AY$3,-12)+1)+1),IF($N58=0,0,$Q58/$N58*MAX(0,(IF($I58="",AY$3,MIN($I58,AY$3)))-(MAX($H58,(EDATE(AY$3,-12)+1)))+1)/(AY$3-(EDATE(AY$3,-12)+1)+1)))*$W58),MAX(0,AX58-$M58)))</f>
        <v/>
      </c>
      <c r="AZ58" s="81">
        <f>IF($K58="","",IF(AND($I58&lt;&gt;"",$I58&lt;=AY$3),0,AX58-AY58))</f>
        <v/>
      </c>
      <c r="BA58" s="81">
        <f>IF(OR($K58="",$H58=""),"",MIN(MAX(0,IF($O58="WDV",AZ58*$P58*MAX(0,(IF($I58="",BA$3,MIN($I58,BA$3)))-(MAX($H58,(EDATE(BA$3,-12)+1)))+1)/(BA$3-(EDATE(BA$3,-12)+1)+1),IF($N58=0,0,$Q58/$N58*MAX(0,(IF($I58="",BA$3,MIN($I58,BA$3)))-(MAX($H58,(EDATE(BA$3,-12)+1)))+1)/(BA$3-(EDATE(BA$3,-12)+1)+1)))*$W58),MAX(0,AZ58-$M58)))</f>
        <v/>
      </c>
      <c r="BB58" s="81">
        <f>IF($K58="","",IF(AND($I58&lt;&gt;"",$I58&lt;=BA$3),0,AZ58-BA58))</f>
        <v/>
      </c>
      <c r="BC58" s="81">
        <f>IF(OR($K58="",$H58=""),"",MIN(MAX(0,IF($O58="WDV",BB58*$P58*MAX(0,(IF($I58="",BC$3,MIN($I58,BC$3)))-(MAX($H58,(EDATE(BC$3,-12)+1)))+1)/(BC$3-(EDATE(BC$3,-12)+1)+1),IF($N58=0,0,$Q58/$N58*MAX(0,(IF($I58="",BC$3,MIN($I58,BC$3)))-(MAX($H58,(EDATE(BC$3,-12)+1)))+1)/(BC$3-(EDATE(BC$3,-12)+1)+1)))*$W58),MAX(0,BB58-$M58)))</f>
        <v/>
      </c>
      <c r="BD58" s="81">
        <f>IF($K58="","",IF(AND($I58&lt;&gt;"",$I58&lt;=BC$3),0,BB58-BC58))</f>
        <v/>
      </c>
      <c r="BE58" s="81">
        <f>IF(OR($K58="",$H58=""),"",MIN(MAX(0,IF($O58="WDV",BD58*$P58*MAX(0,(IF($I58="",BE$3,MIN($I58,BE$3)))-(MAX($H58,(EDATE(BE$3,-12)+1)))+1)/(BE$3-(EDATE(BE$3,-12)+1)+1),IF($N58=0,0,$Q58/$N58*MAX(0,(IF($I58="",BE$3,MIN($I58,BE$3)))-(MAX($H58,(EDATE(BE$3,-12)+1)))+1)/(BE$3-(EDATE(BE$3,-12)+1)+1)))*$W58),MAX(0,BD58-$M58)))</f>
        <v/>
      </c>
      <c r="BF58" s="81">
        <f>IF($K58="","",IF(AND($I58&lt;&gt;"",$I58&lt;=BE$3),0,BD58-BE58))</f>
        <v/>
      </c>
    </row>
    <row r="59">
      <c r="A59" s="44" t="n"/>
      <c r="B59" s="45" t="n"/>
      <c r="C59" s="45" t="n"/>
      <c r="D59" s="45" t="n"/>
      <c r="E59" s="46" t="n"/>
      <c r="F59" s="47" t="n"/>
      <c r="G59" s="48" t="n"/>
      <c r="H59" s="48" t="n"/>
      <c r="I59" s="49" t="n"/>
      <c r="J59" s="50" t="n"/>
      <c r="K59" s="51" t="n"/>
      <c r="L59" s="52">
        <f>DefaultResidual</f>
        <v/>
      </c>
      <c r="M59" s="53">
        <f>IF($K59="","",$K59*$L59)</f>
        <v/>
      </c>
      <c r="N59" s="54">
        <f>IF($C59="","",IFERROR(VLOOKUP($C59,ScheduleIITable,3,FALSE),"#N/A"))</f>
        <v/>
      </c>
      <c r="O59" s="55">
        <f>IF($K59="","",GlobalMethod)</f>
        <v/>
      </c>
      <c r="P59" s="56">
        <f>IF(OR($K59="",$N59="",$N59=0,$M59=0),0,1-($M59/$K59)^(1/$N59))</f>
        <v/>
      </c>
      <c r="Q59" s="53">
        <f>IF($K59="","",$K59-$M59)</f>
        <v/>
      </c>
      <c r="R59" s="57">
        <f>IF($K59="","",INDEX($AA59:$BF59,1,MATCH(ReportingFYEnd,$AA$3:$BF$3,0)))</f>
        <v/>
      </c>
      <c r="S59" s="53">
        <f>IF($K59="","",IF($U59="Disposed",0,$K59-$T59))</f>
        <v/>
      </c>
      <c r="T59" s="58">
        <f>IF($K59="","",INDEX($AA59:$BF59,1,MATCH(ReportingFYEnd,$AA$3:$BF$3,0)+1))</f>
        <v/>
      </c>
      <c r="U59" s="59">
        <f>IF($K59="","",IF(AND($I59&lt;&gt;"",$I59&lt;=ReportingFYEnd),"Disposed",IF(OR($H59="",$H59&gt;ReportingFYEnd),"Not Yet in Use","Active")))</f>
        <v/>
      </c>
      <c r="V59" s="60" t="n"/>
      <c r="W59" s="61">
        <f>IF($V59="Double",1.5,IF($V59="Triple",2,1))</f>
        <v/>
      </c>
      <c r="X59" s="48" t="n"/>
      <c r="Y59" s="59">
        <f>IF($K59="","",IF(OR(ISNUMBER(SEARCH("Build",$C59)),ISNUMBER(SEARCH("Lease",$C59))),"Yes","NA"))</f>
        <v/>
      </c>
      <c r="Z59" s="62" t="n"/>
      <c r="AA59" s="63">
        <f>IF(OR($K59="",$H59=""),"",MIN(MAX(0,IF($O59="WDV",$K59*$P59*MAX(0,(IF($I59="",AA$3,MIN($I59,AA$3)))-(MAX($H59,(EDATE(AA$3,-12)+1)))+1)/(AA$3-(EDATE(AA$3,-12)+1)+1),IF($N59=0,0,$Q59/$N59*MAX(0,(IF($I59="",AA$3,MIN($I59,AA$3)))-(MAX($H59,(EDATE(AA$3,-12)+1)))+1)/(AA$3-(EDATE(AA$3,-12)+1)+1)))*$W59),MAX(0,$K59-$M59)))</f>
        <v/>
      </c>
      <c r="AB59" s="64">
        <f>IF($K59="","",IF(AND($I59&lt;&gt;"",$I59&lt;=AA$3),0,$K59-AA59))</f>
        <v/>
      </c>
      <c r="AC59" s="63">
        <f>IF(OR($K59="",$H59=""),"",MIN(MAX(0,IF($O59="WDV",AB59*$P59*MAX(0,(IF($I59="",AC$3,MIN($I59,AC$3)))-(MAX($H59,(EDATE(AC$3,-12)+1)))+1)/(AC$3-(EDATE(AC$3,-12)+1)+1),IF($N59=0,0,$Q59/$N59*MAX(0,(IF($I59="",AC$3,MIN($I59,AC$3)))-(MAX($H59,(EDATE(AC$3,-12)+1)))+1)/(AC$3-(EDATE(AC$3,-12)+1)+1)))*$W59),MAX(0,AB59-$M59)))</f>
        <v/>
      </c>
      <c r="AD59" s="64">
        <f>IF($K59="","",IF(AND($I59&lt;&gt;"",$I59&lt;=AC$3),0,AB59-AC59))</f>
        <v/>
      </c>
      <c r="AE59" s="63">
        <f>IF(OR($K59="",$H59=""),"",MIN(MAX(0,IF($O59="WDV",AD59*$P59*MAX(0,(IF($I59="",AE$3,MIN($I59,AE$3)))-(MAX($H59,(EDATE(AE$3,-12)+1)))+1)/(AE$3-(EDATE(AE$3,-12)+1)+1),IF($N59=0,0,$Q59/$N59*MAX(0,(IF($I59="",AE$3,MIN($I59,AE$3)))-(MAX($H59,(EDATE(AE$3,-12)+1)))+1)/(AE$3-(EDATE(AE$3,-12)+1)+1)))*$W59),MAX(0,AD59-$M59)))</f>
        <v/>
      </c>
      <c r="AF59" s="64">
        <f>IF($K59="","",IF(AND($I59&lt;&gt;"",$I59&lt;=AE$3),0,AD59-AE59))</f>
        <v/>
      </c>
      <c r="AG59" s="63">
        <f>IF(OR($K59="",$H59=""),"",MIN(MAX(0,IF($O59="WDV",AF59*$P59*MAX(0,(IF($I59="",AG$3,MIN($I59,AG$3)))-(MAX($H59,(EDATE(AG$3,-12)+1)))+1)/(AG$3-(EDATE(AG$3,-12)+1)+1),IF($N59=0,0,$Q59/$N59*MAX(0,(IF($I59="",AG$3,MIN($I59,AG$3)))-(MAX($H59,(EDATE(AG$3,-12)+1)))+1)/(AG$3-(EDATE(AG$3,-12)+1)+1)))*$W59),MAX(0,AF59-$M59)))</f>
        <v/>
      </c>
      <c r="AH59" s="64">
        <f>IF($K59="","",IF(AND($I59&lt;&gt;"",$I59&lt;=AG$3),0,AF59-AG59))</f>
        <v/>
      </c>
      <c r="AI59" s="63">
        <f>IF(OR($K59="",$H59=""),"",MIN(MAX(0,IF($O59="WDV",AH59*$P59*MAX(0,(IF($I59="",AI$3,MIN($I59,AI$3)))-(MAX($H59,(EDATE(AI$3,-12)+1)))+1)/(AI$3-(EDATE(AI$3,-12)+1)+1),IF($N59=0,0,$Q59/$N59*MAX(0,(IF($I59="",AI$3,MIN($I59,AI$3)))-(MAX($H59,(EDATE(AI$3,-12)+1)))+1)/(AI$3-(EDATE(AI$3,-12)+1)+1)))*$W59),MAX(0,AH59-$M59)))</f>
        <v/>
      </c>
      <c r="AJ59" s="64">
        <f>IF($K59="","",IF(AND($I59&lt;&gt;"",$I59&lt;=AI$3),0,AH59-AI59))</f>
        <v/>
      </c>
      <c r="AK59" s="63">
        <f>IF(OR($K59="",$H59=""),"",MIN(MAX(0,IF($O59="WDV",AJ59*$P59*MAX(0,(IF($I59="",AK$3,MIN($I59,AK$3)))-(MAX($H59,(EDATE(AK$3,-12)+1)))+1)/(AK$3-(EDATE(AK$3,-12)+1)+1),IF($N59=0,0,$Q59/$N59*MAX(0,(IF($I59="",AK$3,MIN($I59,AK$3)))-(MAX($H59,(EDATE(AK$3,-12)+1)))+1)/(AK$3-(EDATE(AK$3,-12)+1)+1)))*$W59),MAX(0,AJ59-$M59)))</f>
        <v/>
      </c>
      <c r="AL59" s="64">
        <f>IF($K59="","",IF(AND($I59&lt;&gt;"",$I59&lt;=AK$3),0,AJ59-AK59))</f>
        <v/>
      </c>
      <c r="AM59" s="63">
        <f>IF(OR($K59="",$H59=""),"",MIN(MAX(0,IF($O59="WDV",AL59*$P59*MAX(0,(IF($I59="",AM$3,MIN($I59,AM$3)))-(MAX($H59,(EDATE(AM$3,-12)+1)))+1)/(AM$3-(EDATE(AM$3,-12)+1)+1),IF($N59=0,0,$Q59/$N59*MAX(0,(IF($I59="",AM$3,MIN($I59,AM$3)))-(MAX($H59,(EDATE(AM$3,-12)+1)))+1)/(AM$3-(EDATE(AM$3,-12)+1)+1)))*$W59),MAX(0,AL59-$M59)))</f>
        <v/>
      </c>
      <c r="AN59" s="64">
        <f>IF($K59="","",IF(AND($I59&lt;&gt;"",$I59&lt;=AM$3),0,AL59-AM59))</f>
        <v/>
      </c>
      <c r="AO59" s="63">
        <f>IF(OR($K59="",$H59=""),"",MIN(MAX(0,IF($O59="WDV",AN59*$P59*MAX(0,(IF($I59="",AO$3,MIN($I59,AO$3)))-(MAX($H59,(EDATE(AO$3,-12)+1)))+1)/(AO$3-(EDATE(AO$3,-12)+1)+1),IF($N59=0,0,$Q59/$N59*MAX(0,(IF($I59="",AO$3,MIN($I59,AO$3)))-(MAX($H59,(EDATE(AO$3,-12)+1)))+1)/(AO$3-(EDATE(AO$3,-12)+1)+1)))*$W59),MAX(0,AN59-$M59)))</f>
        <v/>
      </c>
      <c r="AP59" s="64">
        <f>IF($K59="","",IF(AND($I59&lt;&gt;"",$I59&lt;=AO$3),0,AN59-AO59))</f>
        <v/>
      </c>
      <c r="AQ59" s="63">
        <f>IF(OR($K59="",$H59=""),"",MIN(MAX(0,IF($O59="WDV",AP59*$P59*MAX(0,(IF($I59="",AQ$3,MIN($I59,AQ$3)))-(MAX($H59,(EDATE(AQ$3,-12)+1)))+1)/(AQ$3-(EDATE(AQ$3,-12)+1)+1),IF($N59=0,0,$Q59/$N59*MAX(0,(IF($I59="",AQ$3,MIN($I59,AQ$3)))-(MAX($H59,(EDATE(AQ$3,-12)+1)))+1)/(AQ$3-(EDATE(AQ$3,-12)+1)+1)))*$W59),MAX(0,AP59-$M59)))</f>
        <v/>
      </c>
      <c r="AR59" s="64">
        <f>IF($K59="","",IF(AND($I59&lt;&gt;"",$I59&lt;=AQ$3),0,AP59-AQ59))</f>
        <v/>
      </c>
      <c r="AS59" s="63">
        <f>IF(OR($K59="",$H59=""),"",MIN(MAX(0,IF($O59="WDV",AR59*$P59*MAX(0,(IF($I59="",AS$3,MIN($I59,AS$3)))-(MAX($H59,(EDATE(AS$3,-12)+1)))+1)/(AS$3-(EDATE(AS$3,-12)+1)+1),IF($N59=0,0,$Q59/$N59*MAX(0,(IF($I59="",AS$3,MIN($I59,AS$3)))-(MAX($H59,(EDATE(AS$3,-12)+1)))+1)/(AS$3-(EDATE(AS$3,-12)+1)+1)))*$W59),MAX(0,AR59-$M59)))</f>
        <v/>
      </c>
      <c r="AT59" s="64">
        <f>IF($K59="","",IF(AND($I59&lt;&gt;"",$I59&lt;=AS$3),0,AR59-AS59))</f>
        <v/>
      </c>
      <c r="AU59" s="63">
        <f>IF(OR($K59="",$H59=""),"",MIN(MAX(0,IF($O59="WDV",AT59*$P59*MAX(0,(IF($I59="",AU$3,MIN($I59,AU$3)))-(MAX($H59,(EDATE(AU$3,-12)+1)))+1)/(AU$3-(EDATE(AU$3,-12)+1)+1),IF($N59=0,0,$Q59/$N59*MAX(0,(IF($I59="",AU$3,MIN($I59,AU$3)))-(MAX($H59,(EDATE(AU$3,-12)+1)))+1)/(AU$3-(EDATE(AU$3,-12)+1)+1)))*$W59),MAX(0,AT59-$M59)))</f>
        <v/>
      </c>
      <c r="AV59" s="64">
        <f>IF($K59="","",IF(AND($I59&lt;&gt;"",$I59&lt;=AU$3),0,AT59-AU59))</f>
        <v/>
      </c>
      <c r="AW59" s="63">
        <f>IF(OR($K59="",$H59=""),"",MIN(MAX(0,IF($O59="WDV",AV59*$P59*MAX(0,(IF($I59="",AW$3,MIN($I59,AW$3)))-(MAX($H59,(EDATE(AW$3,-12)+1)))+1)/(AW$3-(EDATE(AW$3,-12)+1)+1),IF($N59=0,0,$Q59/$N59*MAX(0,(IF($I59="",AW$3,MIN($I59,AW$3)))-(MAX($H59,(EDATE(AW$3,-12)+1)))+1)/(AW$3-(EDATE(AW$3,-12)+1)+1)))*$W59),MAX(0,AV59-$M59)))</f>
        <v/>
      </c>
      <c r="AX59" s="64">
        <f>IF($K59="","",IF(AND($I59&lt;&gt;"",$I59&lt;=AW$3),0,AV59-AW59))</f>
        <v/>
      </c>
      <c r="AY59" s="63">
        <f>IF(OR($K59="",$H59=""),"",MIN(MAX(0,IF($O59="WDV",AX59*$P59*MAX(0,(IF($I59="",AY$3,MIN($I59,AY$3)))-(MAX($H59,(EDATE(AY$3,-12)+1)))+1)/(AY$3-(EDATE(AY$3,-12)+1)+1),IF($N59=0,0,$Q59/$N59*MAX(0,(IF($I59="",AY$3,MIN($I59,AY$3)))-(MAX($H59,(EDATE(AY$3,-12)+1)))+1)/(AY$3-(EDATE(AY$3,-12)+1)+1)))*$W59),MAX(0,AX59-$M59)))</f>
        <v/>
      </c>
      <c r="AZ59" s="64">
        <f>IF($K59="","",IF(AND($I59&lt;&gt;"",$I59&lt;=AY$3),0,AX59-AY59))</f>
        <v/>
      </c>
      <c r="BA59" s="63">
        <f>IF(OR($K59="",$H59=""),"",MIN(MAX(0,IF($O59="WDV",AZ59*$P59*MAX(0,(IF($I59="",BA$3,MIN($I59,BA$3)))-(MAX($H59,(EDATE(BA$3,-12)+1)))+1)/(BA$3-(EDATE(BA$3,-12)+1)+1),IF($N59=0,0,$Q59/$N59*MAX(0,(IF($I59="",BA$3,MIN($I59,BA$3)))-(MAX($H59,(EDATE(BA$3,-12)+1)))+1)/(BA$3-(EDATE(BA$3,-12)+1)+1)))*$W59),MAX(0,AZ59-$M59)))</f>
        <v/>
      </c>
      <c r="BB59" s="64">
        <f>IF($K59="","",IF(AND($I59&lt;&gt;"",$I59&lt;=BA$3),0,AZ59-BA59))</f>
        <v/>
      </c>
      <c r="BC59" s="63">
        <f>IF(OR($K59="",$H59=""),"",MIN(MAX(0,IF($O59="WDV",BB59*$P59*MAX(0,(IF($I59="",BC$3,MIN($I59,BC$3)))-(MAX($H59,(EDATE(BC$3,-12)+1)))+1)/(BC$3-(EDATE(BC$3,-12)+1)+1),IF($N59=0,0,$Q59/$N59*MAX(0,(IF($I59="",BC$3,MIN($I59,BC$3)))-(MAX($H59,(EDATE(BC$3,-12)+1)))+1)/(BC$3-(EDATE(BC$3,-12)+1)+1)))*$W59),MAX(0,BB59-$M59)))</f>
        <v/>
      </c>
      <c r="BD59" s="64">
        <f>IF($K59="","",IF(AND($I59&lt;&gt;"",$I59&lt;=BC$3),0,BB59-BC59))</f>
        <v/>
      </c>
      <c r="BE59" s="63">
        <f>IF(OR($K59="",$H59=""),"",MIN(MAX(0,IF($O59="WDV",BD59*$P59*MAX(0,(IF($I59="",BE$3,MIN($I59,BE$3)))-(MAX($H59,(EDATE(BE$3,-12)+1)))+1)/(BE$3-(EDATE(BE$3,-12)+1)+1),IF($N59=0,0,$Q59/$N59*MAX(0,(IF($I59="",BE$3,MIN($I59,BE$3)))-(MAX($H59,(EDATE(BE$3,-12)+1)))+1)/(BE$3-(EDATE(BE$3,-12)+1)+1)))*$W59),MAX(0,BD59-$M59)))</f>
        <v/>
      </c>
      <c r="BF59" s="64">
        <f>IF($K59="","",IF(AND($I59&lt;&gt;"",$I59&lt;=BE$3),0,BD59-BE59))</f>
        <v/>
      </c>
    </row>
    <row r="60">
      <c r="A60" s="65" t="n"/>
      <c r="B60" s="66" t="n"/>
      <c r="C60" s="66" t="n"/>
      <c r="D60" s="66" t="n"/>
      <c r="E60" s="67" t="n"/>
      <c r="F60" s="68" t="n"/>
      <c r="G60" s="69" t="n"/>
      <c r="H60" s="69" t="n"/>
      <c r="I60" s="70" t="n"/>
      <c r="J60" s="71" t="n"/>
      <c r="K60" s="72" t="n"/>
      <c r="L60" s="73">
        <f>DefaultResidual</f>
        <v/>
      </c>
      <c r="M60" s="74">
        <f>IF($K60="","",$K60*$L60)</f>
        <v/>
      </c>
      <c r="N60" s="22">
        <f>IF($C60="","",IFERROR(VLOOKUP($C60,ScheduleIITable,3,FALSE),"#N/A"))</f>
        <v/>
      </c>
      <c r="O60" s="75">
        <f>IF($K60="","",GlobalMethod)</f>
        <v/>
      </c>
      <c r="P60" s="23">
        <f>IF(OR($K60="",$N60="",$N60=0,$M60=0),0,1-($M60/$K60)^(1/$N60))</f>
        <v/>
      </c>
      <c r="Q60" s="74">
        <f>IF($K60="","",$K60-$M60)</f>
        <v/>
      </c>
      <c r="R60" s="76">
        <f>IF($K60="","",INDEX($AA60:$BF60,1,MATCH(ReportingFYEnd,$AA$3:$BF$3,0)))</f>
        <v/>
      </c>
      <c r="S60" s="74">
        <f>IF($K60="","",IF($U60="Disposed",0,$K60-$T60))</f>
        <v/>
      </c>
      <c r="T60" s="77">
        <f>IF($K60="","",INDEX($AA60:$BF60,1,MATCH(ReportingFYEnd,$AA$3:$BF$3,0)+1))</f>
        <v/>
      </c>
      <c r="U60" s="78">
        <f>IF($K60="","",IF(AND($I60&lt;&gt;"",$I60&lt;=ReportingFYEnd),"Disposed",IF(OR($H60="",$H60&gt;ReportingFYEnd),"Not Yet in Use","Active")))</f>
        <v/>
      </c>
      <c r="V60" s="79" t="n"/>
      <c r="W60" s="80">
        <f>IF($V60="Double",1.5,IF($V60="Triple",2,1))</f>
        <v/>
      </c>
      <c r="X60" s="69" t="n"/>
      <c r="Y60" s="78">
        <f>IF($K60="","",IF(OR(ISNUMBER(SEARCH("Build",$C60)),ISNUMBER(SEARCH("Lease",$C60))),"Yes","NA"))</f>
        <v/>
      </c>
      <c r="Z60" s="21" t="n"/>
      <c r="AA60" s="81">
        <f>IF(OR($K60="",$H60=""),"",MIN(MAX(0,IF($O60="WDV",$K60*$P60*MAX(0,(IF($I60="",AA$3,MIN($I60,AA$3)))-(MAX($H60,(EDATE(AA$3,-12)+1)))+1)/(AA$3-(EDATE(AA$3,-12)+1)+1),IF($N60=0,0,$Q60/$N60*MAX(0,(IF($I60="",AA$3,MIN($I60,AA$3)))-(MAX($H60,(EDATE(AA$3,-12)+1)))+1)/(AA$3-(EDATE(AA$3,-12)+1)+1)))*$W60),MAX(0,$K60-$M60)))</f>
        <v/>
      </c>
      <c r="AB60" s="81">
        <f>IF($K60="","",IF(AND($I60&lt;&gt;"",$I60&lt;=AA$3),0,$K60-AA60))</f>
        <v/>
      </c>
      <c r="AC60" s="81">
        <f>IF(OR($K60="",$H60=""),"",MIN(MAX(0,IF($O60="WDV",AB60*$P60*MAX(0,(IF($I60="",AC$3,MIN($I60,AC$3)))-(MAX($H60,(EDATE(AC$3,-12)+1)))+1)/(AC$3-(EDATE(AC$3,-12)+1)+1),IF($N60=0,0,$Q60/$N60*MAX(0,(IF($I60="",AC$3,MIN($I60,AC$3)))-(MAX($H60,(EDATE(AC$3,-12)+1)))+1)/(AC$3-(EDATE(AC$3,-12)+1)+1)))*$W60),MAX(0,AB60-$M60)))</f>
        <v/>
      </c>
      <c r="AD60" s="81">
        <f>IF($K60="","",IF(AND($I60&lt;&gt;"",$I60&lt;=AC$3),0,AB60-AC60))</f>
        <v/>
      </c>
      <c r="AE60" s="81">
        <f>IF(OR($K60="",$H60=""),"",MIN(MAX(0,IF($O60="WDV",AD60*$P60*MAX(0,(IF($I60="",AE$3,MIN($I60,AE$3)))-(MAX($H60,(EDATE(AE$3,-12)+1)))+1)/(AE$3-(EDATE(AE$3,-12)+1)+1),IF($N60=0,0,$Q60/$N60*MAX(0,(IF($I60="",AE$3,MIN($I60,AE$3)))-(MAX($H60,(EDATE(AE$3,-12)+1)))+1)/(AE$3-(EDATE(AE$3,-12)+1)+1)))*$W60),MAX(0,AD60-$M60)))</f>
        <v/>
      </c>
      <c r="AF60" s="81">
        <f>IF($K60="","",IF(AND($I60&lt;&gt;"",$I60&lt;=AE$3),0,AD60-AE60))</f>
        <v/>
      </c>
      <c r="AG60" s="81">
        <f>IF(OR($K60="",$H60=""),"",MIN(MAX(0,IF($O60="WDV",AF60*$P60*MAX(0,(IF($I60="",AG$3,MIN($I60,AG$3)))-(MAX($H60,(EDATE(AG$3,-12)+1)))+1)/(AG$3-(EDATE(AG$3,-12)+1)+1),IF($N60=0,0,$Q60/$N60*MAX(0,(IF($I60="",AG$3,MIN($I60,AG$3)))-(MAX($H60,(EDATE(AG$3,-12)+1)))+1)/(AG$3-(EDATE(AG$3,-12)+1)+1)))*$W60),MAX(0,AF60-$M60)))</f>
        <v/>
      </c>
      <c r="AH60" s="81">
        <f>IF($K60="","",IF(AND($I60&lt;&gt;"",$I60&lt;=AG$3),0,AF60-AG60))</f>
        <v/>
      </c>
      <c r="AI60" s="81">
        <f>IF(OR($K60="",$H60=""),"",MIN(MAX(0,IF($O60="WDV",AH60*$P60*MAX(0,(IF($I60="",AI$3,MIN($I60,AI$3)))-(MAX($H60,(EDATE(AI$3,-12)+1)))+1)/(AI$3-(EDATE(AI$3,-12)+1)+1),IF($N60=0,0,$Q60/$N60*MAX(0,(IF($I60="",AI$3,MIN($I60,AI$3)))-(MAX($H60,(EDATE(AI$3,-12)+1)))+1)/(AI$3-(EDATE(AI$3,-12)+1)+1)))*$W60),MAX(0,AH60-$M60)))</f>
        <v/>
      </c>
      <c r="AJ60" s="81">
        <f>IF($K60="","",IF(AND($I60&lt;&gt;"",$I60&lt;=AI$3),0,AH60-AI60))</f>
        <v/>
      </c>
      <c r="AK60" s="81">
        <f>IF(OR($K60="",$H60=""),"",MIN(MAX(0,IF($O60="WDV",AJ60*$P60*MAX(0,(IF($I60="",AK$3,MIN($I60,AK$3)))-(MAX($H60,(EDATE(AK$3,-12)+1)))+1)/(AK$3-(EDATE(AK$3,-12)+1)+1),IF($N60=0,0,$Q60/$N60*MAX(0,(IF($I60="",AK$3,MIN($I60,AK$3)))-(MAX($H60,(EDATE(AK$3,-12)+1)))+1)/(AK$3-(EDATE(AK$3,-12)+1)+1)))*$W60),MAX(0,AJ60-$M60)))</f>
        <v/>
      </c>
      <c r="AL60" s="81">
        <f>IF($K60="","",IF(AND($I60&lt;&gt;"",$I60&lt;=AK$3),0,AJ60-AK60))</f>
        <v/>
      </c>
      <c r="AM60" s="81">
        <f>IF(OR($K60="",$H60=""),"",MIN(MAX(0,IF($O60="WDV",AL60*$P60*MAX(0,(IF($I60="",AM$3,MIN($I60,AM$3)))-(MAX($H60,(EDATE(AM$3,-12)+1)))+1)/(AM$3-(EDATE(AM$3,-12)+1)+1),IF($N60=0,0,$Q60/$N60*MAX(0,(IF($I60="",AM$3,MIN($I60,AM$3)))-(MAX($H60,(EDATE(AM$3,-12)+1)))+1)/(AM$3-(EDATE(AM$3,-12)+1)+1)))*$W60),MAX(0,AL60-$M60)))</f>
        <v/>
      </c>
      <c r="AN60" s="81">
        <f>IF($K60="","",IF(AND($I60&lt;&gt;"",$I60&lt;=AM$3),0,AL60-AM60))</f>
        <v/>
      </c>
      <c r="AO60" s="81">
        <f>IF(OR($K60="",$H60=""),"",MIN(MAX(0,IF($O60="WDV",AN60*$P60*MAX(0,(IF($I60="",AO$3,MIN($I60,AO$3)))-(MAX($H60,(EDATE(AO$3,-12)+1)))+1)/(AO$3-(EDATE(AO$3,-12)+1)+1),IF($N60=0,0,$Q60/$N60*MAX(0,(IF($I60="",AO$3,MIN($I60,AO$3)))-(MAX($H60,(EDATE(AO$3,-12)+1)))+1)/(AO$3-(EDATE(AO$3,-12)+1)+1)))*$W60),MAX(0,AN60-$M60)))</f>
        <v/>
      </c>
      <c r="AP60" s="81">
        <f>IF($K60="","",IF(AND($I60&lt;&gt;"",$I60&lt;=AO$3),0,AN60-AO60))</f>
        <v/>
      </c>
      <c r="AQ60" s="81">
        <f>IF(OR($K60="",$H60=""),"",MIN(MAX(0,IF($O60="WDV",AP60*$P60*MAX(0,(IF($I60="",AQ$3,MIN($I60,AQ$3)))-(MAX($H60,(EDATE(AQ$3,-12)+1)))+1)/(AQ$3-(EDATE(AQ$3,-12)+1)+1),IF($N60=0,0,$Q60/$N60*MAX(0,(IF($I60="",AQ$3,MIN($I60,AQ$3)))-(MAX($H60,(EDATE(AQ$3,-12)+1)))+1)/(AQ$3-(EDATE(AQ$3,-12)+1)+1)))*$W60),MAX(0,AP60-$M60)))</f>
        <v/>
      </c>
      <c r="AR60" s="81">
        <f>IF($K60="","",IF(AND($I60&lt;&gt;"",$I60&lt;=AQ$3),0,AP60-AQ60))</f>
        <v/>
      </c>
      <c r="AS60" s="81">
        <f>IF(OR($K60="",$H60=""),"",MIN(MAX(0,IF($O60="WDV",AR60*$P60*MAX(0,(IF($I60="",AS$3,MIN($I60,AS$3)))-(MAX($H60,(EDATE(AS$3,-12)+1)))+1)/(AS$3-(EDATE(AS$3,-12)+1)+1),IF($N60=0,0,$Q60/$N60*MAX(0,(IF($I60="",AS$3,MIN($I60,AS$3)))-(MAX($H60,(EDATE(AS$3,-12)+1)))+1)/(AS$3-(EDATE(AS$3,-12)+1)+1)))*$W60),MAX(0,AR60-$M60)))</f>
        <v/>
      </c>
      <c r="AT60" s="81">
        <f>IF($K60="","",IF(AND($I60&lt;&gt;"",$I60&lt;=AS$3),0,AR60-AS60))</f>
        <v/>
      </c>
      <c r="AU60" s="81">
        <f>IF(OR($K60="",$H60=""),"",MIN(MAX(0,IF($O60="WDV",AT60*$P60*MAX(0,(IF($I60="",AU$3,MIN($I60,AU$3)))-(MAX($H60,(EDATE(AU$3,-12)+1)))+1)/(AU$3-(EDATE(AU$3,-12)+1)+1),IF($N60=0,0,$Q60/$N60*MAX(0,(IF($I60="",AU$3,MIN($I60,AU$3)))-(MAX($H60,(EDATE(AU$3,-12)+1)))+1)/(AU$3-(EDATE(AU$3,-12)+1)+1)))*$W60),MAX(0,AT60-$M60)))</f>
        <v/>
      </c>
      <c r="AV60" s="81">
        <f>IF($K60="","",IF(AND($I60&lt;&gt;"",$I60&lt;=AU$3),0,AT60-AU60))</f>
        <v/>
      </c>
      <c r="AW60" s="81">
        <f>IF(OR($K60="",$H60=""),"",MIN(MAX(0,IF($O60="WDV",AV60*$P60*MAX(0,(IF($I60="",AW$3,MIN($I60,AW$3)))-(MAX($H60,(EDATE(AW$3,-12)+1)))+1)/(AW$3-(EDATE(AW$3,-12)+1)+1),IF($N60=0,0,$Q60/$N60*MAX(0,(IF($I60="",AW$3,MIN($I60,AW$3)))-(MAX($H60,(EDATE(AW$3,-12)+1)))+1)/(AW$3-(EDATE(AW$3,-12)+1)+1)))*$W60),MAX(0,AV60-$M60)))</f>
        <v/>
      </c>
      <c r="AX60" s="81">
        <f>IF($K60="","",IF(AND($I60&lt;&gt;"",$I60&lt;=AW$3),0,AV60-AW60))</f>
        <v/>
      </c>
      <c r="AY60" s="81">
        <f>IF(OR($K60="",$H60=""),"",MIN(MAX(0,IF($O60="WDV",AX60*$P60*MAX(0,(IF($I60="",AY$3,MIN($I60,AY$3)))-(MAX($H60,(EDATE(AY$3,-12)+1)))+1)/(AY$3-(EDATE(AY$3,-12)+1)+1),IF($N60=0,0,$Q60/$N60*MAX(0,(IF($I60="",AY$3,MIN($I60,AY$3)))-(MAX($H60,(EDATE(AY$3,-12)+1)))+1)/(AY$3-(EDATE(AY$3,-12)+1)+1)))*$W60),MAX(0,AX60-$M60)))</f>
        <v/>
      </c>
      <c r="AZ60" s="81">
        <f>IF($K60="","",IF(AND($I60&lt;&gt;"",$I60&lt;=AY$3),0,AX60-AY60))</f>
        <v/>
      </c>
      <c r="BA60" s="81">
        <f>IF(OR($K60="",$H60=""),"",MIN(MAX(0,IF($O60="WDV",AZ60*$P60*MAX(0,(IF($I60="",BA$3,MIN($I60,BA$3)))-(MAX($H60,(EDATE(BA$3,-12)+1)))+1)/(BA$3-(EDATE(BA$3,-12)+1)+1),IF($N60=0,0,$Q60/$N60*MAX(0,(IF($I60="",BA$3,MIN($I60,BA$3)))-(MAX($H60,(EDATE(BA$3,-12)+1)))+1)/(BA$3-(EDATE(BA$3,-12)+1)+1)))*$W60),MAX(0,AZ60-$M60)))</f>
        <v/>
      </c>
      <c r="BB60" s="81">
        <f>IF($K60="","",IF(AND($I60&lt;&gt;"",$I60&lt;=BA$3),0,AZ60-BA60))</f>
        <v/>
      </c>
      <c r="BC60" s="81">
        <f>IF(OR($K60="",$H60=""),"",MIN(MAX(0,IF($O60="WDV",BB60*$P60*MAX(0,(IF($I60="",BC$3,MIN($I60,BC$3)))-(MAX($H60,(EDATE(BC$3,-12)+1)))+1)/(BC$3-(EDATE(BC$3,-12)+1)+1),IF($N60=0,0,$Q60/$N60*MAX(0,(IF($I60="",BC$3,MIN($I60,BC$3)))-(MAX($H60,(EDATE(BC$3,-12)+1)))+1)/(BC$3-(EDATE(BC$3,-12)+1)+1)))*$W60),MAX(0,BB60-$M60)))</f>
        <v/>
      </c>
      <c r="BD60" s="81">
        <f>IF($K60="","",IF(AND($I60&lt;&gt;"",$I60&lt;=BC$3),0,BB60-BC60))</f>
        <v/>
      </c>
      <c r="BE60" s="81">
        <f>IF(OR($K60="",$H60=""),"",MIN(MAX(0,IF($O60="WDV",BD60*$P60*MAX(0,(IF($I60="",BE$3,MIN($I60,BE$3)))-(MAX($H60,(EDATE(BE$3,-12)+1)))+1)/(BE$3-(EDATE(BE$3,-12)+1)+1),IF($N60=0,0,$Q60/$N60*MAX(0,(IF($I60="",BE$3,MIN($I60,BE$3)))-(MAX($H60,(EDATE(BE$3,-12)+1)))+1)/(BE$3-(EDATE(BE$3,-12)+1)+1)))*$W60),MAX(0,BD60-$M60)))</f>
        <v/>
      </c>
      <c r="BF60" s="81">
        <f>IF($K60="","",IF(AND($I60&lt;&gt;"",$I60&lt;=BE$3),0,BD60-BE60))</f>
        <v/>
      </c>
    </row>
    <row r="61">
      <c r="A61" s="44" t="n"/>
      <c r="B61" s="45" t="n"/>
      <c r="C61" s="45" t="n"/>
      <c r="D61" s="45" t="n"/>
      <c r="E61" s="46" t="n"/>
      <c r="F61" s="47" t="n"/>
      <c r="G61" s="48" t="n"/>
      <c r="H61" s="48" t="n"/>
      <c r="I61" s="49" t="n"/>
      <c r="J61" s="50" t="n"/>
      <c r="K61" s="51" t="n"/>
      <c r="L61" s="52">
        <f>DefaultResidual</f>
        <v/>
      </c>
      <c r="M61" s="53">
        <f>IF($K61="","",$K61*$L61)</f>
        <v/>
      </c>
      <c r="N61" s="54">
        <f>IF($C61="","",IFERROR(VLOOKUP($C61,ScheduleIITable,3,FALSE),"#N/A"))</f>
        <v/>
      </c>
      <c r="O61" s="55">
        <f>IF($K61="","",GlobalMethod)</f>
        <v/>
      </c>
      <c r="P61" s="56">
        <f>IF(OR($K61="",$N61="",$N61=0,$M61=0),0,1-($M61/$K61)^(1/$N61))</f>
        <v/>
      </c>
      <c r="Q61" s="53">
        <f>IF($K61="","",$K61-$M61)</f>
        <v/>
      </c>
      <c r="R61" s="57">
        <f>IF($K61="","",INDEX($AA61:$BF61,1,MATCH(ReportingFYEnd,$AA$3:$BF$3,0)))</f>
        <v/>
      </c>
      <c r="S61" s="53">
        <f>IF($K61="","",IF($U61="Disposed",0,$K61-$T61))</f>
        <v/>
      </c>
      <c r="T61" s="58">
        <f>IF($K61="","",INDEX($AA61:$BF61,1,MATCH(ReportingFYEnd,$AA$3:$BF$3,0)+1))</f>
        <v/>
      </c>
      <c r="U61" s="59">
        <f>IF($K61="","",IF(AND($I61&lt;&gt;"",$I61&lt;=ReportingFYEnd),"Disposed",IF(OR($H61="",$H61&gt;ReportingFYEnd),"Not Yet in Use","Active")))</f>
        <v/>
      </c>
      <c r="V61" s="60" t="n"/>
      <c r="W61" s="61">
        <f>IF($V61="Double",1.5,IF($V61="Triple",2,1))</f>
        <v/>
      </c>
      <c r="X61" s="48" t="n"/>
      <c r="Y61" s="59">
        <f>IF($K61="","",IF(OR(ISNUMBER(SEARCH("Build",$C61)),ISNUMBER(SEARCH("Lease",$C61))),"Yes","NA"))</f>
        <v/>
      </c>
      <c r="Z61" s="62" t="n"/>
      <c r="AA61" s="63">
        <f>IF(OR($K61="",$H61=""),"",MIN(MAX(0,IF($O61="WDV",$K61*$P61*MAX(0,(IF($I61="",AA$3,MIN($I61,AA$3)))-(MAX($H61,(EDATE(AA$3,-12)+1)))+1)/(AA$3-(EDATE(AA$3,-12)+1)+1),IF($N61=0,0,$Q61/$N61*MAX(0,(IF($I61="",AA$3,MIN($I61,AA$3)))-(MAX($H61,(EDATE(AA$3,-12)+1)))+1)/(AA$3-(EDATE(AA$3,-12)+1)+1)))*$W61),MAX(0,$K61-$M61)))</f>
        <v/>
      </c>
      <c r="AB61" s="64">
        <f>IF($K61="","",IF(AND($I61&lt;&gt;"",$I61&lt;=AA$3),0,$K61-AA61))</f>
        <v/>
      </c>
      <c r="AC61" s="63">
        <f>IF(OR($K61="",$H61=""),"",MIN(MAX(0,IF($O61="WDV",AB61*$P61*MAX(0,(IF($I61="",AC$3,MIN($I61,AC$3)))-(MAX($H61,(EDATE(AC$3,-12)+1)))+1)/(AC$3-(EDATE(AC$3,-12)+1)+1),IF($N61=0,0,$Q61/$N61*MAX(0,(IF($I61="",AC$3,MIN($I61,AC$3)))-(MAX($H61,(EDATE(AC$3,-12)+1)))+1)/(AC$3-(EDATE(AC$3,-12)+1)+1)))*$W61),MAX(0,AB61-$M61)))</f>
        <v/>
      </c>
      <c r="AD61" s="64">
        <f>IF($K61="","",IF(AND($I61&lt;&gt;"",$I61&lt;=AC$3),0,AB61-AC61))</f>
        <v/>
      </c>
      <c r="AE61" s="63">
        <f>IF(OR($K61="",$H61=""),"",MIN(MAX(0,IF($O61="WDV",AD61*$P61*MAX(0,(IF($I61="",AE$3,MIN($I61,AE$3)))-(MAX($H61,(EDATE(AE$3,-12)+1)))+1)/(AE$3-(EDATE(AE$3,-12)+1)+1),IF($N61=0,0,$Q61/$N61*MAX(0,(IF($I61="",AE$3,MIN($I61,AE$3)))-(MAX($H61,(EDATE(AE$3,-12)+1)))+1)/(AE$3-(EDATE(AE$3,-12)+1)+1)))*$W61),MAX(0,AD61-$M61)))</f>
        <v/>
      </c>
      <c r="AF61" s="64">
        <f>IF($K61="","",IF(AND($I61&lt;&gt;"",$I61&lt;=AE$3),0,AD61-AE61))</f>
        <v/>
      </c>
      <c r="AG61" s="63">
        <f>IF(OR($K61="",$H61=""),"",MIN(MAX(0,IF($O61="WDV",AF61*$P61*MAX(0,(IF($I61="",AG$3,MIN($I61,AG$3)))-(MAX($H61,(EDATE(AG$3,-12)+1)))+1)/(AG$3-(EDATE(AG$3,-12)+1)+1),IF($N61=0,0,$Q61/$N61*MAX(0,(IF($I61="",AG$3,MIN($I61,AG$3)))-(MAX($H61,(EDATE(AG$3,-12)+1)))+1)/(AG$3-(EDATE(AG$3,-12)+1)+1)))*$W61),MAX(0,AF61-$M61)))</f>
        <v/>
      </c>
      <c r="AH61" s="64">
        <f>IF($K61="","",IF(AND($I61&lt;&gt;"",$I61&lt;=AG$3),0,AF61-AG61))</f>
        <v/>
      </c>
      <c r="AI61" s="63">
        <f>IF(OR($K61="",$H61=""),"",MIN(MAX(0,IF($O61="WDV",AH61*$P61*MAX(0,(IF($I61="",AI$3,MIN($I61,AI$3)))-(MAX($H61,(EDATE(AI$3,-12)+1)))+1)/(AI$3-(EDATE(AI$3,-12)+1)+1),IF($N61=0,0,$Q61/$N61*MAX(0,(IF($I61="",AI$3,MIN($I61,AI$3)))-(MAX($H61,(EDATE(AI$3,-12)+1)))+1)/(AI$3-(EDATE(AI$3,-12)+1)+1)))*$W61),MAX(0,AH61-$M61)))</f>
        <v/>
      </c>
      <c r="AJ61" s="64">
        <f>IF($K61="","",IF(AND($I61&lt;&gt;"",$I61&lt;=AI$3),0,AH61-AI61))</f>
        <v/>
      </c>
      <c r="AK61" s="63">
        <f>IF(OR($K61="",$H61=""),"",MIN(MAX(0,IF($O61="WDV",AJ61*$P61*MAX(0,(IF($I61="",AK$3,MIN($I61,AK$3)))-(MAX($H61,(EDATE(AK$3,-12)+1)))+1)/(AK$3-(EDATE(AK$3,-12)+1)+1),IF($N61=0,0,$Q61/$N61*MAX(0,(IF($I61="",AK$3,MIN($I61,AK$3)))-(MAX($H61,(EDATE(AK$3,-12)+1)))+1)/(AK$3-(EDATE(AK$3,-12)+1)+1)))*$W61),MAX(0,AJ61-$M61)))</f>
        <v/>
      </c>
      <c r="AL61" s="64">
        <f>IF($K61="","",IF(AND($I61&lt;&gt;"",$I61&lt;=AK$3),0,AJ61-AK61))</f>
        <v/>
      </c>
      <c r="AM61" s="63">
        <f>IF(OR($K61="",$H61=""),"",MIN(MAX(0,IF($O61="WDV",AL61*$P61*MAX(0,(IF($I61="",AM$3,MIN($I61,AM$3)))-(MAX($H61,(EDATE(AM$3,-12)+1)))+1)/(AM$3-(EDATE(AM$3,-12)+1)+1),IF($N61=0,0,$Q61/$N61*MAX(0,(IF($I61="",AM$3,MIN($I61,AM$3)))-(MAX($H61,(EDATE(AM$3,-12)+1)))+1)/(AM$3-(EDATE(AM$3,-12)+1)+1)))*$W61),MAX(0,AL61-$M61)))</f>
        <v/>
      </c>
      <c r="AN61" s="64">
        <f>IF($K61="","",IF(AND($I61&lt;&gt;"",$I61&lt;=AM$3),0,AL61-AM61))</f>
        <v/>
      </c>
      <c r="AO61" s="63">
        <f>IF(OR($K61="",$H61=""),"",MIN(MAX(0,IF($O61="WDV",AN61*$P61*MAX(0,(IF($I61="",AO$3,MIN($I61,AO$3)))-(MAX($H61,(EDATE(AO$3,-12)+1)))+1)/(AO$3-(EDATE(AO$3,-12)+1)+1),IF($N61=0,0,$Q61/$N61*MAX(0,(IF($I61="",AO$3,MIN($I61,AO$3)))-(MAX($H61,(EDATE(AO$3,-12)+1)))+1)/(AO$3-(EDATE(AO$3,-12)+1)+1)))*$W61),MAX(0,AN61-$M61)))</f>
        <v/>
      </c>
      <c r="AP61" s="64">
        <f>IF($K61="","",IF(AND($I61&lt;&gt;"",$I61&lt;=AO$3),0,AN61-AO61))</f>
        <v/>
      </c>
      <c r="AQ61" s="63">
        <f>IF(OR($K61="",$H61=""),"",MIN(MAX(0,IF($O61="WDV",AP61*$P61*MAX(0,(IF($I61="",AQ$3,MIN($I61,AQ$3)))-(MAX($H61,(EDATE(AQ$3,-12)+1)))+1)/(AQ$3-(EDATE(AQ$3,-12)+1)+1),IF($N61=0,0,$Q61/$N61*MAX(0,(IF($I61="",AQ$3,MIN($I61,AQ$3)))-(MAX($H61,(EDATE(AQ$3,-12)+1)))+1)/(AQ$3-(EDATE(AQ$3,-12)+1)+1)))*$W61),MAX(0,AP61-$M61)))</f>
        <v/>
      </c>
      <c r="AR61" s="64">
        <f>IF($K61="","",IF(AND($I61&lt;&gt;"",$I61&lt;=AQ$3),0,AP61-AQ61))</f>
        <v/>
      </c>
      <c r="AS61" s="63">
        <f>IF(OR($K61="",$H61=""),"",MIN(MAX(0,IF($O61="WDV",AR61*$P61*MAX(0,(IF($I61="",AS$3,MIN($I61,AS$3)))-(MAX($H61,(EDATE(AS$3,-12)+1)))+1)/(AS$3-(EDATE(AS$3,-12)+1)+1),IF($N61=0,0,$Q61/$N61*MAX(0,(IF($I61="",AS$3,MIN($I61,AS$3)))-(MAX($H61,(EDATE(AS$3,-12)+1)))+1)/(AS$3-(EDATE(AS$3,-12)+1)+1)))*$W61),MAX(0,AR61-$M61)))</f>
        <v/>
      </c>
      <c r="AT61" s="64">
        <f>IF($K61="","",IF(AND($I61&lt;&gt;"",$I61&lt;=AS$3),0,AR61-AS61))</f>
        <v/>
      </c>
      <c r="AU61" s="63">
        <f>IF(OR($K61="",$H61=""),"",MIN(MAX(0,IF($O61="WDV",AT61*$P61*MAX(0,(IF($I61="",AU$3,MIN($I61,AU$3)))-(MAX($H61,(EDATE(AU$3,-12)+1)))+1)/(AU$3-(EDATE(AU$3,-12)+1)+1),IF($N61=0,0,$Q61/$N61*MAX(0,(IF($I61="",AU$3,MIN($I61,AU$3)))-(MAX($H61,(EDATE(AU$3,-12)+1)))+1)/(AU$3-(EDATE(AU$3,-12)+1)+1)))*$W61),MAX(0,AT61-$M61)))</f>
        <v/>
      </c>
      <c r="AV61" s="64">
        <f>IF($K61="","",IF(AND($I61&lt;&gt;"",$I61&lt;=AU$3),0,AT61-AU61))</f>
        <v/>
      </c>
      <c r="AW61" s="63">
        <f>IF(OR($K61="",$H61=""),"",MIN(MAX(0,IF($O61="WDV",AV61*$P61*MAX(0,(IF($I61="",AW$3,MIN($I61,AW$3)))-(MAX($H61,(EDATE(AW$3,-12)+1)))+1)/(AW$3-(EDATE(AW$3,-12)+1)+1),IF($N61=0,0,$Q61/$N61*MAX(0,(IF($I61="",AW$3,MIN($I61,AW$3)))-(MAX($H61,(EDATE(AW$3,-12)+1)))+1)/(AW$3-(EDATE(AW$3,-12)+1)+1)))*$W61),MAX(0,AV61-$M61)))</f>
        <v/>
      </c>
      <c r="AX61" s="64">
        <f>IF($K61="","",IF(AND($I61&lt;&gt;"",$I61&lt;=AW$3),0,AV61-AW61))</f>
        <v/>
      </c>
      <c r="AY61" s="63">
        <f>IF(OR($K61="",$H61=""),"",MIN(MAX(0,IF($O61="WDV",AX61*$P61*MAX(0,(IF($I61="",AY$3,MIN($I61,AY$3)))-(MAX($H61,(EDATE(AY$3,-12)+1)))+1)/(AY$3-(EDATE(AY$3,-12)+1)+1),IF($N61=0,0,$Q61/$N61*MAX(0,(IF($I61="",AY$3,MIN($I61,AY$3)))-(MAX($H61,(EDATE(AY$3,-12)+1)))+1)/(AY$3-(EDATE(AY$3,-12)+1)+1)))*$W61),MAX(0,AX61-$M61)))</f>
        <v/>
      </c>
      <c r="AZ61" s="64">
        <f>IF($K61="","",IF(AND($I61&lt;&gt;"",$I61&lt;=AY$3),0,AX61-AY61))</f>
        <v/>
      </c>
      <c r="BA61" s="63">
        <f>IF(OR($K61="",$H61=""),"",MIN(MAX(0,IF($O61="WDV",AZ61*$P61*MAX(0,(IF($I61="",BA$3,MIN($I61,BA$3)))-(MAX($H61,(EDATE(BA$3,-12)+1)))+1)/(BA$3-(EDATE(BA$3,-12)+1)+1),IF($N61=0,0,$Q61/$N61*MAX(0,(IF($I61="",BA$3,MIN($I61,BA$3)))-(MAX($H61,(EDATE(BA$3,-12)+1)))+1)/(BA$3-(EDATE(BA$3,-12)+1)+1)))*$W61),MAX(0,AZ61-$M61)))</f>
        <v/>
      </c>
      <c r="BB61" s="64">
        <f>IF($K61="","",IF(AND($I61&lt;&gt;"",$I61&lt;=BA$3),0,AZ61-BA61))</f>
        <v/>
      </c>
      <c r="BC61" s="63">
        <f>IF(OR($K61="",$H61=""),"",MIN(MAX(0,IF($O61="WDV",BB61*$P61*MAX(0,(IF($I61="",BC$3,MIN($I61,BC$3)))-(MAX($H61,(EDATE(BC$3,-12)+1)))+1)/(BC$3-(EDATE(BC$3,-12)+1)+1),IF($N61=0,0,$Q61/$N61*MAX(0,(IF($I61="",BC$3,MIN($I61,BC$3)))-(MAX($H61,(EDATE(BC$3,-12)+1)))+1)/(BC$3-(EDATE(BC$3,-12)+1)+1)))*$W61),MAX(0,BB61-$M61)))</f>
        <v/>
      </c>
      <c r="BD61" s="64">
        <f>IF($K61="","",IF(AND($I61&lt;&gt;"",$I61&lt;=BC$3),0,BB61-BC61))</f>
        <v/>
      </c>
      <c r="BE61" s="63">
        <f>IF(OR($K61="",$H61=""),"",MIN(MAX(0,IF($O61="WDV",BD61*$P61*MAX(0,(IF($I61="",BE$3,MIN($I61,BE$3)))-(MAX($H61,(EDATE(BE$3,-12)+1)))+1)/(BE$3-(EDATE(BE$3,-12)+1)+1),IF($N61=0,0,$Q61/$N61*MAX(0,(IF($I61="",BE$3,MIN($I61,BE$3)))-(MAX($H61,(EDATE(BE$3,-12)+1)))+1)/(BE$3-(EDATE(BE$3,-12)+1)+1)))*$W61),MAX(0,BD61-$M61)))</f>
        <v/>
      </c>
      <c r="BF61" s="64">
        <f>IF($K61="","",IF(AND($I61&lt;&gt;"",$I61&lt;=BE$3),0,BD61-BE61))</f>
        <v/>
      </c>
    </row>
    <row r="62">
      <c r="A62" s="65" t="n"/>
      <c r="B62" s="66" t="n"/>
      <c r="C62" s="66" t="n"/>
      <c r="D62" s="66" t="n"/>
      <c r="E62" s="67" t="n"/>
      <c r="F62" s="68" t="n"/>
      <c r="G62" s="69" t="n"/>
      <c r="H62" s="69" t="n"/>
      <c r="I62" s="70" t="n"/>
      <c r="J62" s="71" t="n"/>
      <c r="K62" s="72" t="n"/>
      <c r="L62" s="73">
        <f>DefaultResidual</f>
        <v/>
      </c>
      <c r="M62" s="74">
        <f>IF($K62="","",$K62*$L62)</f>
        <v/>
      </c>
      <c r="N62" s="22">
        <f>IF($C62="","",IFERROR(VLOOKUP($C62,ScheduleIITable,3,FALSE),"#N/A"))</f>
        <v/>
      </c>
      <c r="O62" s="75">
        <f>IF($K62="","",GlobalMethod)</f>
        <v/>
      </c>
      <c r="P62" s="23">
        <f>IF(OR($K62="",$N62="",$N62=0,$M62=0),0,1-($M62/$K62)^(1/$N62))</f>
        <v/>
      </c>
      <c r="Q62" s="74">
        <f>IF($K62="","",$K62-$M62)</f>
        <v/>
      </c>
      <c r="R62" s="76">
        <f>IF($K62="","",INDEX($AA62:$BF62,1,MATCH(ReportingFYEnd,$AA$3:$BF$3,0)))</f>
        <v/>
      </c>
      <c r="S62" s="74">
        <f>IF($K62="","",IF($U62="Disposed",0,$K62-$T62))</f>
        <v/>
      </c>
      <c r="T62" s="77">
        <f>IF($K62="","",INDEX($AA62:$BF62,1,MATCH(ReportingFYEnd,$AA$3:$BF$3,0)+1))</f>
        <v/>
      </c>
      <c r="U62" s="78">
        <f>IF($K62="","",IF(AND($I62&lt;&gt;"",$I62&lt;=ReportingFYEnd),"Disposed",IF(OR($H62="",$H62&gt;ReportingFYEnd),"Not Yet in Use","Active")))</f>
        <v/>
      </c>
      <c r="V62" s="79" t="n"/>
      <c r="W62" s="80">
        <f>IF($V62="Double",1.5,IF($V62="Triple",2,1))</f>
        <v/>
      </c>
      <c r="X62" s="69" t="n"/>
      <c r="Y62" s="78">
        <f>IF($K62="","",IF(OR(ISNUMBER(SEARCH("Build",$C62)),ISNUMBER(SEARCH("Lease",$C62))),"Yes","NA"))</f>
        <v/>
      </c>
      <c r="Z62" s="21" t="n"/>
      <c r="AA62" s="81">
        <f>IF(OR($K62="",$H62=""),"",MIN(MAX(0,IF($O62="WDV",$K62*$P62*MAX(0,(IF($I62="",AA$3,MIN($I62,AA$3)))-(MAX($H62,(EDATE(AA$3,-12)+1)))+1)/(AA$3-(EDATE(AA$3,-12)+1)+1),IF($N62=0,0,$Q62/$N62*MAX(0,(IF($I62="",AA$3,MIN($I62,AA$3)))-(MAX($H62,(EDATE(AA$3,-12)+1)))+1)/(AA$3-(EDATE(AA$3,-12)+1)+1)))*$W62),MAX(0,$K62-$M62)))</f>
        <v/>
      </c>
      <c r="AB62" s="81">
        <f>IF($K62="","",IF(AND($I62&lt;&gt;"",$I62&lt;=AA$3),0,$K62-AA62))</f>
        <v/>
      </c>
      <c r="AC62" s="81">
        <f>IF(OR($K62="",$H62=""),"",MIN(MAX(0,IF($O62="WDV",AB62*$P62*MAX(0,(IF($I62="",AC$3,MIN($I62,AC$3)))-(MAX($H62,(EDATE(AC$3,-12)+1)))+1)/(AC$3-(EDATE(AC$3,-12)+1)+1),IF($N62=0,0,$Q62/$N62*MAX(0,(IF($I62="",AC$3,MIN($I62,AC$3)))-(MAX($H62,(EDATE(AC$3,-12)+1)))+1)/(AC$3-(EDATE(AC$3,-12)+1)+1)))*$W62),MAX(0,AB62-$M62)))</f>
        <v/>
      </c>
      <c r="AD62" s="81">
        <f>IF($K62="","",IF(AND($I62&lt;&gt;"",$I62&lt;=AC$3),0,AB62-AC62))</f>
        <v/>
      </c>
      <c r="AE62" s="81">
        <f>IF(OR($K62="",$H62=""),"",MIN(MAX(0,IF($O62="WDV",AD62*$P62*MAX(0,(IF($I62="",AE$3,MIN($I62,AE$3)))-(MAX($H62,(EDATE(AE$3,-12)+1)))+1)/(AE$3-(EDATE(AE$3,-12)+1)+1),IF($N62=0,0,$Q62/$N62*MAX(0,(IF($I62="",AE$3,MIN($I62,AE$3)))-(MAX($H62,(EDATE(AE$3,-12)+1)))+1)/(AE$3-(EDATE(AE$3,-12)+1)+1)))*$W62),MAX(0,AD62-$M62)))</f>
        <v/>
      </c>
      <c r="AF62" s="81">
        <f>IF($K62="","",IF(AND($I62&lt;&gt;"",$I62&lt;=AE$3),0,AD62-AE62))</f>
        <v/>
      </c>
      <c r="AG62" s="81">
        <f>IF(OR($K62="",$H62=""),"",MIN(MAX(0,IF($O62="WDV",AF62*$P62*MAX(0,(IF($I62="",AG$3,MIN($I62,AG$3)))-(MAX($H62,(EDATE(AG$3,-12)+1)))+1)/(AG$3-(EDATE(AG$3,-12)+1)+1),IF($N62=0,0,$Q62/$N62*MAX(0,(IF($I62="",AG$3,MIN($I62,AG$3)))-(MAX($H62,(EDATE(AG$3,-12)+1)))+1)/(AG$3-(EDATE(AG$3,-12)+1)+1)))*$W62),MAX(0,AF62-$M62)))</f>
        <v/>
      </c>
      <c r="AH62" s="81">
        <f>IF($K62="","",IF(AND($I62&lt;&gt;"",$I62&lt;=AG$3),0,AF62-AG62))</f>
        <v/>
      </c>
      <c r="AI62" s="81">
        <f>IF(OR($K62="",$H62=""),"",MIN(MAX(0,IF($O62="WDV",AH62*$P62*MAX(0,(IF($I62="",AI$3,MIN($I62,AI$3)))-(MAX($H62,(EDATE(AI$3,-12)+1)))+1)/(AI$3-(EDATE(AI$3,-12)+1)+1),IF($N62=0,0,$Q62/$N62*MAX(0,(IF($I62="",AI$3,MIN($I62,AI$3)))-(MAX($H62,(EDATE(AI$3,-12)+1)))+1)/(AI$3-(EDATE(AI$3,-12)+1)+1)))*$W62),MAX(0,AH62-$M62)))</f>
        <v/>
      </c>
      <c r="AJ62" s="81">
        <f>IF($K62="","",IF(AND($I62&lt;&gt;"",$I62&lt;=AI$3),0,AH62-AI62))</f>
        <v/>
      </c>
      <c r="AK62" s="81">
        <f>IF(OR($K62="",$H62=""),"",MIN(MAX(0,IF($O62="WDV",AJ62*$P62*MAX(0,(IF($I62="",AK$3,MIN($I62,AK$3)))-(MAX($H62,(EDATE(AK$3,-12)+1)))+1)/(AK$3-(EDATE(AK$3,-12)+1)+1),IF($N62=0,0,$Q62/$N62*MAX(0,(IF($I62="",AK$3,MIN($I62,AK$3)))-(MAX($H62,(EDATE(AK$3,-12)+1)))+1)/(AK$3-(EDATE(AK$3,-12)+1)+1)))*$W62),MAX(0,AJ62-$M62)))</f>
        <v/>
      </c>
      <c r="AL62" s="81">
        <f>IF($K62="","",IF(AND($I62&lt;&gt;"",$I62&lt;=AK$3),0,AJ62-AK62))</f>
        <v/>
      </c>
      <c r="AM62" s="81">
        <f>IF(OR($K62="",$H62=""),"",MIN(MAX(0,IF($O62="WDV",AL62*$P62*MAX(0,(IF($I62="",AM$3,MIN($I62,AM$3)))-(MAX($H62,(EDATE(AM$3,-12)+1)))+1)/(AM$3-(EDATE(AM$3,-12)+1)+1),IF($N62=0,0,$Q62/$N62*MAX(0,(IF($I62="",AM$3,MIN($I62,AM$3)))-(MAX($H62,(EDATE(AM$3,-12)+1)))+1)/(AM$3-(EDATE(AM$3,-12)+1)+1)))*$W62),MAX(0,AL62-$M62)))</f>
        <v/>
      </c>
      <c r="AN62" s="81">
        <f>IF($K62="","",IF(AND($I62&lt;&gt;"",$I62&lt;=AM$3),0,AL62-AM62))</f>
        <v/>
      </c>
      <c r="AO62" s="81">
        <f>IF(OR($K62="",$H62=""),"",MIN(MAX(0,IF($O62="WDV",AN62*$P62*MAX(0,(IF($I62="",AO$3,MIN($I62,AO$3)))-(MAX($H62,(EDATE(AO$3,-12)+1)))+1)/(AO$3-(EDATE(AO$3,-12)+1)+1),IF($N62=0,0,$Q62/$N62*MAX(0,(IF($I62="",AO$3,MIN($I62,AO$3)))-(MAX($H62,(EDATE(AO$3,-12)+1)))+1)/(AO$3-(EDATE(AO$3,-12)+1)+1)))*$W62),MAX(0,AN62-$M62)))</f>
        <v/>
      </c>
      <c r="AP62" s="81">
        <f>IF($K62="","",IF(AND($I62&lt;&gt;"",$I62&lt;=AO$3),0,AN62-AO62))</f>
        <v/>
      </c>
      <c r="AQ62" s="81">
        <f>IF(OR($K62="",$H62=""),"",MIN(MAX(0,IF($O62="WDV",AP62*$P62*MAX(0,(IF($I62="",AQ$3,MIN($I62,AQ$3)))-(MAX($H62,(EDATE(AQ$3,-12)+1)))+1)/(AQ$3-(EDATE(AQ$3,-12)+1)+1),IF($N62=0,0,$Q62/$N62*MAX(0,(IF($I62="",AQ$3,MIN($I62,AQ$3)))-(MAX($H62,(EDATE(AQ$3,-12)+1)))+1)/(AQ$3-(EDATE(AQ$3,-12)+1)+1)))*$W62),MAX(0,AP62-$M62)))</f>
        <v/>
      </c>
      <c r="AR62" s="81">
        <f>IF($K62="","",IF(AND($I62&lt;&gt;"",$I62&lt;=AQ$3),0,AP62-AQ62))</f>
        <v/>
      </c>
      <c r="AS62" s="81">
        <f>IF(OR($K62="",$H62=""),"",MIN(MAX(0,IF($O62="WDV",AR62*$P62*MAX(0,(IF($I62="",AS$3,MIN($I62,AS$3)))-(MAX($H62,(EDATE(AS$3,-12)+1)))+1)/(AS$3-(EDATE(AS$3,-12)+1)+1),IF($N62=0,0,$Q62/$N62*MAX(0,(IF($I62="",AS$3,MIN($I62,AS$3)))-(MAX($H62,(EDATE(AS$3,-12)+1)))+1)/(AS$3-(EDATE(AS$3,-12)+1)+1)))*$W62),MAX(0,AR62-$M62)))</f>
        <v/>
      </c>
      <c r="AT62" s="81">
        <f>IF($K62="","",IF(AND($I62&lt;&gt;"",$I62&lt;=AS$3),0,AR62-AS62))</f>
        <v/>
      </c>
      <c r="AU62" s="81">
        <f>IF(OR($K62="",$H62=""),"",MIN(MAX(0,IF($O62="WDV",AT62*$P62*MAX(0,(IF($I62="",AU$3,MIN($I62,AU$3)))-(MAX($H62,(EDATE(AU$3,-12)+1)))+1)/(AU$3-(EDATE(AU$3,-12)+1)+1),IF($N62=0,0,$Q62/$N62*MAX(0,(IF($I62="",AU$3,MIN($I62,AU$3)))-(MAX($H62,(EDATE(AU$3,-12)+1)))+1)/(AU$3-(EDATE(AU$3,-12)+1)+1)))*$W62),MAX(0,AT62-$M62)))</f>
        <v/>
      </c>
      <c r="AV62" s="81">
        <f>IF($K62="","",IF(AND($I62&lt;&gt;"",$I62&lt;=AU$3),0,AT62-AU62))</f>
        <v/>
      </c>
      <c r="AW62" s="81">
        <f>IF(OR($K62="",$H62=""),"",MIN(MAX(0,IF($O62="WDV",AV62*$P62*MAX(0,(IF($I62="",AW$3,MIN($I62,AW$3)))-(MAX($H62,(EDATE(AW$3,-12)+1)))+1)/(AW$3-(EDATE(AW$3,-12)+1)+1),IF($N62=0,0,$Q62/$N62*MAX(0,(IF($I62="",AW$3,MIN($I62,AW$3)))-(MAX($H62,(EDATE(AW$3,-12)+1)))+1)/(AW$3-(EDATE(AW$3,-12)+1)+1)))*$W62),MAX(0,AV62-$M62)))</f>
        <v/>
      </c>
      <c r="AX62" s="81">
        <f>IF($K62="","",IF(AND($I62&lt;&gt;"",$I62&lt;=AW$3),0,AV62-AW62))</f>
        <v/>
      </c>
      <c r="AY62" s="81">
        <f>IF(OR($K62="",$H62=""),"",MIN(MAX(0,IF($O62="WDV",AX62*$P62*MAX(0,(IF($I62="",AY$3,MIN($I62,AY$3)))-(MAX($H62,(EDATE(AY$3,-12)+1)))+1)/(AY$3-(EDATE(AY$3,-12)+1)+1),IF($N62=0,0,$Q62/$N62*MAX(0,(IF($I62="",AY$3,MIN($I62,AY$3)))-(MAX($H62,(EDATE(AY$3,-12)+1)))+1)/(AY$3-(EDATE(AY$3,-12)+1)+1)))*$W62),MAX(0,AX62-$M62)))</f>
        <v/>
      </c>
      <c r="AZ62" s="81">
        <f>IF($K62="","",IF(AND($I62&lt;&gt;"",$I62&lt;=AY$3),0,AX62-AY62))</f>
        <v/>
      </c>
      <c r="BA62" s="81">
        <f>IF(OR($K62="",$H62=""),"",MIN(MAX(0,IF($O62="WDV",AZ62*$P62*MAX(0,(IF($I62="",BA$3,MIN($I62,BA$3)))-(MAX($H62,(EDATE(BA$3,-12)+1)))+1)/(BA$3-(EDATE(BA$3,-12)+1)+1),IF($N62=0,0,$Q62/$N62*MAX(0,(IF($I62="",BA$3,MIN($I62,BA$3)))-(MAX($H62,(EDATE(BA$3,-12)+1)))+1)/(BA$3-(EDATE(BA$3,-12)+1)+1)))*$W62),MAX(0,AZ62-$M62)))</f>
        <v/>
      </c>
      <c r="BB62" s="81">
        <f>IF($K62="","",IF(AND($I62&lt;&gt;"",$I62&lt;=BA$3),0,AZ62-BA62))</f>
        <v/>
      </c>
      <c r="BC62" s="81">
        <f>IF(OR($K62="",$H62=""),"",MIN(MAX(0,IF($O62="WDV",BB62*$P62*MAX(0,(IF($I62="",BC$3,MIN($I62,BC$3)))-(MAX($H62,(EDATE(BC$3,-12)+1)))+1)/(BC$3-(EDATE(BC$3,-12)+1)+1),IF($N62=0,0,$Q62/$N62*MAX(0,(IF($I62="",BC$3,MIN($I62,BC$3)))-(MAX($H62,(EDATE(BC$3,-12)+1)))+1)/(BC$3-(EDATE(BC$3,-12)+1)+1)))*$W62),MAX(0,BB62-$M62)))</f>
        <v/>
      </c>
      <c r="BD62" s="81">
        <f>IF($K62="","",IF(AND($I62&lt;&gt;"",$I62&lt;=BC$3),0,BB62-BC62))</f>
        <v/>
      </c>
      <c r="BE62" s="81">
        <f>IF(OR($K62="",$H62=""),"",MIN(MAX(0,IF($O62="WDV",BD62*$P62*MAX(0,(IF($I62="",BE$3,MIN($I62,BE$3)))-(MAX($H62,(EDATE(BE$3,-12)+1)))+1)/(BE$3-(EDATE(BE$3,-12)+1)+1),IF($N62=0,0,$Q62/$N62*MAX(0,(IF($I62="",BE$3,MIN($I62,BE$3)))-(MAX($H62,(EDATE(BE$3,-12)+1)))+1)/(BE$3-(EDATE(BE$3,-12)+1)+1)))*$W62),MAX(0,BD62-$M62)))</f>
        <v/>
      </c>
      <c r="BF62" s="81">
        <f>IF($K62="","",IF(AND($I62&lt;&gt;"",$I62&lt;=BE$3),0,BD62-BE62))</f>
        <v/>
      </c>
    </row>
    <row r="63">
      <c r="A63" s="44" t="n"/>
      <c r="B63" s="45" t="n"/>
      <c r="C63" s="45" t="n"/>
      <c r="D63" s="45" t="n"/>
      <c r="E63" s="46" t="n"/>
      <c r="F63" s="47" t="n"/>
      <c r="G63" s="48" t="n"/>
      <c r="H63" s="48" t="n"/>
      <c r="I63" s="49" t="n"/>
      <c r="J63" s="50" t="n"/>
      <c r="K63" s="51" t="n"/>
      <c r="L63" s="52">
        <f>DefaultResidual</f>
        <v/>
      </c>
      <c r="M63" s="53">
        <f>IF($K63="","",$K63*$L63)</f>
        <v/>
      </c>
      <c r="N63" s="54">
        <f>IF($C63="","",IFERROR(VLOOKUP($C63,ScheduleIITable,3,FALSE),"#N/A"))</f>
        <v/>
      </c>
      <c r="O63" s="55">
        <f>IF($K63="","",GlobalMethod)</f>
        <v/>
      </c>
      <c r="P63" s="56">
        <f>IF(OR($K63="",$N63="",$N63=0,$M63=0),0,1-($M63/$K63)^(1/$N63))</f>
        <v/>
      </c>
      <c r="Q63" s="53">
        <f>IF($K63="","",$K63-$M63)</f>
        <v/>
      </c>
      <c r="R63" s="57">
        <f>IF($K63="","",INDEX($AA63:$BF63,1,MATCH(ReportingFYEnd,$AA$3:$BF$3,0)))</f>
        <v/>
      </c>
      <c r="S63" s="53">
        <f>IF($K63="","",IF($U63="Disposed",0,$K63-$T63))</f>
        <v/>
      </c>
      <c r="T63" s="58">
        <f>IF($K63="","",INDEX($AA63:$BF63,1,MATCH(ReportingFYEnd,$AA$3:$BF$3,0)+1))</f>
        <v/>
      </c>
      <c r="U63" s="59">
        <f>IF($K63="","",IF(AND($I63&lt;&gt;"",$I63&lt;=ReportingFYEnd),"Disposed",IF(OR($H63="",$H63&gt;ReportingFYEnd),"Not Yet in Use","Active")))</f>
        <v/>
      </c>
      <c r="V63" s="60" t="n"/>
      <c r="W63" s="61">
        <f>IF($V63="Double",1.5,IF($V63="Triple",2,1))</f>
        <v/>
      </c>
      <c r="X63" s="48" t="n"/>
      <c r="Y63" s="59">
        <f>IF($K63="","",IF(OR(ISNUMBER(SEARCH("Build",$C63)),ISNUMBER(SEARCH("Lease",$C63))),"Yes","NA"))</f>
        <v/>
      </c>
      <c r="Z63" s="62" t="n"/>
      <c r="AA63" s="63">
        <f>IF(OR($K63="",$H63=""),"",MIN(MAX(0,IF($O63="WDV",$K63*$P63*MAX(0,(IF($I63="",AA$3,MIN($I63,AA$3)))-(MAX($H63,(EDATE(AA$3,-12)+1)))+1)/(AA$3-(EDATE(AA$3,-12)+1)+1),IF($N63=0,0,$Q63/$N63*MAX(0,(IF($I63="",AA$3,MIN($I63,AA$3)))-(MAX($H63,(EDATE(AA$3,-12)+1)))+1)/(AA$3-(EDATE(AA$3,-12)+1)+1)))*$W63),MAX(0,$K63-$M63)))</f>
        <v/>
      </c>
      <c r="AB63" s="64">
        <f>IF($K63="","",IF(AND($I63&lt;&gt;"",$I63&lt;=AA$3),0,$K63-AA63))</f>
        <v/>
      </c>
      <c r="AC63" s="63">
        <f>IF(OR($K63="",$H63=""),"",MIN(MAX(0,IF($O63="WDV",AB63*$P63*MAX(0,(IF($I63="",AC$3,MIN($I63,AC$3)))-(MAX($H63,(EDATE(AC$3,-12)+1)))+1)/(AC$3-(EDATE(AC$3,-12)+1)+1),IF($N63=0,0,$Q63/$N63*MAX(0,(IF($I63="",AC$3,MIN($I63,AC$3)))-(MAX($H63,(EDATE(AC$3,-12)+1)))+1)/(AC$3-(EDATE(AC$3,-12)+1)+1)))*$W63),MAX(0,AB63-$M63)))</f>
        <v/>
      </c>
      <c r="AD63" s="64">
        <f>IF($K63="","",IF(AND($I63&lt;&gt;"",$I63&lt;=AC$3),0,AB63-AC63))</f>
        <v/>
      </c>
      <c r="AE63" s="63">
        <f>IF(OR($K63="",$H63=""),"",MIN(MAX(0,IF($O63="WDV",AD63*$P63*MAX(0,(IF($I63="",AE$3,MIN($I63,AE$3)))-(MAX($H63,(EDATE(AE$3,-12)+1)))+1)/(AE$3-(EDATE(AE$3,-12)+1)+1),IF($N63=0,0,$Q63/$N63*MAX(0,(IF($I63="",AE$3,MIN($I63,AE$3)))-(MAX($H63,(EDATE(AE$3,-12)+1)))+1)/(AE$3-(EDATE(AE$3,-12)+1)+1)))*$W63),MAX(0,AD63-$M63)))</f>
        <v/>
      </c>
      <c r="AF63" s="64">
        <f>IF($K63="","",IF(AND($I63&lt;&gt;"",$I63&lt;=AE$3),0,AD63-AE63))</f>
        <v/>
      </c>
      <c r="AG63" s="63">
        <f>IF(OR($K63="",$H63=""),"",MIN(MAX(0,IF($O63="WDV",AF63*$P63*MAX(0,(IF($I63="",AG$3,MIN($I63,AG$3)))-(MAX($H63,(EDATE(AG$3,-12)+1)))+1)/(AG$3-(EDATE(AG$3,-12)+1)+1),IF($N63=0,0,$Q63/$N63*MAX(0,(IF($I63="",AG$3,MIN($I63,AG$3)))-(MAX($H63,(EDATE(AG$3,-12)+1)))+1)/(AG$3-(EDATE(AG$3,-12)+1)+1)))*$W63),MAX(0,AF63-$M63)))</f>
        <v/>
      </c>
      <c r="AH63" s="64">
        <f>IF($K63="","",IF(AND($I63&lt;&gt;"",$I63&lt;=AG$3),0,AF63-AG63))</f>
        <v/>
      </c>
      <c r="AI63" s="63">
        <f>IF(OR($K63="",$H63=""),"",MIN(MAX(0,IF($O63="WDV",AH63*$P63*MAX(0,(IF($I63="",AI$3,MIN($I63,AI$3)))-(MAX($H63,(EDATE(AI$3,-12)+1)))+1)/(AI$3-(EDATE(AI$3,-12)+1)+1),IF($N63=0,0,$Q63/$N63*MAX(0,(IF($I63="",AI$3,MIN($I63,AI$3)))-(MAX($H63,(EDATE(AI$3,-12)+1)))+1)/(AI$3-(EDATE(AI$3,-12)+1)+1)))*$W63),MAX(0,AH63-$M63)))</f>
        <v/>
      </c>
      <c r="AJ63" s="64">
        <f>IF($K63="","",IF(AND($I63&lt;&gt;"",$I63&lt;=AI$3),0,AH63-AI63))</f>
        <v/>
      </c>
      <c r="AK63" s="63">
        <f>IF(OR($K63="",$H63=""),"",MIN(MAX(0,IF($O63="WDV",AJ63*$P63*MAX(0,(IF($I63="",AK$3,MIN($I63,AK$3)))-(MAX($H63,(EDATE(AK$3,-12)+1)))+1)/(AK$3-(EDATE(AK$3,-12)+1)+1),IF($N63=0,0,$Q63/$N63*MAX(0,(IF($I63="",AK$3,MIN($I63,AK$3)))-(MAX($H63,(EDATE(AK$3,-12)+1)))+1)/(AK$3-(EDATE(AK$3,-12)+1)+1)))*$W63),MAX(0,AJ63-$M63)))</f>
        <v/>
      </c>
      <c r="AL63" s="64">
        <f>IF($K63="","",IF(AND($I63&lt;&gt;"",$I63&lt;=AK$3),0,AJ63-AK63))</f>
        <v/>
      </c>
      <c r="AM63" s="63">
        <f>IF(OR($K63="",$H63=""),"",MIN(MAX(0,IF($O63="WDV",AL63*$P63*MAX(0,(IF($I63="",AM$3,MIN($I63,AM$3)))-(MAX($H63,(EDATE(AM$3,-12)+1)))+1)/(AM$3-(EDATE(AM$3,-12)+1)+1),IF($N63=0,0,$Q63/$N63*MAX(0,(IF($I63="",AM$3,MIN($I63,AM$3)))-(MAX($H63,(EDATE(AM$3,-12)+1)))+1)/(AM$3-(EDATE(AM$3,-12)+1)+1)))*$W63),MAX(0,AL63-$M63)))</f>
        <v/>
      </c>
      <c r="AN63" s="64">
        <f>IF($K63="","",IF(AND($I63&lt;&gt;"",$I63&lt;=AM$3),0,AL63-AM63))</f>
        <v/>
      </c>
      <c r="AO63" s="63">
        <f>IF(OR($K63="",$H63=""),"",MIN(MAX(0,IF($O63="WDV",AN63*$P63*MAX(0,(IF($I63="",AO$3,MIN($I63,AO$3)))-(MAX($H63,(EDATE(AO$3,-12)+1)))+1)/(AO$3-(EDATE(AO$3,-12)+1)+1),IF($N63=0,0,$Q63/$N63*MAX(0,(IF($I63="",AO$3,MIN($I63,AO$3)))-(MAX($H63,(EDATE(AO$3,-12)+1)))+1)/(AO$3-(EDATE(AO$3,-12)+1)+1)))*$W63),MAX(0,AN63-$M63)))</f>
        <v/>
      </c>
      <c r="AP63" s="64">
        <f>IF($K63="","",IF(AND($I63&lt;&gt;"",$I63&lt;=AO$3),0,AN63-AO63))</f>
        <v/>
      </c>
      <c r="AQ63" s="63">
        <f>IF(OR($K63="",$H63=""),"",MIN(MAX(0,IF($O63="WDV",AP63*$P63*MAX(0,(IF($I63="",AQ$3,MIN($I63,AQ$3)))-(MAX($H63,(EDATE(AQ$3,-12)+1)))+1)/(AQ$3-(EDATE(AQ$3,-12)+1)+1),IF($N63=0,0,$Q63/$N63*MAX(0,(IF($I63="",AQ$3,MIN($I63,AQ$3)))-(MAX($H63,(EDATE(AQ$3,-12)+1)))+1)/(AQ$3-(EDATE(AQ$3,-12)+1)+1)))*$W63),MAX(0,AP63-$M63)))</f>
        <v/>
      </c>
      <c r="AR63" s="64">
        <f>IF($K63="","",IF(AND($I63&lt;&gt;"",$I63&lt;=AQ$3),0,AP63-AQ63))</f>
        <v/>
      </c>
      <c r="AS63" s="63">
        <f>IF(OR($K63="",$H63=""),"",MIN(MAX(0,IF($O63="WDV",AR63*$P63*MAX(0,(IF($I63="",AS$3,MIN($I63,AS$3)))-(MAX($H63,(EDATE(AS$3,-12)+1)))+1)/(AS$3-(EDATE(AS$3,-12)+1)+1),IF($N63=0,0,$Q63/$N63*MAX(0,(IF($I63="",AS$3,MIN($I63,AS$3)))-(MAX($H63,(EDATE(AS$3,-12)+1)))+1)/(AS$3-(EDATE(AS$3,-12)+1)+1)))*$W63),MAX(0,AR63-$M63)))</f>
        <v/>
      </c>
      <c r="AT63" s="64">
        <f>IF($K63="","",IF(AND($I63&lt;&gt;"",$I63&lt;=AS$3),0,AR63-AS63))</f>
        <v/>
      </c>
      <c r="AU63" s="63">
        <f>IF(OR($K63="",$H63=""),"",MIN(MAX(0,IF($O63="WDV",AT63*$P63*MAX(0,(IF($I63="",AU$3,MIN($I63,AU$3)))-(MAX($H63,(EDATE(AU$3,-12)+1)))+1)/(AU$3-(EDATE(AU$3,-12)+1)+1),IF($N63=0,0,$Q63/$N63*MAX(0,(IF($I63="",AU$3,MIN($I63,AU$3)))-(MAX($H63,(EDATE(AU$3,-12)+1)))+1)/(AU$3-(EDATE(AU$3,-12)+1)+1)))*$W63),MAX(0,AT63-$M63)))</f>
        <v/>
      </c>
      <c r="AV63" s="64">
        <f>IF($K63="","",IF(AND($I63&lt;&gt;"",$I63&lt;=AU$3),0,AT63-AU63))</f>
        <v/>
      </c>
      <c r="AW63" s="63">
        <f>IF(OR($K63="",$H63=""),"",MIN(MAX(0,IF($O63="WDV",AV63*$P63*MAX(0,(IF($I63="",AW$3,MIN($I63,AW$3)))-(MAX($H63,(EDATE(AW$3,-12)+1)))+1)/(AW$3-(EDATE(AW$3,-12)+1)+1),IF($N63=0,0,$Q63/$N63*MAX(0,(IF($I63="",AW$3,MIN($I63,AW$3)))-(MAX($H63,(EDATE(AW$3,-12)+1)))+1)/(AW$3-(EDATE(AW$3,-12)+1)+1)))*$W63),MAX(0,AV63-$M63)))</f>
        <v/>
      </c>
      <c r="AX63" s="64">
        <f>IF($K63="","",IF(AND($I63&lt;&gt;"",$I63&lt;=AW$3),0,AV63-AW63))</f>
        <v/>
      </c>
      <c r="AY63" s="63">
        <f>IF(OR($K63="",$H63=""),"",MIN(MAX(0,IF($O63="WDV",AX63*$P63*MAX(0,(IF($I63="",AY$3,MIN($I63,AY$3)))-(MAX($H63,(EDATE(AY$3,-12)+1)))+1)/(AY$3-(EDATE(AY$3,-12)+1)+1),IF($N63=0,0,$Q63/$N63*MAX(0,(IF($I63="",AY$3,MIN($I63,AY$3)))-(MAX($H63,(EDATE(AY$3,-12)+1)))+1)/(AY$3-(EDATE(AY$3,-12)+1)+1)))*$W63),MAX(0,AX63-$M63)))</f>
        <v/>
      </c>
      <c r="AZ63" s="64">
        <f>IF($K63="","",IF(AND($I63&lt;&gt;"",$I63&lt;=AY$3),0,AX63-AY63))</f>
        <v/>
      </c>
      <c r="BA63" s="63">
        <f>IF(OR($K63="",$H63=""),"",MIN(MAX(0,IF($O63="WDV",AZ63*$P63*MAX(0,(IF($I63="",BA$3,MIN($I63,BA$3)))-(MAX($H63,(EDATE(BA$3,-12)+1)))+1)/(BA$3-(EDATE(BA$3,-12)+1)+1),IF($N63=0,0,$Q63/$N63*MAX(0,(IF($I63="",BA$3,MIN($I63,BA$3)))-(MAX($H63,(EDATE(BA$3,-12)+1)))+1)/(BA$3-(EDATE(BA$3,-12)+1)+1)))*$W63),MAX(0,AZ63-$M63)))</f>
        <v/>
      </c>
      <c r="BB63" s="64">
        <f>IF($K63="","",IF(AND($I63&lt;&gt;"",$I63&lt;=BA$3),0,AZ63-BA63))</f>
        <v/>
      </c>
      <c r="BC63" s="63">
        <f>IF(OR($K63="",$H63=""),"",MIN(MAX(0,IF($O63="WDV",BB63*$P63*MAX(0,(IF($I63="",BC$3,MIN($I63,BC$3)))-(MAX($H63,(EDATE(BC$3,-12)+1)))+1)/(BC$3-(EDATE(BC$3,-12)+1)+1),IF($N63=0,0,$Q63/$N63*MAX(0,(IF($I63="",BC$3,MIN($I63,BC$3)))-(MAX($H63,(EDATE(BC$3,-12)+1)))+1)/(BC$3-(EDATE(BC$3,-12)+1)+1)))*$W63),MAX(0,BB63-$M63)))</f>
        <v/>
      </c>
      <c r="BD63" s="64">
        <f>IF($K63="","",IF(AND($I63&lt;&gt;"",$I63&lt;=BC$3),0,BB63-BC63))</f>
        <v/>
      </c>
      <c r="BE63" s="63">
        <f>IF(OR($K63="",$H63=""),"",MIN(MAX(0,IF($O63="WDV",BD63*$P63*MAX(0,(IF($I63="",BE$3,MIN($I63,BE$3)))-(MAX($H63,(EDATE(BE$3,-12)+1)))+1)/(BE$3-(EDATE(BE$3,-12)+1)+1),IF($N63=0,0,$Q63/$N63*MAX(0,(IF($I63="",BE$3,MIN($I63,BE$3)))-(MAX($H63,(EDATE(BE$3,-12)+1)))+1)/(BE$3-(EDATE(BE$3,-12)+1)+1)))*$W63),MAX(0,BD63-$M63)))</f>
        <v/>
      </c>
      <c r="BF63" s="64">
        <f>IF($K63="","",IF(AND($I63&lt;&gt;"",$I63&lt;=BE$3),0,BD63-BE63))</f>
        <v/>
      </c>
    </row>
    <row r="64">
      <c r="A64" s="65" t="n"/>
      <c r="B64" s="66" t="n"/>
      <c r="C64" s="66" t="n"/>
      <c r="D64" s="66" t="n"/>
      <c r="E64" s="67" t="n"/>
      <c r="F64" s="68" t="n"/>
      <c r="G64" s="69" t="n"/>
      <c r="H64" s="69" t="n"/>
      <c r="I64" s="70" t="n"/>
      <c r="J64" s="71" t="n"/>
      <c r="K64" s="72" t="n"/>
      <c r="L64" s="73">
        <f>DefaultResidual</f>
        <v/>
      </c>
      <c r="M64" s="74">
        <f>IF($K64="","",$K64*$L64)</f>
        <v/>
      </c>
      <c r="N64" s="22">
        <f>IF($C64="","",IFERROR(VLOOKUP($C64,ScheduleIITable,3,FALSE),"#N/A"))</f>
        <v/>
      </c>
      <c r="O64" s="75">
        <f>IF($K64="","",GlobalMethod)</f>
        <v/>
      </c>
      <c r="P64" s="23">
        <f>IF(OR($K64="",$N64="",$N64=0,$M64=0),0,1-($M64/$K64)^(1/$N64))</f>
        <v/>
      </c>
      <c r="Q64" s="74">
        <f>IF($K64="","",$K64-$M64)</f>
        <v/>
      </c>
      <c r="R64" s="76">
        <f>IF($K64="","",INDEX($AA64:$BF64,1,MATCH(ReportingFYEnd,$AA$3:$BF$3,0)))</f>
        <v/>
      </c>
      <c r="S64" s="74">
        <f>IF($K64="","",IF($U64="Disposed",0,$K64-$T64))</f>
        <v/>
      </c>
      <c r="T64" s="77">
        <f>IF($K64="","",INDEX($AA64:$BF64,1,MATCH(ReportingFYEnd,$AA$3:$BF$3,0)+1))</f>
        <v/>
      </c>
      <c r="U64" s="78">
        <f>IF($K64="","",IF(AND($I64&lt;&gt;"",$I64&lt;=ReportingFYEnd),"Disposed",IF(OR($H64="",$H64&gt;ReportingFYEnd),"Not Yet in Use","Active")))</f>
        <v/>
      </c>
      <c r="V64" s="79" t="n"/>
      <c r="W64" s="80">
        <f>IF($V64="Double",1.5,IF($V64="Triple",2,1))</f>
        <v/>
      </c>
      <c r="X64" s="69" t="n"/>
      <c r="Y64" s="78">
        <f>IF($K64="","",IF(OR(ISNUMBER(SEARCH("Build",$C64)),ISNUMBER(SEARCH("Lease",$C64))),"Yes","NA"))</f>
        <v/>
      </c>
      <c r="Z64" s="21" t="n"/>
      <c r="AA64" s="81">
        <f>IF(OR($K64="",$H64=""),"",MIN(MAX(0,IF($O64="WDV",$K64*$P64*MAX(0,(IF($I64="",AA$3,MIN($I64,AA$3)))-(MAX($H64,(EDATE(AA$3,-12)+1)))+1)/(AA$3-(EDATE(AA$3,-12)+1)+1),IF($N64=0,0,$Q64/$N64*MAX(0,(IF($I64="",AA$3,MIN($I64,AA$3)))-(MAX($H64,(EDATE(AA$3,-12)+1)))+1)/(AA$3-(EDATE(AA$3,-12)+1)+1)))*$W64),MAX(0,$K64-$M64)))</f>
        <v/>
      </c>
      <c r="AB64" s="81">
        <f>IF($K64="","",IF(AND($I64&lt;&gt;"",$I64&lt;=AA$3),0,$K64-AA64))</f>
        <v/>
      </c>
      <c r="AC64" s="81">
        <f>IF(OR($K64="",$H64=""),"",MIN(MAX(0,IF($O64="WDV",AB64*$P64*MAX(0,(IF($I64="",AC$3,MIN($I64,AC$3)))-(MAX($H64,(EDATE(AC$3,-12)+1)))+1)/(AC$3-(EDATE(AC$3,-12)+1)+1),IF($N64=0,0,$Q64/$N64*MAX(0,(IF($I64="",AC$3,MIN($I64,AC$3)))-(MAX($H64,(EDATE(AC$3,-12)+1)))+1)/(AC$3-(EDATE(AC$3,-12)+1)+1)))*$W64),MAX(0,AB64-$M64)))</f>
        <v/>
      </c>
      <c r="AD64" s="81">
        <f>IF($K64="","",IF(AND($I64&lt;&gt;"",$I64&lt;=AC$3),0,AB64-AC64))</f>
        <v/>
      </c>
      <c r="AE64" s="81">
        <f>IF(OR($K64="",$H64=""),"",MIN(MAX(0,IF($O64="WDV",AD64*$P64*MAX(0,(IF($I64="",AE$3,MIN($I64,AE$3)))-(MAX($H64,(EDATE(AE$3,-12)+1)))+1)/(AE$3-(EDATE(AE$3,-12)+1)+1),IF($N64=0,0,$Q64/$N64*MAX(0,(IF($I64="",AE$3,MIN($I64,AE$3)))-(MAX($H64,(EDATE(AE$3,-12)+1)))+1)/(AE$3-(EDATE(AE$3,-12)+1)+1)))*$W64),MAX(0,AD64-$M64)))</f>
        <v/>
      </c>
      <c r="AF64" s="81">
        <f>IF($K64="","",IF(AND($I64&lt;&gt;"",$I64&lt;=AE$3),0,AD64-AE64))</f>
        <v/>
      </c>
      <c r="AG64" s="81">
        <f>IF(OR($K64="",$H64=""),"",MIN(MAX(0,IF($O64="WDV",AF64*$P64*MAX(0,(IF($I64="",AG$3,MIN($I64,AG$3)))-(MAX($H64,(EDATE(AG$3,-12)+1)))+1)/(AG$3-(EDATE(AG$3,-12)+1)+1),IF($N64=0,0,$Q64/$N64*MAX(0,(IF($I64="",AG$3,MIN($I64,AG$3)))-(MAX($H64,(EDATE(AG$3,-12)+1)))+1)/(AG$3-(EDATE(AG$3,-12)+1)+1)))*$W64),MAX(0,AF64-$M64)))</f>
        <v/>
      </c>
      <c r="AH64" s="81">
        <f>IF($K64="","",IF(AND($I64&lt;&gt;"",$I64&lt;=AG$3),0,AF64-AG64))</f>
        <v/>
      </c>
      <c r="AI64" s="81">
        <f>IF(OR($K64="",$H64=""),"",MIN(MAX(0,IF($O64="WDV",AH64*$P64*MAX(0,(IF($I64="",AI$3,MIN($I64,AI$3)))-(MAX($H64,(EDATE(AI$3,-12)+1)))+1)/(AI$3-(EDATE(AI$3,-12)+1)+1),IF($N64=0,0,$Q64/$N64*MAX(0,(IF($I64="",AI$3,MIN($I64,AI$3)))-(MAX($H64,(EDATE(AI$3,-12)+1)))+1)/(AI$3-(EDATE(AI$3,-12)+1)+1)))*$W64),MAX(0,AH64-$M64)))</f>
        <v/>
      </c>
      <c r="AJ64" s="81">
        <f>IF($K64="","",IF(AND($I64&lt;&gt;"",$I64&lt;=AI$3),0,AH64-AI64))</f>
        <v/>
      </c>
      <c r="AK64" s="81">
        <f>IF(OR($K64="",$H64=""),"",MIN(MAX(0,IF($O64="WDV",AJ64*$P64*MAX(0,(IF($I64="",AK$3,MIN($I64,AK$3)))-(MAX($H64,(EDATE(AK$3,-12)+1)))+1)/(AK$3-(EDATE(AK$3,-12)+1)+1),IF($N64=0,0,$Q64/$N64*MAX(0,(IF($I64="",AK$3,MIN($I64,AK$3)))-(MAX($H64,(EDATE(AK$3,-12)+1)))+1)/(AK$3-(EDATE(AK$3,-12)+1)+1)))*$W64),MAX(0,AJ64-$M64)))</f>
        <v/>
      </c>
      <c r="AL64" s="81">
        <f>IF($K64="","",IF(AND($I64&lt;&gt;"",$I64&lt;=AK$3),0,AJ64-AK64))</f>
        <v/>
      </c>
      <c r="AM64" s="81">
        <f>IF(OR($K64="",$H64=""),"",MIN(MAX(0,IF($O64="WDV",AL64*$P64*MAX(0,(IF($I64="",AM$3,MIN($I64,AM$3)))-(MAX($H64,(EDATE(AM$3,-12)+1)))+1)/(AM$3-(EDATE(AM$3,-12)+1)+1),IF($N64=0,0,$Q64/$N64*MAX(0,(IF($I64="",AM$3,MIN($I64,AM$3)))-(MAX($H64,(EDATE(AM$3,-12)+1)))+1)/(AM$3-(EDATE(AM$3,-12)+1)+1)))*$W64),MAX(0,AL64-$M64)))</f>
        <v/>
      </c>
      <c r="AN64" s="81">
        <f>IF($K64="","",IF(AND($I64&lt;&gt;"",$I64&lt;=AM$3),0,AL64-AM64))</f>
        <v/>
      </c>
      <c r="AO64" s="81">
        <f>IF(OR($K64="",$H64=""),"",MIN(MAX(0,IF($O64="WDV",AN64*$P64*MAX(0,(IF($I64="",AO$3,MIN($I64,AO$3)))-(MAX($H64,(EDATE(AO$3,-12)+1)))+1)/(AO$3-(EDATE(AO$3,-12)+1)+1),IF($N64=0,0,$Q64/$N64*MAX(0,(IF($I64="",AO$3,MIN($I64,AO$3)))-(MAX($H64,(EDATE(AO$3,-12)+1)))+1)/(AO$3-(EDATE(AO$3,-12)+1)+1)))*$W64),MAX(0,AN64-$M64)))</f>
        <v/>
      </c>
      <c r="AP64" s="81">
        <f>IF($K64="","",IF(AND($I64&lt;&gt;"",$I64&lt;=AO$3),0,AN64-AO64))</f>
        <v/>
      </c>
      <c r="AQ64" s="81">
        <f>IF(OR($K64="",$H64=""),"",MIN(MAX(0,IF($O64="WDV",AP64*$P64*MAX(0,(IF($I64="",AQ$3,MIN($I64,AQ$3)))-(MAX($H64,(EDATE(AQ$3,-12)+1)))+1)/(AQ$3-(EDATE(AQ$3,-12)+1)+1),IF($N64=0,0,$Q64/$N64*MAX(0,(IF($I64="",AQ$3,MIN($I64,AQ$3)))-(MAX($H64,(EDATE(AQ$3,-12)+1)))+1)/(AQ$3-(EDATE(AQ$3,-12)+1)+1)))*$W64),MAX(0,AP64-$M64)))</f>
        <v/>
      </c>
      <c r="AR64" s="81">
        <f>IF($K64="","",IF(AND($I64&lt;&gt;"",$I64&lt;=AQ$3),0,AP64-AQ64))</f>
        <v/>
      </c>
      <c r="AS64" s="81">
        <f>IF(OR($K64="",$H64=""),"",MIN(MAX(0,IF($O64="WDV",AR64*$P64*MAX(0,(IF($I64="",AS$3,MIN($I64,AS$3)))-(MAX($H64,(EDATE(AS$3,-12)+1)))+1)/(AS$3-(EDATE(AS$3,-12)+1)+1),IF($N64=0,0,$Q64/$N64*MAX(0,(IF($I64="",AS$3,MIN($I64,AS$3)))-(MAX($H64,(EDATE(AS$3,-12)+1)))+1)/(AS$3-(EDATE(AS$3,-12)+1)+1)))*$W64),MAX(0,AR64-$M64)))</f>
        <v/>
      </c>
      <c r="AT64" s="81">
        <f>IF($K64="","",IF(AND($I64&lt;&gt;"",$I64&lt;=AS$3),0,AR64-AS64))</f>
        <v/>
      </c>
      <c r="AU64" s="81">
        <f>IF(OR($K64="",$H64=""),"",MIN(MAX(0,IF($O64="WDV",AT64*$P64*MAX(0,(IF($I64="",AU$3,MIN($I64,AU$3)))-(MAX($H64,(EDATE(AU$3,-12)+1)))+1)/(AU$3-(EDATE(AU$3,-12)+1)+1),IF($N64=0,0,$Q64/$N64*MAX(0,(IF($I64="",AU$3,MIN($I64,AU$3)))-(MAX($H64,(EDATE(AU$3,-12)+1)))+1)/(AU$3-(EDATE(AU$3,-12)+1)+1)))*$W64),MAX(0,AT64-$M64)))</f>
        <v/>
      </c>
      <c r="AV64" s="81">
        <f>IF($K64="","",IF(AND($I64&lt;&gt;"",$I64&lt;=AU$3),0,AT64-AU64))</f>
        <v/>
      </c>
      <c r="AW64" s="81">
        <f>IF(OR($K64="",$H64=""),"",MIN(MAX(0,IF($O64="WDV",AV64*$P64*MAX(0,(IF($I64="",AW$3,MIN($I64,AW$3)))-(MAX($H64,(EDATE(AW$3,-12)+1)))+1)/(AW$3-(EDATE(AW$3,-12)+1)+1),IF($N64=0,0,$Q64/$N64*MAX(0,(IF($I64="",AW$3,MIN($I64,AW$3)))-(MAX($H64,(EDATE(AW$3,-12)+1)))+1)/(AW$3-(EDATE(AW$3,-12)+1)+1)))*$W64),MAX(0,AV64-$M64)))</f>
        <v/>
      </c>
      <c r="AX64" s="81">
        <f>IF($K64="","",IF(AND($I64&lt;&gt;"",$I64&lt;=AW$3),0,AV64-AW64))</f>
        <v/>
      </c>
      <c r="AY64" s="81">
        <f>IF(OR($K64="",$H64=""),"",MIN(MAX(0,IF($O64="WDV",AX64*$P64*MAX(0,(IF($I64="",AY$3,MIN($I64,AY$3)))-(MAX($H64,(EDATE(AY$3,-12)+1)))+1)/(AY$3-(EDATE(AY$3,-12)+1)+1),IF($N64=0,0,$Q64/$N64*MAX(0,(IF($I64="",AY$3,MIN($I64,AY$3)))-(MAX($H64,(EDATE(AY$3,-12)+1)))+1)/(AY$3-(EDATE(AY$3,-12)+1)+1)))*$W64),MAX(0,AX64-$M64)))</f>
        <v/>
      </c>
      <c r="AZ64" s="81">
        <f>IF($K64="","",IF(AND($I64&lt;&gt;"",$I64&lt;=AY$3),0,AX64-AY64))</f>
        <v/>
      </c>
      <c r="BA64" s="81">
        <f>IF(OR($K64="",$H64=""),"",MIN(MAX(0,IF($O64="WDV",AZ64*$P64*MAX(0,(IF($I64="",BA$3,MIN($I64,BA$3)))-(MAX($H64,(EDATE(BA$3,-12)+1)))+1)/(BA$3-(EDATE(BA$3,-12)+1)+1),IF($N64=0,0,$Q64/$N64*MAX(0,(IF($I64="",BA$3,MIN($I64,BA$3)))-(MAX($H64,(EDATE(BA$3,-12)+1)))+1)/(BA$3-(EDATE(BA$3,-12)+1)+1)))*$W64),MAX(0,AZ64-$M64)))</f>
        <v/>
      </c>
      <c r="BB64" s="81">
        <f>IF($K64="","",IF(AND($I64&lt;&gt;"",$I64&lt;=BA$3),0,AZ64-BA64))</f>
        <v/>
      </c>
      <c r="BC64" s="81">
        <f>IF(OR($K64="",$H64=""),"",MIN(MAX(0,IF($O64="WDV",BB64*$P64*MAX(0,(IF($I64="",BC$3,MIN($I64,BC$3)))-(MAX($H64,(EDATE(BC$3,-12)+1)))+1)/(BC$3-(EDATE(BC$3,-12)+1)+1),IF($N64=0,0,$Q64/$N64*MAX(0,(IF($I64="",BC$3,MIN($I64,BC$3)))-(MAX($H64,(EDATE(BC$3,-12)+1)))+1)/(BC$3-(EDATE(BC$3,-12)+1)+1)))*$W64),MAX(0,BB64-$M64)))</f>
        <v/>
      </c>
      <c r="BD64" s="81">
        <f>IF($K64="","",IF(AND($I64&lt;&gt;"",$I64&lt;=BC$3),0,BB64-BC64))</f>
        <v/>
      </c>
      <c r="BE64" s="81">
        <f>IF(OR($K64="",$H64=""),"",MIN(MAX(0,IF($O64="WDV",BD64*$P64*MAX(0,(IF($I64="",BE$3,MIN($I64,BE$3)))-(MAX($H64,(EDATE(BE$3,-12)+1)))+1)/(BE$3-(EDATE(BE$3,-12)+1)+1),IF($N64=0,0,$Q64/$N64*MAX(0,(IF($I64="",BE$3,MIN($I64,BE$3)))-(MAX($H64,(EDATE(BE$3,-12)+1)))+1)/(BE$3-(EDATE(BE$3,-12)+1)+1)))*$W64),MAX(0,BD64-$M64)))</f>
        <v/>
      </c>
      <c r="BF64" s="81">
        <f>IF($K64="","",IF(AND($I64&lt;&gt;"",$I64&lt;=BE$3),0,BD64-BE64))</f>
        <v/>
      </c>
    </row>
    <row r="65">
      <c r="A65" s="82" t="inlineStr">
        <is>
          <t>TOTAL</t>
        </is>
      </c>
      <c r="B65" s="83" t="inlineStr"/>
      <c r="C65" s="83" t="inlineStr"/>
      <c r="D65" s="83" t="inlineStr"/>
      <c r="E65" s="83" t="inlineStr"/>
      <c r="F65" s="83" t="inlineStr"/>
      <c r="G65" s="83" t="inlineStr"/>
      <c r="H65" s="83" t="inlineStr"/>
      <c r="I65" s="83" t="inlineStr"/>
      <c r="J65" s="84">
        <f>SUM(J5:J64)</f>
        <v/>
      </c>
      <c r="K65" s="84">
        <f>SUM(K5:K64)</f>
        <v/>
      </c>
      <c r="L65" s="83" t="inlineStr"/>
      <c r="M65" s="84">
        <f>SUM(M5:M64)</f>
        <v/>
      </c>
      <c r="N65" s="83" t="inlineStr"/>
      <c r="O65" s="83" t="inlineStr"/>
      <c r="P65" s="83" t="inlineStr"/>
      <c r="Q65" s="84">
        <f>SUM(Q5:Q64)</f>
        <v/>
      </c>
      <c r="R65" s="84">
        <f>SUM(R5:R64)</f>
        <v/>
      </c>
      <c r="S65" s="84">
        <f>SUM(S5:S64)</f>
        <v/>
      </c>
      <c r="T65" s="84">
        <f>SUM(T5:T64)</f>
        <v/>
      </c>
      <c r="U65" s="83" t="inlineStr"/>
      <c r="V65" s="83" t="inlineStr"/>
      <c r="W65" s="83" t="inlineStr"/>
      <c r="X65" s="83" t="inlineStr"/>
      <c r="Y65" s="83" t="inlineStr"/>
      <c r="Z65" s="83" t="inlineStr"/>
      <c r="AA65" s="85">
        <f>SUM(AA5:AA64)</f>
        <v/>
      </c>
      <c r="AB65" s="85">
        <f>SUM(AB5:AB64)</f>
        <v/>
      </c>
      <c r="AC65" s="85">
        <f>SUM(AC5:AC64)</f>
        <v/>
      </c>
      <c r="AD65" s="85">
        <f>SUM(AD5:AD64)</f>
        <v/>
      </c>
      <c r="AE65" s="85">
        <f>SUM(AE5:AE64)</f>
        <v/>
      </c>
      <c r="AF65" s="85">
        <f>SUM(AF5:AF64)</f>
        <v/>
      </c>
      <c r="AG65" s="85">
        <f>SUM(AG5:AG64)</f>
        <v/>
      </c>
      <c r="AH65" s="85">
        <f>SUM(AH5:AH64)</f>
        <v/>
      </c>
      <c r="AI65" s="85">
        <f>SUM(AI5:AI64)</f>
        <v/>
      </c>
      <c r="AJ65" s="85">
        <f>SUM(AJ5:AJ64)</f>
        <v/>
      </c>
      <c r="AK65" s="85">
        <f>SUM(AK5:AK64)</f>
        <v/>
      </c>
      <c r="AL65" s="85">
        <f>SUM(AL5:AL64)</f>
        <v/>
      </c>
      <c r="AM65" s="85">
        <f>SUM(AM5:AM64)</f>
        <v/>
      </c>
      <c r="AN65" s="85">
        <f>SUM(AN5:AN64)</f>
        <v/>
      </c>
      <c r="AO65" s="85">
        <f>SUM(AO5:AO64)</f>
        <v/>
      </c>
      <c r="AP65" s="85">
        <f>SUM(AP5:AP64)</f>
        <v/>
      </c>
      <c r="AQ65" s="85">
        <f>SUM(AQ5:AQ64)</f>
        <v/>
      </c>
      <c r="AR65" s="85">
        <f>SUM(AR5:AR64)</f>
        <v/>
      </c>
      <c r="AS65" s="85">
        <f>SUM(AS5:AS64)</f>
        <v/>
      </c>
      <c r="AT65" s="85">
        <f>SUM(AT5:AT64)</f>
        <v/>
      </c>
      <c r="AU65" s="85">
        <f>SUM(AU5:AU64)</f>
        <v/>
      </c>
      <c r="AV65" s="85">
        <f>SUM(AV5:AV64)</f>
        <v/>
      </c>
      <c r="AW65" s="85">
        <f>SUM(AW5:AW64)</f>
        <v/>
      </c>
      <c r="AX65" s="85">
        <f>SUM(AX5:AX64)</f>
        <v/>
      </c>
      <c r="AY65" s="85">
        <f>SUM(AY5:AY64)</f>
        <v/>
      </c>
      <c r="AZ65" s="85">
        <f>SUM(AZ5:AZ64)</f>
        <v/>
      </c>
      <c r="BA65" s="85">
        <f>SUM(BA5:BA64)</f>
        <v/>
      </c>
      <c r="BB65" s="85">
        <f>SUM(BB5:BB64)</f>
        <v/>
      </c>
      <c r="BC65" s="85">
        <f>SUM(BC5:BC64)</f>
        <v/>
      </c>
      <c r="BD65" s="85">
        <f>SUM(BD5:BD64)</f>
        <v/>
      </c>
      <c r="BE65" s="85">
        <f>SUM(BE5:BE64)</f>
        <v/>
      </c>
      <c r="BF65" s="85">
        <f>SUM(BF5:BF64)</f>
        <v/>
      </c>
    </row>
  </sheetData>
  <mergeCells count="7">
    <mergeCell ref="R3:U3"/>
    <mergeCell ref="V3:Z3"/>
    <mergeCell ref="A1:BF1"/>
    <mergeCell ref="K3:Q3"/>
    <mergeCell ref="J3"/>
    <mergeCell ref="A3:I3"/>
    <mergeCell ref="A2:BF2"/>
  </mergeCells>
  <conditionalFormatting sqref="A5:Z64">
    <cfRule type="expression" priority="1" dxfId="0">
      <formula>$U5="Disposed"</formula>
    </cfRule>
  </conditionalFormatting>
  <conditionalFormatting sqref="N5:N64">
    <cfRule type="expression" priority="2" dxfId="1">
      <formula>$N5="#N/A"</formula>
    </cfRule>
  </conditionalFormatting>
  <dataValidations count="3">
    <dataValidation sqref="C5:C64" showDropDown="0" showInputMessage="0" showErrorMessage="0" allowBlank="1" error="Pick a category from the Schedule II master (Input sheet)." prompt="Select an asset category (drives useful life &amp; rate)." type="list">
      <formula1>AssetCategories</formula1>
    </dataValidation>
    <dataValidation sqref="V5:V64" showDropDown="0" showInputMessage="0" showErrorMessage="0" allowBlank="1" prompt="Single shift = normal. Double shift = +50% dep, Triple = +100% (Schedule II). NESD = no extra-shift depreciation." type="list">
      <formula1>"Single,Double,Triple,NESD"</formula1>
    </dataValidation>
    <dataValidation sqref="Y5:Y64" showDropDown="0" showInputMessage="0" showErrorMessage="0" allowBlank="1" prompt="Is the title deed of this immovable property held in the company's name?" type="list">
      <formula1>"Yes,No,NA"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B2:R4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2" ht="26" customHeight="1">
      <c r="B2" s="86" t="inlineStr">
        <is>
          <t>DEPRECIATION REPORTS – YEAR-WISE SCHEDULE</t>
        </is>
      </c>
    </row>
    <row r="3">
      <c r="B3" s="87">
        <f>"Method: "&amp;GlobalMethod&amp;"   |   All figures auto-link to the FAR sheet"</f>
        <v/>
      </c>
    </row>
    <row r="5">
      <c r="B5" s="3" t="inlineStr">
        <is>
          <t>A.  YEAR-WISE DEPRECIATION &amp; NET BLOCK MOVEMENT</t>
        </is>
      </c>
      <c r="C5" s="29" t="n"/>
      <c r="D5" s="29" t="n"/>
      <c r="E5" s="29" t="n"/>
      <c r="F5" s="29" t="n"/>
      <c r="G5" s="29" t="n"/>
      <c r="H5" s="30" t="n"/>
    </row>
    <row r="6" ht="30" customHeight="1">
      <c r="B6" s="88" t="inlineStr">
        <is>
          <t>Financial Year</t>
        </is>
      </c>
      <c r="C6" s="88" t="inlineStr">
        <is>
          <t>Dep for the Year (Rs.)</t>
        </is>
      </c>
      <c r="D6" s="88" t="inlineStr">
        <is>
          <t>Cumulative Dep (Rs.)</t>
        </is>
      </c>
      <c r="E6" s="88" t="inlineStr">
        <is>
          <t>Closing Net Block / WDV (Rs.)</t>
        </is>
      </c>
    </row>
    <row r="7">
      <c r="B7" s="89">
        <f>"FY "&amp;TEXT(FAR!AA$3,"yyyy")</f>
        <v/>
      </c>
      <c r="C7" s="90">
        <f>FAR!AA65</f>
        <v/>
      </c>
      <c r="D7" s="90">
        <f>C7</f>
        <v/>
      </c>
      <c r="E7" s="91">
        <f>FAR!AB65</f>
        <v/>
      </c>
    </row>
    <row r="8">
      <c r="B8" s="65">
        <f>"FY "&amp;TEXT(FAR!AC$3,"yyyy")</f>
        <v/>
      </c>
      <c r="C8" s="74">
        <f>FAR!AC65</f>
        <v/>
      </c>
      <c r="D8" s="74">
        <f>D7+C8</f>
        <v/>
      </c>
      <c r="E8" s="77">
        <f>FAR!AD65</f>
        <v/>
      </c>
    </row>
    <row r="9">
      <c r="B9" s="89">
        <f>"FY "&amp;TEXT(FAR!AE$3,"yyyy")</f>
        <v/>
      </c>
      <c r="C9" s="90">
        <f>FAR!AE65</f>
        <v/>
      </c>
      <c r="D9" s="90">
        <f>D8+C9</f>
        <v/>
      </c>
      <c r="E9" s="91">
        <f>FAR!AF65</f>
        <v/>
      </c>
    </row>
    <row r="10">
      <c r="B10" s="65">
        <f>"FY "&amp;TEXT(FAR!AG$3,"yyyy")</f>
        <v/>
      </c>
      <c r="C10" s="74">
        <f>FAR!AG65</f>
        <v/>
      </c>
      <c r="D10" s="74">
        <f>D9+C10</f>
        <v/>
      </c>
      <c r="E10" s="77">
        <f>FAR!AH65</f>
        <v/>
      </c>
    </row>
    <row r="11">
      <c r="B11" s="89">
        <f>"FY "&amp;TEXT(FAR!AI$3,"yyyy")</f>
        <v/>
      </c>
      <c r="C11" s="90">
        <f>FAR!AI65</f>
        <v/>
      </c>
      <c r="D11" s="90">
        <f>D10+C11</f>
        <v/>
      </c>
      <c r="E11" s="91">
        <f>FAR!AJ65</f>
        <v/>
      </c>
    </row>
    <row r="12">
      <c r="B12" s="65">
        <f>"FY "&amp;TEXT(FAR!AK$3,"yyyy")</f>
        <v/>
      </c>
      <c r="C12" s="74">
        <f>FAR!AK65</f>
        <v/>
      </c>
      <c r="D12" s="74">
        <f>D11+C12</f>
        <v/>
      </c>
      <c r="E12" s="77">
        <f>FAR!AL65</f>
        <v/>
      </c>
    </row>
    <row r="13">
      <c r="B13" s="89">
        <f>"FY "&amp;TEXT(FAR!AM$3,"yyyy")</f>
        <v/>
      </c>
      <c r="C13" s="90">
        <f>FAR!AM65</f>
        <v/>
      </c>
      <c r="D13" s="90">
        <f>D12+C13</f>
        <v/>
      </c>
      <c r="E13" s="91">
        <f>FAR!AN65</f>
        <v/>
      </c>
    </row>
    <row r="14">
      <c r="B14" s="65">
        <f>"FY "&amp;TEXT(FAR!AO$3,"yyyy")</f>
        <v/>
      </c>
      <c r="C14" s="74">
        <f>FAR!AO65</f>
        <v/>
      </c>
      <c r="D14" s="74">
        <f>D13+C14</f>
        <v/>
      </c>
      <c r="E14" s="77">
        <f>FAR!AP65</f>
        <v/>
      </c>
    </row>
    <row r="15">
      <c r="B15" s="89">
        <f>"FY "&amp;TEXT(FAR!AQ$3,"yyyy")</f>
        <v/>
      </c>
      <c r="C15" s="90">
        <f>FAR!AQ65</f>
        <v/>
      </c>
      <c r="D15" s="90">
        <f>D14+C15</f>
        <v/>
      </c>
      <c r="E15" s="91">
        <f>FAR!AR65</f>
        <v/>
      </c>
    </row>
    <row r="16">
      <c r="B16" s="65">
        <f>"FY "&amp;TEXT(FAR!AS$3,"yyyy")</f>
        <v/>
      </c>
      <c r="C16" s="74">
        <f>FAR!AS65</f>
        <v/>
      </c>
      <c r="D16" s="74">
        <f>D15+C16</f>
        <v/>
      </c>
      <c r="E16" s="77">
        <f>FAR!AT65</f>
        <v/>
      </c>
    </row>
    <row r="17">
      <c r="B17" s="89">
        <f>"FY "&amp;TEXT(FAR!AU$3,"yyyy")</f>
        <v/>
      </c>
      <c r="C17" s="90">
        <f>FAR!AU65</f>
        <v/>
      </c>
      <c r="D17" s="90">
        <f>D16+C17</f>
        <v/>
      </c>
      <c r="E17" s="91">
        <f>FAR!AV65</f>
        <v/>
      </c>
    </row>
    <row r="18">
      <c r="B18" s="65">
        <f>"FY "&amp;TEXT(FAR!AW$3,"yyyy")</f>
        <v/>
      </c>
      <c r="C18" s="74">
        <f>FAR!AW65</f>
        <v/>
      </c>
      <c r="D18" s="74">
        <f>D17+C18</f>
        <v/>
      </c>
      <c r="E18" s="77">
        <f>FAR!AX65</f>
        <v/>
      </c>
    </row>
    <row r="19">
      <c r="B19" s="89">
        <f>"FY "&amp;TEXT(FAR!AY$3,"yyyy")</f>
        <v/>
      </c>
      <c r="C19" s="90">
        <f>FAR!AY65</f>
        <v/>
      </c>
      <c r="D19" s="90">
        <f>D18+C19</f>
        <v/>
      </c>
      <c r="E19" s="91">
        <f>FAR!AZ65</f>
        <v/>
      </c>
    </row>
    <row r="20">
      <c r="B20" s="65">
        <f>"FY "&amp;TEXT(FAR!BA$3,"yyyy")</f>
        <v/>
      </c>
      <c r="C20" s="74">
        <f>FAR!BA65</f>
        <v/>
      </c>
      <c r="D20" s="74">
        <f>D19+C20</f>
        <v/>
      </c>
      <c r="E20" s="77">
        <f>FAR!BB65</f>
        <v/>
      </c>
    </row>
    <row r="21">
      <c r="B21" s="89">
        <f>"FY "&amp;TEXT(FAR!BC$3,"yyyy")</f>
        <v/>
      </c>
      <c r="C21" s="90">
        <f>FAR!BC65</f>
        <v/>
      </c>
      <c r="D21" s="90">
        <f>D20+C21</f>
        <v/>
      </c>
      <c r="E21" s="91">
        <f>FAR!BD65</f>
        <v/>
      </c>
    </row>
    <row r="22">
      <c r="B22" s="65">
        <f>"FY "&amp;TEXT(FAR!BE$3,"yyyy")</f>
        <v/>
      </c>
      <c r="C22" s="74">
        <f>FAR!BE65</f>
        <v/>
      </c>
      <c r="D22" s="74">
        <f>D21+C22</f>
        <v/>
      </c>
      <c r="E22" s="77">
        <f>FAR!BF65</f>
        <v/>
      </c>
    </row>
    <row r="24">
      <c r="B24" s="10" t="inlineStr">
        <is>
          <t>B.  CATEGORY × YEAR DEPRECIATION MATRIX (Rs.)</t>
        </is>
      </c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30" t="n"/>
    </row>
    <row r="25" ht="22" customHeight="1">
      <c r="B25" s="41" t="inlineStr">
        <is>
          <t>Asset Category</t>
        </is>
      </c>
      <c r="C25" s="40">
        <f>TEXT(FAR!AA$3,"yyyy")</f>
        <v/>
      </c>
      <c r="D25" s="40">
        <f>TEXT(FAR!AC$3,"yyyy")</f>
        <v/>
      </c>
      <c r="E25" s="40">
        <f>TEXT(FAR!AE$3,"yyyy")</f>
        <v/>
      </c>
      <c r="F25" s="40">
        <f>TEXT(FAR!AG$3,"yyyy")</f>
        <v/>
      </c>
      <c r="G25" s="40">
        <f>TEXT(FAR!AI$3,"yyyy")</f>
        <v/>
      </c>
      <c r="H25" s="40">
        <f>TEXT(FAR!AK$3,"yyyy")</f>
        <v/>
      </c>
      <c r="I25" s="40">
        <f>TEXT(FAR!AM$3,"yyyy")</f>
        <v/>
      </c>
      <c r="J25" s="40">
        <f>TEXT(FAR!AO$3,"yyyy")</f>
        <v/>
      </c>
      <c r="K25" s="40">
        <f>TEXT(FAR!AQ$3,"yyyy")</f>
        <v/>
      </c>
      <c r="L25" s="40">
        <f>TEXT(FAR!AS$3,"yyyy")</f>
        <v/>
      </c>
      <c r="M25" s="40">
        <f>TEXT(FAR!AU$3,"yyyy")</f>
        <v/>
      </c>
      <c r="N25" s="40">
        <f>TEXT(FAR!AW$3,"yyyy")</f>
        <v/>
      </c>
      <c r="O25" s="40">
        <f>TEXT(FAR!AY$3,"yyyy")</f>
        <v/>
      </c>
      <c r="P25" s="40">
        <f>TEXT(FAR!BA$3,"yyyy")</f>
        <v/>
      </c>
      <c r="Q25" s="40">
        <f>TEXT(FAR!BC$3,"yyyy")</f>
        <v/>
      </c>
      <c r="R25" s="40">
        <f>TEXT(FAR!BE$3,"yyyy")</f>
        <v/>
      </c>
    </row>
    <row r="26">
      <c r="B26" s="92">
        <f>Input!C15</f>
        <v/>
      </c>
      <c r="C26" s="63">
        <f>SUMIF(FAR!$C$5:$C$64,$B26,FAR!AA$5:AA$64)</f>
        <v/>
      </c>
      <c r="D26" s="63">
        <f>SUMIF(FAR!$C$5:$C$64,$B26,FAR!AC$5:AC$64)</f>
        <v/>
      </c>
      <c r="E26" s="63">
        <f>SUMIF(FAR!$C$5:$C$64,$B26,FAR!AE$5:AE$64)</f>
        <v/>
      </c>
      <c r="F26" s="63">
        <f>SUMIF(FAR!$C$5:$C$64,$B26,FAR!AG$5:AG$64)</f>
        <v/>
      </c>
      <c r="G26" s="63">
        <f>SUMIF(FAR!$C$5:$C$64,$B26,FAR!AI$5:AI$64)</f>
        <v/>
      </c>
      <c r="H26" s="63">
        <f>SUMIF(FAR!$C$5:$C$64,$B26,FAR!AK$5:AK$64)</f>
        <v/>
      </c>
      <c r="I26" s="63">
        <f>SUMIF(FAR!$C$5:$C$64,$B26,FAR!AM$5:AM$64)</f>
        <v/>
      </c>
      <c r="J26" s="63">
        <f>SUMIF(FAR!$C$5:$C$64,$B26,FAR!AO$5:AO$64)</f>
        <v/>
      </c>
      <c r="K26" s="63">
        <f>SUMIF(FAR!$C$5:$C$64,$B26,FAR!AQ$5:AQ$64)</f>
        <v/>
      </c>
      <c r="L26" s="63">
        <f>SUMIF(FAR!$C$5:$C$64,$B26,FAR!AS$5:AS$64)</f>
        <v/>
      </c>
      <c r="M26" s="63">
        <f>SUMIF(FAR!$C$5:$C$64,$B26,FAR!AU$5:AU$64)</f>
        <v/>
      </c>
      <c r="N26" s="63">
        <f>SUMIF(FAR!$C$5:$C$64,$B26,FAR!AW$5:AW$64)</f>
        <v/>
      </c>
      <c r="O26" s="63">
        <f>SUMIF(FAR!$C$5:$C$64,$B26,FAR!AY$5:AY$64)</f>
        <v/>
      </c>
      <c r="P26" s="63">
        <f>SUMIF(FAR!$C$5:$C$64,$B26,FAR!BA$5:BA$64)</f>
        <v/>
      </c>
      <c r="Q26" s="63">
        <f>SUMIF(FAR!$C$5:$C$64,$B26,FAR!BC$5:BC$64)</f>
        <v/>
      </c>
      <c r="R26" s="63">
        <f>SUMIF(FAR!$C$5:$C$64,$B26,FAR!BE$5:BE$64)</f>
        <v/>
      </c>
    </row>
    <row r="27">
      <c r="B27" s="93">
        <f>Input!C16</f>
        <v/>
      </c>
      <c r="C27" s="81">
        <f>SUMIF(FAR!$C$5:$C$64,$B27,FAR!AA$5:AA$64)</f>
        <v/>
      </c>
      <c r="D27" s="81">
        <f>SUMIF(FAR!$C$5:$C$64,$B27,FAR!AC$5:AC$64)</f>
        <v/>
      </c>
      <c r="E27" s="81">
        <f>SUMIF(FAR!$C$5:$C$64,$B27,FAR!AE$5:AE$64)</f>
        <v/>
      </c>
      <c r="F27" s="81">
        <f>SUMIF(FAR!$C$5:$C$64,$B27,FAR!AG$5:AG$64)</f>
        <v/>
      </c>
      <c r="G27" s="81">
        <f>SUMIF(FAR!$C$5:$C$64,$B27,FAR!AI$5:AI$64)</f>
        <v/>
      </c>
      <c r="H27" s="81">
        <f>SUMIF(FAR!$C$5:$C$64,$B27,FAR!AK$5:AK$64)</f>
        <v/>
      </c>
      <c r="I27" s="81">
        <f>SUMIF(FAR!$C$5:$C$64,$B27,FAR!AM$5:AM$64)</f>
        <v/>
      </c>
      <c r="J27" s="81">
        <f>SUMIF(FAR!$C$5:$C$64,$B27,FAR!AO$5:AO$64)</f>
        <v/>
      </c>
      <c r="K27" s="81">
        <f>SUMIF(FAR!$C$5:$C$64,$B27,FAR!AQ$5:AQ$64)</f>
        <v/>
      </c>
      <c r="L27" s="81">
        <f>SUMIF(FAR!$C$5:$C$64,$B27,FAR!AS$5:AS$64)</f>
        <v/>
      </c>
      <c r="M27" s="81">
        <f>SUMIF(FAR!$C$5:$C$64,$B27,FAR!AU$5:AU$64)</f>
        <v/>
      </c>
      <c r="N27" s="81">
        <f>SUMIF(FAR!$C$5:$C$64,$B27,FAR!AW$5:AW$64)</f>
        <v/>
      </c>
      <c r="O27" s="81">
        <f>SUMIF(FAR!$C$5:$C$64,$B27,FAR!AY$5:AY$64)</f>
        <v/>
      </c>
      <c r="P27" s="81">
        <f>SUMIF(FAR!$C$5:$C$64,$B27,FAR!BA$5:BA$64)</f>
        <v/>
      </c>
      <c r="Q27" s="81">
        <f>SUMIF(FAR!$C$5:$C$64,$B27,FAR!BC$5:BC$64)</f>
        <v/>
      </c>
      <c r="R27" s="81">
        <f>SUMIF(FAR!$C$5:$C$64,$B27,FAR!BE$5:BE$64)</f>
        <v/>
      </c>
    </row>
    <row r="28">
      <c r="B28" s="92">
        <f>Input!C17</f>
        <v/>
      </c>
      <c r="C28" s="63">
        <f>SUMIF(FAR!$C$5:$C$64,$B28,FAR!AA$5:AA$64)</f>
        <v/>
      </c>
      <c r="D28" s="63">
        <f>SUMIF(FAR!$C$5:$C$64,$B28,FAR!AC$5:AC$64)</f>
        <v/>
      </c>
      <c r="E28" s="63">
        <f>SUMIF(FAR!$C$5:$C$64,$B28,FAR!AE$5:AE$64)</f>
        <v/>
      </c>
      <c r="F28" s="63">
        <f>SUMIF(FAR!$C$5:$C$64,$B28,FAR!AG$5:AG$64)</f>
        <v/>
      </c>
      <c r="G28" s="63">
        <f>SUMIF(FAR!$C$5:$C$64,$B28,FAR!AI$5:AI$64)</f>
        <v/>
      </c>
      <c r="H28" s="63">
        <f>SUMIF(FAR!$C$5:$C$64,$B28,FAR!AK$5:AK$64)</f>
        <v/>
      </c>
      <c r="I28" s="63">
        <f>SUMIF(FAR!$C$5:$C$64,$B28,FAR!AM$5:AM$64)</f>
        <v/>
      </c>
      <c r="J28" s="63">
        <f>SUMIF(FAR!$C$5:$C$64,$B28,FAR!AO$5:AO$64)</f>
        <v/>
      </c>
      <c r="K28" s="63">
        <f>SUMIF(FAR!$C$5:$C$64,$B28,FAR!AQ$5:AQ$64)</f>
        <v/>
      </c>
      <c r="L28" s="63">
        <f>SUMIF(FAR!$C$5:$C$64,$B28,FAR!AS$5:AS$64)</f>
        <v/>
      </c>
      <c r="M28" s="63">
        <f>SUMIF(FAR!$C$5:$C$64,$B28,FAR!AU$5:AU$64)</f>
        <v/>
      </c>
      <c r="N28" s="63">
        <f>SUMIF(FAR!$C$5:$C$64,$B28,FAR!AW$5:AW$64)</f>
        <v/>
      </c>
      <c r="O28" s="63">
        <f>SUMIF(FAR!$C$5:$C$64,$B28,FAR!AY$5:AY$64)</f>
        <v/>
      </c>
      <c r="P28" s="63">
        <f>SUMIF(FAR!$C$5:$C$64,$B28,FAR!BA$5:BA$64)</f>
        <v/>
      </c>
      <c r="Q28" s="63">
        <f>SUMIF(FAR!$C$5:$C$64,$B28,FAR!BC$5:BC$64)</f>
        <v/>
      </c>
      <c r="R28" s="63">
        <f>SUMIF(FAR!$C$5:$C$64,$B28,FAR!BE$5:BE$64)</f>
        <v/>
      </c>
    </row>
    <row r="29">
      <c r="B29" s="93">
        <f>Input!C18</f>
        <v/>
      </c>
      <c r="C29" s="81">
        <f>SUMIF(FAR!$C$5:$C$64,$B29,FAR!AA$5:AA$64)</f>
        <v/>
      </c>
      <c r="D29" s="81">
        <f>SUMIF(FAR!$C$5:$C$64,$B29,FAR!AC$5:AC$64)</f>
        <v/>
      </c>
      <c r="E29" s="81">
        <f>SUMIF(FAR!$C$5:$C$64,$B29,FAR!AE$5:AE$64)</f>
        <v/>
      </c>
      <c r="F29" s="81">
        <f>SUMIF(FAR!$C$5:$C$64,$B29,FAR!AG$5:AG$64)</f>
        <v/>
      </c>
      <c r="G29" s="81">
        <f>SUMIF(FAR!$C$5:$C$64,$B29,FAR!AI$5:AI$64)</f>
        <v/>
      </c>
      <c r="H29" s="81">
        <f>SUMIF(FAR!$C$5:$C$64,$B29,FAR!AK$5:AK$64)</f>
        <v/>
      </c>
      <c r="I29" s="81">
        <f>SUMIF(FAR!$C$5:$C$64,$B29,FAR!AM$5:AM$64)</f>
        <v/>
      </c>
      <c r="J29" s="81">
        <f>SUMIF(FAR!$C$5:$C$64,$B29,FAR!AO$5:AO$64)</f>
        <v/>
      </c>
      <c r="K29" s="81">
        <f>SUMIF(FAR!$C$5:$C$64,$B29,FAR!AQ$5:AQ$64)</f>
        <v/>
      </c>
      <c r="L29" s="81">
        <f>SUMIF(FAR!$C$5:$C$64,$B29,FAR!AS$5:AS$64)</f>
        <v/>
      </c>
      <c r="M29" s="81">
        <f>SUMIF(FAR!$C$5:$C$64,$B29,FAR!AU$5:AU$64)</f>
        <v/>
      </c>
      <c r="N29" s="81">
        <f>SUMIF(FAR!$C$5:$C$64,$B29,FAR!AW$5:AW$64)</f>
        <v/>
      </c>
      <c r="O29" s="81">
        <f>SUMIF(FAR!$C$5:$C$64,$B29,FAR!AY$5:AY$64)</f>
        <v/>
      </c>
      <c r="P29" s="81">
        <f>SUMIF(FAR!$C$5:$C$64,$B29,FAR!BA$5:BA$64)</f>
        <v/>
      </c>
      <c r="Q29" s="81">
        <f>SUMIF(FAR!$C$5:$C$64,$B29,FAR!BC$5:BC$64)</f>
        <v/>
      </c>
      <c r="R29" s="81">
        <f>SUMIF(FAR!$C$5:$C$64,$B29,FAR!BE$5:BE$64)</f>
        <v/>
      </c>
    </row>
    <row r="30">
      <c r="B30" s="92">
        <f>Input!C19</f>
        <v/>
      </c>
      <c r="C30" s="63">
        <f>SUMIF(FAR!$C$5:$C$64,$B30,FAR!AA$5:AA$64)</f>
        <v/>
      </c>
      <c r="D30" s="63">
        <f>SUMIF(FAR!$C$5:$C$64,$B30,FAR!AC$5:AC$64)</f>
        <v/>
      </c>
      <c r="E30" s="63">
        <f>SUMIF(FAR!$C$5:$C$64,$B30,FAR!AE$5:AE$64)</f>
        <v/>
      </c>
      <c r="F30" s="63">
        <f>SUMIF(FAR!$C$5:$C$64,$B30,FAR!AG$5:AG$64)</f>
        <v/>
      </c>
      <c r="G30" s="63">
        <f>SUMIF(FAR!$C$5:$C$64,$B30,FAR!AI$5:AI$64)</f>
        <v/>
      </c>
      <c r="H30" s="63">
        <f>SUMIF(FAR!$C$5:$C$64,$B30,FAR!AK$5:AK$64)</f>
        <v/>
      </c>
      <c r="I30" s="63">
        <f>SUMIF(FAR!$C$5:$C$64,$B30,FAR!AM$5:AM$64)</f>
        <v/>
      </c>
      <c r="J30" s="63">
        <f>SUMIF(FAR!$C$5:$C$64,$B30,FAR!AO$5:AO$64)</f>
        <v/>
      </c>
      <c r="K30" s="63">
        <f>SUMIF(FAR!$C$5:$C$64,$B30,FAR!AQ$5:AQ$64)</f>
        <v/>
      </c>
      <c r="L30" s="63">
        <f>SUMIF(FAR!$C$5:$C$64,$B30,FAR!AS$5:AS$64)</f>
        <v/>
      </c>
      <c r="M30" s="63">
        <f>SUMIF(FAR!$C$5:$C$64,$B30,FAR!AU$5:AU$64)</f>
        <v/>
      </c>
      <c r="N30" s="63">
        <f>SUMIF(FAR!$C$5:$C$64,$B30,FAR!AW$5:AW$64)</f>
        <v/>
      </c>
      <c r="O30" s="63">
        <f>SUMIF(FAR!$C$5:$C$64,$B30,FAR!AY$5:AY$64)</f>
        <v/>
      </c>
      <c r="P30" s="63">
        <f>SUMIF(FAR!$C$5:$C$64,$B30,FAR!BA$5:BA$64)</f>
        <v/>
      </c>
      <c r="Q30" s="63">
        <f>SUMIF(FAR!$C$5:$C$64,$B30,FAR!BC$5:BC$64)</f>
        <v/>
      </c>
      <c r="R30" s="63">
        <f>SUMIF(FAR!$C$5:$C$64,$B30,FAR!BE$5:BE$64)</f>
        <v/>
      </c>
    </row>
    <row r="31">
      <c r="B31" s="93">
        <f>Input!C20</f>
        <v/>
      </c>
      <c r="C31" s="81">
        <f>SUMIF(FAR!$C$5:$C$64,$B31,FAR!AA$5:AA$64)</f>
        <v/>
      </c>
      <c r="D31" s="81">
        <f>SUMIF(FAR!$C$5:$C$64,$B31,FAR!AC$5:AC$64)</f>
        <v/>
      </c>
      <c r="E31" s="81">
        <f>SUMIF(FAR!$C$5:$C$64,$B31,FAR!AE$5:AE$64)</f>
        <v/>
      </c>
      <c r="F31" s="81">
        <f>SUMIF(FAR!$C$5:$C$64,$B31,FAR!AG$5:AG$64)</f>
        <v/>
      </c>
      <c r="G31" s="81">
        <f>SUMIF(FAR!$C$5:$C$64,$B31,FAR!AI$5:AI$64)</f>
        <v/>
      </c>
      <c r="H31" s="81">
        <f>SUMIF(FAR!$C$5:$C$64,$B31,FAR!AK$5:AK$64)</f>
        <v/>
      </c>
      <c r="I31" s="81">
        <f>SUMIF(FAR!$C$5:$C$64,$B31,FAR!AM$5:AM$64)</f>
        <v/>
      </c>
      <c r="J31" s="81">
        <f>SUMIF(FAR!$C$5:$C$64,$B31,FAR!AO$5:AO$64)</f>
        <v/>
      </c>
      <c r="K31" s="81">
        <f>SUMIF(FAR!$C$5:$C$64,$B31,FAR!AQ$5:AQ$64)</f>
        <v/>
      </c>
      <c r="L31" s="81">
        <f>SUMIF(FAR!$C$5:$C$64,$B31,FAR!AS$5:AS$64)</f>
        <v/>
      </c>
      <c r="M31" s="81">
        <f>SUMIF(FAR!$C$5:$C$64,$B31,FAR!AU$5:AU$64)</f>
        <v/>
      </c>
      <c r="N31" s="81">
        <f>SUMIF(FAR!$C$5:$C$64,$B31,FAR!AW$5:AW$64)</f>
        <v/>
      </c>
      <c r="O31" s="81">
        <f>SUMIF(FAR!$C$5:$C$64,$B31,FAR!AY$5:AY$64)</f>
        <v/>
      </c>
      <c r="P31" s="81">
        <f>SUMIF(FAR!$C$5:$C$64,$B31,FAR!BA$5:BA$64)</f>
        <v/>
      </c>
      <c r="Q31" s="81">
        <f>SUMIF(FAR!$C$5:$C$64,$B31,FAR!BC$5:BC$64)</f>
        <v/>
      </c>
      <c r="R31" s="81">
        <f>SUMIF(FAR!$C$5:$C$64,$B31,FAR!BE$5:BE$64)</f>
        <v/>
      </c>
    </row>
    <row r="32">
      <c r="B32" s="92">
        <f>Input!C21</f>
        <v/>
      </c>
      <c r="C32" s="63">
        <f>SUMIF(FAR!$C$5:$C$64,$B32,FAR!AA$5:AA$64)</f>
        <v/>
      </c>
      <c r="D32" s="63">
        <f>SUMIF(FAR!$C$5:$C$64,$B32,FAR!AC$5:AC$64)</f>
        <v/>
      </c>
      <c r="E32" s="63">
        <f>SUMIF(FAR!$C$5:$C$64,$B32,FAR!AE$5:AE$64)</f>
        <v/>
      </c>
      <c r="F32" s="63">
        <f>SUMIF(FAR!$C$5:$C$64,$B32,FAR!AG$5:AG$64)</f>
        <v/>
      </c>
      <c r="G32" s="63">
        <f>SUMIF(FAR!$C$5:$C$64,$B32,FAR!AI$5:AI$64)</f>
        <v/>
      </c>
      <c r="H32" s="63">
        <f>SUMIF(FAR!$C$5:$C$64,$B32,FAR!AK$5:AK$64)</f>
        <v/>
      </c>
      <c r="I32" s="63">
        <f>SUMIF(FAR!$C$5:$C$64,$B32,FAR!AM$5:AM$64)</f>
        <v/>
      </c>
      <c r="J32" s="63">
        <f>SUMIF(FAR!$C$5:$C$64,$B32,FAR!AO$5:AO$64)</f>
        <v/>
      </c>
      <c r="K32" s="63">
        <f>SUMIF(FAR!$C$5:$C$64,$B32,FAR!AQ$5:AQ$64)</f>
        <v/>
      </c>
      <c r="L32" s="63">
        <f>SUMIF(FAR!$C$5:$C$64,$B32,FAR!AS$5:AS$64)</f>
        <v/>
      </c>
      <c r="M32" s="63">
        <f>SUMIF(FAR!$C$5:$C$64,$B32,FAR!AU$5:AU$64)</f>
        <v/>
      </c>
      <c r="N32" s="63">
        <f>SUMIF(FAR!$C$5:$C$64,$B32,FAR!AW$5:AW$64)</f>
        <v/>
      </c>
      <c r="O32" s="63">
        <f>SUMIF(FAR!$C$5:$C$64,$B32,FAR!AY$5:AY$64)</f>
        <v/>
      </c>
      <c r="P32" s="63">
        <f>SUMIF(FAR!$C$5:$C$64,$B32,FAR!BA$5:BA$64)</f>
        <v/>
      </c>
      <c r="Q32" s="63">
        <f>SUMIF(FAR!$C$5:$C$64,$B32,FAR!BC$5:BC$64)</f>
        <v/>
      </c>
      <c r="R32" s="63">
        <f>SUMIF(FAR!$C$5:$C$64,$B32,FAR!BE$5:BE$64)</f>
        <v/>
      </c>
    </row>
    <row r="33">
      <c r="B33" s="93">
        <f>Input!C22</f>
        <v/>
      </c>
      <c r="C33" s="81">
        <f>SUMIF(FAR!$C$5:$C$64,$B33,FAR!AA$5:AA$64)</f>
        <v/>
      </c>
      <c r="D33" s="81">
        <f>SUMIF(FAR!$C$5:$C$64,$B33,FAR!AC$5:AC$64)</f>
        <v/>
      </c>
      <c r="E33" s="81">
        <f>SUMIF(FAR!$C$5:$C$64,$B33,FAR!AE$5:AE$64)</f>
        <v/>
      </c>
      <c r="F33" s="81">
        <f>SUMIF(FAR!$C$5:$C$64,$B33,FAR!AG$5:AG$64)</f>
        <v/>
      </c>
      <c r="G33" s="81">
        <f>SUMIF(FAR!$C$5:$C$64,$B33,FAR!AI$5:AI$64)</f>
        <v/>
      </c>
      <c r="H33" s="81">
        <f>SUMIF(FAR!$C$5:$C$64,$B33,FAR!AK$5:AK$64)</f>
        <v/>
      </c>
      <c r="I33" s="81">
        <f>SUMIF(FAR!$C$5:$C$64,$B33,FAR!AM$5:AM$64)</f>
        <v/>
      </c>
      <c r="J33" s="81">
        <f>SUMIF(FAR!$C$5:$C$64,$B33,FAR!AO$5:AO$64)</f>
        <v/>
      </c>
      <c r="K33" s="81">
        <f>SUMIF(FAR!$C$5:$C$64,$B33,FAR!AQ$5:AQ$64)</f>
        <v/>
      </c>
      <c r="L33" s="81">
        <f>SUMIF(FAR!$C$5:$C$64,$B33,FAR!AS$5:AS$64)</f>
        <v/>
      </c>
      <c r="M33" s="81">
        <f>SUMIF(FAR!$C$5:$C$64,$B33,FAR!AU$5:AU$64)</f>
        <v/>
      </c>
      <c r="N33" s="81">
        <f>SUMIF(FAR!$C$5:$C$64,$B33,FAR!AW$5:AW$64)</f>
        <v/>
      </c>
      <c r="O33" s="81">
        <f>SUMIF(FAR!$C$5:$C$64,$B33,FAR!AY$5:AY$64)</f>
        <v/>
      </c>
      <c r="P33" s="81">
        <f>SUMIF(FAR!$C$5:$C$64,$B33,FAR!BA$5:BA$64)</f>
        <v/>
      </c>
      <c r="Q33" s="81">
        <f>SUMIF(FAR!$C$5:$C$64,$B33,FAR!BC$5:BC$64)</f>
        <v/>
      </c>
      <c r="R33" s="81">
        <f>SUMIF(FAR!$C$5:$C$64,$B33,FAR!BE$5:BE$64)</f>
        <v/>
      </c>
    </row>
    <row r="34">
      <c r="B34" s="92">
        <f>Input!C23</f>
        <v/>
      </c>
      <c r="C34" s="63">
        <f>SUMIF(FAR!$C$5:$C$64,$B34,FAR!AA$5:AA$64)</f>
        <v/>
      </c>
      <c r="D34" s="63">
        <f>SUMIF(FAR!$C$5:$C$64,$B34,FAR!AC$5:AC$64)</f>
        <v/>
      </c>
      <c r="E34" s="63">
        <f>SUMIF(FAR!$C$5:$C$64,$B34,FAR!AE$5:AE$64)</f>
        <v/>
      </c>
      <c r="F34" s="63">
        <f>SUMIF(FAR!$C$5:$C$64,$B34,FAR!AG$5:AG$64)</f>
        <v/>
      </c>
      <c r="G34" s="63">
        <f>SUMIF(FAR!$C$5:$C$64,$B34,FAR!AI$5:AI$64)</f>
        <v/>
      </c>
      <c r="H34" s="63">
        <f>SUMIF(FAR!$C$5:$C$64,$B34,FAR!AK$5:AK$64)</f>
        <v/>
      </c>
      <c r="I34" s="63">
        <f>SUMIF(FAR!$C$5:$C$64,$B34,FAR!AM$5:AM$64)</f>
        <v/>
      </c>
      <c r="J34" s="63">
        <f>SUMIF(FAR!$C$5:$C$64,$B34,FAR!AO$5:AO$64)</f>
        <v/>
      </c>
      <c r="K34" s="63">
        <f>SUMIF(FAR!$C$5:$C$64,$B34,FAR!AQ$5:AQ$64)</f>
        <v/>
      </c>
      <c r="L34" s="63">
        <f>SUMIF(FAR!$C$5:$C$64,$B34,FAR!AS$5:AS$64)</f>
        <v/>
      </c>
      <c r="M34" s="63">
        <f>SUMIF(FAR!$C$5:$C$64,$B34,FAR!AU$5:AU$64)</f>
        <v/>
      </c>
      <c r="N34" s="63">
        <f>SUMIF(FAR!$C$5:$C$64,$B34,FAR!AW$5:AW$64)</f>
        <v/>
      </c>
      <c r="O34" s="63">
        <f>SUMIF(FAR!$C$5:$C$64,$B34,FAR!AY$5:AY$64)</f>
        <v/>
      </c>
      <c r="P34" s="63">
        <f>SUMIF(FAR!$C$5:$C$64,$B34,FAR!BA$5:BA$64)</f>
        <v/>
      </c>
      <c r="Q34" s="63">
        <f>SUMIF(FAR!$C$5:$C$64,$B34,FAR!BC$5:BC$64)</f>
        <v/>
      </c>
      <c r="R34" s="63">
        <f>SUMIF(FAR!$C$5:$C$64,$B34,FAR!BE$5:BE$64)</f>
        <v/>
      </c>
    </row>
    <row r="35">
      <c r="B35" s="93">
        <f>Input!C24</f>
        <v/>
      </c>
      <c r="C35" s="81">
        <f>SUMIF(FAR!$C$5:$C$64,$B35,FAR!AA$5:AA$64)</f>
        <v/>
      </c>
      <c r="D35" s="81">
        <f>SUMIF(FAR!$C$5:$C$64,$B35,FAR!AC$5:AC$64)</f>
        <v/>
      </c>
      <c r="E35" s="81">
        <f>SUMIF(FAR!$C$5:$C$64,$B35,FAR!AE$5:AE$64)</f>
        <v/>
      </c>
      <c r="F35" s="81">
        <f>SUMIF(FAR!$C$5:$C$64,$B35,FAR!AG$5:AG$64)</f>
        <v/>
      </c>
      <c r="G35" s="81">
        <f>SUMIF(FAR!$C$5:$C$64,$B35,FAR!AI$5:AI$64)</f>
        <v/>
      </c>
      <c r="H35" s="81">
        <f>SUMIF(FAR!$C$5:$C$64,$B35,FAR!AK$5:AK$64)</f>
        <v/>
      </c>
      <c r="I35" s="81">
        <f>SUMIF(FAR!$C$5:$C$64,$B35,FAR!AM$5:AM$64)</f>
        <v/>
      </c>
      <c r="J35" s="81">
        <f>SUMIF(FAR!$C$5:$C$64,$B35,FAR!AO$5:AO$64)</f>
        <v/>
      </c>
      <c r="K35" s="81">
        <f>SUMIF(FAR!$C$5:$C$64,$B35,FAR!AQ$5:AQ$64)</f>
        <v/>
      </c>
      <c r="L35" s="81">
        <f>SUMIF(FAR!$C$5:$C$64,$B35,FAR!AS$5:AS$64)</f>
        <v/>
      </c>
      <c r="M35" s="81">
        <f>SUMIF(FAR!$C$5:$C$64,$B35,FAR!AU$5:AU$64)</f>
        <v/>
      </c>
      <c r="N35" s="81">
        <f>SUMIF(FAR!$C$5:$C$64,$B35,FAR!AW$5:AW$64)</f>
        <v/>
      </c>
      <c r="O35" s="81">
        <f>SUMIF(FAR!$C$5:$C$64,$B35,FAR!AY$5:AY$64)</f>
        <v/>
      </c>
      <c r="P35" s="81">
        <f>SUMIF(FAR!$C$5:$C$64,$B35,FAR!BA$5:BA$64)</f>
        <v/>
      </c>
      <c r="Q35" s="81">
        <f>SUMIF(FAR!$C$5:$C$64,$B35,FAR!BC$5:BC$64)</f>
        <v/>
      </c>
      <c r="R35" s="81">
        <f>SUMIF(FAR!$C$5:$C$64,$B35,FAR!BE$5:BE$64)</f>
        <v/>
      </c>
    </row>
    <row r="36">
      <c r="B36" s="92">
        <f>Input!C25</f>
        <v/>
      </c>
      <c r="C36" s="63">
        <f>SUMIF(FAR!$C$5:$C$64,$B36,FAR!AA$5:AA$64)</f>
        <v/>
      </c>
      <c r="D36" s="63">
        <f>SUMIF(FAR!$C$5:$C$64,$B36,FAR!AC$5:AC$64)</f>
        <v/>
      </c>
      <c r="E36" s="63">
        <f>SUMIF(FAR!$C$5:$C$64,$B36,FAR!AE$5:AE$64)</f>
        <v/>
      </c>
      <c r="F36" s="63">
        <f>SUMIF(FAR!$C$5:$C$64,$B36,FAR!AG$5:AG$64)</f>
        <v/>
      </c>
      <c r="G36" s="63">
        <f>SUMIF(FAR!$C$5:$C$64,$B36,FAR!AI$5:AI$64)</f>
        <v/>
      </c>
      <c r="H36" s="63">
        <f>SUMIF(FAR!$C$5:$C$64,$B36,FAR!AK$5:AK$64)</f>
        <v/>
      </c>
      <c r="I36" s="63">
        <f>SUMIF(FAR!$C$5:$C$64,$B36,FAR!AM$5:AM$64)</f>
        <v/>
      </c>
      <c r="J36" s="63">
        <f>SUMIF(FAR!$C$5:$C$64,$B36,FAR!AO$5:AO$64)</f>
        <v/>
      </c>
      <c r="K36" s="63">
        <f>SUMIF(FAR!$C$5:$C$64,$B36,FAR!AQ$5:AQ$64)</f>
        <v/>
      </c>
      <c r="L36" s="63">
        <f>SUMIF(FAR!$C$5:$C$64,$B36,FAR!AS$5:AS$64)</f>
        <v/>
      </c>
      <c r="M36" s="63">
        <f>SUMIF(FAR!$C$5:$C$64,$B36,FAR!AU$5:AU$64)</f>
        <v/>
      </c>
      <c r="N36" s="63">
        <f>SUMIF(FAR!$C$5:$C$64,$B36,FAR!AW$5:AW$64)</f>
        <v/>
      </c>
      <c r="O36" s="63">
        <f>SUMIF(FAR!$C$5:$C$64,$B36,FAR!AY$5:AY$64)</f>
        <v/>
      </c>
      <c r="P36" s="63">
        <f>SUMIF(FAR!$C$5:$C$64,$B36,FAR!BA$5:BA$64)</f>
        <v/>
      </c>
      <c r="Q36" s="63">
        <f>SUMIF(FAR!$C$5:$C$64,$B36,FAR!BC$5:BC$64)</f>
        <v/>
      </c>
      <c r="R36" s="63">
        <f>SUMIF(FAR!$C$5:$C$64,$B36,FAR!BE$5:BE$64)</f>
        <v/>
      </c>
    </row>
    <row r="37">
      <c r="B37" s="93">
        <f>Input!C26</f>
        <v/>
      </c>
      <c r="C37" s="81">
        <f>SUMIF(FAR!$C$5:$C$64,$B37,FAR!AA$5:AA$64)</f>
        <v/>
      </c>
      <c r="D37" s="81">
        <f>SUMIF(FAR!$C$5:$C$64,$B37,FAR!AC$5:AC$64)</f>
        <v/>
      </c>
      <c r="E37" s="81">
        <f>SUMIF(FAR!$C$5:$C$64,$B37,FAR!AE$5:AE$64)</f>
        <v/>
      </c>
      <c r="F37" s="81">
        <f>SUMIF(FAR!$C$5:$C$64,$B37,FAR!AG$5:AG$64)</f>
        <v/>
      </c>
      <c r="G37" s="81">
        <f>SUMIF(FAR!$C$5:$C$64,$B37,FAR!AI$5:AI$64)</f>
        <v/>
      </c>
      <c r="H37" s="81">
        <f>SUMIF(FAR!$C$5:$C$64,$B37,FAR!AK$5:AK$64)</f>
        <v/>
      </c>
      <c r="I37" s="81">
        <f>SUMIF(FAR!$C$5:$C$64,$B37,FAR!AM$5:AM$64)</f>
        <v/>
      </c>
      <c r="J37" s="81">
        <f>SUMIF(FAR!$C$5:$C$64,$B37,FAR!AO$5:AO$64)</f>
        <v/>
      </c>
      <c r="K37" s="81">
        <f>SUMIF(FAR!$C$5:$C$64,$B37,FAR!AQ$5:AQ$64)</f>
        <v/>
      </c>
      <c r="L37" s="81">
        <f>SUMIF(FAR!$C$5:$C$64,$B37,FAR!AS$5:AS$64)</f>
        <v/>
      </c>
      <c r="M37" s="81">
        <f>SUMIF(FAR!$C$5:$C$64,$B37,FAR!AU$5:AU$64)</f>
        <v/>
      </c>
      <c r="N37" s="81">
        <f>SUMIF(FAR!$C$5:$C$64,$B37,FAR!AW$5:AW$64)</f>
        <v/>
      </c>
      <c r="O37" s="81">
        <f>SUMIF(FAR!$C$5:$C$64,$B37,FAR!AY$5:AY$64)</f>
        <v/>
      </c>
      <c r="P37" s="81">
        <f>SUMIF(FAR!$C$5:$C$64,$B37,FAR!BA$5:BA$64)</f>
        <v/>
      </c>
      <c r="Q37" s="81">
        <f>SUMIF(FAR!$C$5:$C$64,$B37,FAR!BC$5:BC$64)</f>
        <v/>
      </c>
      <c r="R37" s="81">
        <f>SUMIF(FAR!$C$5:$C$64,$B37,FAR!BE$5:BE$64)</f>
        <v/>
      </c>
    </row>
    <row r="38">
      <c r="B38" s="92">
        <f>Input!C27</f>
        <v/>
      </c>
      <c r="C38" s="63">
        <f>SUMIF(FAR!$C$5:$C$64,$B38,FAR!AA$5:AA$64)</f>
        <v/>
      </c>
      <c r="D38" s="63">
        <f>SUMIF(FAR!$C$5:$C$64,$B38,FAR!AC$5:AC$64)</f>
        <v/>
      </c>
      <c r="E38" s="63">
        <f>SUMIF(FAR!$C$5:$C$64,$B38,FAR!AE$5:AE$64)</f>
        <v/>
      </c>
      <c r="F38" s="63">
        <f>SUMIF(FAR!$C$5:$C$64,$B38,FAR!AG$5:AG$64)</f>
        <v/>
      </c>
      <c r="G38" s="63">
        <f>SUMIF(FAR!$C$5:$C$64,$B38,FAR!AI$5:AI$64)</f>
        <v/>
      </c>
      <c r="H38" s="63">
        <f>SUMIF(FAR!$C$5:$C$64,$B38,FAR!AK$5:AK$64)</f>
        <v/>
      </c>
      <c r="I38" s="63">
        <f>SUMIF(FAR!$C$5:$C$64,$B38,FAR!AM$5:AM$64)</f>
        <v/>
      </c>
      <c r="J38" s="63">
        <f>SUMIF(FAR!$C$5:$C$64,$B38,FAR!AO$5:AO$64)</f>
        <v/>
      </c>
      <c r="K38" s="63">
        <f>SUMIF(FAR!$C$5:$C$64,$B38,FAR!AQ$5:AQ$64)</f>
        <v/>
      </c>
      <c r="L38" s="63">
        <f>SUMIF(FAR!$C$5:$C$64,$B38,FAR!AS$5:AS$64)</f>
        <v/>
      </c>
      <c r="M38" s="63">
        <f>SUMIF(FAR!$C$5:$C$64,$B38,FAR!AU$5:AU$64)</f>
        <v/>
      </c>
      <c r="N38" s="63">
        <f>SUMIF(FAR!$C$5:$C$64,$B38,FAR!AW$5:AW$64)</f>
        <v/>
      </c>
      <c r="O38" s="63">
        <f>SUMIF(FAR!$C$5:$C$64,$B38,FAR!AY$5:AY$64)</f>
        <v/>
      </c>
      <c r="P38" s="63">
        <f>SUMIF(FAR!$C$5:$C$64,$B38,FAR!BA$5:BA$64)</f>
        <v/>
      </c>
      <c r="Q38" s="63">
        <f>SUMIF(FAR!$C$5:$C$64,$B38,FAR!BC$5:BC$64)</f>
        <v/>
      </c>
      <c r="R38" s="63">
        <f>SUMIF(FAR!$C$5:$C$64,$B38,FAR!BE$5:BE$64)</f>
        <v/>
      </c>
    </row>
    <row r="39">
      <c r="B39" s="93">
        <f>Input!C28</f>
        <v/>
      </c>
      <c r="C39" s="81">
        <f>SUMIF(FAR!$C$5:$C$64,$B39,FAR!AA$5:AA$64)</f>
        <v/>
      </c>
      <c r="D39" s="81">
        <f>SUMIF(FAR!$C$5:$C$64,$B39,FAR!AC$5:AC$64)</f>
        <v/>
      </c>
      <c r="E39" s="81">
        <f>SUMIF(FAR!$C$5:$C$64,$B39,FAR!AE$5:AE$64)</f>
        <v/>
      </c>
      <c r="F39" s="81">
        <f>SUMIF(FAR!$C$5:$C$64,$B39,FAR!AG$5:AG$64)</f>
        <v/>
      </c>
      <c r="G39" s="81">
        <f>SUMIF(FAR!$C$5:$C$64,$B39,FAR!AI$5:AI$64)</f>
        <v/>
      </c>
      <c r="H39" s="81">
        <f>SUMIF(FAR!$C$5:$C$64,$B39,FAR!AK$5:AK$64)</f>
        <v/>
      </c>
      <c r="I39" s="81">
        <f>SUMIF(FAR!$C$5:$C$64,$B39,FAR!AM$5:AM$64)</f>
        <v/>
      </c>
      <c r="J39" s="81">
        <f>SUMIF(FAR!$C$5:$C$64,$B39,FAR!AO$5:AO$64)</f>
        <v/>
      </c>
      <c r="K39" s="81">
        <f>SUMIF(FAR!$C$5:$C$64,$B39,FAR!AQ$5:AQ$64)</f>
        <v/>
      </c>
      <c r="L39" s="81">
        <f>SUMIF(FAR!$C$5:$C$64,$B39,FAR!AS$5:AS$64)</f>
        <v/>
      </c>
      <c r="M39" s="81">
        <f>SUMIF(FAR!$C$5:$C$64,$B39,FAR!AU$5:AU$64)</f>
        <v/>
      </c>
      <c r="N39" s="81">
        <f>SUMIF(FAR!$C$5:$C$64,$B39,FAR!AW$5:AW$64)</f>
        <v/>
      </c>
      <c r="O39" s="81">
        <f>SUMIF(FAR!$C$5:$C$64,$B39,FAR!AY$5:AY$64)</f>
        <v/>
      </c>
      <c r="P39" s="81">
        <f>SUMIF(FAR!$C$5:$C$64,$B39,FAR!BA$5:BA$64)</f>
        <v/>
      </c>
      <c r="Q39" s="81">
        <f>SUMIF(FAR!$C$5:$C$64,$B39,FAR!BC$5:BC$64)</f>
        <v/>
      </c>
      <c r="R39" s="81">
        <f>SUMIF(FAR!$C$5:$C$64,$B39,FAR!BE$5:BE$64)</f>
        <v/>
      </c>
    </row>
    <row r="40">
      <c r="B40" s="92">
        <f>Input!C29</f>
        <v/>
      </c>
      <c r="C40" s="63">
        <f>SUMIF(FAR!$C$5:$C$64,$B40,FAR!AA$5:AA$64)</f>
        <v/>
      </c>
      <c r="D40" s="63">
        <f>SUMIF(FAR!$C$5:$C$64,$B40,FAR!AC$5:AC$64)</f>
        <v/>
      </c>
      <c r="E40" s="63">
        <f>SUMIF(FAR!$C$5:$C$64,$B40,FAR!AE$5:AE$64)</f>
        <v/>
      </c>
      <c r="F40" s="63">
        <f>SUMIF(FAR!$C$5:$C$64,$B40,FAR!AG$5:AG$64)</f>
        <v/>
      </c>
      <c r="G40" s="63">
        <f>SUMIF(FAR!$C$5:$C$64,$B40,FAR!AI$5:AI$64)</f>
        <v/>
      </c>
      <c r="H40" s="63">
        <f>SUMIF(FAR!$C$5:$C$64,$B40,FAR!AK$5:AK$64)</f>
        <v/>
      </c>
      <c r="I40" s="63">
        <f>SUMIF(FAR!$C$5:$C$64,$B40,FAR!AM$5:AM$64)</f>
        <v/>
      </c>
      <c r="J40" s="63">
        <f>SUMIF(FAR!$C$5:$C$64,$B40,FAR!AO$5:AO$64)</f>
        <v/>
      </c>
      <c r="K40" s="63">
        <f>SUMIF(FAR!$C$5:$C$64,$B40,FAR!AQ$5:AQ$64)</f>
        <v/>
      </c>
      <c r="L40" s="63">
        <f>SUMIF(FAR!$C$5:$C$64,$B40,FAR!AS$5:AS$64)</f>
        <v/>
      </c>
      <c r="M40" s="63">
        <f>SUMIF(FAR!$C$5:$C$64,$B40,FAR!AU$5:AU$64)</f>
        <v/>
      </c>
      <c r="N40" s="63">
        <f>SUMIF(FAR!$C$5:$C$64,$B40,FAR!AW$5:AW$64)</f>
        <v/>
      </c>
      <c r="O40" s="63">
        <f>SUMIF(FAR!$C$5:$C$64,$B40,FAR!AY$5:AY$64)</f>
        <v/>
      </c>
      <c r="P40" s="63">
        <f>SUMIF(FAR!$C$5:$C$64,$B40,FAR!BA$5:BA$64)</f>
        <v/>
      </c>
      <c r="Q40" s="63">
        <f>SUMIF(FAR!$C$5:$C$64,$B40,FAR!BC$5:BC$64)</f>
        <v/>
      </c>
      <c r="R40" s="63">
        <f>SUMIF(FAR!$C$5:$C$64,$B40,FAR!BE$5:BE$64)</f>
        <v/>
      </c>
    </row>
    <row r="41">
      <c r="B41" s="93">
        <f>Input!C30</f>
        <v/>
      </c>
      <c r="C41" s="81">
        <f>SUMIF(FAR!$C$5:$C$64,$B41,FAR!AA$5:AA$64)</f>
        <v/>
      </c>
      <c r="D41" s="81">
        <f>SUMIF(FAR!$C$5:$C$64,$B41,FAR!AC$5:AC$64)</f>
        <v/>
      </c>
      <c r="E41" s="81">
        <f>SUMIF(FAR!$C$5:$C$64,$B41,FAR!AE$5:AE$64)</f>
        <v/>
      </c>
      <c r="F41" s="81">
        <f>SUMIF(FAR!$C$5:$C$64,$B41,FAR!AG$5:AG$64)</f>
        <v/>
      </c>
      <c r="G41" s="81">
        <f>SUMIF(FAR!$C$5:$C$64,$B41,FAR!AI$5:AI$64)</f>
        <v/>
      </c>
      <c r="H41" s="81">
        <f>SUMIF(FAR!$C$5:$C$64,$B41,FAR!AK$5:AK$64)</f>
        <v/>
      </c>
      <c r="I41" s="81">
        <f>SUMIF(FAR!$C$5:$C$64,$B41,FAR!AM$5:AM$64)</f>
        <v/>
      </c>
      <c r="J41" s="81">
        <f>SUMIF(FAR!$C$5:$C$64,$B41,FAR!AO$5:AO$64)</f>
        <v/>
      </c>
      <c r="K41" s="81">
        <f>SUMIF(FAR!$C$5:$C$64,$B41,FAR!AQ$5:AQ$64)</f>
        <v/>
      </c>
      <c r="L41" s="81">
        <f>SUMIF(FAR!$C$5:$C$64,$B41,FAR!AS$5:AS$64)</f>
        <v/>
      </c>
      <c r="M41" s="81">
        <f>SUMIF(FAR!$C$5:$C$64,$B41,FAR!AU$5:AU$64)</f>
        <v/>
      </c>
      <c r="N41" s="81">
        <f>SUMIF(FAR!$C$5:$C$64,$B41,FAR!AW$5:AW$64)</f>
        <v/>
      </c>
      <c r="O41" s="81">
        <f>SUMIF(FAR!$C$5:$C$64,$B41,FAR!AY$5:AY$64)</f>
        <v/>
      </c>
      <c r="P41" s="81">
        <f>SUMIF(FAR!$C$5:$C$64,$B41,FAR!BA$5:BA$64)</f>
        <v/>
      </c>
      <c r="Q41" s="81">
        <f>SUMIF(FAR!$C$5:$C$64,$B41,FAR!BC$5:BC$64)</f>
        <v/>
      </c>
      <c r="R41" s="81">
        <f>SUMIF(FAR!$C$5:$C$64,$B41,FAR!BE$5:BE$64)</f>
        <v/>
      </c>
    </row>
    <row r="42">
      <c r="B42" s="92">
        <f>Input!C31</f>
        <v/>
      </c>
      <c r="C42" s="63">
        <f>SUMIF(FAR!$C$5:$C$64,$B42,FAR!AA$5:AA$64)</f>
        <v/>
      </c>
      <c r="D42" s="63">
        <f>SUMIF(FAR!$C$5:$C$64,$B42,FAR!AC$5:AC$64)</f>
        <v/>
      </c>
      <c r="E42" s="63">
        <f>SUMIF(FAR!$C$5:$C$64,$B42,FAR!AE$5:AE$64)</f>
        <v/>
      </c>
      <c r="F42" s="63">
        <f>SUMIF(FAR!$C$5:$C$64,$B42,FAR!AG$5:AG$64)</f>
        <v/>
      </c>
      <c r="G42" s="63">
        <f>SUMIF(FAR!$C$5:$C$64,$B42,FAR!AI$5:AI$64)</f>
        <v/>
      </c>
      <c r="H42" s="63">
        <f>SUMIF(FAR!$C$5:$C$64,$B42,FAR!AK$5:AK$64)</f>
        <v/>
      </c>
      <c r="I42" s="63">
        <f>SUMIF(FAR!$C$5:$C$64,$B42,FAR!AM$5:AM$64)</f>
        <v/>
      </c>
      <c r="J42" s="63">
        <f>SUMIF(FAR!$C$5:$C$64,$B42,FAR!AO$5:AO$64)</f>
        <v/>
      </c>
      <c r="K42" s="63">
        <f>SUMIF(FAR!$C$5:$C$64,$B42,FAR!AQ$5:AQ$64)</f>
        <v/>
      </c>
      <c r="L42" s="63">
        <f>SUMIF(FAR!$C$5:$C$64,$B42,FAR!AS$5:AS$64)</f>
        <v/>
      </c>
      <c r="M42" s="63">
        <f>SUMIF(FAR!$C$5:$C$64,$B42,FAR!AU$5:AU$64)</f>
        <v/>
      </c>
      <c r="N42" s="63">
        <f>SUMIF(FAR!$C$5:$C$64,$B42,FAR!AW$5:AW$64)</f>
        <v/>
      </c>
      <c r="O42" s="63">
        <f>SUMIF(FAR!$C$5:$C$64,$B42,FAR!AY$5:AY$64)</f>
        <v/>
      </c>
      <c r="P42" s="63">
        <f>SUMIF(FAR!$C$5:$C$64,$B42,FAR!BA$5:BA$64)</f>
        <v/>
      </c>
      <c r="Q42" s="63">
        <f>SUMIF(FAR!$C$5:$C$64,$B42,FAR!BC$5:BC$64)</f>
        <v/>
      </c>
      <c r="R42" s="63">
        <f>SUMIF(FAR!$C$5:$C$64,$B42,FAR!BE$5:BE$64)</f>
        <v/>
      </c>
    </row>
    <row r="43">
      <c r="B43" s="93">
        <f>Input!C32</f>
        <v/>
      </c>
      <c r="C43" s="81">
        <f>SUMIF(FAR!$C$5:$C$64,$B43,FAR!AA$5:AA$64)</f>
        <v/>
      </c>
      <c r="D43" s="81">
        <f>SUMIF(FAR!$C$5:$C$64,$B43,FAR!AC$5:AC$64)</f>
        <v/>
      </c>
      <c r="E43" s="81">
        <f>SUMIF(FAR!$C$5:$C$64,$B43,FAR!AE$5:AE$64)</f>
        <v/>
      </c>
      <c r="F43" s="81">
        <f>SUMIF(FAR!$C$5:$C$64,$B43,FAR!AG$5:AG$64)</f>
        <v/>
      </c>
      <c r="G43" s="81">
        <f>SUMIF(FAR!$C$5:$C$64,$B43,FAR!AI$5:AI$64)</f>
        <v/>
      </c>
      <c r="H43" s="81">
        <f>SUMIF(FAR!$C$5:$C$64,$B43,FAR!AK$5:AK$64)</f>
        <v/>
      </c>
      <c r="I43" s="81">
        <f>SUMIF(FAR!$C$5:$C$64,$B43,FAR!AM$5:AM$64)</f>
        <v/>
      </c>
      <c r="J43" s="81">
        <f>SUMIF(FAR!$C$5:$C$64,$B43,FAR!AO$5:AO$64)</f>
        <v/>
      </c>
      <c r="K43" s="81">
        <f>SUMIF(FAR!$C$5:$C$64,$B43,FAR!AQ$5:AQ$64)</f>
        <v/>
      </c>
      <c r="L43" s="81">
        <f>SUMIF(FAR!$C$5:$C$64,$B43,FAR!AS$5:AS$64)</f>
        <v/>
      </c>
      <c r="M43" s="81">
        <f>SUMIF(FAR!$C$5:$C$64,$B43,FAR!AU$5:AU$64)</f>
        <v/>
      </c>
      <c r="N43" s="81">
        <f>SUMIF(FAR!$C$5:$C$64,$B43,FAR!AW$5:AW$64)</f>
        <v/>
      </c>
      <c r="O43" s="81">
        <f>SUMIF(FAR!$C$5:$C$64,$B43,FAR!AY$5:AY$64)</f>
        <v/>
      </c>
      <c r="P43" s="81">
        <f>SUMIF(FAR!$C$5:$C$64,$B43,FAR!BA$5:BA$64)</f>
        <v/>
      </c>
      <c r="Q43" s="81">
        <f>SUMIF(FAR!$C$5:$C$64,$B43,FAR!BC$5:BC$64)</f>
        <v/>
      </c>
      <c r="R43" s="81">
        <f>SUMIF(FAR!$C$5:$C$64,$B43,FAR!BE$5:BE$64)</f>
        <v/>
      </c>
    </row>
    <row r="44">
      <c r="B44" s="28" t="inlineStr">
        <is>
          <t>TOTAL</t>
        </is>
      </c>
      <c r="C44" s="85">
        <f>SUM(C26:C43)</f>
        <v/>
      </c>
      <c r="D44" s="85">
        <f>SUM(D26:D43)</f>
        <v/>
      </c>
      <c r="E44" s="85">
        <f>SUM(E26:E43)</f>
        <v/>
      </c>
      <c r="F44" s="85">
        <f>SUM(F26:F43)</f>
        <v/>
      </c>
      <c r="G44" s="85">
        <f>SUM(G26:G43)</f>
        <v/>
      </c>
      <c r="H44" s="85">
        <f>SUM(H26:H43)</f>
        <v/>
      </c>
      <c r="I44" s="85">
        <f>SUM(I26:I43)</f>
        <v/>
      </c>
      <c r="J44" s="85">
        <f>SUM(J26:J43)</f>
        <v/>
      </c>
      <c r="K44" s="85">
        <f>SUM(K26:K43)</f>
        <v/>
      </c>
      <c r="L44" s="85">
        <f>SUM(L26:L43)</f>
        <v/>
      </c>
      <c r="M44" s="85">
        <f>SUM(M26:M43)</f>
        <v/>
      </c>
      <c r="N44" s="85">
        <f>SUM(N26:N43)</f>
        <v/>
      </c>
      <c r="O44" s="85">
        <f>SUM(O26:O43)</f>
        <v/>
      </c>
      <c r="P44" s="85">
        <f>SUM(P26:P43)</f>
        <v/>
      </c>
      <c r="Q44" s="85">
        <f>SUM(Q26:Q43)</f>
        <v/>
      </c>
      <c r="R44" s="85">
        <f>SUM(R26:R43)</f>
        <v/>
      </c>
    </row>
  </sheetData>
  <mergeCells count="4">
    <mergeCell ref="B24:R24"/>
    <mergeCell ref="B3:H3"/>
    <mergeCell ref="B5:H5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9000"/>
    <outlinePr summaryBelow="1" summaryRight="1"/>
    <pageSetUpPr/>
  </sheetPr>
  <dimension ref="B2:H3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2" ht="26" customHeight="1">
      <c r="B2" s="94" t="inlineStr">
        <is>
          <t>FIXED ASSETS – SUMMARY / SCHEDULE TO ACCOUNTS</t>
        </is>
      </c>
    </row>
    <row r="3">
      <c r="B3" s="95">
        <f>"As on "&amp;TEXT(ReportingFYEnd,"dd-mmm-yyyy")&amp;"   |   Method: "&amp;GlobalMethod&amp;"   |   "&amp;Input!C6</f>
        <v/>
      </c>
    </row>
    <row r="5" ht="30" customHeight="1">
      <c r="B5" s="96" t="inlineStr">
        <is>
          <t>Asset Category</t>
        </is>
      </c>
      <c r="C5" s="96" t="inlineStr">
        <is>
          <t>Gross Block (Rs.)</t>
        </is>
      </c>
      <c r="D5" s="96" t="inlineStr">
        <is>
          <t>Dep for the Year (Rs.)</t>
        </is>
      </c>
      <c r="E5" s="96" t="inlineStr">
        <is>
          <t>Accumulated Dep (Rs.)</t>
        </is>
      </c>
      <c r="F5" s="96" t="inlineStr">
        <is>
          <t>Net Block / WDV (Rs.)</t>
        </is>
      </c>
    </row>
    <row r="6">
      <c r="B6" s="97">
        <f>Input!C15</f>
        <v/>
      </c>
      <c r="C6" s="98">
        <f>SUMIFS(FAR!$K$5:$K$64,FAR!$C$5:$C$64,$B6,FAR!$U$5:$U$64,"&lt;&gt;Disposed")</f>
        <v/>
      </c>
      <c r="D6" s="98">
        <f>SUMIFS(FAR!$R$5:$R$64,FAR!$C$5:$C$64,$B6,FAR!$U$5:$U$64,"&lt;&gt;Disposed")</f>
        <v/>
      </c>
      <c r="E6" s="98">
        <f>SUMIFS(FAR!$S$5:$S$64,FAR!$C$5:$C$64,$B6,FAR!$U$5:$U$64,"&lt;&gt;Disposed")</f>
        <v/>
      </c>
      <c r="F6" s="99">
        <f>SUMIFS(FAR!$T$5:$T$64,FAR!$C$5:$C$64,$B6,FAR!$U$5:$U$64,"&lt;&gt;Disposed")</f>
        <v/>
      </c>
    </row>
    <row r="7">
      <c r="B7" s="20">
        <f>Input!C16</f>
        <v/>
      </c>
      <c r="C7" s="74">
        <f>SUMIFS(FAR!$K$5:$K$64,FAR!$C$5:$C$64,$B7,FAR!$U$5:$U$64,"&lt;&gt;Disposed")</f>
        <v/>
      </c>
      <c r="D7" s="74">
        <f>SUMIFS(FAR!$R$5:$R$64,FAR!$C$5:$C$64,$B7,FAR!$U$5:$U$64,"&lt;&gt;Disposed")</f>
        <v/>
      </c>
      <c r="E7" s="74">
        <f>SUMIFS(FAR!$S$5:$S$64,FAR!$C$5:$C$64,$B7,FAR!$U$5:$U$64,"&lt;&gt;Disposed")</f>
        <v/>
      </c>
      <c r="F7" s="77">
        <f>SUMIFS(FAR!$T$5:$T$64,FAR!$C$5:$C$64,$B7,FAR!$U$5:$U$64,"&lt;&gt;Disposed")</f>
        <v/>
      </c>
    </row>
    <row r="8">
      <c r="B8" s="97">
        <f>Input!C17</f>
        <v/>
      </c>
      <c r="C8" s="98">
        <f>SUMIFS(FAR!$K$5:$K$64,FAR!$C$5:$C$64,$B8,FAR!$U$5:$U$64,"&lt;&gt;Disposed")</f>
        <v/>
      </c>
      <c r="D8" s="98">
        <f>SUMIFS(FAR!$R$5:$R$64,FAR!$C$5:$C$64,$B8,FAR!$U$5:$U$64,"&lt;&gt;Disposed")</f>
        <v/>
      </c>
      <c r="E8" s="98">
        <f>SUMIFS(FAR!$S$5:$S$64,FAR!$C$5:$C$64,$B8,FAR!$U$5:$U$64,"&lt;&gt;Disposed")</f>
        <v/>
      </c>
      <c r="F8" s="99">
        <f>SUMIFS(FAR!$T$5:$T$64,FAR!$C$5:$C$64,$B8,FAR!$U$5:$U$64,"&lt;&gt;Disposed")</f>
        <v/>
      </c>
    </row>
    <row r="9">
      <c r="B9" s="20">
        <f>Input!C18</f>
        <v/>
      </c>
      <c r="C9" s="74">
        <f>SUMIFS(FAR!$K$5:$K$64,FAR!$C$5:$C$64,$B9,FAR!$U$5:$U$64,"&lt;&gt;Disposed")</f>
        <v/>
      </c>
      <c r="D9" s="74">
        <f>SUMIFS(FAR!$R$5:$R$64,FAR!$C$5:$C$64,$B9,FAR!$U$5:$U$64,"&lt;&gt;Disposed")</f>
        <v/>
      </c>
      <c r="E9" s="74">
        <f>SUMIFS(FAR!$S$5:$S$64,FAR!$C$5:$C$64,$B9,FAR!$U$5:$U$64,"&lt;&gt;Disposed")</f>
        <v/>
      </c>
      <c r="F9" s="77">
        <f>SUMIFS(FAR!$T$5:$T$64,FAR!$C$5:$C$64,$B9,FAR!$U$5:$U$64,"&lt;&gt;Disposed")</f>
        <v/>
      </c>
    </row>
    <row r="10">
      <c r="B10" s="97">
        <f>Input!C19</f>
        <v/>
      </c>
      <c r="C10" s="98">
        <f>SUMIFS(FAR!$K$5:$K$64,FAR!$C$5:$C$64,$B10,FAR!$U$5:$U$64,"&lt;&gt;Disposed")</f>
        <v/>
      </c>
      <c r="D10" s="98">
        <f>SUMIFS(FAR!$R$5:$R$64,FAR!$C$5:$C$64,$B10,FAR!$U$5:$U$64,"&lt;&gt;Disposed")</f>
        <v/>
      </c>
      <c r="E10" s="98">
        <f>SUMIFS(FAR!$S$5:$S$64,FAR!$C$5:$C$64,$B10,FAR!$U$5:$U$64,"&lt;&gt;Disposed")</f>
        <v/>
      </c>
      <c r="F10" s="99">
        <f>SUMIFS(FAR!$T$5:$T$64,FAR!$C$5:$C$64,$B10,FAR!$U$5:$U$64,"&lt;&gt;Disposed")</f>
        <v/>
      </c>
    </row>
    <row r="11">
      <c r="B11" s="20">
        <f>Input!C20</f>
        <v/>
      </c>
      <c r="C11" s="74">
        <f>SUMIFS(FAR!$K$5:$K$64,FAR!$C$5:$C$64,$B11,FAR!$U$5:$U$64,"&lt;&gt;Disposed")</f>
        <v/>
      </c>
      <c r="D11" s="74">
        <f>SUMIFS(FAR!$R$5:$R$64,FAR!$C$5:$C$64,$B11,FAR!$U$5:$U$64,"&lt;&gt;Disposed")</f>
        <v/>
      </c>
      <c r="E11" s="74">
        <f>SUMIFS(FAR!$S$5:$S$64,FAR!$C$5:$C$64,$B11,FAR!$U$5:$U$64,"&lt;&gt;Disposed")</f>
        <v/>
      </c>
      <c r="F11" s="77">
        <f>SUMIFS(FAR!$T$5:$T$64,FAR!$C$5:$C$64,$B11,FAR!$U$5:$U$64,"&lt;&gt;Disposed")</f>
        <v/>
      </c>
    </row>
    <row r="12">
      <c r="B12" s="97">
        <f>Input!C21</f>
        <v/>
      </c>
      <c r="C12" s="98">
        <f>SUMIFS(FAR!$K$5:$K$64,FAR!$C$5:$C$64,$B12,FAR!$U$5:$U$64,"&lt;&gt;Disposed")</f>
        <v/>
      </c>
      <c r="D12" s="98">
        <f>SUMIFS(FAR!$R$5:$R$64,FAR!$C$5:$C$64,$B12,FAR!$U$5:$U$64,"&lt;&gt;Disposed")</f>
        <v/>
      </c>
      <c r="E12" s="98">
        <f>SUMIFS(FAR!$S$5:$S$64,FAR!$C$5:$C$64,$B12,FAR!$U$5:$U$64,"&lt;&gt;Disposed")</f>
        <v/>
      </c>
      <c r="F12" s="99">
        <f>SUMIFS(FAR!$T$5:$T$64,FAR!$C$5:$C$64,$B12,FAR!$U$5:$U$64,"&lt;&gt;Disposed")</f>
        <v/>
      </c>
    </row>
    <row r="13">
      <c r="B13" s="20">
        <f>Input!C22</f>
        <v/>
      </c>
      <c r="C13" s="74">
        <f>SUMIFS(FAR!$K$5:$K$64,FAR!$C$5:$C$64,$B13,FAR!$U$5:$U$64,"&lt;&gt;Disposed")</f>
        <v/>
      </c>
      <c r="D13" s="74">
        <f>SUMIFS(FAR!$R$5:$R$64,FAR!$C$5:$C$64,$B13,FAR!$U$5:$U$64,"&lt;&gt;Disposed")</f>
        <v/>
      </c>
      <c r="E13" s="74">
        <f>SUMIFS(FAR!$S$5:$S$64,FAR!$C$5:$C$64,$B13,FAR!$U$5:$U$64,"&lt;&gt;Disposed")</f>
        <v/>
      </c>
      <c r="F13" s="77">
        <f>SUMIFS(FAR!$T$5:$T$64,FAR!$C$5:$C$64,$B13,FAR!$U$5:$U$64,"&lt;&gt;Disposed")</f>
        <v/>
      </c>
    </row>
    <row r="14">
      <c r="B14" s="97">
        <f>Input!C23</f>
        <v/>
      </c>
      <c r="C14" s="98">
        <f>SUMIFS(FAR!$K$5:$K$64,FAR!$C$5:$C$64,$B14,FAR!$U$5:$U$64,"&lt;&gt;Disposed")</f>
        <v/>
      </c>
      <c r="D14" s="98">
        <f>SUMIFS(FAR!$R$5:$R$64,FAR!$C$5:$C$64,$B14,FAR!$U$5:$U$64,"&lt;&gt;Disposed")</f>
        <v/>
      </c>
      <c r="E14" s="98">
        <f>SUMIFS(FAR!$S$5:$S$64,FAR!$C$5:$C$64,$B14,FAR!$U$5:$U$64,"&lt;&gt;Disposed")</f>
        <v/>
      </c>
      <c r="F14" s="99">
        <f>SUMIFS(FAR!$T$5:$T$64,FAR!$C$5:$C$64,$B14,FAR!$U$5:$U$64,"&lt;&gt;Disposed")</f>
        <v/>
      </c>
    </row>
    <row r="15">
      <c r="B15" s="20">
        <f>Input!C24</f>
        <v/>
      </c>
      <c r="C15" s="74">
        <f>SUMIFS(FAR!$K$5:$K$64,FAR!$C$5:$C$64,$B15,FAR!$U$5:$U$64,"&lt;&gt;Disposed")</f>
        <v/>
      </c>
      <c r="D15" s="74">
        <f>SUMIFS(FAR!$R$5:$R$64,FAR!$C$5:$C$64,$B15,FAR!$U$5:$U$64,"&lt;&gt;Disposed")</f>
        <v/>
      </c>
      <c r="E15" s="74">
        <f>SUMIFS(FAR!$S$5:$S$64,FAR!$C$5:$C$64,$B15,FAR!$U$5:$U$64,"&lt;&gt;Disposed")</f>
        <v/>
      </c>
      <c r="F15" s="77">
        <f>SUMIFS(FAR!$T$5:$T$64,FAR!$C$5:$C$64,$B15,FAR!$U$5:$U$64,"&lt;&gt;Disposed")</f>
        <v/>
      </c>
    </row>
    <row r="16">
      <c r="B16" s="97">
        <f>Input!C25</f>
        <v/>
      </c>
      <c r="C16" s="98">
        <f>SUMIFS(FAR!$K$5:$K$64,FAR!$C$5:$C$64,$B16,FAR!$U$5:$U$64,"&lt;&gt;Disposed")</f>
        <v/>
      </c>
      <c r="D16" s="98">
        <f>SUMIFS(FAR!$R$5:$R$64,FAR!$C$5:$C$64,$B16,FAR!$U$5:$U$64,"&lt;&gt;Disposed")</f>
        <v/>
      </c>
      <c r="E16" s="98">
        <f>SUMIFS(FAR!$S$5:$S$64,FAR!$C$5:$C$64,$B16,FAR!$U$5:$U$64,"&lt;&gt;Disposed")</f>
        <v/>
      </c>
      <c r="F16" s="99">
        <f>SUMIFS(FAR!$T$5:$T$64,FAR!$C$5:$C$64,$B16,FAR!$U$5:$U$64,"&lt;&gt;Disposed")</f>
        <v/>
      </c>
    </row>
    <row r="17">
      <c r="B17" s="20">
        <f>Input!C26</f>
        <v/>
      </c>
      <c r="C17" s="74">
        <f>SUMIFS(FAR!$K$5:$K$64,FAR!$C$5:$C$64,$B17,FAR!$U$5:$U$64,"&lt;&gt;Disposed")</f>
        <v/>
      </c>
      <c r="D17" s="74">
        <f>SUMIFS(FAR!$R$5:$R$64,FAR!$C$5:$C$64,$B17,FAR!$U$5:$U$64,"&lt;&gt;Disposed")</f>
        <v/>
      </c>
      <c r="E17" s="74">
        <f>SUMIFS(FAR!$S$5:$S$64,FAR!$C$5:$C$64,$B17,FAR!$U$5:$U$64,"&lt;&gt;Disposed")</f>
        <v/>
      </c>
      <c r="F17" s="77">
        <f>SUMIFS(FAR!$T$5:$T$64,FAR!$C$5:$C$64,$B17,FAR!$U$5:$U$64,"&lt;&gt;Disposed")</f>
        <v/>
      </c>
    </row>
    <row r="18">
      <c r="B18" s="97">
        <f>Input!C27</f>
        <v/>
      </c>
      <c r="C18" s="98">
        <f>SUMIFS(FAR!$K$5:$K$64,FAR!$C$5:$C$64,$B18,FAR!$U$5:$U$64,"&lt;&gt;Disposed")</f>
        <v/>
      </c>
      <c r="D18" s="98">
        <f>SUMIFS(FAR!$R$5:$R$64,FAR!$C$5:$C$64,$B18,FAR!$U$5:$U$64,"&lt;&gt;Disposed")</f>
        <v/>
      </c>
      <c r="E18" s="98">
        <f>SUMIFS(FAR!$S$5:$S$64,FAR!$C$5:$C$64,$B18,FAR!$U$5:$U$64,"&lt;&gt;Disposed")</f>
        <v/>
      </c>
      <c r="F18" s="99">
        <f>SUMIFS(FAR!$T$5:$T$64,FAR!$C$5:$C$64,$B18,FAR!$U$5:$U$64,"&lt;&gt;Disposed")</f>
        <v/>
      </c>
    </row>
    <row r="19">
      <c r="B19" s="20">
        <f>Input!C28</f>
        <v/>
      </c>
      <c r="C19" s="74">
        <f>SUMIFS(FAR!$K$5:$K$64,FAR!$C$5:$C$64,$B19,FAR!$U$5:$U$64,"&lt;&gt;Disposed")</f>
        <v/>
      </c>
      <c r="D19" s="74">
        <f>SUMIFS(FAR!$R$5:$R$64,FAR!$C$5:$C$64,$B19,FAR!$U$5:$U$64,"&lt;&gt;Disposed")</f>
        <v/>
      </c>
      <c r="E19" s="74">
        <f>SUMIFS(FAR!$S$5:$S$64,FAR!$C$5:$C$64,$B19,FAR!$U$5:$U$64,"&lt;&gt;Disposed")</f>
        <v/>
      </c>
      <c r="F19" s="77">
        <f>SUMIFS(FAR!$T$5:$T$64,FAR!$C$5:$C$64,$B19,FAR!$U$5:$U$64,"&lt;&gt;Disposed")</f>
        <v/>
      </c>
    </row>
    <row r="20">
      <c r="B20" s="97">
        <f>Input!C29</f>
        <v/>
      </c>
      <c r="C20" s="98">
        <f>SUMIFS(FAR!$K$5:$K$64,FAR!$C$5:$C$64,$B20,FAR!$U$5:$U$64,"&lt;&gt;Disposed")</f>
        <v/>
      </c>
      <c r="D20" s="98">
        <f>SUMIFS(FAR!$R$5:$R$64,FAR!$C$5:$C$64,$B20,FAR!$U$5:$U$64,"&lt;&gt;Disposed")</f>
        <v/>
      </c>
      <c r="E20" s="98">
        <f>SUMIFS(FAR!$S$5:$S$64,FAR!$C$5:$C$64,$B20,FAR!$U$5:$U$64,"&lt;&gt;Disposed")</f>
        <v/>
      </c>
      <c r="F20" s="99">
        <f>SUMIFS(FAR!$T$5:$T$64,FAR!$C$5:$C$64,$B20,FAR!$U$5:$U$64,"&lt;&gt;Disposed")</f>
        <v/>
      </c>
    </row>
    <row r="21">
      <c r="B21" s="20">
        <f>Input!C30</f>
        <v/>
      </c>
      <c r="C21" s="74">
        <f>SUMIFS(FAR!$K$5:$K$64,FAR!$C$5:$C$64,$B21,FAR!$U$5:$U$64,"&lt;&gt;Disposed")</f>
        <v/>
      </c>
      <c r="D21" s="74">
        <f>SUMIFS(FAR!$R$5:$R$64,FAR!$C$5:$C$64,$B21,FAR!$U$5:$U$64,"&lt;&gt;Disposed")</f>
        <v/>
      </c>
      <c r="E21" s="74">
        <f>SUMIFS(FAR!$S$5:$S$64,FAR!$C$5:$C$64,$B21,FAR!$U$5:$U$64,"&lt;&gt;Disposed")</f>
        <v/>
      </c>
      <c r="F21" s="77">
        <f>SUMIFS(FAR!$T$5:$T$64,FAR!$C$5:$C$64,$B21,FAR!$U$5:$U$64,"&lt;&gt;Disposed")</f>
        <v/>
      </c>
    </row>
    <row r="22">
      <c r="B22" s="97">
        <f>Input!C31</f>
        <v/>
      </c>
      <c r="C22" s="98">
        <f>SUMIFS(FAR!$K$5:$K$64,FAR!$C$5:$C$64,$B22,FAR!$U$5:$U$64,"&lt;&gt;Disposed")</f>
        <v/>
      </c>
      <c r="D22" s="98">
        <f>SUMIFS(FAR!$R$5:$R$64,FAR!$C$5:$C$64,$B22,FAR!$U$5:$U$64,"&lt;&gt;Disposed")</f>
        <v/>
      </c>
      <c r="E22" s="98">
        <f>SUMIFS(FAR!$S$5:$S$64,FAR!$C$5:$C$64,$B22,FAR!$U$5:$U$64,"&lt;&gt;Disposed")</f>
        <v/>
      </c>
      <c r="F22" s="99">
        <f>SUMIFS(FAR!$T$5:$T$64,FAR!$C$5:$C$64,$B22,FAR!$U$5:$U$64,"&lt;&gt;Disposed")</f>
        <v/>
      </c>
    </row>
    <row r="23">
      <c r="B23" s="20">
        <f>Input!C32</f>
        <v/>
      </c>
      <c r="C23" s="74">
        <f>SUMIFS(FAR!$K$5:$K$64,FAR!$C$5:$C$64,$B23,FAR!$U$5:$U$64,"&lt;&gt;Disposed")</f>
        <v/>
      </c>
      <c r="D23" s="74">
        <f>SUMIFS(FAR!$R$5:$R$64,FAR!$C$5:$C$64,$B23,FAR!$U$5:$U$64,"&lt;&gt;Disposed")</f>
        <v/>
      </c>
      <c r="E23" s="74">
        <f>SUMIFS(FAR!$S$5:$S$64,FAR!$C$5:$C$64,$B23,FAR!$U$5:$U$64,"&lt;&gt;Disposed")</f>
        <v/>
      </c>
      <c r="F23" s="77">
        <f>SUMIFS(FAR!$T$5:$T$64,FAR!$C$5:$C$64,$B23,FAR!$U$5:$U$64,"&lt;&gt;Disposed")</f>
        <v/>
      </c>
    </row>
    <row r="24">
      <c r="B24" s="82" t="inlineStr">
        <is>
          <t>TOTAL</t>
        </is>
      </c>
      <c r="C24" s="84">
        <f>SUM(C6:C23)</f>
        <v/>
      </c>
      <c r="D24" s="84">
        <f>SUM(D6:D23)</f>
        <v/>
      </c>
      <c r="E24" s="84">
        <f>SUM(E6:E23)</f>
        <v/>
      </c>
      <c r="F24" s="84">
        <f>SUM(F6:F23)</f>
        <v/>
      </c>
    </row>
    <row r="26">
      <c r="B26" s="100" t="inlineStr">
        <is>
          <t>Check: Gross − Acc. Dep = Net Block</t>
        </is>
      </c>
      <c r="E26" s="101">
        <f>C24-E24</f>
        <v/>
      </c>
      <c r="F26" s="102">
        <f>IF(ROUND(E26-F24,0)=0,"OK ✓","CHECK")</f>
        <v/>
      </c>
    </row>
    <row r="28">
      <c r="B28" s="103" t="inlineStr">
        <is>
          <t>DISPOSALS DURING / UP TO REPORTING FY</t>
        </is>
      </c>
      <c r="C28" s="29" t="n"/>
      <c r="D28" s="29" t="n"/>
      <c r="E28" s="29" t="n"/>
      <c r="F28" s="30" t="n"/>
    </row>
    <row r="29">
      <c r="B29" s="41" t="inlineStr">
        <is>
          <t>Asset</t>
        </is>
      </c>
      <c r="C29" s="41" t="inlineStr">
        <is>
          <t>Category</t>
        </is>
      </c>
      <c r="D29" s="41" t="inlineStr">
        <is>
          <t>Disposal Date</t>
        </is>
      </c>
      <c r="E29" s="41" t="inlineStr">
        <is>
          <t>Gross Cost (Rs.)</t>
        </is>
      </c>
      <c r="F29" s="41" t="inlineStr">
        <is>
          <t>Sale Proceeds (Rs.)</t>
        </is>
      </c>
    </row>
    <row r="30">
      <c r="B30" s="31">
        <f>FAR!B14</f>
        <v/>
      </c>
      <c r="C30" s="104">
        <f>FAR!C14</f>
        <v/>
      </c>
      <c r="D30" s="105">
        <f>FAR!I14</f>
        <v/>
      </c>
      <c r="E30" s="106">
        <f>FAR!K14</f>
        <v/>
      </c>
      <c r="F30" s="106">
        <f>FAR!J14</f>
        <v/>
      </c>
    </row>
  </sheetData>
  <mergeCells count="4">
    <mergeCell ref="B26:D26"/>
    <mergeCell ref="B3:H3"/>
    <mergeCell ref="B2:H2"/>
    <mergeCell ref="B28:F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B2:N8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15" customWidth="1" min="4" max="4"/>
    <col width="14" customWidth="1" min="5" max="5"/>
    <col width="12" customWidth="1" min="6" max="6"/>
    <col width="15" customWidth="1" min="7" max="7"/>
    <col width="15" customWidth="1" min="8" max="8"/>
    <col width="13" customWidth="1" min="9" max="9"/>
    <col width="14" customWidth="1" min="10" max="10"/>
    <col width="15" customWidth="1" min="11" max="11"/>
    <col width="15" customWidth="1" min="12" max="12"/>
    <col width="28" customWidth="1" min="13" max="13"/>
    <col width="4" customWidth="1" min="14" max="14"/>
  </cols>
  <sheetData>
    <row r="2" ht="26" customHeight="1">
      <c r="B2" s="107" t="inlineStr">
        <is>
          <t>INCOME-TAX DEPRECIATION CHART – BLOCK OF ASSETS</t>
        </is>
      </c>
    </row>
    <row r="3">
      <c r="B3" s="95" t="inlineStr">
        <is>
          <t>Section 32, Income-Tax Act  •  WDV method on block of assets (Appendix I rates)  •  180-day half-rate rule applied automatically from 'Date Put to Use' on FAR</t>
        </is>
      </c>
    </row>
    <row r="5" ht="26" customHeight="1">
      <c r="B5" s="4" t="inlineStr">
        <is>
          <t>Income-Tax Computation FY (year ending):</t>
        </is>
      </c>
      <c r="C5" s="29" t="n"/>
      <c r="D5" s="30" t="n"/>
      <c r="E5" s="8" t="n">
        <v>44286</v>
      </c>
      <c r="F5" s="26" t="inlineStr">
        <is>
          <t>↳ Additions of THIS year auto-flow from FAR (≥180 / &lt;180 days). Enter Opening WDV (closing WDV of prior year) and any Additional Depreciation u/s 32(1)(iia) in the yellow cells.</t>
        </is>
      </c>
    </row>
    <row r="6">
      <c r="B6" s="27" t="inlineStr">
        <is>
          <t>A.  BLOCK-OF-ASSETS DEPRECIATION CHART  (yellow = your input)</t>
        </is>
      </c>
    </row>
    <row r="7" ht="40" customHeight="1">
      <c r="B7" s="108" t="inlineStr">
        <is>
          <t>Block of Assets</t>
        </is>
      </c>
      <c r="C7" s="108" t="inlineStr">
        <is>
          <t>Rate</t>
        </is>
      </c>
      <c r="D7" s="108" t="inlineStr">
        <is>
          <t>Opening WDV</t>
        </is>
      </c>
      <c r="E7" s="108" t="inlineStr">
        <is>
          <t>Additions ≥180 days</t>
        </is>
      </c>
      <c r="F7" s="108" t="inlineStr">
        <is>
          <t>Additions &lt;180 days</t>
        </is>
      </c>
      <c r="G7" s="108" t="inlineStr">
        <is>
          <t>Deletions (Sale)</t>
        </is>
      </c>
      <c r="H7" s="108" t="inlineStr">
        <is>
          <t>Normal Dep (full rate)</t>
        </is>
      </c>
      <c r="I7" s="108" t="inlineStr">
        <is>
          <t>Dep on &lt;180 (½ rate)</t>
        </is>
      </c>
      <c r="J7" s="108" t="inlineStr">
        <is>
          <t>Additional Dep</t>
        </is>
      </c>
      <c r="K7" s="108" t="inlineStr">
        <is>
          <t>Total Depreciation</t>
        </is>
      </c>
      <c r="L7" s="108" t="inlineStr">
        <is>
          <t>Closing WDV</t>
        </is>
      </c>
      <c r="M7" s="108" t="inlineStr">
        <is>
          <t>Remarks</t>
        </is>
      </c>
    </row>
    <row r="8">
      <c r="B8" s="109">
        <f>Input!B36</f>
        <v/>
      </c>
      <c r="C8" s="110">
        <f>VLOOKUP($B8,ITBlockTable,5,FALSE)</f>
        <v/>
      </c>
      <c r="D8" s="111" t="n">
        <v>0</v>
      </c>
      <c r="E8" s="112">
        <f>SUMIF($C$25:$C$84,$B8,$G$25:$G$84)</f>
        <v/>
      </c>
      <c r="F8" s="112">
        <f>SUMIF($C$25:$C$84,$B8,$H$25:$H$84)</f>
        <v/>
      </c>
      <c r="G8" s="113">
        <f>SUMIF($C$25:$C$84,$B8,$J$25:$J$84)</f>
        <v/>
      </c>
      <c r="H8" s="114">
        <f>MAX(0,($D8+$E8-$G8))*$C8</f>
        <v/>
      </c>
      <c r="I8" s="114">
        <f>MAX(0,$F8+MIN(0,($D8+$E8-$G8)))*$C8*0.5</f>
        <v/>
      </c>
      <c r="J8" s="111" t="n">
        <v>0</v>
      </c>
      <c r="K8" s="115">
        <f>IF(($D8+$E8+$F8-$G8)&lt;=0,0,MIN($H8+$I8+$J8,($D8+$E8+$F8-$G8)))</f>
        <v/>
      </c>
      <c r="L8" s="116">
        <f>IF(($D8+$E8+$F8-$G8)&lt;=0,0,($D8+$E8+$F8-$G8)-$K8)</f>
        <v/>
      </c>
      <c r="M8" s="117">
        <f>IF(($D8+$E8-$G8)&lt;0,"Block negative – examine STCG (Sec.50)",IF(AND(($D8+$E8+$F8)=0,$G8&gt;0),"Block ceased",""))</f>
        <v/>
      </c>
    </row>
    <row r="9">
      <c r="B9" s="93">
        <f>Input!B37</f>
        <v/>
      </c>
      <c r="C9" s="118">
        <f>VLOOKUP($B9,ITBlockTable,5,FALSE)</f>
        <v/>
      </c>
      <c r="D9" s="111" t="n">
        <v>0</v>
      </c>
      <c r="E9" s="81">
        <f>SUMIF($C$25:$C$84,$B9,$G$25:$G$84)</f>
        <v/>
      </c>
      <c r="F9" s="81">
        <f>SUMIF($C$25:$C$84,$B9,$H$25:$H$84)</f>
        <v/>
      </c>
      <c r="G9" s="119">
        <f>SUMIF($C$25:$C$84,$B9,$J$25:$J$84)</f>
        <v/>
      </c>
      <c r="H9" s="120">
        <f>MAX(0,($D9+$E9-$G9))*$C9</f>
        <v/>
      </c>
      <c r="I9" s="120">
        <f>MAX(0,$F9+MIN(0,($D9+$E9-$G9)))*$C9*0.5</f>
        <v/>
      </c>
      <c r="J9" s="111" t="n">
        <v>0</v>
      </c>
      <c r="K9" s="121">
        <f>IF(($D9+$E9+$F9-$G9)&lt;=0,0,MIN($H9+$I9+$J9,($D9+$E9+$F9-$G9)))</f>
        <v/>
      </c>
      <c r="L9" s="122">
        <f>IF(($D9+$E9+$F9-$G9)&lt;=0,0,($D9+$E9+$F9-$G9)-$K9)</f>
        <v/>
      </c>
      <c r="M9" s="123">
        <f>IF(($D9+$E9-$G9)&lt;0,"Block negative – examine STCG (Sec.50)",IF(AND(($D9+$E9+$F9)=0,$G9&gt;0),"Block ceased",""))</f>
        <v/>
      </c>
    </row>
    <row r="10">
      <c r="B10" s="109">
        <f>Input!B38</f>
        <v/>
      </c>
      <c r="C10" s="110">
        <f>VLOOKUP($B10,ITBlockTable,5,FALSE)</f>
        <v/>
      </c>
      <c r="D10" s="111" t="n">
        <v>0</v>
      </c>
      <c r="E10" s="112">
        <f>SUMIF($C$25:$C$84,$B10,$G$25:$G$84)</f>
        <v/>
      </c>
      <c r="F10" s="112">
        <f>SUMIF($C$25:$C$84,$B10,$H$25:$H$84)</f>
        <v/>
      </c>
      <c r="G10" s="113">
        <f>SUMIF($C$25:$C$84,$B10,$J$25:$J$84)</f>
        <v/>
      </c>
      <c r="H10" s="114">
        <f>MAX(0,($D10+$E10-$G10))*$C10</f>
        <v/>
      </c>
      <c r="I10" s="114">
        <f>MAX(0,$F10+MIN(0,($D10+$E10-$G10)))*$C10*0.5</f>
        <v/>
      </c>
      <c r="J10" s="111" t="n">
        <v>0</v>
      </c>
      <c r="K10" s="115">
        <f>IF(($D10+$E10+$F10-$G10)&lt;=0,0,MIN($H10+$I10+$J10,($D10+$E10+$F10-$G10)))</f>
        <v/>
      </c>
      <c r="L10" s="116">
        <f>IF(($D10+$E10+$F10-$G10)&lt;=0,0,($D10+$E10+$F10-$G10)-$K10)</f>
        <v/>
      </c>
      <c r="M10" s="117">
        <f>IF(($D10+$E10-$G10)&lt;0,"Block negative – examine STCG (Sec.50)",IF(AND(($D10+$E10+$F10)=0,$G10&gt;0),"Block ceased",""))</f>
        <v/>
      </c>
    </row>
    <row r="11">
      <c r="B11" s="93">
        <f>Input!B39</f>
        <v/>
      </c>
      <c r="C11" s="118">
        <f>VLOOKUP($B11,ITBlockTable,5,FALSE)</f>
        <v/>
      </c>
      <c r="D11" s="111" t="n">
        <v>0</v>
      </c>
      <c r="E11" s="81">
        <f>SUMIF($C$25:$C$84,$B11,$G$25:$G$84)</f>
        <v/>
      </c>
      <c r="F11" s="81">
        <f>SUMIF($C$25:$C$84,$B11,$H$25:$H$84)</f>
        <v/>
      </c>
      <c r="G11" s="119">
        <f>SUMIF($C$25:$C$84,$B11,$J$25:$J$84)</f>
        <v/>
      </c>
      <c r="H11" s="120">
        <f>MAX(0,($D11+$E11-$G11))*$C11</f>
        <v/>
      </c>
      <c r="I11" s="120">
        <f>MAX(0,$F11+MIN(0,($D11+$E11-$G11)))*$C11*0.5</f>
        <v/>
      </c>
      <c r="J11" s="111" t="n">
        <v>0</v>
      </c>
      <c r="K11" s="121">
        <f>IF(($D11+$E11+$F11-$G11)&lt;=0,0,MIN($H11+$I11+$J11,($D11+$E11+$F11-$G11)))</f>
        <v/>
      </c>
      <c r="L11" s="122">
        <f>IF(($D11+$E11+$F11-$G11)&lt;=0,0,($D11+$E11+$F11-$G11)-$K11)</f>
        <v/>
      </c>
      <c r="M11" s="123">
        <f>IF(($D11+$E11-$G11)&lt;0,"Block negative – examine STCG (Sec.50)",IF(AND(($D11+$E11+$F11)=0,$G11&gt;0),"Block ceased",""))</f>
        <v/>
      </c>
    </row>
    <row r="12">
      <c r="B12" s="109">
        <f>Input!B40</f>
        <v/>
      </c>
      <c r="C12" s="110">
        <f>VLOOKUP($B12,ITBlockTable,5,FALSE)</f>
        <v/>
      </c>
      <c r="D12" s="111" t="n">
        <v>0</v>
      </c>
      <c r="E12" s="112">
        <f>SUMIF($C$25:$C$84,$B12,$G$25:$G$84)</f>
        <v/>
      </c>
      <c r="F12" s="112">
        <f>SUMIF($C$25:$C$84,$B12,$H$25:$H$84)</f>
        <v/>
      </c>
      <c r="G12" s="113">
        <f>SUMIF($C$25:$C$84,$B12,$J$25:$J$84)</f>
        <v/>
      </c>
      <c r="H12" s="114">
        <f>MAX(0,($D12+$E12-$G12))*$C12</f>
        <v/>
      </c>
      <c r="I12" s="114">
        <f>MAX(0,$F12+MIN(0,($D12+$E12-$G12)))*$C12*0.5</f>
        <v/>
      </c>
      <c r="J12" s="111" t="n">
        <v>0</v>
      </c>
      <c r="K12" s="115">
        <f>IF(($D12+$E12+$F12-$G12)&lt;=0,0,MIN($H12+$I12+$J12,($D12+$E12+$F12-$G12)))</f>
        <v/>
      </c>
      <c r="L12" s="116">
        <f>IF(($D12+$E12+$F12-$G12)&lt;=0,0,($D12+$E12+$F12-$G12)-$K12)</f>
        <v/>
      </c>
      <c r="M12" s="117">
        <f>IF(($D12+$E12-$G12)&lt;0,"Block negative – examine STCG (Sec.50)",IF(AND(($D12+$E12+$F12)=0,$G12&gt;0),"Block ceased",""))</f>
        <v/>
      </c>
    </row>
    <row r="13">
      <c r="B13" s="93">
        <f>Input!B41</f>
        <v/>
      </c>
      <c r="C13" s="118">
        <f>VLOOKUP($B13,ITBlockTable,5,FALSE)</f>
        <v/>
      </c>
      <c r="D13" s="111" t="n">
        <v>0</v>
      </c>
      <c r="E13" s="81">
        <f>SUMIF($C$25:$C$84,$B13,$G$25:$G$84)</f>
        <v/>
      </c>
      <c r="F13" s="81">
        <f>SUMIF($C$25:$C$84,$B13,$H$25:$H$84)</f>
        <v/>
      </c>
      <c r="G13" s="119">
        <f>SUMIF($C$25:$C$84,$B13,$J$25:$J$84)</f>
        <v/>
      </c>
      <c r="H13" s="120">
        <f>MAX(0,($D13+$E13-$G13))*$C13</f>
        <v/>
      </c>
      <c r="I13" s="120">
        <f>MAX(0,$F13+MIN(0,($D13+$E13-$G13)))*$C13*0.5</f>
        <v/>
      </c>
      <c r="J13" s="111" t="n">
        <v>0</v>
      </c>
      <c r="K13" s="121">
        <f>IF(($D13+$E13+$F13-$G13)&lt;=0,0,MIN($H13+$I13+$J13,($D13+$E13+$F13-$G13)))</f>
        <v/>
      </c>
      <c r="L13" s="122">
        <f>IF(($D13+$E13+$F13-$G13)&lt;=0,0,($D13+$E13+$F13-$G13)-$K13)</f>
        <v/>
      </c>
      <c r="M13" s="123">
        <f>IF(($D13+$E13-$G13)&lt;0,"Block negative – examine STCG (Sec.50)",IF(AND(($D13+$E13+$F13)=0,$G13&gt;0),"Block ceased",""))</f>
        <v/>
      </c>
    </row>
    <row r="14">
      <c r="B14" s="109">
        <f>Input!B42</f>
        <v/>
      </c>
      <c r="C14" s="110">
        <f>VLOOKUP($B14,ITBlockTable,5,FALSE)</f>
        <v/>
      </c>
      <c r="D14" s="111" t="n">
        <v>0</v>
      </c>
      <c r="E14" s="112">
        <f>SUMIF($C$25:$C$84,$B14,$G$25:$G$84)</f>
        <v/>
      </c>
      <c r="F14" s="112">
        <f>SUMIF($C$25:$C$84,$B14,$H$25:$H$84)</f>
        <v/>
      </c>
      <c r="G14" s="113">
        <f>SUMIF($C$25:$C$84,$B14,$J$25:$J$84)</f>
        <v/>
      </c>
      <c r="H14" s="114">
        <f>MAX(0,($D14+$E14-$G14))*$C14</f>
        <v/>
      </c>
      <c r="I14" s="114">
        <f>MAX(0,$F14+MIN(0,($D14+$E14-$G14)))*$C14*0.5</f>
        <v/>
      </c>
      <c r="J14" s="111" t="n">
        <v>0</v>
      </c>
      <c r="K14" s="115">
        <f>IF(($D14+$E14+$F14-$G14)&lt;=0,0,MIN($H14+$I14+$J14,($D14+$E14+$F14-$G14)))</f>
        <v/>
      </c>
      <c r="L14" s="116">
        <f>IF(($D14+$E14+$F14-$G14)&lt;=0,0,($D14+$E14+$F14-$G14)-$K14)</f>
        <v/>
      </c>
      <c r="M14" s="117">
        <f>IF(($D14+$E14-$G14)&lt;0,"Block negative – examine STCG (Sec.50)",IF(AND(($D14+$E14+$F14)=0,$G14&gt;0),"Block ceased",""))</f>
        <v/>
      </c>
    </row>
    <row r="15">
      <c r="B15" s="93">
        <f>Input!B43</f>
        <v/>
      </c>
      <c r="C15" s="118">
        <f>VLOOKUP($B15,ITBlockTable,5,FALSE)</f>
        <v/>
      </c>
      <c r="D15" s="111" t="n">
        <v>0</v>
      </c>
      <c r="E15" s="81">
        <f>SUMIF($C$25:$C$84,$B15,$G$25:$G$84)</f>
        <v/>
      </c>
      <c r="F15" s="81">
        <f>SUMIF($C$25:$C$84,$B15,$H$25:$H$84)</f>
        <v/>
      </c>
      <c r="G15" s="119">
        <f>SUMIF($C$25:$C$84,$B15,$J$25:$J$84)</f>
        <v/>
      </c>
      <c r="H15" s="120">
        <f>MAX(0,($D15+$E15-$G15))*$C15</f>
        <v/>
      </c>
      <c r="I15" s="120">
        <f>MAX(0,$F15+MIN(0,($D15+$E15-$G15)))*$C15*0.5</f>
        <v/>
      </c>
      <c r="J15" s="111" t="n">
        <v>0</v>
      </c>
      <c r="K15" s="121">
        <f>IF(($D15+$E15+$F15-$G15)&lt;=0,0,MIN($H15+$I15+$J15,($D15+$E15+$F15-$G15)))</f>
        <v/>
      </c>
      <c r="L15" s="122">
        <f>IF(($D15+$E15+$F15-$G15)&lt;=0,0,($D15+$E15+$F15-$G15)-$K15)</f>
        <v/>
      </c>
      <c r="M15" s="123">
        <f>IF(($D15+$E15-$G15)&lt;0,"Block negative – examine STCG (Sec.50)",IF(AND(($D15+$E15+$F15)=0,$G15&gt;0),"Block ceased",""))</f>
        <v/>
      </c>
    </row>
    <row r="16">
      <c r="B16" s="109">
        <f>Input!B44</f>
        <v/>
      </c>
      <c r="C16" s="110">
        <f>VLOOKUP($B16,ITBlockTable,5,FALSE)</f>
        <v/>
      </c>
      <c r="D16" s="111" t="n">
        <v>0</v>
      </c>
      <c r="E16" s="112">
        <f>SUMIF($C$25:$C$84,$B16,$G$25:$G$84)</f>
        <v/>
      </c>
      <c r="F16" s="112">
        <f>SUMIF($C$25:$C$84,$B16,$H$25:$H$84)</f>
        <v/>
      </c>
      <c r="G16" s="113">
        <f>SUMIF($C$25:$C$84,$B16,$J$25:$J$84)</f>
        <v/>
      </c>
      <c r="H16" s="114">
        <f>MAX(0,($D16+$E16-$G16))*$C16</f>
        <v/>
      </c>
      <c r="I16" s="114">
        <f>MAX(0,$F16+MIN(0,($D16+$E16-$G16)))*$C16*0.5</f>
        <v/>
      </c>
      <c r="J16" s="111" t="n">
        <v>0</v>
      </c>
      <c r="K16" s="115">
        <f>IF(($D16+$E16+$F16-$G16)&lt;=0,0,MIN($H16+$I16+$J16,($D16+$E16+$F16-$G16)))</f>
        <v/>
      </c>
      <c r="L16" s="116">
        <f>IF(($D16+$E16+$F16-$G16)&lt;=0,0,($D16+$E16+$F16-$G16)-$K16)</f>
        <v/>
      </c>
      <c r="M16" s="117">
        <f>IF(($D16+$E16-$G16)&lt;0,"Block negative – examine STCG (Sec.50)",IF(AND(($D16+$E16+$F16)=0,$G16&gt;0),"Block ceased",""))</f>
        <v/>
      </c>
    </row>
    <row r="17">
      <c r="B17" s="93">
        <f>Input!B45</f>
        <v/>
      </c>
      <c r="C17" s="118">
        <f>VLOOKUP($B17,ITBlockTable,5,FALSE)</f>
        <v/>
      </c>
      <c r="D17" s="111" t="n">
        <v>0</v>
      </c>
      <c r="E17" s="81">
        <f>SUMIF($C$25:$C$84,$B17,$G$25:$G$84)</f>
        <v/>
      </c>
      <c r="F17" s="81">
        <f>SUMIF($C$25:$C$84,$B17,$H$25:$H$84)</f>
        <v/>
      </c>
      <c r="G17" s="119">
        <f>SUMIF($C$25:$C$84,$B17,$J$25:$J$84)</f>
        <v/>
      </c>
      <c r="H17" s="120">
        <f>MAX(0,($D17+$E17-$G17))*$C17</f>
        <v/>
      </c>
      <c r="I17" s="120">
        <f>MAX(0,$F17+MIN(0,($D17+$E17-$G17)))*$C17*0.5</f>
        <v/>
      </c>
      <c r="J17" s="111" t="n">
        <v>0</v>
      </c>
      <c r="K17" s="121">
        <f>IF(($D17+$E17+$F17-$G17)&lt;=0,0,MIN($H17+$I17+$J17,($D17+$E17+$F17-$G17)))</f>
        <v/>
      </c>
      <c r="L17" s="122">
        <f>IF(($D17+$E17+$F17-$G17)&lt;=0,0,($D17+$E17+$F17-$G17)-$K17)</f>
        <v/>
      </c>
      <c r="M17" s="123">
        <f>IF(($D17+$E17-$G17)&lt;0,"Block negative – examine STCG (Sec.50)",IF(AND(($D17+$E17+$F17)=0,$G17&gt;0),"Block ceased",""))</f>
        <v/>
      </c>
    </row>
    <row r="18">
      <c r="B18" s="109">
        <f>Input!B46</f>
        <v/>
      </c>
      <c r="C18" s="110">
        <f>VLOOKUP($B18,ITBlockTable,5,FALSE)</f>
        <v/>
      </c>
      <c r="D18" s="111" t="n">
        <v>0</v>
      </c>
      <c r="E18" s="112">
        <f>SUMIF($C$25:$C$84,$B18,$G$25:$G$84)</f>
        <v/>
      </c>
      <c r="F18" s="112">
        <f>SUMIF($C$25:$C$84,$B18,$H$25:$H$84)</f>
        <v/>
      </c>
      <c r="G18" s="113">
        <f>SUMIF($C$25:$C$84,$B18,$J$25:$J$84)</f>
        <v/>
      </c>
      <c r="H18" s="114">
        <f>MAX(0,($D18+$E18-$G18))*$C18</f>
        <v/>
      </c>
      <c r="I18" s="114">
        <f>MAX(0,$F18+MIN(0,($D18+$E18-$G18)))*$C18*0.5</f>
        <v/>
      </c>
      <c r="J18" s="111" t="n">
        <v>0</v>
      </c>
      <c r="K18" s="115">
        <f>IF(($D18+$E18+$F18-$G18)&lt;=0,0,MIN($H18+$I18+$J18,($D18+$E18+$F18-$G18)))</f>
        <v/>
      </c>
      <c r="L18" s="116">
        <f>IF(($D18+$E18+$F18-$G18)&lt;=0,0,($D18+$E18+$F18-$G18)-$K18)</f>
        <v/>
      </c>
      <c r="M18" s="117">
        <f>IF(($D18+$E18-$G18)&lt;0,"Block negative – examine STCG (Sec.50)",IF(AND(($D18+$E18+$F18)=0,$G18&gt;0),"Block ceased",""))</f>
        <v/>
      </c>
    </row>
    <row r="19">
      <c r="B19" s="93">
        <f>Input!B47</f>
        <v/>
      </c>
      <c r="C19" s="118">
        <f>VLOOKUP($B19,ITBlockTable,5,FALSE)</f>
        <v/>
      </c>
      <c r="D19" s="111" t="n">
        <v>0</v>
      </c>
      <c r="E19" s="81">
        <f>SUMIF($C$25:$C$84,$B19,$G$25:$G$84)</f>
        <v/>
      </c>
      <c r="F19" s="81">
        <f>SUMIF($C$25:$C$84,$B19,$H$25:$H$84)</f>
        <v/>
      </c>
      <c r="G19" s="119">
        <f>SUMIF($C$25:$C$84,$B19,$J$25:$J$84)</f>
        <v/>
      </c>
      <c r="H19" s="120">
        <f>MAX(0,($D19+$E19-$G19))*$C19</f>
        <v/>
      </c>
      <c r="I19" s="120">
        <f>MAX(0,$F19+MIN(0,($D19+$E19-$G19)))*$C19*0.5</f>
        <v/>
      </c>
      <c r="J19" s="111" t="n">
        <v>0</v>
      </c>
      <c r="K19" s="121">
        <f>IF(($D19+$E19+$F19-$G19)&lt;=0,0,MIN($H19+$I19+$J19,($D19+$E19+$F19-$G19)))</f>
        <v/>
      </c>
      <c r="L19" s="122">
        <f>IF(($D19+$E19+$F19-$G19)&lt;=0,0,($D19+$E19+$F19-$G19)-$K19)</f>
        <v/>
      </c>
      <c r="M19" s="123">
        <f>IF(($D19+$E19-$G19)&lt;0,"Block negative – examine STCG (Sec.50)",IF(AND(($D19+$E19+$F19)=0,$G19&gt;0),"Block ceased",""))</f>
        <v/>
      </c>
    </row>
    <row r="20">
      <c r="B20" s="28" t="inlineStr">
        <is>
          <t>TOTAL</t>
        </is>
      </c>
      <c r="C20" s="83" t="inlineStr"/>
      <c r="D20" s="124">
        <f>SUM(D8:D19)</f>
        <v/>
      </c>
      <c r="E20" s="124">
        <f>SUM(E8:E19)</f>
        <v/>
      </c>
      <c r="F20" s="124">
        <f>SUM(F8:F19)</f>
        <v/>
      </c>
      <c r="G20" s="124">
        <f>SUM(G8:G19)</f>
        <v/>
      </c>
      <c r="H20" s="124">
        <f>SUM(H8:H19)</f>
        <v/>
      </c>
      <c r="I20" s="124">
        <f>SUM(I8:I19)</f>
        <v/>
      </c>
      <c r="J20" s="124">
        <f>SUM(J8:J19)</f>
        <v/>
      </c>
      <c r="K20" s="124">
        <f>SUM(K8:K19)</f>
        <v/>
      </c>
      <c r="L20" s="124">
        <f>SUM(L8:L19)</f>
        <v/>
      </c>
      <c r="M20" s="83" t="inlineStr"/>
    </row>
    <row r="23">
      <c r="B23" s="125" t="inlineStr">
        <is>
          <t>B.  ASSET-WISE WORKING (auto-linked to FAR; classifies each addition by the 180-day rule)</t>
        </is>
      </c>
    </row>
    <row r="24" ht="28" customHeight="1">
      <c r="B24" s="42" t="inlineStr">
        <is>
          <t>Asset</t>
        </is>
      </c>
      <c r="C24" s="42" t="inlineStr">
        <is>
          <t>IT Block</t>
        </is>
      </c>
      <c r="D24" s="42" t="inlineStr">
        <is>
          <t>Gross Cost</t>
        </is>
      </c>
      <c r="E24" s="42" t="inlineStr">
        <is>
          <t>Date Put to Use</t>
        </is>
      </c>
      <c r="F24" s="42" t="inlineStr">
        <is>
          <t>Days Used in FY</t>
        </is>
      </c>
      <c r="G24" s="42" t="inlineStr">
        <is>
          <t>Addition ≥180</t>
        </is>
      </c>
      <c r="H24" s="42" t="inlineStr">
        <is>
          <t>Addition &lt;180</t>
        </is>
      </c>
      <c r="I24" s="42" t="inlineStr">
        <is>
          <t>Disposal Date</t>
        </is>
      </c>
      <c r="J24" s="42" t="inlineStr">
        <is>
          <t>Sale Proceeds (FY)</t>
        </is>
      </c>
    </row>
    <row r="25">
      <c r="B25" s="126">
        <f>IF(FAR!K5="","",FAR!B5)</f>
        <v/>
      </c>
      <c r="C25" s="127">
        <f>IF(FAR!C5="","",IFERROR(VLOOKUP(FAR!C5,ScheduleIITable,5,FALSE),""))</f>
        <v/>
      </c>
      <c r="D25" s="63">
        <f>IF(FAR!K5="","",FAR!K5)</f>
        <v/>
      </c>
      <c r="E25" s="128">
        <f>IF(FAR!H5="","",FAR!H5)</f>
        <v/>
      </c>
      <c r="F25" s="129">
        <f>IF(AND(FAR!H5&lt;&gt;"",FAR!H5&gt;=(EDATE(ITFYEnd,-12)+1),FAR!H5&lt;=ITFYEnd),ITFYEnd-FAR!H5+1,"")</f>
        <v/>
      </c>
      <c r="G25" s="63">
        <f>IF(AND(FAR!K5&lt;&gt;"",AND(FAR!H5&lt;&gt;"",FAR!H5&gt;=(EDATE(ITFYEnd,-12)+1),FAR!H5&lt;=ITFYEnd),(ITFYEnd-FAR!H5+1)&gt;=180),FAR!K5,0)</f>
        <v/>
      </c>
      <c r="H25" s="63">
        <f>IF(AND(FAR!K5&lt;&gt;"",AND(FAR!H5&lt;&gt;"",FAR!H5&gt;=(EDATE(ITFYEnd,-12)+1),FAR!H5&lt;=ITFYEnd),(ITFYEnd-FAR!H5+1)&lt;180),FAR!K5,0)</f>
        <v/>
      </c>
      <c r="I25" s="130">
        <f>IF(FAR!I5="","",FAR!I5)</f>
        <v/>
      </c>
      <c r="J25" s="131">
        <f>IF(AND(FAR!I5&lt;&gt;"",FAR!I5&gt;=(EDATE(ITFYEnd,-12)+1),FAR!I5&lt;=ITFYEnd),FAR!J5,0)</f>
        <v/>
      </c>
    </row>
    <row r="26">
      <c r="B26" s="132">
        <f>IF(FAR!K6="","",FAR!B6)</f>
        <v/>
      </c>
      <c r="C26" s="133">
        <f>IF(FAR!C6="","",IFERROR(VLOOKUP(FAR!C6,ScheduleIITable,5,FALSE),""))</f>
        <v/>
      </c>
      <c r="D26" s="81">
        <f>IF(FAR!K6="","",FAR!K6)</f>
        <v/>
      </c>
      <c r="E26" s="134">
        <f>IF(FAR!H6="","",FAR!H6)</f>
        <v/>
      </c>
      <c r="F26" s="135">
        <f>IF(AND(FAR!H6&lt;&gt;"",FAR!H6&gt;=(EDATE(ITFYEnd,-12)+1),FAR!H6&lt;=ITFYEnd),ITFYEnd-FAR!H6+1,"")</f>
        <v/>
      </c>
      <c r="G26" s="81">
        <f>IF(AND(FAR!K6&lt;&gt;"",AND(FAR!H6&lt;&gt;"",FAR!H6&gt;=(EDATE(ITFYEnd,-12)+1),FAR!H6&lt;=ITFYEnd),(ITFYEnd-FAR!H6+1)&gt;=180),FAR!K6,0)</f>
        <v/>
      </c>
      <c r="H26" s="81">
        <f>IF(AND(FAR!K6&lt;&gt;"",AND(FAR!H6&lt;&gt;"",FAR!H6&gt;=(EDATE(ITFYEnd,-12)+1),FAR!H6&lt;=ITFYEnd),(ITFYEnd-FAR!H6+1)&lt;180),FAR!K6,0)</f>
        <v/>
      </c>
      <c r="I26" s="136">
        <f>IF(FAR!I6="","",FAR!I6)</f>
        <v/>
      </c>
      <c r="J26" s="120">
        <f>IF(AND(FAR!I6&lt;&gt;"",FAR!I6&gt;=(EDATE(ITFYEnd,-12)+1),FAR!I6&lt;=ITFYEnd),FAR!J6,0)</f>
        <v/>
      </c>
    </row>
    <row r="27">
      <c r="B27" s="126">
        <f>IF(FAR!K7="","",FAR!B7)</f>
        <v/>
      </c>
      <c r="C27" s="127">
        <f>IF(FAR!C7="","",IFERROR(VLOOKUP(FAR!C7,ScheduleIITable,5,FALSE),""))</f>
        <v/>
      </c>
      <c r="D27" s="63">
        <f>IF(FAR!K7="","",FAR!K7)</f>
        <v/>
      </c>
      <c r="E27" s="128">
        <f>IF(FAR!H7="","",FAR!H7)</f>
        <v/>
      </c>
      <c r="F27" s="129">
        <f>IF(AND(FAR!H7&lt;&gt;"",FAR!H7&gt;=(EDATE(ITFYEnd,-12)+1),FAR!H7&lt;=ITFYEnd),ITFYEnd-FAR!H7+1,"")</f>
        <v/>
      </c>
      <c r="G27" s="63">
        <f>IF(AND(FAR!K7&lt;&gt;"",AND(FAR!H7&lt;&gt;"",FAR!H7&gt;=(EDATE(ITFYEnd,-12)+1),FAR!H7&lt;=ITFYEnd),(ITFYEnd-FAR!H7+1)&gt;=180),FAR!K7,0)</f>
        <v/>
      </c>
      <c r="H27" s="63">
        <f>IF(AND(FAR!K7&lt;&gt;"",AND(FAR!H7&lt;&gt;"",FAR!H7&gt;=(EDATE(ITFYEnd,-12)+1),FAR!H7&lt;=ITFYEnd),(ITFYEnd-FAR!H7+1)&lt;180),FAR!K7,0)</f>
        <v/>
      </c>
      <c r="I27" s="130">
        <f>IF(FAR!I7="","",FAR!I7)</f>
        <v/>
      </c>
      <c r="J27" s="131">
        <f>IF(AND(FAR!I7&lt;&gt;"",FAR!I7&gt;=(EDATE(ITFYEnd,-12)+1),FAR!I7&lt;=ITFYEnd),FAR!J7,0)</f>
        <v/>
      </c>
    </row>
    <row r="28">
      <c r="B28" s="132">
        <f>IF(FAR!K8="","",FAR!B8)</f>
        <v/>
      </c>
      <c r="C28" s="133">
        <f>IF(FAR!C8="","",IFERROR(VLOOKUP(FAR!C8,ScheduleIITable,5,FALSE),""))</f>
        <v/>
      </c>
      <c r="D28" s="81">
        <f>IF(FAR!K8="","",FAR!K8)</f>
        <v/>
      </c>
      <c r="E28" s="134">
        <f>IF(FAR!H8="","",FAR!H8)</f>
        <v/>
      </c>
      <c r="F28" s="135">
        <f>IF(AND(FAR!H8&lt;&gt;"",FAR!H8&gt;=(EDATE(ITFYEnd,-12)+1),FAR!H8&lt;=ITFYEnd),ITFYEnd-FAR!H8+1,"")</f>
        <v/>
      </c>
      <c r="G28" s="81">
        <f>IF(AND(FAR!K8&lt;&gt;"",AND(FAR!H8&lt;&gt;"",FAR!H8&gt;=(EDATE(ITFYEnd,-12)+1),FAR!H8&lt;=ITFYEnd),(ITFYEnd-FAR!H8+1)&gt;=180),FAR!K8,0)</f>
        <v/>
      </c>
      <c r="H28" s="81">
        <f>IF(AND(FAR!K8&lt;&gt;"",AND(FAR!H8&lt;&gt;"",FAR!H8&gt;=(EDATE(ITFYEnd,-12)+1),FAR!H8&lt;=ITFYEnd),(ITFYEnd-FAR!H8+1)&lt;180),FAR!K8,0)</f>
        <v/>
      </c>
      <c r="I28" s="136">
        <f>IF(FAR!I8="","",FAR!I8)</f>
        <v/>
      </c>
      <c r="J28" s="120">
        <f>IF(AND(FAR!I8&lt;&gt;"",FAR!I8&gt;=(EDATE(ITFYEnd,-12)+1),FAR!I8&lt;=ITFYEnd),FAR!J8,0)</f>
        <v/>
      </c>
    </row>
    <row r="29">
      <c r="B29" s="126">
        <f>IF(FAR!K9="","",FAR!B9)</f>
        <v/>
      </c>
      <c r="C29" s="127">
        <f>IF(FAR!C9="","",IFERROR(VLOOKUP(FAR!C9,ScheduleIITable,5,FALSE),""))</f>
        <v/>
      </c>
      <c r="D29" s="63">
        <f>IF(FAR!K9="","",FAR!K9)</f>
        <v/>
      </c>
      <c r="E29" s="128">
        <f>IF(FAR!H9="","",FAR!H9)</f>
        <v/>
      </c>
      <c r="F29" s="129">
        <f>IF(AND(FAR!H9&lt;&gt;"",FAR!H9&gt;=(EDATE(ITFYEnd,-12)+1),FAR!H9&lt;=ITFYEnd),ITFYEnd-FAR!H9+1,"")</f>
        <v/>
      </c>
      <c r="G29" s="63">
        <f>IF(AND(FAR!K9&lt;&gt;"",AND(FAR!H9&lt;&gt;"",FAR!H9&gt;=(EDATE(ITFYEnd,-12)+1),FAR!H9&lt;=ITFYEnd),(ITFYEnd-FAR!H9+1)&gt;=180),FAR!K9,0)</f>
        <v/>
      </c>
      <c r="H29" s="63">
        <f>IF(AND(FAR!K9&lt;&gt;"",AND(FAR!H9&lt;&gt;"",FAR!H9&gt;=(EDATE(ITFYEnd,-12)+1),FAR!H9&lt;=ITFYEnd),(ITFYEnd-FAR!H9+1)&lt;180),FAR!K9,0)</f>
        <v/>
      </c>
      <c r="I29" s="130">
        <f>IF(FAR!I9="","",FAR!I9)</f>
        <v/>
      </c>
      <c r="J29" s="131">
        <f>IF(AND(FAR!I9&lt;&gt;"",FAR!I9&gt;=(EDATE(ITFYEnd,-12)+1),FAR!I9&lt;=ITFYEnd),FAR!J9,0)</f>
        <v/>
      </c>
    </row>
    <row r="30">
      <c r="B30" s="132">
        <f>IF(FAR!K10="","",FAR!B10)</f>
        <v/>
      </c>
      <c r="C30" s="133">
        <f>IF(FAR!C10="","",IFERROR(VLOOKUP(FAR!C10,ScheduleIITable,5,FALSE),""))</f>
        <v/>
      </c>
      <c r="D30" s="81">
        <f>IF(FAR!K10="","",FAR!K10)</f>
        <v/>
      </c>
      <c r="E30" s="134">
        <f>IF(FAR!H10="","",FAR!H10)</f>
        <v/>
      </c>
      <c r="F30" s="135">
        <f>IF(AND(FAR!H10&lt;&gt;"",FAR!H10&gt;=(EDATE(ITFYEnd,-12)+1),FAR!H10&lt;=ITFYEnd),ITFYEnd-FAR!H10+1,"")</f>
        <v/>
      </c>
      <c r="G30" s="81">
        <f>IF(AND(FAR!K10&lt;&gt;"",AND(FAR!H10&lt;&gt;"",FAR!H10&gt;=(EDATE(ITFYEnd,-12)+1),FAR!H10&lt;=ITFYEnd),(ITFYEnd-FAR!H10+1)&gt;=180),FAR!K10,0)</f>
        <v/>
      </c>
      <c r="H30" s="81">
        <f>IF(AND(FAR!K10&lt;&gt;"",AND(FAR!H10&lt;&gt;"",FAR!H10&gt;=(EDATE(ITFYEnd,-12)+1),FAR!H10&lt;=ITFYEnd),(ITFYEnd-FAR!H10+1)&lt;180),FAR!K10,0)</f>
        <v/>
      </c>
      <c r="I30" s="136">
        <f>IF(FAR!I10="","",FAR!I10)</f>
        <v/>
      </c>
      <c r="J30" s="120">
        <f>IF(AND(FAR!I10&lt;&gt;"",FAR!I10&gt;=(EDATE(ITFYEnd,-12)+1),FAR!I10&lt;=ITFYEnd),FAR!J10,0)</f>
        <v/>
      </c>
    </row>
    <row r="31">
      <c r="B31" s="126">
        <f>IF(FAR!K11="","",FAR!B11)</f>
        <v/>
      </c>
      <c r="C31" s="127">
        <f>IF(FAR!C11="","",IFERROR(VLOOKUP(FAR!C11,ScheduleIITable,5,FALSE),""))</f>
        <v/>
      </c>
      <c r="D31" s="63">
        <f>IF(FAR!K11="","",FAR!K11)</f>
        <v/>
      </c>
      <c r="E31" s="128">
        <f>IF(FAR!H11="","",FAR!H11)</f>
        <v/>
      </c>
      <c r="F31" s="129">
        <f>IF(AND(FAR!H11&lt;&gt;"",FAR!H11&gt;=(EDATE(ITFYEnd,-12)+1),FAR!H11&lt;=ITFYEnd),ITFYEnd-FAR!H11+1,"")</f>
        <v/>
      </c>
      <c r="G31" s="63">
        <f>IF(AND(FAR!K11&lt;&gt;"",AND(FAR!H11&lt;&gt;"",FAR!H11&gt;=(EDATE(ITFYEnd,-12)+1),FAR!H11&lt;=ITFYEnd),(ITFYEnd-FAR!H11+1)&gt;=180),FAR!K11,0)</f>
        <v/>
      </c>
      <c r="H31" s="63">
        <f>IF(AND(FAR!K11&lt;&gt;"",AND(FAR!H11&lt;&gt;"",FAR!H11&gt;=(EDATE(ITFYEnd,-12)+1),FAR!H11&lt;=ITFYEnd),(ITFYEnd-FAR!H11+1)&lt;180),FAR!K11,0)</f>
        <v/>
      </c>
      <c r="I31" s="130">
        <f>IF(FAR!I11="","",FAR!I11)</f>
        <v/>
      </c>
      <c r="J31" s="131">
        <f>IF(AND(FAR!I11&lt;&gt;"",FAR!I11&gt;=(EDATE(ITFYEnd,-12)+1),FAR!I11&lt;=ITFYEnd),FAR!J11,0)</f>
        <v/>
      </c>
    </row>
    <row r="32">
      <c r="B32" s="132">
        <f>IF(FAR!K12="","",FAR!B12)</f>
        <v/>
      </c>
      <c r="C32" s="133">
        <f>IF(FAR!C12="","",IFERROR(VLOOKUP(FAR!C12,ScheduleIITable,5,FALSE),""))</f>
        <v/>
      </c>
      <c r="D32" s="81">
        <f>IF(FAR!K12="","",FAR!K12)</f>
        <v/>
      </c>
      <c r="E32" s="134">
        <f>IF(FAR!H12="","",FAR!H12)</f>
        <v/>
      </c>
      <c r="F32" s="135">
        <f>IF(AND(FAR!H12&lt;&gt;"",FAR!H12&gt;=(EDATE(ITFYEnd,-12)+1),FAR!H12&lt;=ITFYEnd),ITFYEnd-FAR!H12+1,"")</f>
        <v/>
      </c>
      <c r="G32" s="81">
        <f>IF(AND(FAR!K12&lt;&gt;"",AND(FAR!H12&lt;&gt;"",FAR!H12&gt;=(EDATE(ITFYEnd,-12)+1),FAR!H12&lt;=ITFYEnd),(ITFYEnd-FAR!H12+1)&gt;=180),FAR!K12,0)</f>
        <v/>
      </c>
      <c r="H32" s="81">
        <f>IF(AND(FAR!K12&lt;&gt;"",AND(FAR!H12&lt;&gt;"",FAR!H12&gt;=(EDATE(ITFYEnd,-12)+1),FAR!H12&lt;=ITFYEnd),(ITFYEnd-FAR!H12+1)&lt;180),FAR!K12,0)</f>
        <v/>
      </c>
      <c r="I32" s="136">
        <f>IF(FAR!I12="","",FAR!I12)</f>
        <v/>
      </c>
      <c r="J32" s="120">
        <f>IF(AND(FAR!I12&lt;&gt;"",FAR!I12&gt;=(EDATE(ITFYEnd,-12)+1),FAR!I12&lt;=ITFYEnd),FAR!J12,0)</f>
        <v/>
      </c>
    </row>
    <row r="33">
      <c r="B33" s="126">
        <f>IF(FAR!K13="","",FAR!B13)</f>
        <v/>
      </c>
      <c r="C33" s="127">
        <f>IF(FAR!C13="","",IFERROR(VLOOKUP(FAR!C13,ScheduleIITable,5,FALSE),""))</f>
        <v/>
      </c>
      <c r="D33" s="63">
        <f>IF(FAR!K13="","",FAR!K13)</f>
        <v/>
      </c>
      <c r="E33" s="128">
        <f>IF(FAR!H13="","",FAR!H13)</f>
        <v/>
      </c>
      <c r="F33" s="129">
        <f>IF(AND(FAR!H13&lt;&gt;"",FAR!H13&gt;=(EDATE(ITFYEnd,-12)+1),FAR!H13&lt;=ITFYEnd),ITFYEnd-FAR!H13+1,"")</f>
        <v/>
      </c>
      <c r="G33" s="63">
        <f>IF(AND(FAR!K13&lt;&gt;"",AND(FAR!H13&lt;&gt;"",FAR!H13&gt;=(EDATE(ITFYEnd,-12)+1),FAR!H13&lt;=ITFYEnd),(ITFYEnd-FAR!H13+1)&gt;=180),FAR!K13,0)</f>
        <v/>
      </c>
      <c r="H33" s="63">
        <f>IF(AND(FAR!K13&lt;&gt;"",AND(FAR!H13&lt;&gt;"",FAR!H13&gt;=(EDATE(ITFYEnd,-12)+1),FAR!H13&lt;=ITFYEnd),(ITFYEnd-FAR!H13+1)&lt;180),FAR!K13,0)</f>
        <v/>
      </c>
      <c r="I33" s="130">
        <f>IF(FAR!I13="","",FAR!I13)</f>
        <v/>
      </c>
      <c r="J33" s="131">
        <f>IF(AND(FAR!I13&lt;&gt;"",FAR!I13&gt;=(EDATE(ITFYEnd,-12)+1),FAR!I13&lt;=ITFYEnd),FAR!J13,0)</f>
        <v/>
      </c>
    </row>
    <row r="34">
      <c r="B34" s="132">
        <f>IF(FAR!K14="","",FAR!B14)</f>
        <v/>
      </c>
      <c r="C34" s="133">
        <f>IF(FAR!C14="","",IFERROR(VLOOKUP(FAR!C14,ScheduleIITable,5,FALSE),""))</f>
        <v/>
      </c>
      <c r="D34" s="81">
        <f>IF(FAR!K14="","",FAR!K14)</f>
        <v/>
      </c>
      <c r="E34" s="134">
        <f>IF(FAR!H14="","",FAR!H14)</f>
        <v/>
      </c>
      <c r="F34" s="135">
        <f>IF(AND(FAR!H14&lt;&gt;"",FAR!H14&gt;=(EDATE(ITFYEnd,-12)+1),FAR!H14&lt;=ITFYEnd),ITFYEnd-FAR!H14+1,"")</f>
        <v/>
      </c>
      <c r="G34" s="81">
        <f>IF(AND(FAR!K14&lt;&gt;"",AND(FAR!H14&lt;&gt;"",FAR!H14&gt;=(EDATE(ITFYEnd,-12)+1),FAR!H14&lt;=ITFYEnd),(ITFYEnd-FAR!H14+1)&gt;=180),FAR!K14,0)</f>
        <v/>
      </c>
      <c r="H34" s="81">
        <f>IF(AND(FAR!K14&lt;&gt;"",AND(FAR!H14&lt;&gt;"",FAR!H14&gt;=(EDATE(ITFYEnd,-12)+1),FAR!H14&lt;=ITFYEnd),(ITFYEnd-FAR!H14+1)&lt;180),FAR!K14,0)</f>
        <v/>
      </c>
      <c r="I34" s="136">
        <f>IF(FAR!I14="","",FAR!I14)</f>
        <v/>
      </c>
      <c r="J34" s="120">
        <f>IF(AND(FAR!I14&lt;&gt;"",FAR!I14&gt;=(EDATE(ITFYEnd,-12)+1),FAR!I14&lt;=ITFYEnd),FAR!J14,0)</f>
        <v/>
      </c>
    </row>
    <row r="35">
      <c r="B35" s="126">
        <f>IF(FAR!K15="","",FAR!B15)</f>
        <v/>
      </c>
      <c r="C35" s="127">
        <f>IF(FAR!C15="","",IFERROR(VLOOKUP(FAR!C15,ScheduleIITable,5,FALSE),""))</f>
        <v/>
      </c>
      <c r="D35" s="63">
        <f>IF(FAR!K15="","",FAR!K15)</f>
        <v/>
      </c>
      <c r="E35" s="128">
        <f>IF(FAR!H15="","",FAR!H15)</f>
        <v/>
      </c>
      <c r="F35" s="129">
        <f>IF(AND(FAR!H15&lt;&gt;"",FAR!H15&gt;=(EDATE(ITFYEnd,-12)+1),FAR!H15&lt;=ITFYEnd),ITFYEnd-FAR!H15+1,"")</f>
        <v/>
      </c>
      <c r="G35" s="63">
        <f>IF(AND(FAR!K15&lt;&gt;"",AND(FAR!H15&lt;&gt;"",FAR!H15&gt;=(EDATE(ITFYEnd,-12)+1),FAR!H15&lt;=ITFYEnd),(ITFYEnd-FAR!H15+1)&gt;=180),FAR!K15,0)</f>
        <v/>
      </c>
      <c r="H35" s="63">
        <f>IF(AND(FAR!K15&lt;&gt;"",AND(FAR!H15&lt;&gt;"",FAR!H15&gt;=(EDATE(ITFYEnd,-12)+1),FAR!H15&lt;=ITFYEnd),(ITFYEnd-FAR!H15+1)&lt;180),FAR!K15,0)</f>
        <v/>
      </c>
      <c r="I35" s="130">
        <f>IF(FAR!I15="","",FAR!I15)</f>
        <v/>
      </c>
      <c r="J35" s="131">
        <f>IF(AND(FAR!I15&lt;&gt;"",FAR!I15&gt;=(EDATE(ITFYEnd,-12)+1),FAR!I15&lt;=ITFYEnd),FAR!J15,0)</f>
        <v/>
      </c>
    </row>
    <row r="36">
      <c r="B36" s="132">
        <f>IF(FAR!K16="","",FAR!B16)</f>
        <v/>
      </c>
      <c r="C36" s="133">
        <f>IF(FAR!C16="","",IFERROR(VLOOKUP(FAR!C16,ScheduleIITable,5,FALSE),""))</f>
        <v/>
      </c>
      <c r="D36" s="81">
        <f>IF(FAR!K16="","",FAR!K16)</f>
        <v/>
      </c>
      <c r="E36" s="134">
        <f>IF(FAR!H16="","",FAR!H16)</f>
        <v/>
      </c>
      <c r="F36" s="135">
        <f>IF(AND(FAR!H16&lt;&gt;"",FAR!H16&gt;=(EDATE(ITFYEnd,-12)+1),FAR!H16&lt;=ITFYEnd),ITFYEnd-FAR!H16+1,"")</f>
        <v/>
      </c>
      <c r="G36" s="81">
        <f>IF(AND(FAR!K16&lt;&gt;"",AND(FAR!H16&lt;&gt;"",FAR!H16&gt;=(EDATE(ITFYEnd,-12)+1),FAR!H16&lt;=ITFYEnd),(ITFYEnd-FAR!H16+1)&gt;=180),FAR!K16,0)</f>
        <v/>
      </c>
      <c r="H36" s="81">
        <f>IF(AND(FAR!K16&lt;&gt;"",AND(FAR!H16&lt;&gt;"",FAR!H16&gt;=(EDATE(ITFYEnd,-12)+1),FAR!H16&lt;=ITFYEnd),(ITFYEnd-FAR!H16+1)&lt;180),FAR!K16,0)</f>
        <v/>
      </c>
      <c r="I36" s="136">
        <f>IF(FAR!I16="","",FAR!I16)</f>
        <v/>
      </c>
      <c r="J36" s="120">
        <f>IF(AND(FAR!I16&lt;&gt;"",FAR!I16&gt;=(EDATE(ITFYEnd,-12)+1),FAR!I16&lt;=ITFYEnd),FAR!J16,0)</f>
        <v/>
      </c>
    </row>
    <row r="37">
      <c r="B37" s="126">
        <f>IF(FAR!K17="","",FAR!B17)</f>
        <v/>
      </c>
      <c r="C37" s="127">
        <f>IF(FAR!C17="","",IFERROR(VLOOKUP(FAR!C17,ScheduleIITable,5,FALSE),""))</f>
        <v/>
      </c>
      <c r="D37" s="63">
        <f>IF(FAR!K17="","",FAR!K17)</f>
        <v/>
      </c>
      <c r="E37" s="128">
        <f>IF(FAR!H17="","",FAR!H17)</f>
        <v/>
      </c>
      <c r="F37" s="129">
        <f>IF(AND(FAR!H17&lt;&gt;"",FAR!H17&gt;=(EDATE(ITFYEnd,-12)+1),FAR!H17&lt;=ITFYEnd),ITFYEnd-FAR!H17+1,"")</f>
        <v/>
      </c>
      <c r="G37" s="63">
        <f>IF(AND(FAR!K17&lt;&gt;"",AND(FAR!H17&lt;&gt;"",FAR!H17&gt;=(EDATE(ITFYEnd,-12)+1),FAR!H17&lt;=ITFYEnd),(ITFYEnd-FAR!H17+1)&gt;=180),FAR!K17,0)</f>
        <v/>
      </c>
      <c r="H37" s="63">
        <f>IF(AND(FAR!K17&lt;&gt;"",AND(FAR!H17&lt;&gt;"",FAR!H17&gt;=(EDATE(ITFYEnd,-12)+1),FAR!H17&lt;=ITFYEnd),(ITFYEnd-FAR!H17+1)&lt;180),FAR!K17,0)</f>
        <v/>
      </c>
      <c r="I37" s="130">
        <f>IF(FAR!I17="","",FAR!I17)</f>
        <v/>
      </c>
      <c r="J37" s="131">
        <f>IF(AND(FAR!I17&lt;&gt;"",FAR!I17&gt;=(EDATE(ITFYEnd,-12)+1),FAR!I17&lt;=ITFYEnd),FAR!J17,0)</f>
        <v/>
      </c>
    </row>
    <row r="38">
      <c r="B38" s="132">
        <f>IF(FAR!K18="","",FAR!B18)</f>
        <v/>
      </c>
      <c r="C38" s="133">
        <f>IF(FAR!C18="","",IFERROR(VLOOKUP(FAR!C18,ScheduleIITable,5,FALSE),""))</f>
        <v/>
      </c>
      <c r="D38" s="81">
        <f>IF(FAR!K18="","",FAR!K18)</f>
        <v/>
      </c>
      <c r="E38" s="134">
        <f>IF(FAR!H18="","",FAR!H18)</f>
        <v/>
      </c>
      <c r="F38" s="135">
        <f>IF(AND(FAR!H18&lt;&gt;"",FAR!H18&gt;=(EDATE(ITFYEnd,-12)+1),FAR!H18&lt;=ITFYEnd),ITFYEnd-FAR!H18+1,"")</f>
        <v/>
      </c>
      <c r="G38" s="81">
        <f>IF(AND(FAR!K18&lt;&gt;"",AND(FAR!H18&lt;&gt;"",FAR!H18&gt;=(EDATE(ITFYEnd,-12)+1),FAR!H18&lt;=ITFYEnd),(ITFYEnd-FAR!H18+1)&gt;=180),FAR!K18,0)</f>
        <v/>
      </c>
      <c r="H38" s="81">
        <f>IF(AND(FAR!K18&lt;&gt;"",AND(FAR!H18&lt;&gt;"",FAR!H18&gt;=(EDATE(ITFYEnd,-12)+1),FAR!H18&lt;=ITFYEnd),(ITFYEnd-FAR!H18+1)&lt;180),FAR!K18,0)</f>
        <v/>
      </c>
      <c r="I38" s="136">
        <f>IF(FAR!I18="","",FAR!I18)</f>
        <v/>
      </c>
      <c r="J38" s="120">
        <f>IF(AND(FAR!I18&lt;&gt;"",FAR!I18&gt;=(EDATE(ITFYEnd,-12)+1),FAR!I18&lt;=ITFYEnd),FAR!J18,0)</f>
        <v/>
      </c>
    </row>
    <row r="39">
      <c r="B39" s="126">
        <f>IF(FAR!K19="","",FAR!B19)</f>
        <v/>
      </c>
      <c r="C39" s="127">
        <f>IF(FAR!C19="","",IFERROR(VLOOKUP(FAR!C19,ScheduleIITable,5,FALSE),""))</f>
        <v/>
      </c>
      <c r="D39" s="63">
        <f>IF(FAR!K19="","",FAR!K19)</f>
        <v/>
      </c>
      <c r="E39" s="128">
        <f>IF(FAR!H19="","",FAR!H19)</f>
        <v/>
      </c>
      <c r="F39" s="129">
        <f>IF(AND(FAR!H19&lt;&gt;"",FAR!H19&gt;=(EDATE(ITFYEnd,-12)+1),FAR!H19&lt;=ITFYEnd),ITFYEnd-FAR!H19+1,"")</f>
        <v/>
      </c>
      <c r="G39" s="63">
        <f>IF(AND(FAR!K19&lt;&gt;"",AND(FAR!H19&lt;&gt;"",FAR!H19&gt;=(EDATE(ITFYEnd,-12)+1),FAR!H19&lt;=ITFYEnd),(ITFYEnd-FAR!H19+1)&gt;=180),FAR!K19,0)</f>
        <v/>
      </c>
      <c r="H39" s="63">
        <f>IF(AND(FAR!K19&lt;&gt;"",AND(FAR!H19&lt;&gt;"",FAR!H19&gt;=(EDATE(ITFYEnd,-12)+1),FAR!H19&lt;=ITFYEnd),(ITFYEnd-FAR!H19+1)&lt;180),FAR!K19,0)</f>
        <v/>
      </c>
      <c r="I39" s="130">
        <f>IF(FAR!I19="","",FAR!I19)</f>
        <v/>
      </c>
      <c r="J39" s="131">
        <f>IF(AND(FAR!I19&lt;&gt;"",FAR!I19&gt;=(EDATE(ITFYEnd,-12)+1),FAR!I19&lt;=ITFYEnd),FAR!J19,0)</f>
        <v/>
      </c>
    </row>
    <row r="40">
      <c r="B40" s="132">
        <f>IF(FAR!K20="","",FAR!B20)</f>
        <v/>
      </c>
      <c r="C40" s="133">
        <f>IF(FAR!C20="","",IFERROR(VLOOKUP(FAR!C20,ScheduleIITable,5,FALSE),""))</f>
        <v/>
      </c>
      <c r="D40" s="81">
        <f>IF(FAR!K20="","",FAR!K20)</f>
        <v/>
      </c>
      <c r="E40" s="134">
        <f>IF(FAR!H20="","",FAR!H20)</f>
        <v/>
      </c>
      <c r="F40" s="135">
        <f>IF(AND(FAR!H20&lt;&gt;"",FAR!H20&gt;=(EDATE(ITFYEnd,-12)+1),FAR!H20&lt;=ITFYEnd),ITFYEnd-FAR!H20+1,"")</f>
        <v/>
      </c>
      <c r="G40" s="81">
        <f>IF(AND(FAR!K20&lt;&gt;"",AND(FAR!H20&lt;&gt;"",FAR!H20&gt;=(EDATE(ITFYEnd,-12)+1),FAR!H20&lt;=ITFYEnd),(ITFYEnd-FAR!H20+1)&gt;=180),FAR!K20,0)</f>
        <v/>
      </c>
      <c r="H40" s="81">
        <f>IF(AND(FAR!K20&lt;&gt;"",AND(FAR!H20&lt;&gt;"",FAR!H20&gt;=(EDATE(ITFYEnd,-12)+1),FAR!H20&lt;=ITFYEnd),(ITFYEnd-FAR!H20+1)&lt;180),FAR!K20,0)</f>
        <v/>
      </c>
      <c r="I40" s="136">
        <f>IF(FAR!I20="","",FAR!I20)</f>
        <v/>
      </c>
      <c r="J40" s="120">
        <f>IF(AND(FAR!I20&lt;&gt;"",FAR!I20&gt;=(EDATE(ITFYEnd,-12)+1),FAR!I20&lt;=ITFYEnd),FAR!J20,0)</f>
        <v/>
      </c>
    </row>
    <row r="41">
      <c r="B41" s="126">
        <f>IF(FAR!K21="","",FAR!B21)</f>
        <v/>
      </c>
      <c r="C41" s="127">
        <f>IF(FAR!C21="","",IFERROR(VLOOKUP(FAR!C21,ScheduleIITable,5,FALSE),""))</f>
        <v/>
      </c>
      <c r="D41" s="63">
        <f>IF(FAR!K21="","",FAR!K21)</f>
        <v/>
      </c>
      <c r="E41" s="128">
        <f>IF(FAR!H21="","",FAR!H21)</f>
        <v/>
      </c>
      <c r="F41" s="129">
        <f>IF(AND(FAR!H21&lt;&gt;"",FAR!H21&gt;=(EDATE(ITFYEnd,-12)+1),FAR!H21&lt;=ITFYEnd),ITFYEnd-FAR!H21+1,"")</f>
        <v/>
      </c>
      <c r="G41" s="63">
        <f>IF(AND(FAR!K21&lt;&gt;"",AND(FAR!H21&lt;&gt;"",FAR!H21&gt;=(EDATE(ITFYEnd,-12)+1),FAR!H21&lt;=ITFYEnd),(ITFYEnd-FAR!H21+1)&gt;=180),FAR!K21,0)</f>
        <v/>
      </c>
      <c r="H41" s="63">
        <f>IF(AND(FAR!K21&lt;&gt;"",AND(FAR!H21&lt;&gt;"",FAR!H21&gt;=(EDATE(ITFYEnd,-12)+1),FAR!H21&lt;=ITFYEnd),(ITFYEnd-FAR!H21+1)&lt;180),FAR!K21,0)</f>
        <v/>
      </c>
      <c r="I41" s="130">
        <f>IF(FAR!I21="","",FAR!I21)</f>
        <v/>
      </c>
      <c r="J41" s="131">
        <f>IF(AND(FAR!I21&lt;&gt;"",FAR!I21&gt;=(EDATE(ITFYEnd,-12)+1),FAR!I21&lt;=ITFYEnd),FAR!J21,0)</f>
        <v/>
      </c>
    </row>
    <row r="42">
      <c r="B42" s="132">
        <f>IF(FAR!K22="","",FAR!B22)</f>
        <v/>
      </c>
      <c r="C42" s="133">
        <f>IF(FAR!C22="","",IFERROR(VLOOKUP(FAR!C22,ScheduleIITable,5,FALSE),""))</f>
        <v/>
      </c>
      <c r="D42" s="81">
        <f>IF(FAR!K22="","",FAR!K22)</f>
        <v/>
      </c>
      <c r="E42" s="134">
        <f>IF(FAR!H22="","",FAR!H22)</f>
        <v/>
      </c>
      <c r="F42" s="135">
        <f>IF(AND(FAR!H22&lt;&gt;"",FAR!H22&gt;=(EDATE(ITFYEnd,-12)+1),FAR!H22&lt;=ITFYEnd),ITFYEnd-FAR!H22+1,"")</f>
        <v/>
      </c>
      <c r="G42" s="81">
        <f>IF(AND(FAR!K22&lt;&gt;"",AND(FAR!H22&lt;&gt;"",FAR!H22&gt;=(EDATE(ITFYEnd,-12)+1),FAR!H22&lt;=ITFYEnd),(ITFYEnd-FAR!H22+1)&gt;=180),FAR!K22,0)</f>
        <v/>
      </c>
      <c r="H42" s="81">
        <f>IF(AND(FAR!K22&lt;&gt;"",AND(FAR!H22&lt;&gt;"",FAR!H22&gt;=(EDATE(ITFYEnd,-12)+1),FAR!H22&lt;=ITFYEnd),(ITFYEnd-FAR!H22+1)&lt;180),FAR!K22,0)</f>
        <v/>
      </c>
      <c r="I42" s="136">
        <f>IF(FAR!I22="","",FAR!I22)</f>
        <v/>
      </c>
      <c r="J42" s="120">
        <f>IF(AND(FAR!I22&lt;&gt;"",FAR!I22&gt;=(EDATE(ITFYEnd,-12)+1),FAR!I22&lt;=ITFYEnd),FAR!J22,0)</f>
        <v/>
      </c>
    </row>
    <row r="43">
      <c r="B43" s="126">
        <f>IF(FAR!K23="","",FAR!B23)</f>
        <v/>
      </c>
      <c r="C43" s="127">
        <f>IF(FAR!C23="","",IFERROR(VLOOKUP(FAR!C23,ScheduleIITable,5,FALSE),""))</f>
        <v/>
      </c>
      <c r="D43" s="63">
        <f>IF(FAR!K23="","",FAR!K23)</f>
        <v/>
      </c>
      <c r="E43" s="128">
        <f>IF(FAR!H23="","",FAR!H23)</f>
        <v/>
      </c>
      <c r="F43" s="129">
        <f>IF(AND(FAR!H23&lt;&gt;"",FAR!H23&gt;=(EDATE(ITFYEnd,-12)+1),FAR!H23&lt;=ITFYEnd),ITFYEnd-FAR!H23+1,"")</f>
        <v/>
      </c>
      <c r="G43" s="63">
        <f>IF(AND(FAR!K23&lt;&gt;"",AND(FAR!H23&lt;&gt;"",FAR!H23&gt;=(EDATE(ITFYEnd,-12)+1),FAR!H23&lt;=ITFYEnd),(ITFYEnd-FAR!H23+1)&gt;=180),FAR!K23,0)</f>
        <v/>
      </c>
      <c r="H43" s="63">
        <f>IF(AND(FAR!K23&lt;&gt;"",AND(FAR!H23&lt;&gt;"",FAR!H23&gt;=(EDATE(ITFYEnd,-12)+1),FAR!H23&lt;=ITFYEnd),(ITFYEnd-FAR!H23+1)&lt;180),FAR!K23,0)</f>
        <v/>
      </c>
      <c r="I43" s="130">
        <f>IF(FAR!I23="","",FAR!I23)</f>
        <v/>
      </c>
      <c r="J43" s="131">
        <f>IF(AND(FAR!I23&lt;&gt;"",FAR!I23&gt;=(EDATE(ITFYEnd,-12)+1),FAR!I23&lt;=ITFYEnd),FAR!J23,0)</f>
        <v/>
      </c>
    </row>
    <row r="44">
      <c r="B44" s="132">
        <f>IF(FAR!K24="","",FAR!B24)</f>
        <v/>
      </c>
      <c r="C44" s="133">
        <f>IF(FAR!C24="","",IFERROR(VLOOKUP(FAR!C24,ScheduleIITable,5,FALSE),""))</f>
        <v/>
      </c>
      <c r="D44" s="81">
        <f>IF(FAR!K24="","",FAR!K24)</f>
        <v/>
      </c>
      <c r="E44" s="134">
        <f>IF(FAR!H24="","",FAR!H24)</f>
        <v/>
      </c>
      <c r="F44" s="135">
        <f>IF(AND(FAR!H24&lt;&gt;"",FAR!H24&gt;=(EDATE(ITFYEnd,-12)+1),FAR!H24&lt;=ITFYEnd),ITFYEnd-FAR!H24+1,"")</f>
        <v/>
      </c>
      <c r="G44" s="81">
        <f>IF(AND(FAR!K24&lt;&gt;"",AND(FAR!H24&lt;&gt;"",FAR!H24&gt;=(EDATE(ITFYEnd,-12)+1),FAR!H24&lt;=ITFYEnd),(ITFYEnd-FAR!H24+1)&gt;=180),FAR!K24,0)</f>
        <v/>
      </c>
      <c r="H44" s="81">
        <f>IF(AND(FAR!K24&lt;&gt;"",AND(FAR!H24&lt;&gt;"",FAR!H24&gt;=(EDATE(ITFYEnd,-12)+1),FAR!H24&lt;=ITFYEnd),(ITFYEnd-FAR!H24+1)&lt;180),FAR!K24,0)</f>
        <v/>
      </c>
      <c r="I44" s="136">
        <f>IF(FAR!I24="","",FAR!I24)</f>
        <v/>
      </c>
      <c r="J44" s="120">
        <f>IF(AND(FAR!I24&lt;&gt;"",FAR!I24&gt;=(EDATE(ITFYEnd,-12)+1),FAR!I24&lt;=ITFYEnd),FAR!J24,0)</f>
        <v/>
      </c>
    </row>
    <row r="45">
      <c r="B45" s="126">
        <f>IF(FAR!K25="","",FAR!B25)</f>
        <v/>
      </c>
      <c r="C45" s="127">
        <f>IF(FAR!C25="","",IFERROR(VLOOKUP(FAR!C25,ScheduleIITable,5,FALSE),""))</f>
        <v/>
      </c>
      <c r="D45" s="63">
        <f>IF(FAR!K25="","",FAR!K25)</f>
        <v/>
      </c>
      <c r="E45" s="128">
        <f>IF(FAR!H25="","",FAR!H25)</f>
        <v/>
      </c>
      <c r="F45" s="129">
        <f>IF(AND(FAR!H25&lt;&gt;"",FAR!H25&gt;=(EDATE(ITFYEnd,-12)+1),FAR!H25&lt;=ITFYEnd),ITFYEnd-FAR!H25+1,"")</f>
        <v/>
      </c>
      <c r="G45" s="63">
        <f>IF(AND(FAR!K25&lt;&gt;"",AND(FAR!H25&lt;&gt;"",FAR!H25&gt;=(EDATE(ITFYEnd,-12)+1),FAR!H25&lt;=ITFYEnd),(ITFYEnd-FAR!H25+1)&gt;=180),FAR!K25,0)</f>
        <v/>
      </c>
      <c r="H45" s="63">
        <f>IF(AND(FAR!K25&lt;&gt;"",AND(FAR!H25&lt;&gt;"",FAR!H25&gt;=(EDATE(ITFYEnd,-12)+1),FAR!H25&lt;=ITFYEnd),(ITFYEnd-FAR!H25+1)&lt;180),FAR!K25,0)</f>
        <v/>
      </c>
      <c r="I45" s="130">
        <f>IF(FAR!I25="","",FAR!I25)</f>
        <v/>
      </c>
      <c r="J45" s="131">
        <f>IF(AND(FAR!I25&lt;&gt;"",FAR!I25&gt;=(EDATE(ITFYEnd,-12)+1),FAR!I25&lt;=ITFYEnd),FAR!J25,0)</f>
        <v/>
      </c>
    </row>
    <row r="46">
      <c r="B46" s="132">
        <f>IF(FAR!K26="","",FAR!B26)</f>
        <v/>
      </c>
      <c r="C46" s="133">
        <f>IF(FAR!C26="","",IFERROR(VLOOKUP(FAR!C26,ScheduleIITable,5,FALSE),""))</f>
        <v/>
      </c>
      <c r="D46" s="81">
        <f>IF(FAR!K26="","",FAR!K26)</f>
        <v/>
      </c>
      <c r="E46" s="134">
        <f>IF(FAR!H26="","",FAR!H26)</f>
        <v/>
      </c>
      <c r="F46" s="135">
        <f>IF(AND(FAR!H26&lt;&gt;"",FAR!H26&gt;=(EDATE(ITFYEnd,-12)+1),FAR!H26&lt;=ITFYEnd),ITFYEnd-FAR!H26+1,"")</f>
        <v/>
      </c>
      <c r="G46" s="81">
        <f>IF(AND(FAR!K26&lt;&gt;"",AND(FAR!H26&lt;&gt;"",FAR!H26&gt;=(EDATE(ITFYEnd,-12)+1),FAR!H26&lt;=ITFYEnd),(ITFYEnd-FAR!H26+1)&gt;=180),FAR!K26,0)</f>
        <v/>
      </c>
      <c r="H46" s="81">
        <f>IF(AND(FAR!K26&lt;&gt;"",AND(FAR!H26&lt;&gt;"",FAR!H26&gt;=(EDATE(ITFYEnd,-12)+1),FAR!H26&lt;=ITFYEnd),(ITFYEnd-FAR!H26+1)&lt;180),FAR!K26,0)</f>
        <v/>
      </c>
      <c r="I46" s="136">
        <f>IF(FAR!I26="","",FAR!I26)</f>
        <v/>
      </c>
      <c r="J46" s="120">
        <f>IF(AND(FAR!I26&lt;&gt;"",FAR!I26&gt;=(EDATE(ITFYEnd,-12)+1),FAR!I26&lt;=ITFYEnd),FAR!J26,0)</f>
        <v/>
      </c>
    </row>
    <row r="47">
      <c r="B47" s="126">
        <f>IF(FAR!K27="","",FAR!B27)</f>
        <v/>
      </c>
      <c r="C47" s="127">
        <f>IF(FAR!C27="","",IFERROR(VLOOKUP(FAR!C27,ScheduleIITable,5,FALSE),""))</f>
        <v/>
      </c>
      <c r="D47" s="63">
        <f>IF(FAR!K27="","",FAR!K27)</f>
        <v/>
      </c>
      <c r="E47" s="128">
        <f>IF(FAR!H27="","",FAR!H27)</f>
        <v/>
      </c>
      <c r="F47" s="129">
        <f>IF(AND(FAR!H27&lt;&gt;"",FAR!H27&gt;=(EDATE(ITFYEnd,-12)+1),FAR!H27&lt;=ITFYEnd),ITFYEnd-FAR!H27+1,"")</f>
        <v/>
      </c>
      <c r="G47" s="63">
        <f>IF(AND(FAR!K27&lt;&gt;"",AND(FAR!H27&lt;&gt;"",FAR!H27&gt;=(EDATE(ITFYEnd,-12)+1),FAR!H27&lt;=ITFYEnd),(ITFYEnd-FAR!H27+1)&gt;=180),FAR!K27,0)</f>
        <v/>
      </c>
      <c r="H47" s="63">
        <f>IF(AND(FAR!K27&lt;&gt;"",AND(FAR!H27&lt;&gt;"",FAR!H27&gt;=(EDATE(ITFYEnd,-12)+1),FAR!H27&lt;=ITFYEnd),(ITFYEnd-FAR!H27+1)&lt;180),FAR!K27,0)</f>
        <v/>
      </c>
      <c r="I47" s="130">
        <f>IF(FAR!I27="","",FAR!I27)</f>
        <v/>
      </c>
      <c r="J47" s="131">
        <f>IF(AND(FAR!I27&lt;&gt;"",FAR!I27&gt;=(EDATE(ITFYEnd,-12)+1),FAR!I27&lt;=ITFYEnd),FAR!J27,0)</f>
        <v/>
      </c>
    </row>
    <row r="48">
      <c r="B48" s="132">
        <f>IF(FAR!K28="","",FAR!B28)</f>
        <v/>
      </c>
      <c r="C48" s="133">
        <f>IF(FAR!C28="","",IFERROR(VLOOKUP(FAR!C28,ScheduleIITable,5,FALSE),""))</f>
        <v/>
      </c>
      <c r="D48" s="81">
        <f>IF(FAR!K28="","",FAR!K28)</f>
        <v/>
      </c>
      <c r="E48" s="134">
        <f>IF(FAR!H28="","",FAR!H28)</f>
        <v/>
      </c>
      <c r="F48" s="135">
        <f>IF(AND(FAR!H28&lt;&gt;"",FAR!H28&gt;=(EDATE(ITFYEnd,-12)+1),FAR!H28&lt;=ITFYEnd),ITFYEnd-FAR!H28+1,"")</f>
        <v/>
      </c>
      <c r="G48" s="81">
        <f>IF(AND(FAR!K28&lt;&gt;"",AND(FAR!H28&lt;&gt;"",FAR!H28&gt;=(EDATE(ITFYEnd,-12)+1),FAR!H28&lt;=ITFYEnd),(ITFYEnd-FAR!H28+1)&gt;=180),FAR!K28,0)</f>
        <v/>
      </c>
      <c r="H48" s="81">
        <f>IF(AND(FAR!K28&lt;&gt;"",AND(FAR!H28&lt;&gt;"",FAR!H28&gt;=(EDATE(ITFYEnd,-12)+1),FAR!H28&lt;=ITFYEnd),(ITFYEnd-FAR!H28+1)&lt;180),FAR!K28,0)</f>
        <v/>
      </c>
      <c r="I48" s="136">
        <f>IF(FAR!I28="","",FAR!I28)</f>
        <v/>
      </c>
      <c r="J48" s="120">
        <f>IF(AND(FAR!I28&lt;&gt;"",FAR!I28&gt;=(EDATE(ITFYEnd,-12)+1),FAR!I28&lt;=ITFYEnd),FAR!J28,0)</f>
        <v/>
      </c>
    </row>
    <row r="49">
      <c r="B49" s="126">
        <f>IF(FAR!K29="","",FAR!B29)</f>
        <v/>
      </c>
      <c r="C49" s="127">
        <f>IF(FAR!C29="","",IFERROR(VLOOKUP(FAR!C29,ScheduleIITable,5,FALSE),""))</f>
        <v/>
      </c>
      <c r="D49" s="63">
        <f>IF(FAR!K29="","",FAR!K29)</f>
        <v/>
      </c>
      <c r="E49" s="128">
        <f>IF(FAR!H29="","",FAR!H29)</f>
        <v/>
      </c>
      <c r="F49" s="129">
        <f>IF(AND(FAR!H29&lt;&gt;"",FAR!H29&gt;=(EDATE(ITFYEnd,-12)+1),FAR!H29&lt;=ITFYEnd),ITFYEnd-FAR!H29+1,"")</f>
        <v/>
      </c>
      <c r="G49" s="63">
        <f>IF(AND(FAR!K29&lt;&gt;"",AND(FAR!H29&lt;&gt;"",FAR!H29&gt;=(EDATE(ITFYEnd,-12)+1),FAR!H29&lt;=ITFYEnd),(ITFYEnd-FAR!H29+1)&gt;=180),FAR!K29,0)</f>
        <v/>
      </c>
      <c r="H49" s="63">
        <f>IF(AND(FAR!K29&lt;&gt;"",AND(FAR!H29&lt;&gt;"",FAR!H29&gt;=(EDATE(ITFYEnd,-12)+1),FAR!H29&lt;=ITFYEnd),(ITFYEnd-FAR!H29+1)&lt;180),FAR!K29,0)</f>
        <v/>
      </c>
      <c r="I49" s="130">
        <f>IF(FAR!I29="","",FAR!I29)</f>
        <v/>
      </c>
      <c r="J49" s="131">
        <f>IF(AND(FAR!I29&lt;&gt;"",FAR!I29&gt;=(EDATE(ITFYEnd,-12)+1),FAR!I29&lt;=ITFYEnd),FAR!J29,0)</f>
        <v/>
      </c>
    </row>
    <row r="50">
      <c r="B50" s="132">
        <f>IF(FAR!K30="","",FAR!B30)</f>
        <v/>
      </c>
      <c r="C50" s="133">
        <f>IF(FAR!C30="","",IFERROR(VLOOKUP(FAR!C30,ScheduleIITable,5,FALSE),""))</f>
        <v/>
      </c>
      <c r="D50" s="81">
        <f>IF(FAR!K30="","",FAR!K30)</f>
        <v/>
      </c>
      <c r="E50" s="134">
        <f>IF(FAR!H30="","",FAR!H30)</f>
        <v/>
      </c>
      <c r="F50" s="135">
        <f>IF(AND(FAR!H30&lt;&gt;"",FAR!H30&gt;=(EDATE(ITFYEnd,-12)+1),FAR!H30&lt;=ITFYEnd),ITFYEnd-FAR!H30+1,"")</f>
        <v/>
      </c>
      <c r="G50" s="81">
        <f>IF(AND(FAR!K30&lt;&gt;"",AND(FAR!H30&lt;&gt;"",FAR!H30&gt;=(EDATE(ITFYEnd,-12)+1),FAR!H30&lt;=ITFYEnd),(ITFYEnd-FAR!H30+1)&gt;=180),FAR!K30,0)</f>
        <v/>
      </c>
      <c r="H50" s="81">
        <f>IF(AND(FAR!K30&lt;&gt;"",AND(FAR!H30&lt;&gt;"",FAR!H30&gt;=(EDATE(ITFYEnd,-12)+1),FAR!H30&lt;=ITFYEnd),(ITFYEnd-FAR!H30+1)&lt;180),FAR!K30,0)</f>
        <v/>
      </c>
      <c r="I50" s="136">
        <f>IF(FAR!I30="","",FAR!I30)</f>
        <v/>
      </c>
      <c r="J50" s="120">
        <f>IF(AND(FAR!I30&lt;&gt;"",FAR!I30&gt;=(EDATE(ITFYEnd,-12)+1),FAR!I30&lt;=ITFYEnd),FAR!J30,0)</f>
        <v/>
      </c>
    </row>
    <row r="51">
      <c r="B51" s="126">
        <f>IF(FAR!K31="","",FAR!B31)</f>
        <v/>
      </c>
      <c r="C51" s="127">
        <f>IF(FAR!C31="","",IFERROR(VLOOKUP(FAR!C31,ScheduleIITable,5,FALSE),""))</f>
        <v/>
      </c>
      <c r="D51" s="63">
        <f>IF(FAR!K31="","",FAR!K31)</f>
        <v/>
      </c>
      <c r="E51" s="128">
        <f>IF(FAR!H31="","",FAR!H31)</f>
        <v/>
      </c>
      <c r="F51" s="129">
        <f>IF(AND(FAR!H31&lt;&gt;"",FAR!H31&gt;=(EDATE(ITFYEnd,-12)+1),FAR!H31&lt;=ITFYEnd),ITFYEnd-FAR!H31+1,"")</f>
        <v/>
      </c>
      <c r="G51" s="63">
        <f>IF(AND(FAR!K31&lt;&gt;"",AND(FAR!H31&lt;&gt;"",FAR!H31&gt;=(EDATE(ITFYEnd,-12)+1),FAR!H31&lt;=ITFYEnd),(ITFYEnd-FAR!H31+1)&gt;=180),FAR!K31,0)</f>
        <v/>
      </c>
      <c r="H51" s="63">
        <f>IF(AND(FAR!K31&lt;&gt;"",AND(FAR!H31&lt;&gt;"",FAR!H31&gt;=(EDATE(ITFYEnd,-12)+1),FAR!H31&lt;=ITFYEnd),(ITFYEnd-FAR!H31+1)&lt;180),FAR!K31,0)</f>
        <v/>
      </c>
      <c r="I51" s="130">
        <f>IF(FAR!I31="","",FAR!I31)</f>
        <v/>
      </c>
      <c r="J51" s="131">
        <f>IF(AND(FAR!I31&lt;&gt;"",FAR!I31&gt;=(EDATE(ITFYEnd,-12)+1),FAR!I31&lt;=ITFYEnd),FAR!J31,0)</f>
        <v/>
      </c>
    </row>
    <row r="52">
      <c r="B52" s="132">
        <f>IF(FAR!K32="","",FAR!B32)</f>
        <v/>
      </c>
      <c r="C52" s="133">
        <f>IF(FAR!C32="","",IFERROR(VLOOKUP(FAR!C32,ScheduleIITable,5,FALSE),""))</f>
        <v/>
      </c>
      <c r="D52" s="81">
        <f>IF(FAR!K32="","",FAR!K32)</f>
        <v/>
      </c>
      <c r="E52" s="134">
        <f>IF(FAR!H32="","",FAR!H32)</f>
        <v/>
      </c>
      <c r="F52" s="135">
        <f>IF(AND(FAR!H32&lt;&gt;"",FAR!H32&gt;=(EDATE(ITFYEnd,-12)+1),FAR!H32&lt;=ITFYEnd),ITFYEnd-FAR!H32+1,"")</f>
        <v/>
      </c>
      <c r="G52" s="81">
        <f>IF(AND(FAR!K32&lt;&gt;"",AND(FAR!H32&lt;&gt;"",FAR!H32&gt;=(EDATE(ITFYEnd,-12)+1),FAR!H32&lt;=ITFYEnd),(ITFYEnd-FAR!H32+1)&gt;=180),FAR!K32,0)</f>
        <v/>
      </c>
      <c r="H52" s="81">
        <f>IF(AND(FAR!K32&lt;&gt;"",AND(FAR!H32&lt;&gt;"",FAR!H32&gt;=(EDATE(ITFYEnd,-12)+1),FAR!H32&lt;=ITFYEnd),(ITFYEnd-FAR!H32+1)&lt;180),FAR!K32,0)</f>
        <v/>
      </c>
      <c r="I52" s="136">
        <f>IF(FAR!I32="","",FAR!I32)</f>
        <v/>
      </c>
      <c r="J52" s="120">
        <f>IF(AND(FAR!I32&lt;&gt;"",FAR!I32&gt;=(EDATE(ITFYEnd,-12)+1),FAR!I32&lt;=ITFYEnd),FAR!J32,0)</f>
        <v/>
      </c>
    </row>
    <row r="53">
      <c r="B53" s="126">
        <f>IF(FAR!K33="","",FAR!B33)</f>
        <v/>
      </c>
      <c r="C53" s="127">
        <f>IF(FAR!C33="","",IFERROR(VLOOKUP(FAR!C33,ScheduleIITable,5,FALSE),""))</f>
        <v/>
      </c>
      <c r="D53" s="63">
        <f>IF(FAR!K33="","",FAR!K33)</f>
        <v/>
      </c>
      <c r="E53" s="128">
        <f>IF(FAR!H33="","",FAR!H33)</f>
        <v/>
      </c>
      <c r="F53" s="129">
        <f>IF(AND(FAR!H33&lt;&gt;"",FAR!H33&gt;=(EDATE(ITFYEnd,-12)+1),FAR!H33&lt;=ITFYEnd),ITFYEnd-FAR!H33+1,"")</f>
        <v/>
      </c>
      <c r="G53" s="63">
        <f>IF(AND(FAR!K33&lt;&gt;"",AND(FAR!H33&lt;&gt;"",FAR!H33&gt;=(EDATE(ITFYEnd,-12)+1),FAR!H33&lt;=ITFYEnd),(ITFYEnd-FAR!H33+1)&gt;=180),FAR!K33,0)</f>
        <v/>
      </c>
      <c r="H53" s="63">
        <f>IF(AND(FAR!K33&lt;&gt;"",AND(FAR!H33&lt;&gt;"",FAR!H33&gt;=(EDATE(ITFYEnd,-12)+1),FAR!H33&lt;=ITFYEnd),(ITFYEnd-FAR!H33+1)&lt;180),FAR!K33,0)</f>
        <v/>
      </c>
      <c r="I53" s="130">
        <f>IF(FAR!I33="","",FAR!I33)</f>
        <v/>
      </c>
      <c r="J53" s="131">
        <f>IF(AND(FAR!I33&lt;&gt;"",FAR!I33&gt;=(EDATE(ITFYEnd,-12)+1),FAR!I33&lt;=ITFYEnd),FAR!J33,0)</f>
        <v/>
      </c>
    </row>
    <row r="54">
      <c r="B54" s="132">
        <f>IF(FAR!K34="","",FAR!B34)</f>
        <v/>
      </c>
      <c r="C54" s="133">
        <f>IF(FAR!C34="","",IFERROR(VLOOKUP(FAR!C34,ScheduleIITable,5,FALSE),""))</f>
        <v/>
      </c>
      <c r="D54" s="81">
        <f>IF(FAR!K34="","",FAR!K34)</f>
        <v/>
      </c>
      <c r="E54" s="134">
        <f>IF(FAR!H34="","",FAR!H34)</f>
        <v/>
      </c>
      <c r="F54" s="135">
        <f>IF(AND(FAR!H34&lt;&gt;"",FAR!H34&gt;=(EDATE(ITFYEnd,-12)+1),FAR!H34&lt;=ITFYEnd),ITFYEnd-FAR!H34+1,"")</f>
        <v/>
      </c>
      <c r="G54" s="81">
        <f>IF(AND(FAR!K34&lt;&gt;"",AND(FAR!H34&lt;&gt;"",FAR!H34&gt;=(EDATE(ITFYEnd,-12)+1),FAR!H34&lt;=ITFYEnd),(ITFYEnd-FAR!H34+1)&gt;=180),FAR!K34,0)</f>
        <v/>
      </c>
      <c r="H54" s="81">
        <f>IF(AND(FAR!K34&lt;&gt;"",AND(FAR!H34&lt;&gt;"",FAR!H34&gt;=(EDATE(ITFYEnd,-12)+1),FAR!H34&lt;=ITFYEnd),(ITFYEnd-FAR!H34+1)&lt;180),FAR!K34,0)</f>
        <v/>
      </c>
      <c r="I54" s="136">
        <f>IF(FAR!I34="","",FAR!I34)</f>
        <v/>
      </c>
      <c r="J54" s="120">
        <f>IF(AND(FAR!I34&lt;&gt;"",FAR!I34&gt;=(EDATE(ITFYEnd,-12)+1),FAR!I34&lt;=ITFYEnd),FAR!J34,0)</f>
        <v/>
      </c>
    </row>
    <row r="55">
      <c r="B55" s="126">
        <f>IF(FAR!K35="","",FAR!B35)</f>
        <v/>
      </c>
      <c r="C55" s="127">
        <f>IF(FAR!C35="","",IFERROR(VLOOKUP(FAR!C35,ScheduleIITable,5,FALSE),""))</f>
        <v/>
      </c>
      <c r="D55" s="63">
        <f>IF(FAR!K35="","",FAR!K35)</f>
        <v/>
      </c>
      <c r="E55" s="128">
        <f>IF(FAR!H35="","",FAR!H35)</f>
        <v/>
      </c>
      <c r="F55" s="129">
        <f>IF(AND(FAR!H35&lt;&gt;"",FAR!H35&gt;=(EDATE(ITFYEnd,-12)+1),FAR!H35&lt;=ITFYEnd),ITFYEnd-FAR!H35+1,"")</f>
        <v/>
      </c>
      <c r="G55" s="63">
        <f>IF(AND(FAR!K35&lt;&gt;"",AND(FAR!H35&lt;&gt;"",FAR!H35&gt;=(EDATE(ITFYEnd,-12)+1),FAR!H35&lt;=ITFYEnd),(ITFYEnd-FAR!H35+1)&gt;=180),FAR!K35,0)</f>
        <v/>
      </c>
      <c r="H55" s="63">
        <f>IF(AND(FAR!K35&lt;&gt;"",AND(FAR!H35&lt;&gt;"",FAR!H35&gt;=(EDATE(ITFYEnd,-12)+1),FAR!H35&lt;=ITFYEnd),(ITFYEnd-FAR!H35+1)&lt;180),FAR!K35,0)</f>
        <v/>
      </c>
      <c r="I55" s="130">
        <f>IF(FAR!I35="","",FAR!I35)</f>
        <v/>
      </c>
      <c r="J55" s="131">
        <f>IF(AND(FAR!I35&lt;&gt;"",FAR!I35&gt;=(EDATE(ITFYEnd,-12)+1),FAR!I35&lt;=ITFYEnd),FAR!J35,0)</f>
        <v/>
      </c>
    </row>
    <row r="56">
      <c r="B56" s="132">
        <f>IF(FAR!K36="","",FAR!B36)</f>
        <v/>
      </c>
      <c r="C56" s="133">
        <f>IF(FAR!C36="","",IFERROR(VLOOKUP(FAR!C36,ScheduleIITable,5,FALSE),""))</f>
        <v/>
      </c>
      <c r="D56" s="81">
        <f>IF(FAR!K36="","",FAR!K36)</f>
        <v/>
      </c>
      <c r="E56" s="134">
        <f>IF(FAR!H36="","",FAR!H36)</f>
        <v/>
      </c>
      <c r="F56" s="135">
        <f>IF(AND(FAR!H36&lt;&gt;"",FAR!H36&gt;=(EDATE(ITFYEnd,-12)+1),FAR!H36&lt;=ITFYEnd),ITFYEnd-FAR!H36+1,"")</f>
        <v/>
      </c>
      <c r="G56" s="81">
        <f>IF(AND(FAR!K36&lt;&gt;"",AND(FAR!H36&lt;&gt;"",FAR!H36&gt;=(EDATE(ITFYEnd,-12)+1),FAR!H36&lt;=ITFYEnd),(ITFYEnd-FAR!H36+1)&gt;=180),FAR!K36,0)</f>
        <v/>
      </c>
      <c r="H56" s="81">
        <f>IF(AND(FAR!K36&lt;&gt;"",AND(FAR!H36&lt;&gt;"",FAR!H36&gt;=(EDATE(ITFYEnd,-12)+1),FAR!H36&lt;=ITFYEnd),(ITFYEnd-FAR!H36+1)&lt;180),FAR!K36,0)</f>
        <v/>
      </c>
      <c r="I56" s="136">
        <f>IF(FAR!I36="","",FAR!I36)</f>
        <v/>
      </c>
      <c r="J56" s="120">
        <f>IF(AND(FAR!I36&lt;&gt;"",FAR!I36&gt;=(EDATE(ITFYEnd,-12)+1),FAR!I36&lt;=ITFYEnd),FAR!J36,0)</f>
        <v/>
      </c>
    </row>
    <row r="57">
      <c r="B57" s="126">
        <f>IF(FAR!K37="","",FAR!B37)</f>
        <v/>
      </c>
      <c r="C57" s="127">
        <f>IF(FAR!C37="","",IFERROR(VLOOKUP(FAR!C37,ScheduleIITable,5,FALSE),""))</f>
        <v/>
      </c>
      <c r="D57" s="63">
        <f>IF(FAR!K37="","",FAR!K37)</f>
        <v/>
      </c>
      <c r="E57" s="128">
        <f>IF(FAR!H37="","",FAR!H37)</f>
        <v/>
      </c>
      <c r="F57" s="129">
        <f>IF(AND(FAR!H37&lt;&gt;"",FAR!H37&gt;=(EDATE(ITFYEnd,-12)+1),FAR!H37&lt;=ITFYEnd),ITFYEnd-FAR!H37+1,"")</f>
        <v/>
      </c>
      <c r="G57" s="63">
        <f>IF(AND(FAR!K37&lt;&gt;"",AND(FAR!H37&lt;&gt;"",FAR!H37&gt;=(EDATE(ITFYEnd,-12)+1),FAR!H37&lt;=ITFYEnd),(ITFYEnd-FAR!H37+1)&gt;=180),FAR!K37,0)</f>
        <v/>
      </c>
      <c r="H57" s="63">
        <f>IF(AND(FAR!K37&lt;&gt;"",AND(FAR!H37&lt;&gt;"",FAR!H37&gt;=(EDATE(ITFYEnd,-12)+1),FAR!H37&lt;=ITFYEnd),(ITFYEnd-FAR!H37+1)&lt;180),FAR!K37,0)</f>
        <v/>
      </c>
      <c r="I57" s="130">
        <f>IF(FAR!I37="","",FAR!I37)</f>
        <v/>
      </c>
      <c r="J57" s="131">
        <f>IF(AND(FAR!I37&lt;&gt;"",FAR!I37&gt;=(EDATE(ITFYEnd,-12)+1),FAR!I37&lt;=ITFYEnd),FAR!J37,0)</f>
        <v/>
      </c>
    </row>
    <row r="58">
      <c r="B58" s="132">
        <f>IF(FAR!K38="","",FAR!B38)</f>
        <v/>
      </c>
      <c r="C58" s="133">
        <f>IF(FAR!C38="","",IFERROR(VLOOKUP(FAR!C38,ScheduleIITable,5,FALSE),""))</f>
        <v/>
      </c>
      <c r="D58" s="81">
        <f>IF(FAR!K38="","",FAR!K38)</f>
        <v/>
      </c>
      <c r="E58" s="134">
        <f>IF(FAR!H38="","",FAR!H38)</f>
        <v/>
      </c>
      <c r="F58" s="135">
        <f>IF(AND(FAR!H38&lt;&gt;"",FAR!H38&gt;=(EDATE(ITFYEnd,-12)+1),FAR!H38&lt;=ITFYEnd),ITFYEnd-FAR!H38+1,"")</f>
        <v/>
      </c>
      <c r="G58" s="81">
        <f>IF(AND(FAR!K38&lt;&gt;"",AND(FAR!H38&lt;&gt;"",FAR!H38&gt;=(EDATE(ITFYEnd,-12)+1),FAR!H38&lt;=ITFYEnd),(ITFYEnd-FAR!H38+1)&gt;=180),FAR!K38,0)</f>
        <v/>
      </c>
      <c r="H58" s="81">
        <f>IF(AND(FAR!K38&lt;&gt;"",AND(FAR!H38&lt;&gt;"",FAR!H38&gt;=(EDATE(ITFYEnd,-12)+1),FAR!H38&lt;=ITFYEnd),(ITFYEnd-FAR!H38+1)&lt;180),FAR!K38,0)</f>
        <v/>
      </c>
      <c r="I58" s="136">
        <f>IF(FAR!I38="","",FAR!I38)</f>
        <v/>
      </c>
      <c r="J58" s="120">
        <f>IF(AND(FAR!I38&lt;&gt;"",FAR!I38&gt;=(EDATE(ITFYEnd,-12)+1),FAR!I38&lt;=ITFYEnd),FAR!J38,0)</f>
        <v/>
      </c>
    </row>
    <row r="59">
      <c r="B59" s="126">
        <f>IF(FAR!K39="","",FAR!B39)</f>
        <v/>
      </c>
      <c r="C59" s="127">
        <f>IF(FAR!C39="","",IFERROR(VLOOKUP(FAR!C39,ScheduleIITable,5,FALSE),""))</f>
        <v/>
      </c>
      <c r="D59" s="63">
        <f>IF(FAR!K39="","",FAR!K39)</f>
        <v/>
      </c>
      <c r="E59" s="128">
        <f>IF(FAR!H39="","",FAR!H39)</f>
        <v/>
      </c>
      <c r="F59" s="129">
        <f>IF(AND(FAR!H39&lt;&gt;"",FAR!H39&gt;=(EDATE(ITFYEnd,-12)+1),FAR!H39&lt;=ITFYEnd),ITFYEnd-FAR!H39+1,"")</f>
        <v/>
      </c>
      <c r="G59" s="63">
        <f>IF(AND(FAR!K39&lt;&gt;"",AND(FAR!H39&lt;&gt;"",FAR!H39&gt;=(EDATE(ITFYEnd,-12)+1),FAR!H39&lt;=ITFYEnd),(ITFYEnd-FAR!H39+1)&gt;=180),FAR!K39,0)</f>
        <v/>
      </c>
      <c r="H59" s="63">
        <f>IF(AND(FAR!K39&lt;&gt;"",AND(FAR!H39&lt;&gt;"",FAR!H39&gt;=(EDATE(ITFYEnd,-12)+1),FAR!H39&lt;=ITFYEnd),(ITFYEnd-FAR!H39+1)&lt;180),FAR!K39,0)</f>
        <v/>
      </c>
      <c r="I59" s="130">
        <f>IF(FAR!I39="","",FAR!I39)</f>
        <v/>
      </c>
      <c r="J59" s="131">
        <f>IF(AND(FAR!I39&lt;&gt;"",FAR!I39&gt;=(EDATE(ITFYEnd,-12)+1),FAR!I39&lt;=ITFYEnd),FAR!J39,0)</f>
        <v/>
      </c>
    </row>
    <row r="60">
      <c r="B60" s="132">
        <f>IF(FAR!K40="","",FAR!B40)</f>
        <v/>
      </c>
      <c r="C60" s="133">
        <f>IF(FAR!C40="","",IFERROR(VLOOKUP(FAR!C40,ScheduleIITable,5,FALSE),""))</f>
        <v/>
      </c>
      <c r="D60" s="81">
        <f>IF(FAR!K40="","",FAR!K40)</f>
        <v/>
      </c>
      <c r="E60" s="134">
        <f>IF(FAR!H40="","",FAR!H40)</f>
        <v/>
      </c>
      <c r="F60" s="135">
        <f>IF(AND(FAR!H40&lt;&gt;"",FAR!H40&gt;=(EDATE(ITFYEnd,-12)+1),FAR!H40&lt;=ITFYEnd),ITFYEnd-FAR!H40+1,"")</f>
        <v/>
      </c>
      <c r="G60" s="81">
        <f>IF(AND(FAR!K40&lt;&gt;"",AND(FAR!H40&lt;&gt;"",FAR!H40&gt;=(EDATE(ITFYEnd,-12)+1),FAR!H40&lt;=ITFYEnd),(ITFYEnd-FAR!H40+1)&gt;=180),FAR!K40,0)</f>
        <v/>
      </c>
      <c r="H60" s="81">
        <f>IF(AND(FAR!K40&lt;&gt;"",AND(FAR!H40&lt;&gt;"",FAR!H40&gt;=(EDATE(ITFYEnd,-12)+1),FAR!H40&lt;=ITFYEnd),(ITFYEnd-FAR!H40+1)&lt;180),FAR!K40,0)</f>
        <v/>
      </c>
      <c r="I60" s="136">
        <f>IF(FAR!I40="","",FAR!I40)</f>
        <v/>
      </c>
      <c r="J60" s="120">
        <f>IF(AND(FAR!I40&lt;&gt;"",FAR!I40&gt;=(EDATE(ITFYEnd,-12)+1),FAR!I40&lt;=ITFYEnd),FAR!J40,0)</f>
        <v/>
      </c>
    </row>
    <row r="61">
      <c r="B61" s="126">
        <f>IF(FAR!K41="","",FAR!B41)</f>
        <v/>
      </c>
      <c r="C61" s="127">
        <f>IF(FAR!C41="","",IFERROR(VLOOKUP(FAR!C41,ScheduleIITable,5,FALSE),""))</f>
        <v/>
      </c>
      <c r="D61" s="63">
        <f>IF(FAR!K41="","",FAR!K41)</f>
        <v/>
      </c>
      <c r="E61" s="128">
        <f>IF(FAR!H41="","",FAR!H41)</f>
        <v/>
      </c>
      <c r="F61" s="129">
        <f>IF(AND(FAR!H41&lt;&gt;"",FAR!H41&gt;=(EDATE(ITFYEnd,-12)+1),FAR!H41&lt;=ITFYEnd),ITFYEnd-FAR!H41+1,"")</f>
        <v/>
      </c>
      <c r="G61" s="63">
        <f>IF(AND(FAR!K41&lt;&gt;"",AND(FAR!H41&lt;&gt;"",FAR!H41&gt;=(EDATE(ITFYEnd,-12)+1),FAR!H41&lt;=ITFYEnd),(ITFYEnd-FAR!H41+1)&gt;=180),FAR!K41,0)</f>
        <v/>
      </c>
      <c r="H61" s="63">
        <f>IF(AND(FAR!K41&lt;&gt;"",AND(FAR!H41&lt;&gt;"",FAR!H41&gt;=(EDATE(ITFYEnd,-12)+1),FAR!H41&lt;=ITFYEnd),(ITFYEnd-FAR!H41+1)&lt;180),FAR!K41,0)</f>
        <v/>
      </c>
      <c r="I61" s="130">
        <f>IF(FAR!I41="","",FAR!I41)</f>
        <v/>
      </c>
      <c r="J61" s="131">
        <f>IF(AND(FAR!I41&lt;&gt;"",FAR!I41&gt;=(EDATE(ITFYEnd,-12)+1),FAR!I41&lt;=ITFYEnd),FAR!J41,0)</f>
        <v/>
      </c>
    </row>
    <row r="62">
      <c r="B62" s="132">
        <f>IF(FAR!K42="","",FAR!B42)</f>
        <v/>
      </c>
      <c r="C62" s="133">
        <f>IF(FAR!C42="","",IFERROR(VLOOKUP(FAR!C42,ScheduleIITable,5,FALSE),""))</f>
        <v/>
      </c>
      <c r="D62" s="81">
        <f>IF(FAR!K42="","",FAR!K42)</f>
        <v/>
      </c>
      <c r="E62" s="134">
        <f>IF(FAR!H42="","",FAR!H42)</f>
        <v/>
      </c>
      <c r="F62" s="135">
        <f>IF(AND(FAR!H42&lt;&gt;"",FAR!H42&gt;=(EDATE(ITFYEnd,-12)+1),FAR!H42&lt;=ITFYEnd),ITFYEnd-FAR!H42+1,"")</f>
        <v/>
      </c>
      <c r="G62" s="81">
        <f>IF(AND(FAR!K42&lt;&gt;"",AND(FAR!H42&lt;&gt;"",FAR!H42&gt;=(EDATE(ITFYEnd,-12)+1),FAR!H42&lt;=ITFYEnd),(ITFYEnd-FAR!H42+1)&gt;=180),FAR!K42,0)</f>
        <v/>
      </c>
      <c r="H62" s="81">
        <f>IF(AND(FAR!K42&lt;&gt;"",AND(FAR!H42&lt;&gt;"",FAR!H42&gt;=(EDATE(ITFYEnd,-12)+1),FAR!H42&lt;=ITFYEnd),(ITFYEnd-FAR!H42+1)&lt;180),FAR!K42,0)</f>
        <v/>
      </c>
      <c r="I62" s="136">
        <f>IF(FAR!I42="","",FAR!I42)</f>
        <v/>
      </c>
      <c r="J62" s="120">
        <f>IF(AND(FAR!I42&lt;&gt;"",FAR!I42&gt;=(EDATE(ITFYEnd,-12)+1),FAR!I42&lt;=ITFYEnd),FAR!J42,0)</f>
        <v/>
      </c>
    </row>
    <row r="63">
      <c r="B63" s="126">
        <f>IF(FAR!K43="","",FAR!B43)</f>
        <v/>
      </c>
      <c r="C63" s="127">
        <f>IF(FAR!C43="","",IFERROR(VLOOKUP(FAR!C43,ScheduleIITable,5,FALSE),""))</f>
        <v/>
      </c>
      <c r="D63" s="63">
        <f>IF(FAR!K43="","",FAR!K43)</f>
        <v/>
      </c>
      <c r="E63" s="128">
        <f>IF(FAR!H43="","",FAR!H43)</f>
        <v/>
      </c>
      <c r="F63" s="129">
        <f>IF(AND(FAR!H43&lt;&gt;"",FAR!H43&gt;=(EDATE(ITFYEnd,-12)+1),FAR!H43&lt;=ITFYEnd),ITFYEnd-FAR!H43+1,"")</f>
        <v/>
      </c>
      <c r="G63" s="63">
        <f>IF(AND(FAR!K43&lt;&gt;"",AND(FAR!H43&lt;&gt;"",FAR!H43&gt;=(EDATE(ITFYEnd,-12)+1),FAR!H43&lt;=ITFYEnd),(ITFYEnd-FAR!H43+1)&gt;=180),FAR!K43,0)</f>
        <v/>
      </c>
      <c r="H63" s="63">
        <f>IF(AND(FAR!K43&lt;&gt;"",AND(FAR!H43&lt;&gt;"",FAR!H43&gt;=(EDATE(ITFYEnd,-12)+1),FAR!H43&lt;=ITFYEnd),(ITFYEnd-FAR!H43+1)&lt;180),FAR!K43,0)</f>
        <v/>
      </c>
      <c r="I63" s="130">
        <f>IF(FAR!I43="","",FAR!I43)</f>
        <v/>
      </c>
      <c r="J63" s="131">
        <f>IF(AND(FAR!I43&lt;&gt;"",FAR!I43&gt;=(EDATE(ITFYEnd,-12)+1),FAR!I43&lt;=ITFYEnd),FAR!J43,0)</f>
        <v/>
      </c>
    </row>
    <row r="64">
      <c r="B64" s="132">
        <f>IF(FAR!K44="","",FAR!B44)</f>
        <v/>
      </c>
      <c r="C64" s="133">
        <f>IF(FAR!C44="","",IFERROR(VLOOKUP(FAR!C44,ScheduleIITable,5,FALSE),""))</f>
        <v/>
      </c>
      <c r="D64" s="81">
        <f>IF(FAR!K44="","",FAR!K44)</f>
        <v/>
      </c>
      <c r="E64" s="134">
        <f>IF(FAR!H44="","",FAR!H44)</f>
        <v/>
      </c>
      <c r="F64" s="135">
        <f>IF(AND(FAR!H44&lt;&gt;"",FAR!H44&gt;=(EDATE(ITFYEnd,-12)+1),FAR!H44&lt;=ITFYEnd),ITFYEnd-FAR!H44+1,"")</f>
        <v/>
      </c>
      <c r="G64" s="81">
        <f>IF(AND(FAR!K44&lt;&gt;"",AND(FAR!H44&lt;&gt;"",FAR!H44&gt;=(EDATE(ITFYEnd,-12)+1),FAR!H44&lt;=ITFYEnd),(ITFYEnd-FAR!H44+1)&gt;=180),FAR!K44,0)</f>
        <v/>
      </c>
      <c r="H64" s="81">
        <f>IF(AND(FAR!K44&lt;&gt;"",AND(FAR!H44&lt;&gt;"",FAR!H44&gt;=(EDATE(ITFYEnd,-12)+1),FAR!H44&lt;=ITFYEnd),(ITFYEnd-FAR!H44+1)&lt;180),FAR!K44,0)</f>
        <v/>
      </c>
      <c r="I64" s="136">
        <f>IF(FAR!I44="","",FAR!I44)</f>
        <v/>
      </c>
      <c r="J64" s="120">
        <f>IF(AND(FAR!I44&lt;&gt;"",FAR!I44&gt;=(EDATE(ITFYEnd,-12)+1),FAR!I44&lt;=ITFYEnd),FAR!J44,0)</f>
        <v/>
      </c>
    </row>
    <row r="65">
      <c r="B65" s="126">
        <f>IF(FAR!K45="","",FAR!B45)</f>
        <v/>
      </c>
      <c r="C65" s="127">
        <f>IF(FAR!C45="","",IFERROR(VLOOKUP(FAR!C45,ScheduleIITable,5,FALSE),""))</f>
        <v/>
      </c>
      <c r="D65" s="63">
        <f>IF(FAR!K45="","",FAR!K45)</f>
        <v/>
      </c>
      <c r="E65" s="128">
        <f>IF(FAR!H45="","",FAR!H45)</f>
        <v/>
      </c>
      <c r="F65" s="129">
        <f>IF(AND(FAR!H45&lt;&gt;"",FAR!H45&gt;=(EDATE(ITFYEnd,-12)+1),FAR!H45&lt;=ITFYEnd),ITFYEnd-FAR!H45+1,"")</f>
        <v/>
      </c>
      <c r="G65" s="63">
        <f>IF(AND(FAR!K45&lt;&gt;"",AND(FAR!H45&lt;&gt;"",FAR!H45&gt;=(EDATE(ITFYEnd,-12)+1),FAR!H45&lt;=ITFYEnd),(ITFYEnd-FAR!H45+1)&gt;=180),FAR!K45,0)</f>
        <v/>
      </c>
      <c r="H65" s="63">
        <f>IF(AND(FAR!K45&lt;&gt;"",AND(FAR!H45&lt;&gt;"",FAR!H45&gt;=(EDATE(ITFYEnd,-12)+1),FAR!H45&lt;=ITFYEnd),(ITFYEnd-FAR!H45+1)&lt;180),FAR!K45,0)</f>
        <v/>
      </c>
      <c r="I65" s="130">
        <f>IF(FAR!I45="","",FAR!I45)</f>
        <v/>
      </c>
      <c r="J65" s="131">
        <f>IF(AND(FAR!I45&lt;&gt;"",FAR!I45&gt;=(EDATE(ITFYEnd,-12)+1),FAR!I45&lt;=ITFYEnd),FAR!J45,0)</f>
        <v/>
      </c>
    </row>
    <row r="66">
      <c r="B66" s="132">
        <f>IF(FAR!K46="","",FAR!B46)</f>
        <v/>
      </c>
      <c r="C66" s="133">
        <f>IF(FAR!C46="","",IFERROR(VLOOKUP(FAR!C46,ScheduleIITable,5,FALSE),""))</f>
        <v/>
      </c>
      <c r="D66" s="81">
        <f>IF(FAR!K46="","",FAR!K46)</f>
        <v/>
      </c>
      <c r="E66" s="134">
        <f>IF(FAR!H46="","",FAR!H46)</f>
        <v/>
      </c>
      <c r="F66" s="135">
        <f>IF(AND(FAR!H46&lt;&gt;"",FAR!H46&gt;=(EDATE(ITFYEnd,-12)+1),FAR!H46&lt;=ITFYEnd),ITFYEnd-FAR!H46+1,"")</f>
        <v/>
      </c>
      <c r="G66" s="81">
        <f>IF(AND(FAR!K46&lt;&gt;"",AND(FAR!H46&lt;&gt;"",FAR!H46&gt;=(EDATE(ITFYEnd,-12)+1),FAR!H46&lt;=ITFYEnd),(ITFYEnd-FAR!H46+1)&gt;=180),FAR!K46,0)</f>
        <v/>
      </c>
      <c r="H66" s="81">
        <f>IF(AND(FAR!K46&lt;&gt;"",AND(FAR!H46&lt;&gt;"",FAR!H46&gt;=(EDATE(ITFYEnd,-12)+1),FAR!H46&lt;=ITFYEnd),(ITFYEnd-FAR!H46+1)&lt;180),FAR!K46,0)</f>
        <v/>
      </c>
      <c r="I66" s="136">
        <f>IF(FAR!I46="","",FAR!I46)</f>
        <v/>
      </c>
      <c r="J66" s="120">
        <f>IF(AND(FAR!I46&lt;&gt;"",FAR!I46&gt;=(EDATE(ITFYEnd,-12)+1),FAR!I46&lt;=ITFYEnd),FAR!J46,0)</f>
        <v/>
      </c>
    </row>
    <row r="67">
      <c r="B67" s="126">
        <f>IF(FAR!K47="","",FAR!B47)</f>
        <v/>
      </c>
      <c r="C67" s="127">
        <f>IF(FAR!C47="","",IFERROR(VLOOKUP(FAR!C47,ScheduleIITable,5,FALSE),""))</f>
        <v/>
      </c>
      <c r="D67" s="63">
        <f>IF(FAR!K47="","",FAR!K47)</f>
        <v/>
      </c>
      <c r="E67" s="128">
        <f>IF(FAR!H47="","",FAR!H47)</f>
        <v/>
      </c>
      <c r="F67" s="129">
        <f>IF(AND(FAR!H47&lt;&gt;"",FAR!H47&gt;=(EDATE(ITFYEnd,-12)+1),FAR!H47&lt;=ITFYEnd),ITFYEnd-FAR!H47+1,"")</f>
        <v/>
      </c>
      <c r="G67" s="63">
        <f>IF(AND(FAR!K47&lt;&gt;"",AND(FAR!H47&lt;&gt;"",FAR!H47&gt;=(EDATE(ITFYEnd,-12)+1),FAR!H47&lt;=ITFYEnd),(ITFYEnd-FAR!H47+1)&gt;=180),FAR!K47,0)</f>
        <v/>
      </c>
      <c r="H67" s="63">
        <f>IF(AND(FAR!K47&lt;&gt;"",AND(FAR!H47&lt;&gt;"",FAR!H47&gt;=(EDATE(ITFYEnd,-12)+1),FAR!H47&lt;=ITFYEnd),(ITFYEnd-FAR!H47+1)&lt;180),FAR!K47,0)</f>
        <v/>
      </c>
      <c r="I67" s="130">
        <f>IF(FAR!I47="","",FAR!I47)</f>
        <v/>
      </c>
      <c r="J67" s="131">
        <f>IF(AND(FAR!I47&lt;&gt;"",FAR!I47&gt;=(EDATE(ITFYEnd,-12)+1),FAR!I47&lt;=ITFYEnd),FAR!J47,0)</f>
        <v/>
      </c>
    </row>
    <row r="68">
      <c r="B68" s="132">
        <f>IF(FAR!K48="","",FAR!B48)</f>
        <v/>
      </c>
      <c r="C68" s="133">
        <f>IF(FAR!C48="","",IFERROR(VLOOKUP(FAR!C48,ScheduleIITable,5,FALSE),""))</f>
        <v/>
      </c>
      <c r="D68" s="81">
        <f>IF(FAR!K48="","",FAR!K48)</f>
        <v/>
      </c>
      <c r="E68" s="134">
        <f>IF(FAR!H48="","",FAR!H48)</f>
        <v/>
      </c>
      <c r="F68" s="135">
        <f>IF(AND(FAR!H48&lt;&gt;"",FAR!H48&gt;=(EDATE(ITFYEnd,-12)+1),FAR!H48&lt;=ITFYEnd),ITFYEnd-FAR!H48+1,"")</f>
        <v/>
      </c>
      <c r="G68" s="81">
        <f>IF(AND(FAR!K48&lt;&gt;"",AND(FAR!H48&lt;&gt;"",FAR!H48&gt;=(EDATE(ITFYEnd,-12)+1),FAR!H48&lt;=ITFYEnd),(ITFYEnd-FAR!H48+1)&gt;=180),FAR!K48,0)</f>
        <v/>
      </c>
      <c r="H68" s="81">
        <f>IF(AND(FAR!K48&lt;&gt;"",AND(FAR!H48&lt;&gt;"",FAR!H48&gt;=(EDATE(ITFYEnd,-12)+1),FAR!H48&lt;=ITFYEnd),(ITFYEnd-FAR!H48+1)&lt;180),FAR!K48,0)</f>
        <v/>
      </c>
      <c r="I68" s="136">
        <f>IF(FAR!I48="","",FAR!I48)</f>
        <v/>
      </c>
      <c r="J68" s="120">
        <f>IF(AND(FAR!I48&lt;&gt;"",FAR!I48&gt;=(EDATE(ITFYEnd,-12)+1),FAR!I48&lt;=ITFYEnd),FAR!J48,0)</f>
        <v/>
      </c>
    </row>
    <row r="69">
      <c r="B69" s="126">
        <f>IF(FAR!K49="","",FAR!B49)</f>
        <v/>
      </c>
      <c r="C69" s="127">
        <f>IF(FAR!C49="","",IFERROR(VLOOKUP(FAR!C49,ScheduleIITable,5,FALSE),""))</f>
        <v/>
      </c>
      <c r="D69" s="63">
        <f>IF(FAR!K49="","",FAR!K49)</f>
        <v/>
      </c>
      <c r="E69" s="128">
        <f>IF(FAR!H49="","",FAR!H49)</f>
        <v/>
      </c>
      <c r="F69" s="129">
        <f>IF(AND(FAR!H49&lt;&gt;"",FAR!H49&gt;=(EDATE(ITFYEnd,-12)+1),FAR!H49&lt;=ITFYEnd),ITFYEnd-FAR!H49+1,"")</f>
        <v/>
      </c>
      <c r="G69" s="63">
        <f>IF(AND(FAR!K49&lt;&gt;"",AND(FAR!H49&lt;&gt;"",FAR!H49&gt;=(EDATE(ITFYEnd,-12)+1),FAR!H49&lt;=ITFYEnd),(ITFYEnd-FAR!H49+1)&gt;=180),FAR!K49,0)</f>
        <v/>
      </c>
      <c r="H69" s="63">
        <f>IF(AND(FAR!K49&lt;&gt;"",AND(FAR!H49&lt;&gt;"",FAR!H49&gt;=(EDATE(ITFYEnd,-12)+1),FAR!H49&lt;=ITFYEnd),(ITFYEnd-FAR!H49+1)&lt;180),FAR!K49,0)</f>
        <v/>
      </c>
      <c r="I69" s="130">
        <f>IF(FAR!I49="","",FAR!I49)</f>
        <v/>
      </c>
      <c r="J69" s="131">
        <f>IF(AND(FAR!I49&lt;&gt;"",FAR!I49&gt;=(EDATE(ITFYEnd,-12)+1),FAR!I49&lt;=ITFYEnd),FAR!J49,0)</f>
        <v/>
      </c>
    </row>
    <row r="70">
      <c r="B70" s="132">
        <f>IF(FAR!K50="","",FAR!B50)</f>
        <v/>
      </c>
      <c r="C70" s="133">
        <f>IF(FAR!C50="","",IFERROR(VLOOKUP(FAR!C50,ScheduleIITable,5,FALSE),""))</f>
        <v/>
      </c>
      <c r="D70" s="81">
        <f>IF(FAR!K50="","",FAR!K50)</f>
        <v/>
      </c>
      <c r="E70" s="134">
        <f>IF(FAR!H50="","",FAR!H50)</f>
        <v/>
      </c>
      <c r="F70" s="135">
        <f>IF(AND(FAR!H50&lt;&gt;"",FAR!H50&gt;=(EDATE(ITFYEnd,-12)+1),FAR!H50&lt;=ITFYEnd),ITFYEnd-FAR!H50+1,"")</f>
        <v/>
      </c>
      <c r="G70" s="81">
        <f>IF(AND(FAR!K50&lt;&gt;"",AND(FAR!H50&lt;&gt;"",FAR!H50&gt;=(EDATE(ITFYEnd,-12)+1),FAR!H50&lt;=ITFYEnd),(ITFYEnd-FAR!H50+1)&gt;=180),FAR!K50,0)</f>
        <v/>
      </c>
      <c r="H70" s="81">
        <f>IF(AND(FAR!K50&lt;&gt;"",AND(FAR!H50&lt;&gt;"",FAR!H50&gt;=(EDATE(ITFYEnd,-12)+1),FAR!H50&lt;=ITFYEnd),(ITFYEnd-FAR!H50+1)&lt;180),FAR!K50,0)</f>
        <v/>
      </c>
      <c r="I70" s="136">
        <f>IF(FAR!I50="","",FAR!I50)</f>
        <v/>
      </c>
      <c r="J70" s="120">
        <f>IF(AND(FAR!I50&lt;&gt;"",FAR!I50&gt;=(EDATE(ITFYEnd,-12)+1),FAR!I50&lt;=ITFYEnd),FAR!J50,0)</f>
        <v/>
      </c>
    </row>
    <row r="71">
      <c r="B71" s="126">
        <f>IF(FAR!K51="","",FAR!B51)</f>
        <v/>
      </c>
      <c r="C71" s="127">
        <f>IF(FAR!C51="","",IFERROR(VLOOKUP(FAR!C51,ScheduleIITable,5,FALSE),""))</f>
        <v/>
      </c>
      <c r="D71" s="63">
        <f>IF(FAR!K51="","",FAR!K51)</f>
        <v/>
      </c>
      <c r="E71" s="128">
        <f>IF(FAR!H51="","",FAR!H51)</f>
        <v/>
      </c>
      <c r="F71" s="129">
        <f>IF(AND(FAR!H51&lt;&gt;"",FAR!H51&gt;=(EDATE(ITFYEnd,-12)+1),FAR!H51&lt;=ITFYEnd),ITFYEnd-FAR!H51+1,"")</f>
        <v/>
      </c>
      <c r="G71" s="63">
        <f>IF(AND(FAR!K51&lt;&gt;"",AND(FAR!H51&lt;&gt;"",FAR!H51&gt;=(EDATE(ITFYEnd,-12)+1),FAR!H51&lt;=ITFYEnd),(ITFYEnd-FAR!H51+1)&gt;=180),FAR!K51,0)</f>
        <v/>
      </c>
      <c r="H71" s="63">
        <f>IF(AND(FAR!K51&lt;&gt;"",AND(FAR!H51&lt;&gt;"",FAR!H51&gt;=(EDATE(ITFYEnd,-12)+1),FAR!H51&lt;=ITFYEnd),(ITFYEnd-FAR!H51+1)&lt;180),FAR!K51,0)</f>
        <v/>
      </c>
      <c r="I71" s="130">
        <f>IF(FAR!I51="","",FAR!I51)</f>
        <v/>
      </c>
      <c r="J71" s="131">
        <f>IF(AND(FAR!I51&lt;&gt;"",FAR!I51&gt;=(EDATE(ITFYEnd,-12)+1),FAR!I51&lt;=ITFYEnd),FAR!J51,0)</f>
        <v/>
      </c>
    </row>
    <row r="72">
      <c r="B72" s="132">
        <f>IF(FAR!K52="","",FAR!B52)</f>
        <v/>
      </c>
      <c r="C72" s="133">
        <f>IF(FAR!C52="","",IFERROR(VLOOKUP(FAR!C52,ScheduleIITable,5,FALSE),""))</f>
        <v/>
      </c>
      <c r="D72" s="81">
        <f>IF(FAR!K52="","",FAR!K52)</f>
        <v/>
      </c>
      <c r="E72" s="134">
        <f>IF(FAR!H52="","",FAR!H52)</f>
        <v/>
      </c>
      <c r="F72" s="135">
        <f>IF(AND(FAR!H52&lt;&gt;"",FAR!H52&gt;=(EDATE(ITFYEnd,-12)+1),FAR!H52&lt;=ITFYEnd),ITFYEnd-FAR!H52+1,"")</f>
        <v/>
      </c>
      <c r="G72" s="81">
        <f>IF(AND(FAR!K52&lt;&gt;"",AND(FAR!H52&lt;&gt;"",FAR!H52&gt;=(EDATE(ITFYEnd,-12)+1),FAR!H52&lt;=ITFYEnd),(ITFYEnd-FAR!H52+1)&gt;=180),FAR!K52,0)</f>
        <v/>
      </c>
      <c r="H72" s="81">
        <f>IF(AND(FAR!K52&lt;&gt;"",AND(FAR!H52&lt;&gt;"",FAR!H52&gt;=(EDATE(ITFYEnd,-12)+1),FAR!H52&lt;=ITFYEnd),(ITFYEnd-FAR!H52+1)&lt;180),FAR!K52,0)</f>
        <v/>
      </c>
      <c r="I72" s="136">
        <f>IF(FAR!I52="","",FAR!I52)</f>
        <v/>
      </c>
      <c r="J72" s="120">
        <f>IF(AND(FAR!I52&lt;&gt;"",FAR!I52&gt;=(EDATE(ITFYEnd,-12)+1),FAR!I52&lt;=ITFYEnd),FAR!J52,0)</f>
        <v/>
      </c>
    </row>
    <row r="73">
      <c r="B73" s="126">
        <f>IF(FAR!K53="","",FAR!B53)</f>
        <v/>
      </c>
      <c r="C73" s="127">
        <f>IF(FAR!C53="","",IFERROR(VLOOKUP(FAR!C53,ScheduleIITable,5,FALSE),""))</f>
        <v/>
      </c>
      <c r="D73" s="63">
        <f>IF(FAR!K53="","",FAR!K53)</f>
        <v/>
      </c>
      <c r="E73" s="128">
        <f>IF(FAR!H53="","",FAR!H53)</f>
        <v/>
      </c>
      <c r="F73" s="129">
        <f>IF(AND(FAR!H53&lt;&gt;"",FAR!H53&gt;=(EDATE(ITFYEnd,-12)+1),FAR!H53&lt;=ITFYEnd),ITFYEnd-FAR!H53+1,"")</f>
        <v/>
      </c>
      <c r="G73" s="63">
        <f>IF(AND(FAR!K53&lt;&gt;"",AND(FAR!H53&lt;&gt;"",FAR!H53&gt;=(EDATE(ITFYEnd,-12)+1),FAR!H53&lt;=ITFYEnd),(ITFYEnd-FAR!H53+1)&gt;=180),FAR!K53,0)</f>
        <v/>
      </c>
      <c r="H73" s="63">
        <f>IF(AND(FAR!K53&lt;&gt;"",AND(FAR!H53&lt;&gt;"",FAR!H53&gt;=(EDATE(ITFYEnd,-12)+1),FAR!H53&lt;=ITFYEnd),(ITFYEnd-FAR!H53+1)&lt;180),FAR!K53,0)</f>
        <v/>
      </c>
      <c r="I73" s="130">
        <f>IF(FAR!I53="","",FAR!I53)</f>
        <v/>
      </c>
      <c r="J73" s="131">
        <f>IF(AND(FAR!I53&lt;&gt;"",FAR!I53&gt;=(EDATE(ITFYEnd,-12)+1),FAR!I53&lt;=ITFYEnd),FAR!J53,0)</f>
        <v/>
      </c>
    </row>
    <row r="74">
      <c r="B74" s="132">
        <f>IF(FAR!K54="","",FAR!B54)</f>
        <v/>
      </c>
      <c r="C74" s="133">
        <f>IF(FAR!C54="","",IFERROR(VLOOKUP(FAR!C54,ScheduleIITable,5,FALSE),""))</f>
        <v/>
      </c>
      <c r="D74" s="81">
        <f>IF(FAR!K54="","",FAR!K54)</f>
        <v/>
      </c>
      <c r="E74" s="134">
        <f>IF(FAR!H54="","",FAR!H54)</f>
        <v/>
      </c>
      <c r="F74" s="135">
        <f>IF(AND(FAR!H54&lt;&gt;"",FAR!H54&gt;=(EDATE(ITFYEnd,-12)+1),FAR!H54&lt;=ITFYEnd),ITFYEnd-FAR!H54+1,"")</f>
        <v/>
      </c>
      <c r="G74" s="81">
        <f>IF(AND(FAR!K54&lt;&gt;"",AND(FAR!H54&lt;&gt;"",FAR!H54&gt;=(EDATE(ITFYEnd,-12)+1),FAR!H54&lt;=ITFYEnd),(ITFYEnd-FAR!H54+1)&gt;=180),FAR!K54,0)</f>
        <v/>
      </c>
      <c r="H74" s="81">
        <f>IF(AND(FAR!K54&lt;&gt;"",AND(FAR!H54&lt;&gt;"",FAR!H54&gt;=(EDATE(ITFYEnd,-12)+1),FAR!H54&lt;=ITFYEnd),(ITFYEnd-FAR!H54+1)&lt;180),FAR!K54,0)</f>
        <v/>
      </c>
      <c r="I74" s="136">
        <f>IF(FAR!I54="","",FAR!I54)</f>
        <v/>
      </c>
      <c r="J74" s="120">
        <f>IF(AND(FAR!I54&lt;&gt;"",FAR!I54&gt;=(EDATE(ITFYEnd,-12)+1),FAR!I54&lt;=ITFYEnd),FAR!J54,0)</f>
        <v/>
      </c>
    </row>
    <row r="75">
      <c r="B75" s="126">
        <f>IF(FAR!K55="","",FAR!B55)</f>
        <v/>
      </c>
      <c r="C75" s="127">
        <f>IF(FAR!C55="","",IFERROR(VLOOKUP(FAR!C55,ScheduleIITable,5,FALSE),""))</f>
        <v/>
      </c>
      <c r="D75" s="63">
        <f>IF(FAR!K55="","",FAR!K55)</f>
        <v/>
      </c>
      <c r="E75" s="128">
        <f>IF(FAR!H55="","",FAR!H55)</f>
        <v/>
      </c>
      <c r="F75" s="129">
        <f>IF(AND(FAR!H55&lt;&gt;"",FAR!H55&gt;=(EDATE(ITFYEnd,-12)+1),FAR!H55&lt;=ITFYEnd),ITFYEnd-FAR!H55+1,"")</f>
        <v/>
      </c>
      <c r="G75" s="63">
        <f>IF(AND(FAR!K55&lt;&gt;"",AND(FAR!H55&lt;&gt;"",FAR!H55&gt;=(EDATE(ITFYEnd,-12)+1),FAR!H55&lt;=ITFYEnd),(ITFYEnd-FAR!H55+1)&gt;=180),FAR!K55,0)</f>
        <v/>
      </c>
      <c r="H75" s="63">
        <f>IF(AND(FAR!K55&lt;&gt;"",AND(FAR!H55&lt;&gt;"",FAR!H55&gt;=(EDATE(ITFYEnd,-12)+1),FAR!H55&lt;=ITFYEnd),(ITFYEnd-FAR!H55+1)&lt;180),FAR!K55,0)</f>
        <v/>
      </c>
      <c r="I75" s="130">
        <f>IF(FAR!I55="","",FAR!I55)</f>
        <v/>
      </c>
      <c r="J75" s="131">
        <f>IF(AND(FAR!I55&lt;&gt;"",FAR!I55&gt;=(EDATE(ITFYEnd,-12)+1),FAR!I55&lt;=ITFYEnd),FAR!J55,0)</f>
        <v/>
      </c>
    </row>
    <row r="76">
      <c r="B76" s="132">
        <f>IF(FAR!K56="","",FAR!B56)</f>
        <v/>
      </c>
      <c r="C76" s="133">
        <f>IF(FAR!C56="","",IFERROR(VLOOKUP(FAR!C56,ScheduleIITable,5,FALSE),""))</f>
        <v/>
      </c>
      <c r="D76" s="81">
        <f>IF(FAR!K56="","",FAR!K56)</f>
        <v/>
      </c>
      <c r="E76" s="134">
        <f>IF(FAR!H56="","",FAR!H56)</f>
        <v/>
      </c>
      <c r="F76" s="135">
        <f>IF(AND(FAR!H56&lt;&gt;"",FAR!H56&gt;=(EDATE(ITFYEnd,-12)+1),FAR!H56&lt;=ITFYEnd),ITFYEnd-FAR!H56+1,"")</f>
        <v/>
      </c>
      <c r="G76" s="81">
        <f>IF(AND(FAR!K56&lt;&gt;"",AND(FAR!H56&lt;&gt;"",FAR!H56&gt;=(EDATE(ITFYEnd,-12)+1),FAR!H56&lt;=ITFYEnd),(ITFYEnd-FAR!H56+1)&gt;=180),FAR!K56,0)</f>
        <v/>
      </c>
      <c r="H76" s="81">
        <f>IF(AND(FAR!K56&lt;&gt;"",AND(FAR!H56&lt;&gt;"",FAR!H56&gt;=(EDATE(ITFYEnd,-12)+1),FAR!H56&lt;=ITFYEnd),(ITFYEnd-FAR!H56+1)&lt;180),FAR!K56,0)</f>
        <v/>
      </c>
      <c r="I76" s="136">
        <f>IF(FAR!I56="","",FAR!I56)</f>
        <v/>
      </c>
      <c r="J76" s="120">
        <f>IF(AND(FAR!I56&lt;&gt;"",FAR!I56&gt;=(EDATE(ITFYEnd,-12)+1),FAR!I56&lt;=ITFYEnd),FAR!J56,0)</f>
        <v/>
      </c>
    </row>
    <row r="77">
      <c r="B77" s="126">
        <f>IF(FAR!K57="","",FAR!B57)</f>
        <v/>
      </c>
      <c r="C77" s="127">
        <f>IF(FAR!C57="","",IFERROR(VLOOKUP(FAR!C57,ScheduleIITable,5,FALSE),""))</f>
        <v/>
      </c>
      <c r="D77" s="63">
        <f>IF(FAR!K57="","",FAR!K57)</f>
        <v/>
      </c>
      <c r="E77" s="128">
        <f>IF(FAR!H57="","",FAR!H57)</f>
        <v/>
      </c>
      <c r="F77" s="129">
        <f>IF(AND(FAR!H57&lt;&gt;"",FAR!H57&gt;=(EDATE(ITFYEnd,-12)+1),FAR!H57&lt;=ITFYEnd),ITFYEnd-FAR!H57+1,"")</f>
        <v/>
      </c>
      <c r="G77" s="63">
        <f>IF(AND(FAR!K57&lt;&gt;"",AND(FAR!H57&lt;&gt;"",FAR!H57&gt;=(EDATE(ITFYEnd,-12)+1),FAR!H57&lt;=ITFYEnd),(ITFYEnd-FAR!H57+1)&gt;=180),FAR!K57,0)</f>
        <v/>
      </c>
      <c r="H77" s="63">
        <f>IF(AND(FAR!K57&lt;&gt;"",AND(FAR!H57&lt;&gt;"",FAR!H57&gt;=(EDATE(ITFYEnd,-12)+1),FAR!H57&lt;=ITFYEnd),(ITFYEnd-FAR!H57+1)&lt;180),FAR!K57,0)</f>
        <v/>
      </c>
      <c r="I77" s="130">
        <f>IF(FAR!I57="","",FAR!I57)</f>
        <v/>
      </c>
      <c r="J77" s="131">
        <f>IF(AND(FAR!I57&lt;&gt;"",FAR!I57&gt;=(EDATE(ITFYEnd,-12)+1),FAR!I57&lt;=ITFYEnd),FAR!J57,0)</f>
        <v/>
      </c>
    </row>
    <row r="78">
      <c r="B78" s="132">
        <f>IF(FAR!K58="","",FAR!B58)</f>
        <v/>
      </c>
      <c r="C78" s="133">
        <f>IF(FAR!C58="","",IFERROR(VLOOKUP(FAR!C58,ScheduleIITable,5,FALSE),""))</f>
        <v/>
      </c>
      <c r="D78" s="81">
        <f>IF(FAR!K58="","",FAR!K58)</f>
        <v/>
      </c>
      <c r="E78" s="134">
        <f>IF(FAR!H58="","",FAR!H58)</f>
        <v/>
      </c>
      <c r="F78" s="135">
        <f>IF(AND(FAR!H58&lt;&gt;"",FAR!H58&gt;=(EDATE(ITFYEnd,-12)+1),FAR!H58&lt;=ITFYEnd),ITFYEnd-FAR!H58+1,"")</f>
        <v/>
      </c>
      <c r="G78" s="81">
        <f>IF(AND(FAR!K58&lt;&gt;"",AND(FAR!H58&lt;&gt;"",FAR!H58&gt;=(EDATE(ITFYEnd,-12)+1),FAR!H58&lt;=ITFYEnd),(ITFYEnd-FAR!H58+1)&gt;=180),FAR!K58,0)</f>
        <v/>
      </c>
      <c r="H78" s="81">
        <f>IF(AND(FAR!K58&lt;&gt;"",AND(FAR!H58&lt;&gt;"",FAR!H58&gt;=(EDATE(ITFYEnd,-12)+1),FAR!H58&lt;=ITFYEnd),(ITFYEnd-FAR!H58+1)&lt;180),FAR!K58,0)</f>
        <v/>
      </c>
      <c r="I78" s="136">
        <f>IF(FAR!I58="","",FAR!I58)</f>
        <v/>
      </c>
      <c r="J78" s="120">
        <f>IF(AND(FAR!I58&lt;&gt;"",FAR!I58&gt;=(EDATE(ITFYEnd,-12)+1),FAR!I58&lt;=ITFYEnd),FAR!J58,0)</f>
        <v/>
      </c>
    </row>
    <row r="79">
      <c r="B79" s="126">
        <f>IF(FAR!K59="","",FAR!B59)</f>
        <v/>
      </c>
      <c r="C79" s="127">
        <f>IF(FAR!C59="","",IFERROR(VLOOKUP(FAR!C59,ScheduleIITable,5,FALSE),""))</f>
        <v/>
      </c>
      <c r="D79" s="63">
        <f>IF(FAR!K59="","",FAR!K59)</f>
        <v/>
      </c>
      <c r="E79" s="128">
        <f>IF(FAR!H59="","",FAR!H59)</f>
        <v/>
      </c>
      <c r="F79" s="129">
        <f>IF(AND(FAR!H59&lt;&gt;"",FAR!H59&gt;=(EDATE(ITFYEnd,-12)+1),FAR!H59&lt;=ITFYEnd),ITFYEnd-FAR!H59+1,"")</f>
        <v/>
      </c>
      <c r="G79" s="63">
        <f>IF(AND(FAR!K59&lt;&gt;"",AND(FAR!H59&lt;&gt;"",FAR!H59&gt;=(EDATE(ITFYEnd,-12)+1),FAR!H59&lt;=ITFYEnd),(ITFYEnd-FAR!H59+1)&gt;=180),FAR!K59,0)</f>
        <v/>
      </c>
      <c r="H79" s="63">
        <f>IF(AND(FAR!K59&lt;&gt;"",AND(FAR!H59&lt;&gt;"",FAR!H59&gt;=(EDATE(ITFYEnd,-12)+1),FAR!H59&lt;=ITFYEnd),(ITFYEnd-FAR!H59+1)&lt;180),FAR!K59,0)</f>
        <v/>
      </c>
      <c r="I79" s="130">
        <f>IF(FAR!I59="","",FAR!I59)</f>
        <v/>
      </c>
      <c r="J79" s="131">
        <f>IF(AND(FAR!I59&lt;&gt;"",FAR!I59&gt;=(EDATE(ITFYEnd,-12)+1),FAR!I59&lt;=ITFYEnd),FAR!J59,0)</f>
        <v/>
      </c>
    </row>
    <row r="80">
      <c r="B80" s="132">
        <f>IF(FAR!K60="","",FAR!B60)</f>
        <v/>
      </c>
      <c r="C80" s="133">
        <f>IF(FAR!C60="","",IFERROR(VLOOKUP(FAR!C60,ScheduleIITable,5,FALSE),""))</f>
        <v/>
      </c>
      <c r="D80" s="81">
        <f>IF(FAR!K60="","",FAR!K60)</f>
        <v/>
      </c>
      <c r="E80" s="134">
        <f>IF(FAR!H60="","",FAR!H60)</f>
        <v/>
      </c>
      <c r="F80" s="135">
        <f>IF(AND(FAR!H60&lt;&gt;"",FAR!H60&gt;=(EDATE(ITFYEnd,-12)+1),FAR!H60&lt;=ITFYEnd),ITFYEnd-FAR!H60+1,"")</f>
        <v/>
      </c>
      <c r="G80" s="81">
        <f>IF(AND(FAR!K60&lt;&gt;"",AND(FAR!H60&lt;&gt;"",FAR!H60&gt;=(EDATE(ITFYEnd,-12)+1),FAR!H60&lt;=ITFYEnd),(ITFYEnd-FAR!H60+1)&gt;=180),FAR!K60,0)</f>
        <v/>
      </c>
      <c r="H80" s="81">
        <f>IF(AND(FAR!K60&lt;&gt;"",AND(FAR!H60&lt;&gt;"",FAR!H60&gt;=(EDATE(ITFYEnd,-12)+1),FAR!H60&lt;=ITFYEnd),(ITFYEnd-FAR!H60+1)&lt;180),FAR!K60,0)</f>
        <v/>
      </c>
      <c r="I80" s="136">
        <f>IF(FAR!I60="","",FAR!I60)</f>
        <v/>
      </c>
      <c r="J80" s="120">
        <f>IF(AND(FAR!I60&lt;&gt;"",FAR!I60&gt;=(EDATE(ITFYEnd,-12)+1),FAR!I60&lt;=ITFYEnd),FAR!J60,0)</f>
        <v/>
      </c>
    </row>
    <row r="81">
      <c r="B81" s="126">
        <f>IF(FAR!K61="","",FAR!B61)</f>
        <v/>
      </c>
      <c r="C81" s="127">
        <f>IF(FAR!C61="","",IFERROR(VLOOKUP(FAR!C61,ScheduleIITable,5,FALSE),""))</f>
        <v/>
      </c>
      <c r="D81" s="63">
        <f>IF(FAR!K61="","",FAR!K61)</f>
        <v/>
      </c>
      <c r="E81" s="128">
        <f>IF(FAR!H61="","",FAR!H61)</f>
        <v/>
      </c>
      <c r="F81" s="129">
        <f>IF(AND(FAR!H61&lt;&gt;"",FAR!H61&gt;=(EDATE(ITFYEnd,-12)+1),FAR!H61&lt;=ITFYEnd),ITFYEnd-FAR!H61+1,"")</f>
        <v/>
      </c>
      <c r="G81" s="63">
        <f>IF(AND(FAR!K61&lt;&gt;"",AND(FAR!H61&lt;&gt;"",FAR!H61&gt;=(EDATE(ITFYEnd,-12)+1),FAR!H61&lt;=ITFYEnd),(ITFYEnd-FAR!H61+1)&gt;=180),FAR!K61,0)</f>
        <v/>
      </c>
      <c r="H81" s="63">
        <f>IF(AND(FAR!K61&lt;&gt;"",AND(FAR!H61&lt;&gt;"",FAR!H61&gt;=(EDATE(ITFYEnd,-12)+1),FAR!H61&lt;=ITFYEnd),(ITFYEnd-FAR!H61+1)&lt;180),FAR!K61,0)</f>
        <v/>
      </c>
      <c r="I81" s="130">
        <f>IF(FAR!I61="","",FAR!I61)</f>
        <v/>
      </c>
      <c r="J81" s="131">
        <f>IF(AND(FAR!I61&lt;&gt;"",FAR!I61&gt;=(EDATE(ITFYEnd,-12)+1),FAR!I61&lt;=ITFYEnd),FAR!J61,0)</f>
        <v/>
      </c>
    </row>
    <row r="82">
      <c r="B82" s="132">
        <f>IF(FAR!K62="","",FAR!B62)</f>
        <v/>
      </c>
      <c r="C82" s="133">
        <f>IF(FAR!C62="","",IFERROR(VLOOKUP(FAR!C62,ScheduleIITable,5,FALSE),""))</f>
        <v/>
      </c>
      <c r="D82" s="81">
        <f>IF(FAR!K62="","",FAR!K62)</f>
        <v/>
      </c>
      <c r="E82" s="134">
        <f>IF(FAR!H62="","",FAR!H62)</f>
        <v/>
      </c>
      <c r="F82" s="135">
        <f>IF(AND(FAR!H62&lt;&gt;"",FAR!H62&gt;=(EDATE(ITFYEnd,-12)+1),FAR!H62&lt;=ITFYEnd),ITFYEnd-FAR!H62+1,"")</f>
        <v/>
      </c>
      <c r="G82" s="81">
        <f>IF(AND(FAR!K62&lt;&gt;"",AND(FAR!H62&lt;&gt;"",FAR!H62&gt;=(EDATE(ITFYEnd,-12)+1),FAR!H62&lt;=ITFYEnd),(ITFYEnd-FAR!H62+1)&gt;=180),FAR!K62,0)</f>
        <v/>
      </c>
      <c r="H82" s="81">
        <f>IF(AND(FAR!K62&lt;&gt;"",AND(FAR!H62&lt;&gt;"",FAR!H62&gt;=(EDATE(ITFYEnd,-12)+1),FAR!H62&lt;=ITFYEnd),(ITFYEnd-FAR!H62+1)&lt;180),FAR!K62,0)</f>
        <v/>
      </c>
      <c r="I82" s="136">
        <f>IF(FAR!I62="","",FAR!I62)</f>
        <v/>
      </c>
      <c r="J82" s="120">
        <f>IF(AND(FAR!I62&lt;&gt;"",FAR!I62&gt;=(EDATE(ITFYEnd,-12)+1),FAR!I62&lt;=ITFYEnd),FAR!J62,0)</f>
        <v/>
      </c>
    </row>
    <row r="83">
      <c r="B83" s="126">
        <f>IF(FAR!K63="","",FAR!B63)</f>
        <v/>
      </c>
      <c r="C83" s="127">
        <f>IF(FAR!C63="","",IFERROR(VLOOKUP(FAR!C63,ScheduleIITable,5,FALSE),""))</f>
        <v/>
      </c>
      <c r="D83" s="63">
        <f>IF(FAR!K63="","",FAR!K63)</f>
        <v/>
      </c>
      <c r="E83" s="128">
        <f>IF(FAR!H63="","",FAR!H63)</f>
        <v/>
      </c>
      <c r="F83" s="129">
        <f>IF(AND(FAR!H63&lt;&gt;"",FAR!H63&gt;=(EDATE(ITFYEnd,-12)+1),FAR!H63&lt;=ITFYEnd),ITFYEnd-FAR!H63+1,"")</f>
        <v/>
      </c>
      <c r="G83" s="63">
        <f>IF(AND(FAR!K63&lt;&gt;"",AND(FAR!H63&lt;&gt;"",FAR!H63&gt;=(EDATE(ITFYEnd,-12)+1),FAR!H63&lt;=ITFYEnd),(ITFYEnd-FAR!H63+1)&gt;=180),FAR!K63,0)</f>
        <v/>
      </c>
      <c r="H83" s="63">
        <f>IF(AND(FAR!K63&lt;&gt;"",AND(FAR!H63&lt;&gt;"",FAR!H63&gt;=(EDATE(ITFYEnd,-12)+1),FAR!H63&lt;=ITFYEnd),(ITFYEnd-FAR!H63+1)&lt;180),FAR!K63,0)</f>
        <v/>
      </c>
      <c r="I83" s="130">
        <f>IF(FAR!I63="","",FAR!I63)</f>
        <v/>
      </c>
      <c r="J83" s="131">
        <f>IF(AND(FAR!I63&lt;&gt;"",FAR!I63&gt;=(EDATE(ITFYEnd,-12)+1),FAR!I63&lt;=ITFYEnd),FAR!J63,0)</f>
        <v/>
      </c>
    </row>
    <row r="84">
      <c r="B84" s="132">
        <f>IF(FAR!K64="","",FAR!B64)</f>
        <v/>
      </c>
      <c r="C84" s="133">
        <f>IF(FAR!C64="","",IFERROR(VLOOKUP(FAR!C64,ScheduleIITable,5,FALSE),""))</f>
        <v/>
      </c>
      <c r="D84" s="81">
        <f>IF(FAR!K64="","",FAR!K64)</f>
        <v/>
      </c>
      <c r="E84" s="134">
        <f>IF(FAR!H64="","",FAR!H64)</f>
        <v/>
      </c>
      <c r="F84" s="135">
        <f>IF(AND(FAR!H64&lt;&gt;"",FAR!H64&gt;=(EDATE(ITFYEnd,-12)+1),FAR!H64&lt;=ITFYEnd),ITFYEnd-FAR!H64+1,"")</f>
        <v/>
      </c>
      <c r="G84" s="81">
        <f>IF(AND(FAR!K64&lt;&gt;"",AND(FAR!H64&lt;&gt;"",FAR!H64&gt;=(EDATE(ITFYEnd,-12)+1),FAR!H64&lt;=ITFYEnd),(ITFYEnd-FAR!H64+1)&gt;=180),FAR!K64,0)</f>
        <v/>
      </c>
      <c r="H84" s="81">
        <f>IF(AND(FAR!K64&lt;&gt;"",AND(FAR!H64&lt;&gt;"",FAR!H64&gt;=(EDATE(ITFYEnd,-12)+1),FAR!H64&lt;=ITFYEnd),(ITFYEnd-FAR!H64+1)&lt;180),FAR!K64,0)</f>
        <v/>
      </c>
      <c r="I84" s="136">
        <f>IF(FAR!I64="","",FAR!I64)</f>
        <v/>
      </c>
      <c r="J84" s="120">
        <f>IF(AND(FAR!I64&lt;&gt;"",FAR!I64&gt;=(EDATE(ITFYEnd,-12)+1),FAR!I64&lt;=ITFYEnd),FAR!J64,0)</f>
        <v/>
      </c>
    </row>
  </sheetData>
  <mergeCells count="6">
    <mergeCell ref="B5:D5"/>
    <mergeCell ref="F5:N5"/>
    <mergeCell ref="B23:N23"/>
    <mergeCell ref="B6:N6"/>
    <mergeCell ref="B3:N3"/>
    <mergeCell ref="B2:N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" customWidth="1" min="2" max="2"/>
    <col width="110" customWidth="1" min="3" max="3"/>
  </cols>
  <sheetData>
    <row r="2" ht="26" customHeight="1">
      <c r="B2" s="137" t="inlineStr">
        <is>
          <t>NOTES, ASSUMPTIONS &amp; STATUTORY COMPLIANCE</t>
        </is>
      </c>
    </row>
    <row r="4">
      <c r="B4" s="138" t="inlineStr">
        <is>
          <t>A.  COMPANIES ACT, 2013 – SCHEDULE II (depreciation on PPE)</t>
        </is>
      </c>
    </row>
    <row r="5" ht="28" customHeight="1">
      <c r="B5" s="139" t="inlineStr">
        <is>
          <t>1</t>
        </is>
      </c>
      <c r="C5" s="140" t="inlineStr">
        <is>
          <t>Depreciation is based on the USEFUL LIFE of the asset (Part C of Schedule II), not on fixed rates. The FAR looks up each asset's useful life from the master table on the Input sheet.</t>
        </is>
      </c>
    </row>
    <row r="6" ht="28" customHeight="1">
      <c r="B6" s="139" t="inlineStr">
        <is>
          <t>2</t>
        </is>
      </c>
      <c r="C6" s="140" t="inlineStr">
        <is>
          <t>Residual / scrap value shall NOT exceed 5% of the original cost (default set to 5% on Input; editable per asset on FAR).</t>
        </is>
      </c>
    </row>
    <row r="7" ht="28" customHeight="1">
      <c r="B7" s="139" t="inlineStr">
        <is>
          <t>3</t>
        </is>
      </c>
      <c r="C7" s="140" t="inlineStr">
        <is>
          <t>Method: SLM or WDV may be used (and disclosed). The global switch on Input drives the whole register; a single asset can be overridden in the 'Method' column on FAR.</t>
        </is>
      </c>
    </row>
    <row r="8" ht="28" customHeight="1">
      <c r="B8" s="139" t="inlineStr">
        <is>
          <t>4</t>
        </is>
      </c>
      <c r="C8" s="140" t="inlineStr">
        <is>
          <t>Pro-rata depreciation is charged from the date the asset is 'put to use' and up to the date of sale/disposal (day-count based).</t>
        </is>
      </c>
    </row>
    <row r="9" ht="42" customHeight="1">
      <c r="B9" s="139" t="inlineStr">
        <is>
          <t>5</t>
        </is>
      </c>
      <c r="C9" s="140" t="inlineStr">
        <is>
          <t>EXTRA-SHIFT (Schedule II Note): for double shift, depreciation increases by 50%; for triple shift by 100%, for the period of such use. Assets marked NESD get no extra-shift depreciation. Set this per asset via the 'Shift Basis' column (Single/Double/Triple/NESD) on FAR.</t>
        </is>
      </c>
    </row>
    <row r="10" ht="42" customHeight="1">
      <c r="B10" s="139" t="inlineStr">
        <is>
          <t>6</t>
        </is>
      </c>
      <c r="C10" s="140" t="inlineStr">
        <is>
          <t>COMPONENTISATION: where the cost of a significant part of an asset has a useful life different from the asset, it must be depreciated separately. Record such parts as separate FAR rows and note linkage in 'Remarks / Components'.</t>
        </is>
      </c>
    </row>
    <row r="12">
      <c r="B12" s="141" t="inlineStr">
        <is>
          <t>B.  INCOME-TAX ACT – DEPRECIATION (Sec. 32 / Appendix I)</t>
        </is>
      </c>
    </row>
    <row r="13" ht="28" customHeight="1">
      <c r="B13" s="139" t="inlineStr">
        <is>
          <t>1</t>
        </is>
      </c>
      <c r="C13" s="140" t="inlineStr">
        <is>
          <t>Income-tax depreciation is computed on the WRITTEN DOWN VALUE of a BLOCK OF ASSETS (assets of the same class with the same rate), not asset-by-asset. See the 'Income-Tax Dep Chart' sheet.</t>
        </is>
      </c>
    </row>
    <row r="14" ht="56" customHeight="1">
      <c r="B14" s="139" t="inlineStr">
        <is>
          <t>2</t>
        </is>
      </c>
      <c r="C14" s="140" t="inlineStr">
        <is>
          <t>Indicative WDV rates used: Buildings 10% (residential 5%, temporary structures 40%); Furniture &amp; Fittings 10%; Plant &amp; Machinery (general) 15%; Motor vehicles 15% (commercial/used in hire 30%); Computers &amp; software 40%; Intangibles 25%; Books 40%; Ships 20%. (Verify against the latest Appendix I each year.)</t>
        </is>
      </c>
    </row>
    <row r="15" ht="42" customHeight="1">
      <c r="B15" s="139" t="inlineStr">
        <is>
          <t>3</t>
        </is>
      </c>
      <c r="C15" s="140" t="inlineStr">
        <is>
          <t>180-DAY RULE: if an asset is acquired AND put to use for less than 180 days during the year of acquisition, depreciation for that year is restricted to 50% of the normal rate. The chart classifies each addition automatically from the FAR 'Date Put to Use'.</t>
        </is>
      </c>
    </row>
    <row r="16" ht="42" customHeight="1">
      <c r="B16" s="139" t="inlineStr">
        <is>
          <t>4</t>
        </is>
      </c>
      <c r="C16" s="140" t="inlineStr">
        <is>
          <t>ADDITIONAL DEPRECIATION u/s 32(1)(iia): new plant &amp; machinery acquired by a manufacturing undertaking is eligible for 20% additional depreciation (10% if used &lt;180 days, balance allowed next year). Enter the eligible amount in the 'Additional Dep' input column.</t>
        </is>
      </c>
    </row>
    <row r="17" ht="42" customHeight="1">
      <c r="B17" s="139" t="inlineStr">
        <is>
          <t>5</t>
        </is>
      </c>
      <c r="C17" s="140" t="inlineStr">
        <is>
          <t>Block computation: Closing WDV = Opening WDV + Additions − Moneys payable on sale − Depreciation. If sale proceeds exceed (Opening + Additions), the block value turns negative → short-term capital gain u/s 50 (flagged in 'Remarks').</t>
        </is>
      </c>
    </row>
    <row r="18" ht="28" customHeight="1">
      <c r="B18" s="139" t="inlineStr">
        <is>
          <t>6</t>
        </is>
      </c>
      <c r="C18" s="140" t="inlineStr">
        <is>
          <t>No depreciation on individual asset is relevant for tax; gains/losses are computed at block level, except where the entire block ceases to exist.</t>
        </is>
      </c>
    </row>
    <row r="20">
      <c r="B20" s="142" t="inlineStr">
        <is>
          <t>C.  CARO 2020 – CLAUSE 3(i): PPE &amp; INTANGIBLE ASSETS (audit reporting)</t>
        </is>
      </c>
    </row>
    <row r="21" ht="42" customHeight="1">
      <c r="B21" s="139" t="inlineStr">
        <is>
          <t>a</t>
        </is>
      </c>
      <c r="C21" s="140" t="inlineStr">
        <is>
          <t>Proper records showing full particulars, including QUANTITATIVE DETAILS and SITUATION, of Property, Plant &amp; Equipment and of intangible assets (this FAR captures ID, description, location/cost-centre, cost and movement).</t>
        </is>
      </c>
    </row>
    <row r="22" ht="28" customHeight="1">
      <c r="B22" s="139" t="inlineStr">
        <is>
          <t>b</t>
        </is>
      </c>
      <c r="C22" s="140" t="inlineStr">
        <is>
          <t>Whether PPE have been PHYSICALLY VERIFIED by management at reasonable intervals and material discrepancies dealt with — record the date in 'Date of Physical Verif.' on FAR.</t>
        </is>
      </c>
    </row>
    <row r="23" ht="28" customHeight="1">
      <c r="B23" s="139" t="inlineStr">
        <is>
          <t>c</t>
        </is>
      </c>
      <c r="C23" s="140" t="inlineStr">
        <is>
          <t>Whether TITLE DEEDS of all immovable properties are held in the company's name — flagged via 'Title Deed in Co. Name?' on FAR (auto-set to apply for buildings/leasehold).</t>
        </is>
      </c>
    </row>
    <row r="24" ht="28" customHeight="1">
      <c r="B24" s="139" t="inlineStr">
        <is>
          <t>d</t>
        </is>
      </c>
      <c r="C24" s="140" t="inlineStr">
        <is>
          <t>Whether the company has REVALUED its PPE/intangibles based on a Registered Valuer's report (note in 'Remarks' and adjust cost if applicable).</t>
        </is>
      </c>
    </row>
    <row r="25" ht="28" customHeight="1">
      <c r="B25" s="139" t="inlineStr">
        <is>
          <t>e</t>
        </is>
      </c>
      <c r="C25" s="140" t="inlineStr">
        <is>
          <t>Whether any proceedings for holding BENAMI property are initiated/pending (disclose in 'Remarks').</t>
        </is>
      </c>
    </row>
    <row r="27">
      <c r="B27" s="143" t="inlineStr">
        <is>
          <t>D.  SOURCES &amp; DISCLAIMER</t>
        </is>
      </c>
    </row>
    <row r="28" ht="28" customHeight="1">
      <c r="C28" s="144" t="inlineStr">
        <is>
          <t>Companies Act, 2013 – Schedule II (useful lives, residual value, extra-shift, componentisation).</t>
        </is>
      </c>
    </row>
    <row r="29" ht="28" customHeight="1">
      <c r="C29" s="144" t="inlineStr">
        <is>
          <t>Income-Tax Act – Section 32 read with Rule 5 and Appendix I (block-of-assets WDV rates, 180-day rule, additional depreciation).</t>
        </is>
      </c>
    </row>
    <row r="30" ht="14" customHeight="1">
      <c r="C30" s="144" t="inlineStr">
        <is>
          <t>CARO 2020 – Companies (Auditor's Report) Order, 2020, paragraph 3(i)(a)–(e).</t>
        </is>
      </c>
    </row>
    <row r="31" ht="42" customHeight="1">
      <c r="C31" s="144" t="inlineStr">
        <is>
          <t>DISCLAIMER: This template is an illustrative working tool. Useful lives and tax rates change by Finance Act/MCA notification and by asset specifics. Verify the current Schedule II and Appendix I, and consult your auditor/tax advisor before filing.</t>
        </is>
      </c>
    </row>
  </sheetData>
  <mergeCells count="5">
    <mergeCell ref="B2:C2"/>
    <mergeCell ref="B20:C20"/>
    <mergeCell ref="B27:C27"/>
    <mergeCell ref="B4:C4"/>
    <mergeCell ref="B12:C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B2:AN102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6" customWidth="1" min="2" max="2"/>
    <col width="16" customWidth="1" min="3" max="3"/>
    <col width="15" customWidth="1" min="4" max="4"/>
    <col width="14" customWidth="1" min="5" max="5"/>
    <col width="10" customWidth="1" min="6" max="6"/>
    <col width="12" customWidth="1" min="7" max="7"/>
    <col width="11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2" ht="26" customHeight="1">
      <c r="B2" s="145" t="inlineStr">
        <is>
          <t>BOOK vs TAX DEPRECIATION – DEFERRED TAX WORKING</t>
        </is>
      </c>
    </row>
    <row r="3">
      <c r="B3" s="95" t="inlineStr">
        <is>
          <t>Timing difference between Schedule II (book) and Section 32 (tax) depreciation  •  AS 22 / Ind AS 12  •  Tax-WDV roll-forward at Appendix I rates with the 180-day rule</t>
        </is>
      </c>
    </row>
    <row r="5">
      <c r="B5" s="146" t="inlineStr">
        <is>
          <t>Applicable Income-Tax Rate (incl. surcharge &amp; cess):</t>
        </is>
      </c>
      <c r="C5" s="29" t="n"/>
      <c r="D5" s="29" t="n"/>
      <c r="E5" s="30" t="n"/>
      <c r="F5" s="147" t="n">
        <v>0.25168</v>
      </c>
      <c r="G5" s="148" t="inlineStr">
        <is>
          <t>↳ e.g. 25.168% u/s 115BAA, 17.16% u/s 115BAB, or 25%/30% + surcharge &amp; cess as applicable.</t>
        </is>
      </c>
    </row>
    <row r="7">
      <c r="B7" s="149" t="inlineStr">
        <is>
          <t>A.  DEFERRED TAX AS ON THE REPORTING FINANCIAL YEAR</t>
        </is>
      </c>
      <c r="C7" s="29" t="n"/>
      <c r="D7" s="29" t="n"/>
      <c r="E7" s="29" t="n"/>
      <c r="F7" s="30" t="n"/>
    </row>
    <row r="8">
      <c r="B8" s="150" t="inlineStr">
        <is>
          <t>Net block as per books (Schedule II WDV)</t>
        </is>
      </c>
      <c r="C8" s="151">
        <f>INDEX($G$17:$G$32,MATCH(ReportingFYEnd,$B$17:$B$32,0))</f>
        <v/>
      </c>
    </row>
    <row r="9">
      <c r="B9" s="150" t="inlineStr">
        <is>
          <t>Written-down value as per Income-Tax</t>
        </is>
      </c>
      <c r="C9" s="151">
        <f>INDEX($H$17:$H$32,MATCH(ReportingFYEnd,$B$17:$B$32,0))</f>
        <v/>
      </c>
    </row>
    <row r="10">
      <c r="B10" s="150" t="inlineStr">
        <is>
          <t>Timing difference (Book WDV − Tax WDV)</t>
        </is>
      </c>
      <c r="C10" s="151">
        <f>C8-C9</f>
        <v/>
      </c>
    </row>
    <row r="11">
      <c r="B11" s="150" t="inlineStr">
        <is>
          <t>Applicable tax rate</t>
        </is>
      </c>
      <c r="C11" s="152">
        <f>TaxRate</f>
        <v/>
      </c>
    </row>
    <row r="12">
      <c r="B12" s="153" t="inlineStr">
        <is>
          <t>Deferred Tax Liability / (Asset)</t>
        </is>
      </c>
      <c r="C12" s="154">
        <f>C10*C11</f>
        <v/>
      </c>
    </row>
    <row r="13">
      <c r="D13" s="155">
        <f>IF(C12&gt;=0,"➜  Deferred Tax LIABILITY (book value &gt; tax value)","➜  Deferred Tax ASSET – recognise only if reasonable/virtual certainty exists")</f>
        <v/>
      </c>
    </row>
    <row r="15">
      <c r="B15" s="125" t="inlineStr">
        <is>
          <t>B.  YEAR-WISE BOOK vs TAX RECONCILIATION &amp; DEFERRED-TAX ROLL-FORWARD</t>
        </is>
      </c>
      <c r="C15" s="29" t="n"/>
      <c r="D15" s="29" t="n"/>
      <c r="E15" s="29" t="n"/>
      <c r="F15" s="29" t="n"/>
      <c r="G15" s="29" t="n"/>
      <c r="H15" s="29" t="n"/>
      <c r="I15" s="29" t="n"/>
      <c r="J15" s="29" t="n"/>
      <c r="K15" s="30" t="n"/>
    </row>
    <row r="16" ht="40" customHeight="1">
      <c r="B16" s="108" t="inlineStr">
        <is>
          <t>Financial Year</t>
        </is>
      </c>
      <c r="C16" s="108" t="inlineStr">
        <is>
          <t>Book Dep (Sch. II)</t>
        </is>
      </c>
      <c r="D16" s="108" t="inlineStr">
        <is>
          <t>Tax Dep (Sec. 32)</t>
        </is>
      </c>
      <c r="E16" s="108" t="inlineStr">
        <is>
          <t>Difference (Tax − Book)</t>
        </is>
      </c>
      <c r="F16" s="108" t="inlineStr">
        <is>
          <t>Deferred Tax Charge/(Credit)</t>
        </is>
      </c>
      <c r="G16" s="108" t="inlineStr">
        <is>
          <t>Closing Book WDV</t>
        </is>
      </c>
      <c r="H16" s="108" t="inlineStr">
        <is>
          <t>Closing Tax WDV</t>
        </is>
      </c>
      <c r="I16" s="108" t="inlineStr">
        <is>
          <t>Timing Diff (Book−Tax)</t>
        </is>
      </c>
      <c r="J16" s="108" t="inlineStr">
        <is>
          <t>Closing DTL/(DTA)</t>
        </is>
      </c>
      <c r="K16" s="108" t="inlineStr">
        <is>
          <t>Nature</t>
        </is>
      </c>
    </row>
    <row r="17">
      <c r="B17" s="156">
        <f>FAR!AA$3</f>
        <v/>
      </c>
      <c r="C17" s="157">
        <f>FAR!AA65</f>
        <v/>
      </c>
      <c r="D17" s="158">
        <f>$I$98</f>
        <v/>
      </c>
      <c r="E17" s="157">
        <f>D17-C17</f>
        <v/>
      </c>
      <c r="F17" s="159">
        <f>E17*TaxRate</f>
        <v/>
      </c>
      <c r="G17" s="157">
        <f>FAR!AB65</f>
        <v/>
      </c>
      <c r="H17" s="158">
        <f>$J$98</f>
        <v/>
      </c>
      <c r="I17" s="157">
        <f>G17-H17</f>
        <v/>
      </c>
      <c r="J17" s="160">
        <f>I17*TaxRate</f>
        <v/>
      </c>
      <c r="K17" s="161">
        <f>IF(I17&gt;0,"DTL",IF(I17&lt;0,"DTA","-"))</f>
        <v/>
      </c>
    </row>
    <row r="18">
      <c r="B18" s="162">
        <f>FAR!AC$3</f>
        <v/>
      </c>
      <c r="C18" s="74">
        <f>FAR!AC65</f>
        <v/>
      </c>
      <c r="D18" s="163">
        <f>$K$98</f>
        <v/>
      </c>
      <c r="E18" s="74">
        <f>D18-C18</f>
        <v/>
      </c>
      <c r="F18" s="164">
        <f>E18*TaxRate</f>
        <v/>
      </c>
      <c r="G18" s="74">
        <f>FAR!AD65</f>
        <v/>
      </c>
      <c r="H18" s="163">
        <f>$L$98</f>
        <v/>
      </c>
      <c r="I18" s="74">
        <f>G18-H18</f>
        <v/>
      </c>
      <c r="J18" s="165">
        <f>I18*TaxRate</f>
        <v/>
      </c>
      <c r="K18" s="78">
        <f>IF(I18&gt;0,"DTL",IF(I18&lt;0,"DTA","-"))</f>
        <v/>
      </c>
    </row>
    <row r="19">
      <c r="B19" s="156">
        <f>FAR!AE$3</f>
        <v/>
      </c>
      <c r="C19" s="157">
        <f>FAR!AE65</f>
        <v/>
      </c>
      <c r="D19" s="158">
        <f>$M$98</f>
        <v/>
      </c>
      <c r="E19" s="157">
        <f>D19-C19</f>
        <v/>
      </c>
      <c r="F19" s="159">
        <f>E19*TaxRate</f>
        <v/>
      </c>
      <c r="G19" s="157">
        <f>FAR!AF65</f>
        <v/>
      </c>
      <c r="H19" s="158">
        <f>$N$98</f>
        <v/>
      </c>
      <c r="I19" s="157">
        <f>G19-H19</f>
        <v/>
      </c>
      <c r="J19" s="160">
        <f>I19*TaxRate</f>
        <v/>
      </c>
      <c r="K19" s="161">
        <f>IF(I19&gt;0,"DTL",IF(I19&lt;0,"DTA","-"))</f>
        <v/>
      </c>
    </row>
    <row r="20">
      <c r="B20" s="162">
        <f>FAR!AG$3</f>
        <v/>
      </c>
      <c r="C20" s="74">
        <f>FAR!AG65</f>
        <v/>
      </c>
      <c r="D20" s="163">
        <f>$O$98</f>
        <v/>
      </c>
      <c r="E20" s="74">
        <f>D20-C20</f>
        <v/>
      </c>
      <c r="F20" s="164">
        <f>E20*TaxRate</f>
        <v/>
      </c>
      <c r="G20" s="74">
        <f>FAR!AH65</f>
        <v/>
      </c>
      <c r="H20" s="163">
        <f>$P$98</f>
        <v/>
      </c>
      <c r="I20" s="74">
        <f>G20-H20</f>
        <v/>
      </c>
      <c r="J20" s="165">
        <f>I20*TaxRate</f>
        <v/>
      </c>
      <c r="K20" s="78">
        <f>IF(I20&gt;0,"DTL",IF(I20&lt;0,"DTA","-"))</f>
        <v/>
      </c>
    </row>
    <row r="21">
      <c r="B21" s="156">
        <f>FAR!AI$3</f>
        <v/>
      </c>
      <c r="C21" s="157">
        <f>FAR!AI65</f>
        <v/>
      </c>
      <c r="D21" s="158">
        <f>$Q$98</f>
        <v/>
      </c>
      <c r="E21" s="157">
        <f>D21-C21</f>
        <v/>
      </c>
      <c r="F21" s="159">
        <f>E21*TaxRate</f>
        <v/>
      </c>
      <c r="G21" s="157">
        <f>FAR!AJ65</f>
        <v/>
      </c>
      <c r="H21" s="158">
        <f>$R$98</f>
        <v/>
      </c>
      <c r="I21" s="157">
        <f>G21-H21</f>
        <v/>
      </c>
      <c r="J21" s="160">
        <f>I21*TaxRate</f>
        <v/>
      </c>
      <c r="K21" s="161">
        <f>IF(I21&gt;0,"DTL",IF(I21&lt;0,"DTA","-"))</f>
        <v/>
      </c>
    </row>
    <row r="22">
      <c r="B22" s="162">
        <f>FAR!AK$3</f>
        <v/>
      </c>
      <c r="C22" s="74">
        <f>FAR!AK65</f>
        <v/>
      </c>
      <c r="D22" s="163">
        <f>$S$98</f>
        <v/>
      </c>
      <c r="E22" s="74">
        <f>D22-C22</f>
        <v/>
      </c>
      <c r="F22" s="164">
        <f>E22*TaxRate</f>
        <v/>
      </c>
      <c r="G22" s="74">
        <f>FAR!AL65</f>
        <v/>
      </c>
      <c r="H22" s="163">
        <f>$T$98</f>
        <v/>
      </c>
      <c r="I22" s="74">
        <f>G22-H22</f>
        <v/>
      </c>
      <c r="J22" s="165">
        <f>I22*TaxRate</f>
        <v/>
      </c>
      <c r="K22" s="78">
        <f>IF(I22&gt;0,"DTL",IF(I22&lt;0,"DTA","-"))</f>
        <v/>
      </c>
    </row>
    <row r="23">
      <c r="B23" s="156">
        <f>FAR!AM$3</f>
        <v/>
      </c>
      <c r="C23" s="157">
        <f>FAR!AM65</f>
        <v/>
      </c>
      <c r="D23" s="158">
        <f>$U$98</f>
        <v/>
      </c>
      <c r="E23" s="157">
        <f>D23-C23</f>
        <v/>
      </c>
      <c r="F23" s="159">
        <f>E23*TaxRate</f>
        <v/>
      </c>
      <c r="G23" s="157">
        <f>FAR!AN65</f>
        <v/>
      </c>
      <c r="H23" s="158">
        <f>$V$98</f>
        <v/>
      </c>
      <c r="I23" s="157">
        <f>G23-H23</f>
        <v/>
      </c>
      <c r="J23" s="160">
        <f>I23*TaxRate</f>
        <v/>
      </c>
      <c r="K23" s="161">
        <f>IF(I23&gt;0,"DTL",IF(I23&lt;0,"DTA","-"))</f>
        <v/>
      </c>
    </row>
    <row r="24">
      <c r="B24" s="162">
        <f>FAR!AO$3</f>
        <v/>
      </c>
      <c r="C24" s="74">
        <f>FAR!AO65</f>
        <v/>
      </c>
      <c r="D24" s="163">
        <f>$W$98</f>
        <v/>
      </c>
      <c r="E24" s="74">
        <f>D24-C24</f>
        <v/>
      </c>
      <c r="F24" s="164">
        <f>E24*TaxRate</f>
        <v/>
      </c>
      <c r="G24" s="74">
        <f>FAR!AP65</f>
        <v/>
      </c>
      <c r="H24" s="163">
        <f>$X$98</f>
        <v/>
      </c>
      <c r="I24" s="74">
        <f>G24-H24</f>
        <v/>
      </c>
      <c r="J24" s="165">
        <f>I24*TaxRate</f>
        <v/>
      </c>
      <c r="K24" s="78">
        <f>IF(I24&gt;0,"DTL",IF(I24&lt;0,"DTA","-"))</f>
        <v/>
      </c>
    </row>
    <row r="25">
      <c r="B25" s="156">
        <f>FAR!AQ$3</f>
        <v/>
      </c>
      <c r="C25" s="157">
        <f>FAR!AQ65</f>
        <v/>
      </c>
      <c r="D25" s="158">
        <f>$Y$98</f>
        <v/>
      </c>
      <c r="E25" s="157">
        <f>D25-C25</f>
        <v/>
      </c>
      <c r="F25" s="159">
        <f>E25*TaxRate</f>
        <v/>
      </c>
      <c r="G25" s="157">
        <f>FAR!AR65</f>
        <v/>
      </c>
      <c r="H25" s="158">
        <f>$Z$98</f>
        <v/>
      </c>
      <c r="I25" s="157">
        <f>G25-H25</f>
        <v/>
      </c>
      <c r="J25" s="160">
        <f>I25*TaxRate</f>
        <v/>
      </c>
      <c r="K25" s="161">
        <f>IF(I25&gt;0,"DTL",IF(I25&lt;0,"DTA","-"))</f>
        <v/>
      </c>
    </row>
    <row r="26">
      <c r="B26" s="162">
        <f>FAR!AS$3</f>
        <v/>
      </c>
      <c r="C26" s="74">
        <f>FAR!AS65</f>
        <v/>
      </c>
      <c r="D26" s="163">
        <f>$AA$98</f>
        <v/>
      </c>
      <c r="E26" s="74">
        <f>D26-C26</f>
        <v/>
      </c>
      <c r="F26" s="164">
        <f>E26*TaxRate</f>
        <v/>
      </c>
      <c r="G26" s="74">
        <f>FAR!AT65</f>
        <v/>
      </c>
      <c r="H26" s="163">
        <f>$AB$98</f>
        <v/>
      </c>
      <c r="I26" s="74">
        <f>G26-H26</f>
        <v/>
      </c>
      <c r="J26" s="165">
        <f>I26*TaxRate</f>
        <v/>
      </c>
      <c r="K26" s="78">
        <f>IF(I26&gt;0,"DTL",IF(I26&lt;0,"DTA","-"))</f>
        <v/>
      </c>
    </row>
    <row r="27">
      <c r="B27" s="156">
        <f>FAR!AU$3</f>
        <v/>
      </c>
      <c r="C27" s="157">
        <f>FAR!AU65</f>
        <v/>
      </c>
      <c r="D27" s="158">
        <f>$AC$98</f>
        <v/>
      </c>
      <c r="E27" s="157">
        <f>D27-C27</f>
        <v/>
      </c>
      <c r="F27" s="159">
        <f>E27*TaxRate</f>
        <v/>
      </c>
      <c r="G27" s="157">
        <f>FAR!AV65</f>
        <v/>
      </c>
      <c r="H27" s="158">
        <f>$AD$98</f>
        <v/>
      </c>
      <c r="I27" s="157">
        <f>G27-H27</f>
        <v/>
      </c>
      <c r="J27" s="160">
        <f>I27*TaxRate</f>
        <v/>
      </c>
      <c r="K27" s="161">
        <f>IF(I27&gt;0,"DTL",IF(I27&lt;0,"DTA","-"))</f>
        <v/>
      </c>
    </row>
    <row r="28">
      <c r="B28" s="162">
        <f>FAR!AW$3</f>
        <v/>
      </c>
      <c r="C28" s="74">
        <f>FAR!AW65</f>
        <v/>
      </c>
      <c r="D28" s="163">
        <f>$AE$98</f>
        <v/>
      </c>
      <c r="E28" s="74">
        <f>D28-C28</f>
        <v/>
      </c>
      <c r="F28" s="164">
        <f>E28*TaxRate</f>
        <v/>
      </c>
      <c r="G28" s="74">
        <f>FAR!AX65</f>
        <v/>
      </c>
      <c r="H28" s="163">
        <f>$AF$98</f>
        <v/>
      </c>
      <c r="I28" s="74">
        <f>G28-H28</f>
        <v/>
      </c>
      <c r="J28" s="165">
        <f>I28*TaxRate</f>
        <v/>
      </c>
      <c r="K28" s="78">
        <f>IF(I28&gt;0,"DTL",IF(I28&lt;0,"DTA","-"))</f>
        <v/>
      </c>
    </row>
    <row r="29">
      <c r="B29" s="156">
        <f>FAR!AY$3</f>
        <v/>
      </c>
      <c r="C29" s="157">
        <f>FAR!AY65</f>
        <v/>
      </c>
      <c r="D29" s="158">
        <f>$AG$98</f>
        <v/>
      </c>
      <c r="E29" s="157">
        <f>D29-C29</f>
        <v/>
      </c>
      <c r="F29" s="159">
        <f>E29*TaxRate</f>
        <v/>
      </c>
      <c r="G29" s="157">
        <f>FAR!AZ65</f>
        <v/>
      </c>
      <c r="H29" s="158">
        <f>$AH$98</f>
        <v/>
      </c>
      <c r="I29" s="157">
        <f>G29-H29</f>
        <v/>
      </c>
      <c r="J29" s="160">
        <f>I29*TaxRate</f>
        <v/>
      </c>
      <c r="K29" s="161">
        <f>IF(I29&gt;0,"DTL",IF(I29&lt;0,"DTA","-"))</f>
        <v/>
      </c>
    </row>
    <row r="30">
      <c r="B30" s="162">
        <f>FAR!BA$3</f>
        <v/>
      </c>
      <c r="C30" s="74">
        <f>FAR!BA65</f>
        <v/>
      </c>
      <c r="D30" s="163">
        <f>$AI$98</f>
        <v/>
      </c>
      <c r="E30" s="74">
        <f>D30-C30</f>
        <v/>
      </c>
      <c r="F30" s="164">
        <f>E30*TaxRate</f>
        <v/>
      </c>
      <c r="G30" s="74">
        <f>FAR!BB65</f>
        <v/>
      </c>
      <c r="H30" s="163">
        <f>$AJ$98</f>
        <v/>
      </c>
      <c r="I30" s="74">
        <f>G30-H30</f>
        <v/>
      </c>
      <c r="J30" s="165">
        <f>I30*TaxRate</f>
        <v/>
      </c>
      <c r="K30" s="78">
        <f>IF(I30&gt;0,"DTL",IF(I30&lt;0,"DTA","-"))</f>
        <v/>
      </c>
    </row>
    <row r="31">
      <c r="B31" s="156">
        <f>FAR!BC$3</f>
        <v/>
      </c>
      <c r="C31" s="157">
        <f>FAR!BC65</f>
        <v/>
      </c>
      <c r="D31" s="158">
        <f>$AK$98</f>
        <v/>
      </c>
      <c r="E31" s="157">
        <f>D31-C31</f>
        <v/>
      </c>
      <c r="F31" s="159">
        <f>E31*TaxRate</f>
        <v/>
      </c>
      <c r="G31" s="157">
        <f>FAR!BD65</f>
        <v/>
      </c>
      <c r="H31" s="158">
        <f>$AL$98</f>
        <v/>
      </c>
      <c r="I31" s="157">
        <f>G31-H31</f>
        <v/>
      </c>
      <c r="J31" s="160">
        <f>I31*TaxRate</f>
        <v/>
      </c>
      <c r="K31" s="161">
        <f>IF(I31&gt;0,"DTL",IF(I31&lt;0,"DTA","-"))</f>
        <v/>
      </c>
    </row>
    <row r="32">
      <c r="B32" s="162">
        <f>FAR!BE$3</f>
        <v/>
      </c>
      <c r="C32" s="74">
        <f>FAR!BE65</f>
        <v/>
      </c>
      <c r="D32" s="163">
        <f>$AM$98</f>
        <v/>
      </c>
      <c r="E32" s="74">
        <f>D32-C32</f>
        <v/>
      </c>
      <c r="F32" s="164">
        <f>E32*TaxRate</f>
        <v/>
      </c>
      <c r="G32" s="74">
        <f>FAR!BF65</f>
        <v/>
      </c>
      <c r="H32" s="163">
        <f>$AN$98</f>
        <v/>
      </c>
      <c r="I32" s="74">
        <f>G32-H32</f>
        <v/>
      </c>
      <c r="J32" s="165">
        <f>I32*TaxRate</f>
        <v/>
      </c>
      <c r="K32" s="78">
        <f>IF(I32&gt;0,"DTL",IF(I32&lt;0,"DTA","-"))</f>
        <v/>
      </c>
    </row>
    <row r="33">
      <c r="B33" s="28" t="inlineStr">
        <is>
          <t>TOTAL</t>
        </is>
      </c>
      <c r="C33" s="124">
        <f>SUM(C17:C32)</f>
        <v/>
      </c>
      <c r="D33" s="124">
        <f>SUM(D17:D32)</f>
        <v/>
      </c>
      <c r="E33" s="124">
        <f>SUM(E17:E32)</f>
        <v/>
      </c>
      <c r="F33" s="124">
        <f>SUM(F17:F32)</f>
        <v/>
      </c>
      <c r="G33" s="83" t="inlineStr"/>
      <c r="H33" s="83" t="inlineStr"/>
      <c r="I33" s="83" t="inlineStr"/>
      <c r="J33" s="83" t="inlineStr"/>
      <c r="K33" s="83" t="inlineStr"/>
    </row>
    <row r="36">
      <c r="B36" s="166" t="inlineStr">
        <is>
          <t>C.  INCOME-TAX DEPRECIATION WORKING – per asset (WDV at Appendix I rates, 180-day rule; auto-linked to FAR). Tax base held at cost until put to use; written off on disposal.</t>
        </is>
      </c>
    </row>
    <row r="37" ht="24" customHeight="1">
      <c r="B37" s="108" t="inlineStr">
        <is>
          <t>Asset</t>
        </is>
      </c>
      <c r="C37" s="108" t="inlineStr">
        <is>
          <t>Cost (Rs.)</t>
        </is>
      </c>
      <c r="D37" s="108" t="inlineStr">
        <is>
          <t>Date Put to Use</t>
        </is>
      </c>
      <c r="E37" s="108" t="inlineStr">
        <is>
          <t>Disposal Date</t>
        </is>
      </c>
      <c r="F37" s="108" t="inlineStr">
        <is>
          <t>IT Rate</t>
        </is>
      </c>
      <c r="G37" s="108" t="inlineStr">
        <is>
          <t>Acq. FY-end Yr</t>
        </is>
      </c>
      <c r="H37" s="108" t="inlineStr">
        <is>
          <t>1st-yr Factor</t>
        </is>
      </c>
      <c r="I37" s="167">
        <f>EDATE(FirstFYEnd,12*0)</f>
        <v/>
      </c>
      <c r="J37" s="168">
        <f>"WDV "&amp;TEXT(EDATE(FirstFYEnd,12*0),"yyyy")</f>
        <v/>
      </c>
      <c r="K37" s="167">
        <f>EDATE(FirstFYEnd,12*1)</f>
        <v/>
      </c>
      <c r="L37" s="168">
        <f>"WDV "&amp;TEXT(EDATE(FirstFYEnd,12*1),"yyyy")</f>
        <v/>
      </c>
      <c r="M37" s="167">
        <f>EDATE(FirstFYEnd,12*2)</f>
        <v/>
      </c>
      <c r="N37" s="168">
        <f>"WDV "&amp;TEXT(EDATE(FirstFYEnd,12*2),"yyyy")</f>
        <v/>
      </c>
      <c r="O37" s="167">
        <f>EDATE(FirstFYEnd,12*3)</f>
        <v/>
      </c>
      <c r="P37" s="168">
        <f>"WDV "&amp;TEXT(EDATE(FirstFYEnd,12*3),"yyyy")</f>
        <v/>
      </c>
      <c r="Q37" s="167">
        <f>EDATE(FirstFYEnd,12*4)</f>
        <v/>
      </c>
      <c r="R37" s="168">
        <f>"WDV "&amp;TEXT(EDATE(FirstFYEnd,12*4),"yyyy")</f>
        <v/>
      </c>
      <c r="S37" s="167">
        <f>EDATE(FirstFYEnd,12*5)</f>
        <v/>
      </c>
      <c r="T37" s="168">
        <f>"WDV "&amp;TEXT(EDATE(FirstFYEnd,12*5),"yyyy")</f>
        <v/>
      </c>
      <c r="U37" s="167">
        <f>EDATE(FirstFYEnd,12*6)</f>
        <v/>
      </c>
      <c r="V37" s="168">
        <f>"WDV "&amp;TEXT(EDATE(FirstFYEnd,12*6),"yyyy")</f>
        <v/>
      </c>
      <c r="W37" s="167">
        <f>EDATE(FirstFYEnd,12*7)</f>
        <v/>
      </c>
      <c r="X37" s="168">
        <f>"WDV "&amp;TEXT(EDATE(FirstFYEnd,12*7),"yyyy")</f>
        <v/>
      </c>
      <c r="Y37" s="167">
        <f>EDATE(FirstFYEnd,12*8)</f>
        <v/>
      </c>
      <c r="Z37" s="168">
        <f>"WDV "&amp;TEXT(EDATE(FirstFYEnd,12*8),"yyyy")</f>
        <v/>
      </c>
      <c r="AA37" s="167">
        <f>EDATE(FirstFYEnd,12*9)</f>
        <v/>
      </c>
      <c r="AB37" s="168">
        <f>"WDV "&amp;TEXT(EDATE(FirstFYEnd,12*9),"yyyy")</f>
        <v/>
      </c>
      <c r="AC37" s="167">
        <f>EDATE(FirstFYEnd,12*10)</f>
        <v/>
      </c>
      <c r="AD37" s="168">
        <f>"WDV "&amp;TEXT(EDATE(FirstFYEnd,12*10),"yyyy")</f>
        <v/>
      </c>
      <c r="AE37" s="167">
        <f>EDATE(FirstFYEnd,12*11)</f>
        <v/>
      </c>
      <c r="AF37" s="168">
        <f>"WDV "&amp;TEXT(EDATE(FirstFYEnd,12*11),"yyyy")</f>
        <v/>
      </c>
      <c r="AG37" s="167">
        <f>EDATE(FirstFYEnd,12*12)</f>
        <v/>
      </c>
      <c r="AH37" s="168">
        <f>"WDV "&amp;TEXT(EDATE(FirstFYEnd,12*12),"yyyy")</f>
        <v/>
      </c>
      <c r="AI37" s="167">
        <f>EDATE(FirstFYEnd,12*13)</f>
        <v/>
      </c>
      <c r="AJ37" s="168">
        <f>"WDV "&amp;TEXT(EDATE(FirstFYEnd,12*13),"yyyy")</f>
        <v/>
      </c>
      <c r="AK37" s="167">
        <f>EDATE(FirstFYEnd,12*14)</f>
        <v/>
      </c>
      <c r="AL37" s="168">
        <f>"WDV "&amp;TEXT(EDATE(FirstFYEnd,12*14),"yyyy")</f>
        <v/>
      </c>
      <c r="AM37" s="167">
        <f>EDATE(FirstFYEnd,12*15)</f>
        <v/>
      </c>
      <c r="AN37" s="168">
        <f>"WDV "&amp;TEXT(EDATE(FirstFYEnd,12*15),"yyyy")</f>
        <v/>
      </c>
    </row>
    <row r="38">
      <c r="B38" s="126">
        <f>IF(FAR!K5="","",FAR!B5)</f>
        <v/>
      </c>
      <c r="C38" s="63">
        <f>IF(FAR!K5="","",FAR!K5)</f>
        <v/>
      </c>
      <c r="D38" s="128">
        <f>IF(FAR!H5="","",FAR!H5)</f>
        <v/>
      </c>
      <c r="E38" s="130">
        <f>IF(FAR!I5="","",FAR!I5)</f>
        <v/>
      </c>
      <c r="F38" s="169">
        <f>IF(FAR!C5="",0,IFERROR(VLOOKUP(FAR!C5,ScheduleIITable,6,FALSE),0))</f>
        <v/>
      </c>
      <c r="G38" s="129">
        <f>IF($D38="","",YEAR($D38)+IF(MONTH($D38)&gt;=4,1,0))</f>
        <v/>
      </c>
      <c r="H38" s="170">
        <f>IF($D38="","",IF((DATE($G38,3,31)-$D38+1)&gt;=180,1,0.5))</f>
        <v/>
      </c>
      <c r="I38" s="171">
        <f>IF(OR($C38="",$D38=""),0,IF(AND($E38&lt;&gt;"",$E38&lt;=I$37),0,IF((YEAR(I$37)-$G38)&lt;0,0,IF((YEAR(I$37)-$G38)=0,$C38*$F38*$H38,$C38*(1-$F38*$H38)*(1-$F38)^((YEAR(I$37)-$G38)-1)*$F38))))</f>
        <v/>
      </c>
      <c r="J38" s="172">
        <f>IF($C38="",0,IF(AND($E38&lt;&gt;"",$E38&lt;=I$37),0,IF(OR($D38="",$D38&gt;I$37),$C38,IF((YEAR(I$37)-$G38)=0,$C38*(1-$F38*$H38),$C38*(1-$F38*$H38)*(1-$F38)^(YEAR(I$37)-$G38)))))</f>
        <v/>
      </c>
      <c r="K38" s="171">
        <f>IF(OR($C38="",$D38=""),0,IF(AND($E38&lt;&gt;"",$E38&lt;=K$37),0,IF((YEAR(K$37)-$G38)&lt;0,0,IF((YEAR(K$37)-$G38)=0,$C38*$F38*$H38,$C38*(1-$F38*$H38)*(1-$F38)^((YEAR(K$37)-$G38)-1)*$F38))))</f>
        <v/>
      </c>
      <c r="L38" s="172">
        <f>IF($C38="",0,IF(AND($E38&lt;&gt;"",$E38&lt;=K$37),0,IF(OR($D38="",$D38&gt;K$37),$C38,IF((YEAR(K$37)-$G38)=0,$C38*(1-$F38*$H38),$C38*(1-$F38*$H38)*(1-$F38)^(YEAR(K$37)-$G38)))))</f>
        <v/>
      </c>
      <c r="M38" s="171">
        <f>IF(OR($C38="",$D38=""),0,IF(AND($E38&lt;&gt;"",$E38&lt;=M$37),0,IF((YEAR(M$37)-$G38)&lt;0,0,IF((YEAR(M$37)-$G38)=0,$C38*$F38*$H38,$C38*(1-$F38*$H38)*(1-$F38)^((YEAR(M$37)-$G38)-1)*$F38))))</f>
        <v/>
      </c>
      <c r="N38" s="172">
        <f>IF($C38="",0,IF(AND($E38&lt;&gt;"",$E38&lt;=M$37),0,IF(OR($D38="",$D38&gt;M$37),$C38,IF((YEAR(M$37)-$G38)=0,$C38*(1-$F38*$H38),$C38*(1-$F38*$H38)*(1-$F38)^(YEAR(M$37)-$G38)))))</f>
        <v/>
      </c>
      <c r="O38" s="171">
        <f>IF(OR($C38="",$D38=""),0,IF(AND($E38&lt;&gt;"",$E38&lt;=O$37),0,IF((YEAR(O$37)-$G38)&lt;0,0,IF((YEAR(O$37)-$G38)=0,$C38*$F38*$H38,$C38*(1-$F38*$H38)*(1-$F38)^((YEAR(O$37)-$G38)-1)*$F38))))</f>
        <v/>
      </c>
      <c r="P38" s="172">
        <f>IF($C38="",0,IF(AND($E38&lt;&gt;"",$E38&lt;=O$37),0,IF(OR($D38="",$D38&gt;O$37),$C38,IF((YEAR(O$37)-$G38)=0,$C38*(1-$F38*$H38),$C38*(1-$F38*$H38)*(1-$F38)^(YEAR(O$37)-$G38)))))</f>
        <v/>
      </c>
      <c r="Q38" s="171">
        <f>IF(OR($C38="",$D38=""),0,IF(AND($E38&lt;&gt;"",$E38&lt;=Q$37),0,IF((YEAR(Q$37)-$G38)&lt;0,0,IF((YEAR(Q$37)-$G38)=0,$C38*$F38*$H38,$C38*(1-$F38*$H38)*(1-$F38)^((YEAR(Q$37)-$G38)-1)*$F38))))</f>
        <v/>
      </c>
      <c r="R38" s="172">
        <f>IF($C38="",0,IF(AND($E38&lt;&gt;"",$E38&lt;=Q$37),0,IF(OR($D38="",$D38&gt;Q$37),$C38,IF((YEAR(Q$37)-$G38)=0,$C38*(1-$F38*$H38),$C38*(1-$F38*$H38)*(1-$F38)^(YEAR(Q$37)-$G38)))))</f>
        <v/>
      </c>
      <c r="S38" s="171">
        <f>IF(OR($C38="",$D38=""),0,IF(AND($E38&lt;&gt;"",$E38&lt;=S$37),0,IF((YEAR(S$37)-$G38)&lt;0,0,IF((YEAR(S$37)-$G38)=0,$C38*$F38*$H38,$C38*(1-$F38*$H38)*(1-$F38)^((YEAR(S$37)-$G38)-1)*$F38))))</f>
        <v/>
      </c>
      <c r="T38" s="172">
        <f>IF($C38="",0,IF(AND($E38&lt;&gt;"",$E38&lt;=S$37),0,IF(OR($D38="",$D38&gt;S$37),$C38,IF((YEAR(S$37)-$G38)=0,$C38*(1-$F38*$H38),$C38*(1-$F38*$H38)*(1-$F38)^(YEAR(S$37)-$G38)))))</f>
        <v/>
      </c>
      <c r="U38" s="171">
        <f>IF(OR($C38="",$D38=""),0,IF(AND($E38&lt;&gt;"",$E38&lt;=U$37),0,IF((YEAR(U$37)-$G38)&lt;0,0,IF((YEAR(U$37)-$G38)=0,$C38*$F38*$H38,$C38*(1-$F38*$H38)*(1-$F38)^((YEAR(U$37)-$G38)-1)*$F38))))</f>
        <v/>
      </c>
      <c r="V38" s="172">
        <f>IF($C38="",0,IF(AND($E38&lt;&gt;"",$E38&lt;=U$37),0,IF(OR($D38="",$D38&gt;U$37),$C38,IF((YEAR(U$37)-$G38)=0,$C38*(1-$F38*$H38),$C38*(1-$F38*$H38)*(1-$F38)^(YEAR(U$37)-$G38)))))</f>
        <v/>
      </c>
      <c r="W38" s="171">
        <f>IF(OR($C38="",$D38=""),0,IF(AND($E38&lt;&gt;"",$E38&lt;=W$37),0,IF((YEAR(W$37)-$G38)&lt;0,0,IF((YEAR(W$37)-$G38)=0,$C38*$F38*$H38,$C38*(1-$F38*$H38)*(1-$F38)^((YEAR(W$37)-$G38)-1)*$F38))))</f>
        <v/>
      </c>
      <c r="X38" s="172">
        <f>IF($C38="",0,IF(AND($E38&lt;&gt;"",$E38&lt;=W$37),0,IF(OR($D38="",$D38&gt;W$37),$C38,IF((YEAR(W$37)-$G38)=0,$C38*(1-$F38*$H38),$C38*(1-$F38*$H38)*(1-$F38)^(YEAR(W$37)-$G38)))))</f>
        <v/>
      </c>
      <c r="Y38" s="171">
        <f>IF(OR($C38="",$D38=""),0,IF(AND($E38&lt;&gt;"",$E38&lt;=Y$37),0,IF((YEAR(Y$37)-$G38)&lt;0,0,IF((YEAR(Y$37)-$G38)=0,$C38*$F38*$H38,$C38*(1-$F38*$H38)*(1-$F38)^((YEAR(Y$37)-$G38)-1)*$F38))))</f>
        <v/>
      </c>
      <c r="Z38" s="172">
        <f>IF($C38="",0,IF(AND($E38&lt;&gt;"",$E38&lt;=Y$37),0,IF(OR($D38="",$D38&gt;Y$37),$C38,IF((YEAR(Y$37)-$G38)=0,$C38*(1-$F38*$H38),$C38*(1-$F38*$H38)*(1-$F38)^(YEAR(Y$37)-$G38)))))</f>
        <v/>
      </c>
      <c r="AA38" s="171">
        <f>IF(OR($C38="",$D38=""),0,IF(AND($E38&lt;&gt;"",$E38&lt;=AA$37),0,IF((YEAR(AA$37)-$G38)&lt;0,0,IF((YEAR(AA$37)-$G38)=0,$C38*$F38*$H38,$C38*(1-$F38*$H38)*(1-$F38)^((YEAR(AA$37)-$G38)-1)*$F38))))</f>
        <v/>
      </c>
      <c r="AB38" s="172">
        <f>IF($C38="",0,IF(AND($E38&lt;&gt;"",$E38&lt;=AA$37),0,IF(OR($D38="",$D38&gt;AA$37),$C38,IF((YEAR(AA$37)-$G38)=0,$C38*(1-$F38*$H38),$C38*(1-$F38*$H38)*(1-$F38)^(YEAR(AA$37)-$G38)))))</f>
        <v/>
      </c>
      <c r="AC38" s="171">
        <f>IF(OR($C38="",$D38=""),0,IF(AND($E38&lt;&gt;"",$E38&lt;=AC$37),0,IF((YEAR(AC$37)-$G38)&lt;0,0,IF((YEAR(AC$37)-$G38)=0,$C38*$F38*$H38,$C38*(1-$F38*$H38)*(1-$F38)^((YEAR(AC$37)-$G38)-1)*$F38))))</f>
        <v/>
      </c>
      <c r="AD38" s="172">
        <f>IF($C38="",0,IF(AND($E38&lt;&gt;"",$E38&lt;=AC$37),0,IF(OR($D38="",$D38&gt;AC$37),$C38,IF((YEAR(AC$37)-$G38)=0,$C38*(1-$F38*$H38),$C38*(1-$F38*$H38)*(1-$F38)^(YEAR(AC$37)-$G38)))))</f>
        <v/>
      </c>
      <c r="AE38" s="171">
        <f>IF(OR($C38="",$D38=""),0,IF(AND($E38&lt;&gt;"",$E38&lt;=AE$37),0,IF((YEAR(AE$37)-$G38)&lt;0,0,IF((YEAR(AE$37)-$G38)=0,$C38*$F38*$H38,$C38*(1-$F38*$H38)*(1-$F38)^((YEAR(AE$37)-$G38)-1)*$F38))))</f>
        <v/>
      </c>
      <c r="AF38" s="172">
        <f>IF($C38="",0,IF(AND($E38&lt;&gt;"",$E38&lt;=AE$37),0,IF(OR($D38="",$D38&gt;AE$37),$C38,IF((YEAR(AE$37)-$G38)=0,$C38*(1-$F38*$H38),$C38*(1-$F38*$H38)*(1-$F38)^(YEAR(AE$37)-$G38)))))</f>
        <v/>
      </c>
      <c r="AG38" s="171">
        <f>IF(OR($C38="",$D38=""),0,IF(AND($E38&lt;&gt;"",$E38&lt;=AG$37),0,IF((YEAR(AG$37)-$G38)&lt;0,0,IF((YEAR(AG$37)-$G38)=0,$C38*$F38*$H38,$C38*(1-$F38*$H38)*(1-$F38)^((YEAR(AG$37)-$G38)-1)*$F38))))</f>
        <v/>
      </c>
      <c r="AH38" s="172">
        <f>IF($C38="",0,IF(AND($E38&lt;&gt;"",$E38&lt;=AG$37),0,IF(OR($D38="",$D38&gt;AG$37),$C38,IF((YEAR(AG$37)-$G38)=0,$C38*(1-$F38*$H38),$C38*(1-$F38*$H38)*(1-$F38)^(YEAR(AG$37)-$G38)))))</f>
        <v/>
      </c>
      <c r="AI38" s="171">
        <f>IF(OR($C38="",$D38=""),0,IF(AND($E38&lt;&gt;"",$E38&lt;=AI$37),0,IF((YEAR(AI$37)-$G38)&lt;0,0,IF((YEAR(AI$37)-$G38)=0,$C38*$F38*$H38,$C38*(1-$F38*$H38)*(1-$F38)^((YEAR(AI$37)-$G38)-1)*$F38))))</f>
        <v/>
      </c>
      <c r="AJ38" s="172">
        <f>IF($C38="",0,IF(AND($E38&lt;&gt;"",$E38&lt;=AI$37),0,IF(OR($D38="",$D38&gt;AI$37),$C38,IF((YEAR(AI$37)-$G38)=0,$C38*(1-$F38*$H38),$C38*(1-$F38*$H38)*(1-$F38)^(YEAR(AI$37)-$G38)))))</f>
        <v/>
      </c>
      <c r="AK38" s="171">
        <f>IF(OR($C38="",$D38=""),0,IF(AND($E38&lt;&gt;"",$E38&lt;=AK$37),0,IF((YEAR(AK$37)-$G38)&lt;0,0,IF((YEAR(AK$37)-$G38)=0,$C38*$F38*$H38,$C38*(1-$F38*$H38)*(1-$F38)^((YEAR(AK$37)-$G38)-1)*$F38))))</f>
        <v/>
      </c>
      <c r="AL38" s="172">
        <f>IF($C38="",0,IF(AND($E38&lt;&gt;"",$E38&lt;=AK$37),0,IF(OR($D38="",$D38&gt;AK$37),$C38,IF((YEAR(AK$37)-$G38)=0,$C38*(1-$F38*$H38),$C38*(1-$F38*$H38)*(1-$F38)^(YEAR(AK$37)-$G38)))))</f>
        <v/>
      </c>
      <c r="AM38" s="171">
        <f>IF(OR($C38="",$D38=""),0,IF(AND($E38&lt;&gt;"",$E38&lt;=AM$37),0,IF((YEAR(AM$37)-$G38)&lt;0,0,IF((YEAR(AM$37)-$G38)=0,$C38*$F38*$H38,$C38*(1-$F38*$H38)*(1-$F38)^((YEAR(AM$37)-$G38)-1)*$F38))))</f>
        <v/>
      </c>
      <c r="AN38" s="172">
        <f>IF($C38="",0,IF(AND($E38&lt;&gt;"",$E38&lt;=AM$37),0,IF(OR($D38="",$D38&gt;AM$37),$C38,IF((YEAR(AM$37)-$G38)=0,$C38*(1-$F38*$H38),$C38*(1-$F38*$H38)*(1-$F38)^(YEAR(AM$37)-$G38)))))</f>
        <v/>
      </c>
    </row>
    <row r="39">
      <c r="B39" s="132">
        <f>IF(FAR!K6="","",FAR!B6)</f>
        <v/>
      </c>
      <c r="C39" s="81">
        <f>IF(FAR!K6="","",FAR!K6)</f>
        <v/>
      </c>
      <c r="D39" s="134">
        <f>IF(FAR!H6="","",FAR!H6)</f>
        <v/>
      </c>
      <c r="E39" s="136">
        <f>IF(FAR!I6="","",FAR!I6)</f>
        <v/>
      </c>
      <c r="F39" s="173">
        <f>IF(FAR!C6="",0,IFERROR(VLOOKUP(FAR!C6,ScheduleIITable,6,FALSE),0))</f>
        <v/>
      </c>
      <c r="G39" s="135">
        <f>IF($D39="","",YEAR($D39)+IF(MONTH($D39)&gt;=4,1,0))</f>
        <v/>
      </c>
      <c r="H39" s="174">
        <f>IF($D39="","",IF((DATE($G39,3,31)-$D39+1)&gt;=180,1,0.5))</f>
        <v/>
      </c>
      <c r="I39" s="175">
        <f>IF(OR($C39="",$D39=""),0,IF(AND($E39&lt;&gt;"",$E39&lt;=I$37),0,IF((YEAR(I$37)-$G39)&lt;0,0,IF((YEAR(I$37)-$G39)=0,$C39*$F39*$H39,$C39*(1-$F39*$H39)*(1-$F39)^((YEAR(I$37)-$G39)-1)*$F39))))</f>
        <v/>
      </c>
      <c r="J39" s="175">
        <f>IF($C39="",0,IF(AND($E39&lt;&gt;"",$E39&lt;=I$37),0,IF(OR($D39="",$D39&gt;I$37),$C39,IF((YEAR(I$37)-$G39)=0,$C39*(1-$F39*$H39),$C39*(1-$F39*$H39)*(1-$F39)^(YEAR(I$37)-$G39)))))</f>
        <v/>
      </c>
      <c r="K39" s="175">
        <f>IF(OR($C39="",$D39=""),0,IF(AND($E39&lt;&gt;"",$E39&lt;=K$37),0,IF((YEAR(K$37)-$G39)&lt;0,0,IF((YEAR(K$37)-$G39)=0,$C39*$F39*$H39,$C39*(1-$F39*$H39)*(1-$F39)^((YEAR(K$37)-$G39)-1)*$F39))))</f>
        <v/>
      </c>
      <c r="L39" s="175">
        <f>IF($C39="",0,IF(AND($E39&lt;&gt;"",$E39&lt;=K$37),0,IF(OR($D39="",$D39&gt;K$37),$C39,IF((YEAR(K$37)-$G39)=0,$C39*(1-$F39*$H39),$C39*(1-$F39*$H39)*(1-$F39)^(YEAR(K$37)-$G39)))))</f>
        <v/>
      </c>
      <c r="M39" s="175">
        <f>IF(OR($C39="",$D39=""),0,IF(AND($E39&lt;&gt;"",$E39&lt;=M$37),0,IF((YEAR(M$37)-$G39)&lt;0,0,IF((YEAR(M$37)-$G39)=0,$C39*$F39*$H39,$C39*(1-$F39*$H39)*(1-$F39)^((YEAR(M$37)-$G39)-1)*$F39))))</f>
        <v/>
      </c>
      <c r="N39" s="175">
        <f>IF($C39="",0,IF(AND($E39&lt;&gt;"",$E39&lt;=M$37),0,IF(OR($D39="",$D39&gt;M$37),$C39,IF((YEAR(M$37)-$G39)=0,$C39*(1-$F39*$H39),$C39*(1-$F39*$H39)*(1-$F39)^(YEAR(M$37)-$G39)))))</f>
        <v/>
      </c>
      <c r="O39" s="175">
        <f>IF(OR($C39="",$D39=""),0,IF(AND($E39&lt;&gt;"",$E39&lt;=O$37),0,IF((YEAR(O$37)-$G39)&lt;0,0,IF((YEAR(O$37)-$G39)=0,$C39*$F39*$H39,$C39*(1-$F39*$H39)*(1-$F39)^((YEAR(O$37)-$G39)-1)*$F39))))</f>
        <v/>
      </c>
      <c r="P39" s="175">
        <f>IF($C39="",0,IF(AND($E39&lt;&gt;"",$E39&lt;=O$37),0,IF(OR($D39="",$D39&gt;O$37),$C39,IF((YEAR(O$37)-$G39)=0,$C39*(1-$F39*$H39),$C39*(1-$F39*$H39)*(1-$F39)^(YEAR(O$37)-$G39)))))</f>
        <v/>
      </c>
      <c r="Q39" s="175">
        <f>IF(OR($C39="",$D39=""),0,IF(AND($E39&lt;&gt;"",$E39&lt;=Q$37),0,IF((YEAR(Q$37)-$G39)&lt;0,0,IF((YEAR(Q$37)-$G39)=0,$C39*$F39*$H39,$C39*(1-$F39*$H39)*(1-$F39)^((YEAR(Q$37)-$G39)-1)*$F39))))</f>
        <v/>
      </c>
      <c r="R39" s="175">
        <f>IF($C39="",0,IF(AND($E39&lt;&gt;"",$E39&lt;=Q$37),0,IF(OR($D39="",$D39&gt;Q$37),$C39,IF((YEAR(Q$37)-$G39)=0,$C39*(1-$F39*$H39),$C39*(1-$F39*$H39)*(1-$F39)^(YEAR(Q$37)-$G39)))))</f>
        <v/>
      </c>
      <c r="S39" s="175">
        <f>IF(OR($C39="",$D39=""),0,IF(AND($E39&lt;&gt;"",$E39&lt;=S$37),0,IF((YEAR(S$37)-$G39)&lt;0,0,IF((YEAR(S$37)-$G39)=0,$C39*$F39*$H39,$C39*(1-$F39*$H39)*(1-$F39)^((YEAR(S$37)-$G39)-1)*$F39))))</f>
        <v/>
      </c>
      <c r="T39" s="175">
        <f>IF($C39="",0,IF(AND($E39&lt;&gt;"",$E39&lt;=S$37),0,IF(OR($D39="",$D39&gt;S$37),$C39,IF((YEAR(S$37)-$G39)=0,$C39*(1-$F39*$H39),$C39*(1-$F39*$H39)*(1-$F39)^(YEAR(S$37)-$G39)))))</f>
        <v/>
      </c>
      <c r="U39" s="175">
        <f>IF(OR($C39="",$D39=""),0,IF(AND($E39&lt;&gt;"",$E39&lt;=U$37),0,IF((YEAR(U$37)-$G39)&lt;0,0,IF((YEAR(U$37)-$G39)=0,$C39*$F39*$H39,$C39*(1-$F39*$H39)*(1-$F39)^((YEAR(U$37)-$G39)-1)*$F39))))</f>
        <v/>
      </c>
      <c r="V39" s="175">
        <f>IF($C39="",0,IF(AND($E39&lt;&gt;"",$E39&lt;=U$37),0,IF(OR($D39="",$D39&gt;U$37),$C39,IF((YEAR(U$37)-$G39)=0,$C39*(1-$F39*$H39),$C39*(1-$F39*$H39)*(1-$F39)^(YEAR(U$37)-$G39)))))</f>
        <v/>
      </c>
      <c r="W39" s="175">
        <f>IF(OR($C39="",$D39=""),0,IF(AND($E39&lt;&gt;"",$E39&lt;=W$37),0,IF((YEAR(W$37)-$G39)&lt;0,0,IF((YEAR(W$37)-$G39)=0,$C39*$F39*$H39,$C39*(1-$F39*$H39)*(1-$F39)^((YEAR(W$37)-$G39)-1)*$F39))))</f>
        <v/>
      </c>
      <c r="X39" s="175">
        <f>IF($C39="",0,IF(AND($E39&lt;&gt;"",$E39&lt;=W$37),0,IF(OR($D39="",$D39&gt;W$37),$C39,IF((YEAR(W$37)-$G39)=0,$C39*(1-$F39*$H39),$C39*(1-$F39*$H39)*(1-$F39)^(YEAR(W$37)-$G39)))))</f>
        <v/>
      </c>
      <c r="Y39" s="175">
        <f>IF(OR($C39="",$D39=""),0,IF(AND($E39&lt;&gt;"",$E39&lt;=Y$37),0,IF((YEAR(Y$37)-$G39)&lt;0,0,IF((YEAR(Y$37)-$G39)=0,$C39*$F39*$H39,$C39*(1-$F39*$H39)*(1-$F39)^((YEAR(Y$37)-$G39)-1)*$F39))))</f>
        <v/>
      </c>
      <c r="Z39" s="175">
        <f>IF($C39="",0,IF(AND($E39&lt;&gt;"",$E39&lt;=Y$37),0,IF(OR($D39="",$D39&gt;Y$37),$C39,IF((YEAR(Y$37)-$G39)=0,$C39*(1-$F39*$H39),$C39*(1-$F39*$H39)*(1-$F39)^(YEAR(Y$37)-$G39)))))</f>
        <v/>
      </c>
      <c r="AA39" s="175">
        <f>IF(OR($C39="",$D39=""),0,IF(AND($E39&lt;&gt;"",$E39&lt;=AA$37),0,IF((YEAR(AA$37)-$G39)&lt;0,0,IF((YEAR(AA$37)-$G39)=0,$C39*$F39*$H39,$C39*(1-$F39*$H39)*(1-$F39)^((YEAR(AA$37)-$G39)-1)*$F39))))</f>
        <v/>
      </c>
      <c r="AB39" s="175">
        <f>IF($C39="",0,IF(AND($E39&lt;&gt;"",$E39&lt;=AA$37),0,IF(OR($D39="",$D39&gt;AA$37),$C39,IF((YEAR(AA$37)-$G39)=0,$C39*(1-$F39*$H39),$C39*(1-$F39*$H39)*(1-$F39)^(YEAR(AA$37)-$G39)))))</f>
        <v/>
      </c>
      <c r="AC39" s="175">
        <f>IF(OR($C39="",$D39=""),0,IF(AND($E39&lt;&gt;"",$E39&lt;=AC$37),0,IF((YEAR(AC$37)-$G39)&lt;0,0,IF((YEAR(AC$37)-$G39)=0,$C39*$F39*$H39,$C39*(1-$F39*$H39)*(1-$F39)^((YEAR(AC$37)-$G39)-1)*$F39))))</f>
        <v/>
      </c>
      <c r="AD39" s="175">
        <f>IF($C39="",0,IF(AND($E39&lt;&gt;"",$E39&lt;=AC$37),0,IF(OR($D39="",$D39&gt;AC$37),$C39,IF((YEAR(AC$37)-$G39)=0,$C39*(1-$F39*$H39),$C39*(1-$F39*$H39)*(1-$F39)^(YEAR(AC$37)-$G39)))))</f>
        <v/>
      </c>
      <c r="AE39" s="175">
        <f>IF(OR($C39="",$D39=""),0,IF(AND($E39&lt;&gt;"",$E39&lt;=AE$37),0,IF((YEAR(AE$37)-$G39)&lt;0,0,IF((YEAR(AE$37)-$G39)=0,$C39*$F39*$H39,$C39*(1-$F39*$H39)*(1-$F39)^((YEAR(AE$37)-$G39)-1)*$F39))))</f>
        <v/>
      </c>
      <c r="AF39" s="175">
        <f>IF($C39="",0,IF(AND($E39&lt;&gt;"",$E39&lt;=AE$37),0,IF(OR($D39="",$D39&gt;AE$37),$C39,IF((YEAR(AE$37)-$G39)=0,$C39*(1-$F39*$H39),$C39*(1-$F39*$H39)*(1-$F39)^(YEAR(AE$37)-$G39)))))</f>
        <v/>
      </c>
      <c r="AG39" s="175">
        <f>IF(OR($C39="",$D39=""),0,IF(AND($E39&lt;&gt;"",$E39&lt;=AG$37),0,IF((YEAR(AG$37)-$G39)&lt;0,0,IF((YEAR(AG$37)-$G39)=0,$C39*$F39*$H39,$C39*(1-$F39*$H39)*(1-$F39)^((YEAR(AG$37)-$G39)-1)*$F39))))</f>
        <v/>
      </c>
      <c r="AH39" s="175">
        <f>IF($C39="",0,IF(AND($E39&lt;&gt;"",$E39&lt;=AG$37),0,IF(OR($D39="",$D39&gt;AG$37),$C39,IF((YEAR(AG$37)-$G39)=0,$C39*(1-$F39*$H39),$C39*(1-$F39*$H39)*(1-$F39)^(YEAR(AG$37)-$G39)))))</f>
        <v/>
      </c>
      <c r="AI39" s="175">
        <f>IF(OR($C39="",$D39=""),0,IF(AND($E39&lt;&gt;"",$E39&lt;=AI$37),0,IF((YEAR(AI$37)-$G39)&lt;0,0,IF((YEAR(AI$37)-$G39)=0,$C39*$F39*$H39,$C39*(1-$F39*$H39)*(1-$F39)^((YEAR(AI$37)-$G39)-1)*$F39))))</f>
        <v/>
      </c>
      <c r="AJ39" s="175">
        <f>IF($C39="",0,IF(AND($E39&lt;&gt;"",$E39&lt;=AI$37),0,IF(OR($D39="",$D39&gt;AI$37),$C39,IF((YEAR(AI$37)-$G39)=0,$C39*(1-$F39*$H39),$C39*(1-$F39*$H39)*(1-$F39)^(YEAR(AI$37)-$G39)))))</f>
        <v/>
      </c>
      <c r="AK39" s="175">
        <f>IF(OR($C39="",$D39=""),0,IF(AND($E39&lt;&gt;"",$E39&lt;=AK$37),0,IF((YEAR(AK$37)-$G39)&lt;0,0,IF((YEAR(AK$37)-$G39)=0,$C39*$F39*$H39,$C39*(1-$F39*$H39)*(1-$F39)^((YEAR(AK$37)-$G39)-1)*$F39))))</f>
        <v/>
      </c>
      <c r="AL39" s="175">
        <f>IF($C39="",0,IF(AND($E39&lt;&gt;"",$E39&lt;=AK$37),0,IF(OR($D39="",$D39&gt;AK$37),$C39,IF((YEAR(AK$37)-$G39)=0,$C39*(1-$F39*$H39),$C39*(1-$F39*$H39)*(1-$F39)^(YEAR(AK$37)-$G39)))))</f>
        <v/>
      </c>
      <c r="AM39" s="175">
        <f>IF(OR($C39="",$D39=""),0,IF(AND($E39&lt;&gt;"",$E39&lt;=AM$37),0,IF((YEAR(AM$37)-$G39)&lt;0,0,IF((YEAR(AM$37)-$G39)=0,$C39*$F39*$H39,$C39*(1-$F39*$H39)*(1-$F39)^((YEAR(AM$37)-$G39)-1)*$F39))))</f>
        <v/>
      </c>
      <c r="AN39" s="175">
        <f>IF($C39="",0,IF(AND($E39&lt;&gt;"",$E39&lt;=AM$37),0,IF(OR($D39="",$D39&gt;AM$37),$C39,IF((YEAR(AM$37)-$G39)=0,$C39*(1-$F39*$H39),$C39*(1-$F39*$H39)*(1-$F39)^(YEAR(AM$37)-$G39)))))</f>
        <v/>
      </c>
    </row>
    <row r="40">
      <c r="B40" s="126">
        <f>IF(FAR!K7="","",FAR!B7)</f>
        <v/>
      </c>
      <c r="C40" s="63">
        <f>IF(FAR!K7="","",FAR!K7)</f>
        <v/>
      </c>
      <c r="D40" s="128">
        <f>IF(FAR!H7="","",FAR!H7)</f>
        <v/>
      </c>
      <c r="E40" s="130">
        <f>IF(FAR!I7="","",FAR!I7)</f>
        <v/>
      </c>
      <c r="F40" s="169">
        <f>IF(FAR!C7="",0,IFERROR(VLOOKUP(FAR!C7,ScheduleIITable,6,FALSE),0))</f>
        <v/>
      </c>
      <c r="G40" s="129">
        <f>IF($D40="","",YEAR($D40)+IF(MONTH($D40)&gt;=4,1,0))</f>
        <v/>
      </c>
      <c r="H40" s="170">
        <f>IF($D40="","",IF((DATE($G40,3,31)-$D40+1)&gt;=180,1,0.5))</f>
        <v/>
      </c>
      <c r="I40" s="171">
        <f>IF(OR($C40="",$D40=""),0,IF(AND($E40&lt;&gt;"",$E40&lt;=I$37),0,IF((YEAR(I$37)-$G40)&lt;0,0,IF((YEAR(I$37)-$G40)=0,$C40*$F40*$H40,$C40*(1-$F40*$H40)*(1-$F40)^((YEAR(I$37)-$G40)-1)*$F40))))</f>
        <v/>
      </c>
      <c r="J40" s="172">
        <f>IF($C40="",0,IF(AND($E40&lt;&gt;"",$E40&lt;=I$37),0,IF(OR($D40="",$D40&gt;I$37),$C40,IF((YEAR(I$37)-$G40)=0,$C40*(1-$F40*$H40),$C40*(1-$F40*$H40)*(1-$F40)^(YEAR(I$37)-$G40)))))</f>
        <v/>
      </c>
      <c r="K40" s="171">
        <f>IF(OR($C40="",$D40=""),0,IF(AND($E40&lt;&gt;"",$E40&lt;=K$37),0,IF((YEAR(K$37)-$G40)&lt;0,0,IF((YEAR(K$37)-$G40)=0,$C40*$F40*$H40,$C40*(1-$F40*$H40)*(1-$F40)^((YEAR(K$37)-$G40)-1)*$F40))))</f>
        <v/>
      </c>
      <c r="L40" s="172">
        <f>IF($C40="",0,IF(AND($E40&lt;&gt;"",$E40&lt;=K$37),0,IF(OR($D40="",$D40&gt;K$37),$C40,IF((YEAR(K$37)-$G40)=0,$C40*(1-$F40*$H40),$C40*(1-$F40*$H40)*(1-$F40)^(YEAR(K$37)-$G40)))))</f>
        <v/>
      </c>
      <c r="M40" s="171">
        <f>IF(OR($C40="",$D40=""),0,IF(AND($E40&lt;&gt;"",$E40&lt;=M$37),0,IF((YEAR(M$37)-$G40)&lt;0,0,IF((YEAR(M$37)-$G40)=0,$C40*$F40*$H40,$C40*(1-$F40*$H40)*(1-$F40)^((YEAR(M$37)-$G40)-1)*$F40))))</f>
        <v/>
      </c>
      <c r="N40" s="172">
        <f>IF($C40="",0,IF(AND($E40&lt;&gt;"",$E40&lt;=M$37),0,IF(OR($D40="",$D40&gt;M$37),$C40,IF((YEAR(M$37)-$G40)=0,$C40*(1-$F40*$H40),$C40*(1-$F40*$H40)*(1-$F40)^(YEAR(M$37)-$G40)))))</f>
        <v/>
      </c>
      <c r="O40" s="171">
        <f>IF(OR($C40="",$D40=""),0,IF(AND($E40&lt;&gt;"",$E40&lt;=O$37),0,IF((YEAR(O$37)-$G40)&lt;0,0,IF((YEAR(O$37)-$G40)=0,$C40*$F40*$H40,$C40*(1-$F40*$H40)*(1-$F40)^((YEAR(O$37)-$G40)-1)*$F40))))</f>
        <v/>
      </c>
      <c r="P40" s="172">
        <f>IF($C40="",0,IF(AND($E40&lt;&gt;"",$E40&lt;=O$37),0,IF(OR($D40="",$D40&gt;O$37),$C40,IF((YEAR(O$37)-$G40)=0,$C40*(1-$F40*$H40),$C40*(1-$F40*$H40)*(1-$F40)^(YEAR(O$37)-$G40)))))</f>
        <v/>
      </c>
      <c r="Q40" s="171">
        <f>IF(OR($C40="",$D40=""),0,IF(AND($E40&lt;&gt;"",$E40&lt;=Q$37),0,IF((YEAR(Q$37)-$G40)&lt;0,0,IF((YEAR(Q$37)-$G40)=0,$C40*$F40*$H40,$C40*(1-$F40*$H40)*(1-$F40)^((YEAR(Q$37)-$G40)-1)*$F40))))</f>
        <v/>
      </c>
      <c r="R40" s="172">
        <f>IF($C40="",0,IF(AND($E40&lt;&gt;"",$E40&lt;=Q$37),0,IF(OR($D40="",$D40&gt;Q$37),$C40,IF((YEAR(Q$37)-$G40)=0,$C40*(1-$F40*$H40),$C40*(1-$F40*$H40)*(1-$F40)^(YEAR(Q$37)-$G40)))))</f>
        <v/>
      </c>
      <c r="S40" s="171">
        <f>IF(OR($C40="",$D40=""),0,IF(AND($E40&lt;&gt;"",$E40&lt;=S$37),0,IF((YEAR(S$37)-$G40)&lt;0,0,IF((YEAR(S$37)-$G40)=0,$C40*$F40*$H40,$C40*(1-$F40*$H40)*(1-$F40)^((YEAR(S$37)-$G40)-1)*$F40))))</f>
        <v/>
      </c>
      <c r="T40" s="172">
        <f>IF($C40="",0,IF(AND($E40&lt;&gt;"",$E40&lt;=S$37),0,IF(OR($D40="",$D40&gt;S$37),$C40,IF((YEAR(S$37)-$G40)=0,$C40*(1-$F40*$H40),$C40*(1-$F40*$H40)*(1-$F40)^(YEAR(S$37)-$G40)))))</f>
        <v/>
      </c>
      <c r="U40" s="171">
        <f>IF(OR($C40="",$D40=""),0,IF(AND($E40&lt;&gt;"",$E40&lt;=U$37),0,IF((YEAR(U$37)-$G40)&lt;0,0,IF((YEAR(U$37)-$G40)=0,$C40*$F40*$H40,$C40*(1-$F40*$H40)*(1-$F40)^((YEAR(U$37)-$G40)-1)*$F40))))</f>
        <v/>
      </c>
      <c r="V40" s="172">
        <f>IF($C40="",0,IF(AND($E40&lt;&gt;"",$E40&lt;=U$37),0,IF(OR($D40="",$D40&gt;U$37),$C40,IF((YEAR(U$37)-$G40)=0,$C40*(1-$F40*$H40),$C40*(1-$F40*$H40)*(1-$F40)^(YEAR(U$37)-$G40)))))</f>
        <v/>
      </c>
      <c r="W40" s="171">
        <f>IF(OR($C40="",$D40=""),0,IF(AND($E40&lt;&gt;"",$E40&lt;=W$37),0,IF((YEAR(W$37)-$G40)&lt;0,0,IF((YEAR(W$37)-$G40)=0,$C40*$F40*$H40,$C40*(1-$F40*$H40)*(1-$F40)^((YEAR(W$37)-$G40)-1)*$F40))))</f>
        <v/>
      </c>
      <c r="X40" s="172">
        <f>IF($C40="",0,IF(AND($E40&lt;&gt;"",$E40&lt;=W$37),0,IF(OR($D40="",$D40&gt;W$37),$C40,IF((YEAR(W$37)-$G40)=0,$C40*(1-$F40*$H40),$C40*(1-$F40*$H40)*(1-$F40)^(YEAR(W$37)-$G40)))))</f>
        <v/>
      </c>
      <c r="Y40" s="171">
        <f>IF(OR($C40="",$D40=""),0,IF(AND($E40&lt;&gt;"",$E40&lt;=Y$37),0,IF((YEAR(Y$37)-$G40)&lt;0,0,IF((YEAR(Y$37)-$G40)=0,$C40*$F40*$H40,$C40*(1-$F40*$H40)*(1-$F40)^((YEAR(Y$37)-$G40)-1)*$F40))))</f>
        <v/>
      </c>
      <c r="Z40" s="172">
        <f>IF($C40="",0,IF(AND($E40&lt;&gt;"",$E40&lt;=Y$37),0,IF(OR($D40="",$D40&gt;Y$37),$C40,IF((YEAR(Y$37)-$G40)=0,$C40*(1-$F40*$H40),$C40*(1-$F40*$H40)*(1-$F40)^(YEAR(Y$37)-$G40)))))</f>
        <v/>
      </c>
      <c r="AA40" s="171">
        <f>IF(OR($C40="",$D40=""),0,IF(AND($E40&lt;&gt;"",$E40&lt;=AA$37),0,IF((YEAR(AA$37)-$G40)&lt;0,0,IF((YEAR(AA$37)-$G40)=0,$C40*$F40*$H40,$C40*(1-$F40*$H40)*(1-$F40)^((YEAR(AA$37)-$G40)-1)*$F40))))</f>
        <v/>
      </c>
      <c r="AB40" s="172">
        <f>IF($C40="",0,IF(AND($E40&lt;&gt;"",$E40&lt;=AA$37),0,IF(OR($D40="",$D40&gt;AA$37),$C40,IF((YEAR(AA$37)-$G40)=0,$C40*(1-$F40*$H40),$C40*(1-$F40*$H40)*(1-$F40)^(YEAR(AA$37)-$G40)))))</f>
        <v/>
      </c>
      <c r="AC40" s="171">
        <f>IF(OR($C40="",$D40=""),0,IF(AND($E40&lt;&gt;"",$E40&lt;=AC$37),0,IF((YEAR(AC$37)-$G40)&lt;0,0,IF((YEAR(AC$37)-$G40)=0,$C40*$F40*$H40,$C40*(1-$F40*$H40)*(1-$F40)^((YEAR(AC$37)-$G40)-1)*$F40))))</f>
        <v/>
      </c>
      <c r="AD40" s="172">
        <f>IF($C40="",0,IF(AND($E40&lt;&gt;"",$E40&lt;=AC$37),0,IF(OR($D40="",$D40&gt;AC$37),$C40,IF((YEAR(AC$37)-$G40)=0,$C40*(1-$F40*$H40),$C40*(1-$F40*$H40)*(1-$F40)^(YEAR(AC$37)-$G40)))))</f>
        <v/>
      </c>
      <c r="AE40" s="171">
        <f>IF(OR($C40="",$D40=""),0,IF(AND($E40&lt;&gt;"",$E40&lt;=AE$37),0,IF((YEAR(AE$37)-$G40)&lt;0,0,IF((YEAR(AE$37)-$G40)=0,$C40*$F40*$H40,$C40*(1-$F40*$H40)*(1-$F40)^((YEAR(AE$37)-$G40)-1)*$F40))))</f>
        <v/>
      </c>
      <c r="AF40" s="172">
        <f>IF($C40="",0,IF(AND($E40&lt;&gt;"",$E40&lt;=AE$37),0,IF(OR($D40="",$D40&gt;AE$37),$C40,IF((YEAR(AE$37)-$G40)=0,$C40*(1-$F40*$H40),$C40*(1-$F40*$H40)*(1-$F40)^(YEAR(AE$37)-$G40)))))</f>
        <v/>
      </c>
      <c r="AG40" s="171">
        <f>IF(OR($C40="",$D40=""),0,IF(AND($E40&lt;&gt;"",$E40&lt;=AG$37),0,IF((YEAR(AG$37)-$G40)&lt;0,0,IF((YEAR(AG$37)-$G40)=0,$C40*$F40*$H40,$C40*(1-$F40*$H40)*(1-$F40)^((YEAR(AG$37)-$G40)-1)*$F40))))</f>
        <v/>
      </c>
      <c r="AH40" s="172">
        <f>IF($C40="",0,IF(AND($E40&lt;&gt;"",$E40&lt;=AG$37),0,IF(OR($D40="",$D40&gt;AG$37),$C40,IF((YEAR(AG$37)-$G40)=0,$C40*(1-$F40*$H40),$C40*(1-$F40*$H40)*(1-$F40)^(YEAR(AG$37)-$G40)))))</f>
        <v/>
      </c>
      <c r="AI40" s="171">
        <f>IF(OR($C40="",$D40=""),0,IF(AND($E40&lt;&gt;"",$E40&lt;=AI$37),0,IF((YEAR(AI$37)-$G40)&lt;0,0,IF((YEAR(AI$37)-$G40)=0,$C40*$F40*$H40,$C40*(1-$F40*$H40)*(1-$F40)^((YEAR(AI$37)-$G40)-1)*$F40))))</f>
        <v/>
      </c>
      <c r="AJ40" s="172">
        <f>IF($C40="",0,IF(AND($E40&lt;&gt;"",$E40&lt;=AI$37),0,IF(OR($D40="",$D40&gt;AI$37),$C40,IF((YEAR(AI$37)-$G40)=0,$C40*(1-$F40*$H40),$C40*(1-$F40*$H40)*(1-$F40)^(YEAR(AI$37)-$G40)))))</f>
        <v/>
      </c>
      <c r="AK40" s="171">
        <f>IF(OR($C40="",$D40=""),0,IF(AND($E40&lt;&gt;"",$E40&lt;=AK$37),0,IF((YEAR(AK$37)-$G40)&lt;0,0,IF((YEAR(AK$37)-$G40)=0,$C40*$F40*$H40,$C40*(1-$F40*$H40)*(1-$F40)^((YEAR(AK$37)-$G40)-1)*$F40))))</f>
        <v/>
      </c>
      <c r="AL40" s="172">
        <f>IF($C40="",0,IF(AND($E40&lt;&gt;"",$E40&lt;=AK$37),0,IF(OR($D40="",$D40&gt;AK$37),$C40,IF((YEAR(AK$37)-$G40)=0,$C40*(1-$F40*$H40),$C40*(1-$F40*$H40)*(1-$F40)^(YEAR(AK$37)-$G40)))))</f>
        <v/>
      </c>
      <c r="AM40" s="171">
        <f>IF(OR($C40="",$D40=""),0,IF(AND($E40&lt;&gt;"",$E40&lt;=AM$37),0,IF((YEAR(AM$37)-$G40)&lt;0,0,IF((YEAR(AM$37)-$G40)=0,$C40*$F40*$H40,$C40*(1-$F40*$H40)*(1-$F40)^((YEAR(AM$37)-$G40)-1)*$F40))))</f>
        <v/>
      </c>
      <c r="AN40" s="172">
        <f>IF($C40="",0,IF(AND($E40&lt;&gt;"",$E40&lt;=AM$37),0,IF(OR($D40="",$D40&gt;AM$37),$C40,IF((YEAR(AM$37)-$G40)=0,$C40*(1-$F40*$H40),$C40*(1-$F40*$H40)*(1-$F40)^(YEAR(AM$37)-$G40)))))</f>
        <v/>
      </c>
    </row>
    <row r="41">
      <c r="B41" s="132">
        <f>IF(FAR!K8="","",FAR!B8)</f>
        <v/>
      </c>
      <c r="C41" s="81">
        <f>IF(FAR!K8="","",FAR!K8)</f>
        <v/>
      </c>
      <c r="D41" s="134">
        <f>IF(FAR!H8="","",FAR!H8)</f>
        <v/>
      </c>
      <c r="E41" s="136">
        <f>IF(FAR!I8="","",FAR!I8)</f>
        <v/>
      </c>
      <c r="F41" s="173">
        <f>IF(FAR!C8="",0,IFERROR(VLOOKUP(FAR!C8,ScheduleIITable,6,FALSE),0))</f>
        <v/>
      </c>
      <c r="G41" s="135">
        <f>IF($D41="","",YEAR($D41)+IF(MONTH($D41)&gt;=4,1,0))</f>
        <v/>
      </c>
      <c r="H41" s="174">
        <f>IF($D41="","",IF((DATE($G41,3,31)-$D41+1)&gt;=180,1,0.5))</f>
        <v/>
      </c>
      <c r="I41" s="175">
        <f>IF(OR($C41="",$D41=""),0,IF(AND($E41&lt;&gt;"",$E41&lt;=I$37),0,IF((YEAR(I$37)-$G41)&lt;0,0,IF((YEAR(I$37)-$G41)=0,$C41*$F41*$H41,$C41*(1-$F41*$H41)*(1-$F41)^((YEAR(I$37)-$G41)-1)*$F41))))</f>
        <v/>
      </c>
      <c r="J41" s="175">
        <f>IF($C41="",0,IF(AND($E41&lt;&gt;"",$E41&lt;=I$37),0,IF(OR($D41="",$D41&gt;I$37),$C41,IF((YEAR(I$37)-$G41)=0,$C41*(1-$F41*$H41),$C41*(1-$F41*$H41)*(1-$F41)^(YEAR(I$37)-$G41)))))</f>
        <v/>
      </c>
      <c r="K41" s="175">
        <f>IF(OR($C41="",$D41=""),0,IF(AND($E41&lt;&gt;"",$E41&lt;=K$37),0,IF((YEAR(K$37)-$G41)&lt;0,0,IF((YEAR(K$37)-$G41)=0,$C41*$F41*$H41,$C41*(1-$F41*$H41)*(1-$F41)^((YEAR(K$37)-$G41)-1)*$F41))))</f>
        <v/>
      </c>
      <c r="L41" s="175">
        <f>IF($C41="",0,IF(AND($E41&lt;&gt;"",$E41&lt;=K$37),0,IF(OR($D41="",$D41&gt;K$37),$C41,IF((YEAR(K$37)-$G41)=0,$C41*(1-$F41*$H41),$C41*(1-$F41*$H41)*(1-$F41)^(YEAR(K$37)-$G41)))))</f>
        <v/>
      </c>
      <c r="M41" s="175">
        <f>IF(OR($C41="",$D41=""),0,IF(AND($E41&lt;&gt;"",$E41&lt;=M$37),0,IF((YEAR(M$37)-$G41)&lt;0,0,IF((YEAR(M$37)-$G41)=0,$C41*$F41*$H41,$C41*(1-$F41*$H41)*(1-$F41)^((YEAR(M$37)-$G41)-1)*$F41))))</f>
        <v/>
      </c>
      <c r="N41" s="175">
        <f>IF($C41="",0,IF(AND($E41&lt;&gt;"",$E41&lt;=M$37),0,IF(OR($D41="",$D41&gt;M$37),$C41,IF((YEAR(M$37)-$G41)=0,$C41*(1-$F41*$H41),$C41*(1-$F41*$H41)*(1-$F41)^(YEAR(M$37)-$G41)))))</f>
        <v/>
      </c>
      <c r="O41" s="175">
        <f>IF(OR($C41="",$D41=""),0,IF(AND($E41&lt;&gt;"",$E41&lt;=O$37),0,IF((YEAR(O$37)-$G41)&lt;0,0,IF((YEAR(O$37)-$G41)=0,$C41*$F41*$H41,$C41*(1-$F41*$H41)*(1-$F41)^((YEAR(O$37)-$G41)-1)*$F41))))</f>
        <v/>
      </c>
      <c r="P41" s="175">
        <f>IF($C41="",0,IF(AND($E41&lt;&gt;"",$E41&lt;=O$37),0,IF(OR($D41="",$D41&gt;O$37),$C41,IF((YEAR(O$37)-$G41)=0,$C41*(1-$F41*$H41),$C41*(1-$F41*$H41)*(1-$F41)^(YEAR(O$37)-$G41)))))</f>
        <v/>
      </c>
      <c r="Q41" s="175">
        <f>IF(OR($C41="",$D41=""),0,IF(AND($E41&lt;&gt;"",$E41&lt;=Q$37),0,IF((YEAR(Q$37)-$G41)&lt;0,0,IF((YEAR(Q$37)-$G41)=0,$C41*$F41*$H41,$C41*(1-$F41*$H41)*(1-$F41)^((YEAR(Q$37)-$G41)-1)*$F41))))</f>
        <v/>
      </c>
      <c r="R41" s="175">
        <f>IF($C41="",0,IF(AND($E41&lt;&gt;"",$E41&lt;=Q$37),0,IF(OR($D41="",$D41&gt;Q$37),$C41,IF((YEAR(Q$37)-$G41)=0,$C41*(1-$F41*$H41),$C41*(1-$F41*$H41)*(1-$F41)^(YEAR(Q$37)-$G41)))))</f>
        <v/>
      </c>
      <c r="S41" s="175">
        <f>IF(OR($C41="",$D41=""),0,IF(AND($E41&lt;&gt;"",$E41&lt;=S$37),0,IF((YEAR(S$37)-$G41)&lt;0,0,IF((YEAR(S$37)-$G41)=0,$C41*$F41*$H41,$C41*(1-$F41*$H41)*(1-$F41)^((YEAR(S$37)-$G41)-1)*$F41))))</f>
        <v/>
      </c>
      <c r="T41" s="175">
        <f>IF($C41="",0,IF(AND($E41&lt;&gt;"",$E41&lt;=S$37),0,IF(OR($D41="",$D41&gt;S$37),$C41,IF((YEAR(S$37)-$G41)=0,$C41*(1-$F41*$H41),$C41*(1-$F41*$H41)*(1-$F41)^(YEAR(S$37)-$G41)))))</f>
        <v/>
      </c>
      <c r="U41" s="175">
        <f>IF(OR($C41="",$D41=""),0,IF(AND($E41&lt;&gt;"",$E41&lt;=U$37),0,IF((YEAR(U$37)-$G41)&lt;0,0,IF((YEAR(U$37)-$G41)=0,$C41*$F41*$H41,$C41*(1-$F41*$H41)*(1-$F41)^((YEAR(U$37)-$G41)-1)*$F41))))</f>
        <v/>
      </c>
      <c r="V41" s="175">
        <f>IF($C41="",0,IF(AND($E41&lt;&gt;"",$E41&lt;=U$37),0,IF(OR($D41="",$D41&gt;U$37),$C41,IF((YEAR(U$37)-$G41)=0,$C41*(1-$F41*$H41),$C41*(1-$F41*$H41)*(1-$F41)^(YEAR(U$37)-$G41)))))</f>
        <v/>
      </c>
      <c r="W41" s="175">
        <f>IF(OR($C41="",$D41=""),0,IF(AND($E41&lt;&gt;"",$E41&lt;=W$37),0,IF((YEAR(W$37)-$G41)&lt;0,0,IF((YEAR(W$37)-$G41)=0,$C41*$F41*$H41,$C41*(1-$F41*$H41)*(1-$F41)^((YEAR(W$37)-$G41)-1)*$F41))))</f>
        <v/>
      </c>
      <c r="X41" s="175">
        <f>IF($C41="",0,IF(AND($E41&lt;&gt;"",$E41&lt;=W$37),0,IF(OR($D41="",$D41&gt;W$37),$C41,IF((YEAR(W$37)-$G41)=0,$C41*(1-$F41*$H41),$C41*(1-$F41*$H41)*(1-$F41)^(YEAR(W$37)-$G41)))))</f>
        <v/>
      </c>
      <c r="Y41" s="175">
        <f>IF(OR($C41="",$D41=""),0,IF(AND($E41&lt;&gt;"",$E41&lt;=Y$37),0,IF((YEAR(Y$37)-$G41)&lt;0,0,IF((YEAR(Y$37)-$G41)=0,$C41*$F41*$H41,$C41*(1-$F41*$H41)*(1-$F41)^((YEAR(Y$37)-$G41)-1)*$F41))))</f>
        <v/>
      </c>
      <c r="Z41" s="175">
        <f>IF($C41="",0,IF(AND($E41&lt;&gt;"",$E41&lt;=Y$37),0,IF(OR($D41="",$D41&gt;Y$37),$C41,IF((YEAR(Y$37)-$G41)=0,$C41*(1-$F41*$H41),$C41*(1-$F41*$H41)*(1-$F41)^(YEAR(Y$37)-$G41)))))</f>
        <v/>
      </c>
      <c r="AA41" s="175">
        <f>IF(OR($C41="",$D41=""),0,IF(AND($E41&lt;&gt;"",$E41&lt;=AA$37),0,IF((YEAR(AA$37)-$G41)&lt;0,0,IF((YEAR(AA$37)-$G41)=0,$C41*$F41*$H41,$C41*(1-$F41*$H41)*(1-$F41)^((YEAR(AA$37)-$G41)-1)*$F41))))</f>
        <v/>
      </c>
      <c r="AB41" s="175">
        <f>IF($C41="",0,IF(AND($E41&lt;&gt;"",$E41&lt;=AA$37),0,IF(OR($D41="",$D41&gt;AA$37),$C41,IF((YEAR(AA$37)-$G41)=0,$C41*(1-$F41*$H41),$C41*(1-$F41*$H41)*(1-$F41)^(YEAR(AA$37)-$G41)))))</f>
        <v/>
      </c>
      <c r="AC41" s="175">
        <f>IF(OR($C41="",$D41=""),0,IF(AND($E41&lt;&gt;"",$E41&lt;=AC$37),0,IF((YEAR(AC$37)-$G41)&lt;0,0,IF((YEAR(AC$37)-$G41)=0,$C41*$F41*$H41,$C41*(1-$F41*$H41)*(1-$F41)^((YEAR(AC$37)-$G41)-1)*$F41))))</f>
        <v/>
      </c>
      <c r="AD41" s="175">
        <f>IF($C41="",0,IF(AND($E41&lt;&gt;"",$E41&lt;=AC$37),0,IF(OR($D41="",$D41&gt;AC$37),$C41,IF((YEAR(AC$37)-$G41)=0,$C41*(1-$F41*$H41),$C41*(1-$F41*$H41)*(1-$F41)^(YEAR(AC$37)-$G41)))))</f>
        <v/>
      </c>
      <c r="AE41" s="175">
        <f>IF(OR($C41="",$D41=""),0,IF(AND($E41&lt;&gt;"",$E41&lt;=AE$37),0,IF((YEAR(AE$37)-$G41)&lt;0,0,IF((YEAR(AE$37)-$G41)=0,$C41*$F41*$H41,$C41*(1-$F41*$H41)*(1-$F41)^((YEAR(AE$37)-$G41)-1)*$F41))))</f>
        <v/>
      </c>
      <c r="AF41" s="175">
        <f>IF($C41="",0,IF(AND($E41&lt;&gt;"",$E41&lt;=AE$37),0,IF(OR($D41="",$D41&gt;AE$37),$C41,IF((YEAR(AE$37)-$G41)=0,$C41*(1-$F41*$H41),$C41*(1-$F41*$H41)*(1-$F41)^(YEAR(AE$37)-$G41)))))</f>
        <v/>
      </c>
      <c r="AG41" s="175">
        <f>IF(OR($C41="",$D41=""),0,IF(AND($E41&lt;&gt;"",$E41&lt;=AG$37),0,IF((YEAR(AG$37)-$G41)&lt;0,0,IF((YEAR(AG$37)-$G41)=0,$C41*$F41*$H41,$C41*(1-$F41*$H41)*(1-$F41)^((YEAR(AG$37)-$G41)-1)*$F41))))</f>
        <v/>
      </c>
      <c r="AH41" s="175">
        <f>IF($C41="",0,IF(AND($E41&lt;&gt;"",$E41&lt;=AG$37),0,IF(OR($D41="",$D41&gt;AG$37),$C41,IF((YEAR(AG$37)-$G41)=0,$C41*(1-$F41*$H41),$C41*(1-$F41*$H41)*(1-$F41)^(YEAR(AG$37)-$G41)))))</f>
        <v/>
      </c>
      <c r="AI41" s="175">
        <f>IF(OR($C41="",$D41=""),0,IF(AND($E41&lt;&gt;"",$E41&lt;=AI$37),0,IF((YEAR(AI$37)-$G41)&lt;0,0,IF((YEAR(AI$37)-$G41)=0,$C41*$F41*$H41,$C41*(1-$F41*$H41)*(1-$F41)^((YEAR(AI$37)-$G41)-1)*$F41))))</f>
        <v/>
      </c>
      <c r="AJ41" s="175">
        <f>IF($C41="",0,IF(AND($E41&lt;&gt;"",$E41&lt;=AI$37),0,IF(OR($D41="",$D41&gt;AI$37),$C41,IF((YEAR(AI$37)-$G41)=0,$C41*(1-$F41*$H41),$C41*(1-$F41*$H41)*(1-$F41)^(YEAR(AI$37)-$G41)))))</f>
        <v/>
      </c>
      <c r="AK41" s="175">
        <f>IF(OR($C41="",$D41=""),0,IF(AND($E41&lt;&gt;"",$E41&lt;=AK$37),0,IF((YEAR(AK$37)-$G41)&lt;0,0,IF((YEAR(AK$37)-$G41)=0,$C41*$F41*$H41,$C41*(1-$F41*$H41)*(1-$F41)^((YEAR(AK$37)-$G41)-1)*$F41))))</f>
        <v/>
      </c>
      <c r="AL41" s="175">
        <f>IF($C41="",0,IF(AND($E41&lt;&gt;"",$E41&lt;=AK$37),0,IF(OR($D41="",$D41&gt;AK$37),$C41,IF((YEAR(AK$37)-$G41)=0,$C41*(1-$F41*$H41),$C41*(1-$F41*$H41)*(1-$F41)^(YEAR(AK$37)-$G41)))))</f>
        <v/>
      </c>
      <c r="AM41" s="175">
        <f>IF(OR($C41="",$D41=""),0,IF(AND($E41&lt;&gt;"",$E41&lt;=AM$37),0,IF((YEAR(AM$37)-$G41)&lt;0,0,IF((YEAR(AM$37)-$G41)=0,$C41*$F41*$H41,$C41*(1-$F41*$H41)*(1-$F41)^((YEAR(AM$37)-$G41)-1)*$F41))))</f>
        <v/>
      </c>
      <c r="AN41" s="175">
        <f>IF($C41="",0,IF(AND($E41&lt;&gt;"",$E41&lt;=AM$37),0,IF(OR($D41="",$D41&gt;AM$37),$C41,IF((YEAR(AM$37)-$G41)=0,$C41*(1-$F41*$H41),$C41*(1-$F41*$H41)*(1-$F41)^(YEAR(AM$37)-$G41)))))</f>
        <v/>
      </c>
    </row>
    <row r="42">
      <c r="B42" s="126">
        <f>IF(FAR!K9="","",FAR!B9)</f>
        <v/>
      </c>
      <c r="C42" s="63">
        <f>IF(FAR!K9="","",FAR!K9)</f>
        <v/>
      </c>
      <c r="D42" s="128">
        <f>IF(FAR!H9="","",FAR!H9)</f>
        <v/>
      </c>
      <c r="E42" s="130">
        <f>IF(FAR!I9="","",FAR!I9)</f>
        <v/>
      </c>
      <c r="F42" s="169">
        <f>IF(FAR!C9="",0,IFERROR(VLOOKUP(FAR!C9,ScheduleIITable,6,FALSE),0))</f>
        <v/>
      </c>
      <c r="G42" s="129">
        <f>IF($D42="","",YEAR($D42)+IF(MONTH($D42)&gt;=4,1,0))</f>
        <v/>
      </c>
      <c r="H42" s="170">
        <f>IF($D42="","",IF((DATE($G42,3,31)-$D42+1)&gt;=180,1,0.5))</f>
        <v/>
      </c>
      <c r="I42" s="171">
        <f>IF(OR($C42="",$D42=""),0,IF(AND($E42&lt;&gt;"",$E42&lt;=I$37),0,IF((YEAR(I$37)-$G42)&lt;0,0,IF((YEAR(I$37)-$G42)=0,$C42*$F42*$H42,$C42*(1-$F42*$H42)*(1-$F42)^((YEAR(I$37)-$G42)-1)*$F42))))</f>
        <v/>
      </c>
      <c r="J42" s="172">
        <f>IF($C42="",0,IF(AND($E42&lt;&gt;"",$E42&lt;=I$37),0,IF(OR($D42="",$D42&gt;I$37),$C42,IF((YEAR(I$37)-$G42)=0,$C42*(1-$F42*$H42),$C42*(1-$F42*$H42)*(1-$F42)^(YEAR(I$37)-$G42)))))</f>
        <v/>
      </c>
      <c r="K42" s="171">
        <f>IF(OR($C42="",$D42=""),0,IF(AND($E42&lt;&gt;"",$E42&lt;=K$37),0,IF((YEAR(K$37)-$G42)&lt;0,0,IF((YEAR(K$37)-$G42)=0,$C42*$F42*$H42,$C42*(1-$F42*$H42)*(1-$F42)^((YEAR(K$37)-$G42)-1)*$F42))))</f>
        <v/>
      </c>
      <c r="L42" s="172">
        <f>IF($C42="",0,IF(AND($E42&lt;&gt;"",$E42&lt;=K$37),0,IF(OR($D42="",$D42&gt;K$37),$C42,IF((YEAR(K$37)-$G42)=0,$C42*(1-$F42*$H42),$C42*(1-$F42*$H42)*(1-$F42)^(YEAR(K$37)-$G42)))))</f>
        <v/>
      </c>
      <c r="M42" s="171">
        <f>IF(OR($C42="",$D42=""),0,IF(AND($E42&lt;&gt;"",$E42&lt;=M$37),0,IF((YEAR(M$37)-$G42)&lt;0,0,IF((YEAR(M$37)-$G42)=0,$C42*$F42*$H42,$C42*(1-$F42*$H42)*(1-$F42)^((YEAR(M$37)-$G42)-1)*$F42))))</f>
        <v/>
      </c>
      <c r="N42" s="172">
        <f>IF($C42="",0,IF(AND($E42&lt;&gt;"",$E42&lt;=M$37),0,IF(OR($D42="",$D42&gt;M$37),$C42,IF((YEAR(M$37)-$G42)=0,$C42*(1-$F42*$H42),$C42*(1-$F42*$H42)*(1-$F42)^(YEAR(M$37)-$G42)))))</f>
        <v/>
      </c>
      <c r="O42" s="171">
        <f>IF(OR($C42="",$D42=""),0,IF(AND($E42&lt;&gt;"",$E42&lt;=O$37),0,IF((YEAR(O$37)-$G42)&lt;0,0,IF((YEAR(O$37)-$G42)=0,$C42*$F42*$H42,$C42*(1-$F42*$H42)*(1-$F42)^((YEAR(O$37)-$G42)-1)*$F42))))</f>
        <v/>
      </c>
      <c r="P42" s="172">
        <f>IF($C42="",0,IF(AND($E42&lt;&gt;"",$E42&lt;=O$37),0,IF(OR($D42="",$D42&gt;O$37),$C42,IF((YEAR(O$37)-$G42)=0,$C42*(1-$F42*$H42),$C42*(1-$F42*$H42)*(1-$F42)^(YEAR(O$37)-$G42)))))</f>
        <v/>
      </c>
      <c r="Q42" s="171">
        <f>IF(OR($C42="",$D42=""),0,IF(AND($E42&lt;&gt;"",$E42&lt;=Q$37),0,IF((YEAR(Q$37)-$G42)&lt;0,0,IF((YEAR(Q$37)-$G42)=0,$C42*$F42*$H42,$C42*(1-$F42*$H42)*(1-$F42)^((YEAR(Q$37)-$G42)-1)*$F42))))</f>
        <v/>
      </c>
      <c r="R42" s="172">
        <f>IF($C42="",0,IF(AND($E42&lt;&gt;"",$E42&lt;=Q$37),0,IF(OR($D42="",$D42&gt;Q$37),$C42,IF((YEAR(Q$37)-$G42)=0,$C42*(1-$F42*$H42),$C42*(1-$F42*$H42)*(1-$F42)^(YEAR(Q$37)-$G42)))))</f>
        <v/>
      </c>
      <c r="S42" s="171">
        <f>IF(OR($C42="",$D42=""),0,IF(AND($E42&lt;&gt;"",$E42&lt;=S$37),0,IF((YEAR(S$37)-$G42)&lt;0,0,IF((YEAR(S$37)-$G42)=0,$C42*$F42*$H42,$C42*(1-$F42*$H42)*(1-$F42)^((YEAR(S$37)-$G42)-1)*$F42))))</f>
        <v/>
      </c>
      <c r="T42" s="172">
        <f>IF($C42="",0,IF(AND($E42&lt;&gt;"",$E42&lt;=S$37),0,IF(OR($D42="",$D42&gt;S$37),$C42,IF((YEAR(S$37)-$G42)=0,$C42*(1-$F42*$H42),$C42*(1-$F42*$H42)*(1-$F42)^(YEAR(S$37)-$G42)))))</f>
        <v/>
      </c>
      <c r="U42" s="171">
        <f>IF(OR($C42="",$D42=""),0,IF(AND($E42&lt;&gt;"",$E42&lt;=U$37),0,IF((YEAR(U$37)-$G42)&lt;0,0,IF((YEAR(U$37)-$G42)=0,$C42*$F42*$H42,$C42*(1-$F42*$H42)*(1-$F42)^((YEAR(U$37)-$G42)-1)*$F42))))</f>
        <v/>
      </c>
      <c r="V42" s="172">
        <f>IF($C42="",0,IF(AND($E42&lt;&gt;"",$E42&lt;=U$37),0,IF(OR($D42="",$D42&gt;U$37),$C42,IF((YEAR(U$37)-$G42)=0,$C42*(1-$F42*$H42),$C42*(1-$F42*$H42)*(1-$F42)^(YEAR(U$37)-$G42)))))</f>
        <v/>
      </c>
      <c r="W42" s="171">
        <f>IF(OR($C42="",$D42=""),0,IF(AND($E42&lt;&gt;"",$E42&lt;=W$37),0,IF((YEAR(W$37)-$G42)&lt;0,0,IF((YEAR(W$37)-$G42)=0,$C42*$F42*$H42,$C42*(1-$F42*$H42)*(1-$F42)^((YEAR(W$37)-$G42)-1)*$F42))))</f>
        <v/>
      </c>
      <c r="X42" s="172">
        <f>IF($C42="",0,IF(AND($E42&lt;&gt;"",$E42&lt;=W$37),0,IF(OR($D42="",$D42&gt;W$37),$C42,IF((YEAR(W$37)-$G42)=0,$C42*(1-$F42*$H42),$C42*(1-$F42*$H42)*(1-$F42)^(YEAR(W$37)-$G42)))))</f>
        <v/>
      </c>
      <c r="Y42" s="171">
        <f>IF(OR($C42="",$D42=""),0,IF(AND($E42&lt;&gt;"",$E42&lt;=Y$37),0,IF((YEAR(Y$37)-$G42)&lt;0,0,IF((YEAR(Y$37)-$G42)=0,$C42*$F42*$H42,$C42*(1-$F42*$H42)*(1-$F42)^((YEAR(Y$37)-$G42)-1)*$F42))))</f>
        <v/>
      </c>
      <c r="Z42" s="172">
        <f>IF($C42="",0,IF(AND($E42&lt;&gt;"",$E42&lt;=Y$37),0,IF(OR($D42="",$D42&gt;Y$37),$C42,IF((YEAR(Y$37)-$G42)=0,$C42*(1-$F42*$H42),$C42*(1-$F42*$H42)*(1-$F42)^(YEAR(Y$37)-$G42)))))</f>
        <v/>
      </c>
      <c r="AA42" s="171">
        <f>IF(OR($C42="",$D42=""),0,IF(AND($E42&lt;&gt;"",$E42&lt;=AA$37),0,IF((YEAR(AA$37)-$G42)&lt;0,0,IF((YEAR(AA$37)-$G42)=0,$C42*$F42*$H42,$C42*(1-$F42*$H42)*(1-$F42)^((YEAR(AA$37)-$G42)-1)*$F42))))</f>
        <v/>
      </c>
      <c r="AB42" s="172">
        <f>IF($C42="",0,IF(AND($E42&lt;&gt;"",$E42&lt;=AA$37),0,IF(OR($D42="",$D42&gt;AA$37),$C42,IF((YEAR(AA$37)-$G42)=0,$C42*(1-$F42*$H42),$C42*(1-$F42*$H42)*(1-$F42)^(YEAR(AA$37)-$G42)))))</f>
        <v/>
      </c>
      <c r="AC42" s="171">
        <f>IF(OR($C42="",$D42=""),0,IF(AND($E42&lt;&gt;"",$E42&lt;=AC$37),0,IF((YEAR(AC$37)-$G42)&lt;0,0,IF((YEAR(AC$37)-$G42)=0,$C42*$F42*$H42,$C42*(1-$F42*$H42)*(1-$F42)^((YEAR(AC$37)-$G42)-1)*$F42))))</f>
        <v/>
      </c>
      <c r="AD42" s="172">
        <f>IF($C42="",0,IF(AND($E42&lt;&gt;"",$E42&lt;=AC$37),0,IF(OR($D42="",$D42&gt;AC$37),$C42,IF((YEAR(AC$37)-$G42)=0,$C42*(1-$F42*$H42),$C42*(1-$F42*$H42)*(1-$F42)^(YEAR(AC$37)-$G42)))))</f>
        <v/>
      </c>
      <c r="AE42" s="171">
        <f>IF(OR($C42="",$D42=""),0,IF(AND($E42&lt;&gt;"",$E42&lt;=AE$37),0,IF((YEAR(AE$37)-$G42)&lt;0,0,IF((YEAR(AE$37)-$G42)=0,$C42*$F42*$H42,$C42*(1-$F42*$H42)*(1-$F42)^((YEAR(AE$37)-$G42)-1)*$F42))))</f>
        <v/>
      </c>
      <c r="AF42" s="172">
        <f>IF($C42="",0,IF(AND($E42&lt;&gt;"",$E42&lt;=AE$37),0,IF(OR($D42="",$D42&gt;AE$37),$C42,IF((YEAR(AE$37)-$G42)=0,$C42*(1-$F42*$H42),$C42*(1-$F42*$H42)*(1-$F42)^(YEAR(AE$37)-$G42)))))</f>
        <v/>
      </c>
      <c r="AG42" s="171">
        <f>IF(OR($C42="",$D42=""),0,IF(AND($E42&lt;&gt;"",$E42&lt;=AG$37),0,IF((YEAR(AG$37)-$G42)&lt;0,0,IF((YEAR(AG$37)-$G42)=0,$C42*$F42*$H42,$C42*(1-$F42*$H42)*(1-$F42)^((YEAR(AG$37)-$G42)-1)*$F42))))</f>
        <v/>
      </c>
      <c r="AH42" s="172">
        <f>IF($C42="",0,IF(AND($E42&lt;&gt;"",$E42&lt;=AG$37),0,IF(OR($D42="",$D42&gt;AG$37),$C42,IF((YEAR(AG$37)-$G42)=0,$C42*(1-$F42*$H42),$C42*(1-$F42*$H42)*(1-$F42)^(YEAR(AG$37)-$G42)))))</f>
        <v/>
      </c>
      <c r="AI42" s="171">
        <f>IF(OR($C42="",$D42=""),0,IF(AND($E42&lt;&gt;"",$E42&lt;=AI$37),0,IF((YEAR(AI$37)-$G42)&lt;0,0,IF((YEAR(AI$37)-$G42)=0,$C42*$F42*$H42,$C42*(1-$F42*$H42)*(1-$F42)^((YEAR(AI$37)-$G42)-1)*$F42))))</f>
        <v/>
      </c>
      <c r="AJ42" s="172">
        <f>IF($C42="",0,IF(AND($E42&lt;&gt;"",$E42&lt;=AI$37),0,IF(OR($D42="",$D42&gt;AI$37),$C42,IF((YEAR(AI$37)-$G42)=0,$C42*(1-$F42*$H42),$C42*(1-$F42*$H42)*(1-$F42)^(YEAR(AI$37)-$G42)))))</f>
        <v/>
      </c>
      <c r="AK42" s="171">
        <f>IF(OR($C42="",$D42=""),0,IF(AND($E42&lt;&gt;"",$E42&lt;=AK$37),0,IF((YEAR(AK$37)-$G42)&lt;0,0,IF((YEAR(AK$37)-$G42)=0,$C42*$F42*$H42,$C42*(1-$F42*$H42)*(1-$F42)^((YEAR(AK$37)-$G42)-1)*$F42))))</f>
        <v/>
      </c>
      <c r="AL42" s="172">
        <f>IF($C42="",0,IF(AND($E42&lt;&gt;"",$E42&lt;=AK$37),0,IF(OR($D42="",$D42&gt;AK$37),$C42,IF((YEAR(AK$37)-$G42)=0,$C42*(1-$F42*$H42),$C42*(1-$F42*$H42)*(1-$F42)^(YEAR(AK$37)-$G42)))))</f>
        <v/>
      </c>
      <c r="AM42" s="171">
        <f>IF(OR($C42="",$D42=""),0,IF(AND($E42&lt;&gt;"",$E42&lt;=AM$37),0,IF((YEAR(AM$37)-$G42)&lt;0,0,IF((YEAR(AM$37)-$G42)=0,$C42*$F42*$H42,$C42*(1-$F42*$H42)*(1-$F42)^((YEAR(AM$37)-$G42)-1)*$F42))))</f>
        <v/>
      </c>
      <c r="AN42" s="172">
        <f>IF($C42="",0,IF(AND($E42&lt;&gt;"",$E42&lt;=AM$37),0,IF(OR($D42="",$D42&gt;AM$37),$C42,IF((YEAR(AM$37)-$G42)=0,$C42*(1-$F42*$H42),$C42*(1-$F42*$H42)*(1-$F42)^(YEAR(AM$37)-$G42)))))</f>
        <v/>
      </c>
    </row>
    <row r="43">
      <c r="B43" s="132">
        <f>IF(FAR!K10="","",FAR!B10)</f>
        <v/>
      </c>
      <c r="C43" s="81">
        <f>IF(FAR!K10="","",FAR!K10)</f>
        <v/>
      </c>
      <c r="D43" s="134">
        <f>IF(FAR!H10="","",FAR!H10)</f>
        <v/>
      </c>
      <c r="E43" s="136">
        <f>IF(FAR!I10="","",FAR!I10)</f>
        <v/>
      </c>
      <c r="F43" s="173">
        <f>IF(FAR!C10="",0,IFERROR(VLOOKUP(FAR!C10,ScheduleIITable,6,FALSE),0))</f>
        <v/>
      </c>
      <c r="G43" s="135">
        <f>IF($D43="","",YEAR($D43)+IF(MONTH($D43)&gt;=4,1,0))</f>
        <v/>
      </c>
      <c r="H43" s="174">
        <f>IF($D43="","",IF((DATE($G43,3,31)-$D43+1)&gt;=180,1,0.5))</f>
        <v/>
      </c>
      <c r="I43" s="175">
        <f>IF(OR($C43="",$D43=""),0,IF(AND($E43&lt;&gt;"",$E43&lt;=I$37),0,IF((YEAR(I$37)-$G43)&lt;0,0,IF((YEAR(I$37)-$G43)=0,$C43*$F43*$H43,$C43*(1-$F43*$H43)*(1-$F43)^((YEAR(I$37)-$G43)-1)*$F43))))</f>
        <v/>
      </c>
      <c r="J43" s="175">
        <f>IF($C43="",0,IF(AND($E43&lt;&gt;"",$E43&lt;=I$37),0,IF(OR($D43="",$D43&gt;I$37),$C43,IF((YEAR(I$37)-$G43)=0,$C43*(1-$F43*$H43),$C43*(1-$F43*$H43)*(1-$F43)^(YEAR(I$37)-$G43)))))</f>
        <v/>
      </c>
      <c r="K43" s="175">
        <f>IF(OR($C43="",$D43=""),0,IF(AND($E43&lt;&gt;"",$E43&lt;=K$37),0,IF((YEAR(K$37)-$G43)&lt;0,0,IF((YEAR(K$37)-$G43)=0,$C43*$F43*$H43,$C43*(1-$F43*$H43)*(1-$F43)^((YEAR(K$37)-$G43)-1)*$F43))))</f>
        <v/>
      </c>
      <c r="L43" s="175">
        <f>IF($C43="",0,IF(AND($E43&lt;&gt;"",$E43&lt;=K$37),0,IF(OR($D43="",$D43&gt;K$37),$C43,IF((YEAR(K$37)-$G43)=0,$C43*(1-$F43*$H43),$C43*(1-$F43*$H43)*(1-$F43)^(YEAR(K$37)-$G43)))))</f>
        <v/>
      </c>
      <c r="M43" s="175">
        <f>IF(OR($C43="",$D43=""),0,IF(AND($E43&lt;&gt;"",$E43&lt;=M$37),0,IF((YEAR(M$37)-$G43)&lt;0,0,IF((YEAR(M$37)-$G43)=0,$C43*$F43*$H43,$C43*(1-$F43*$H43)*(1-$F43)^((YEAR(M$37)-$G43)-1)*$F43))))</f>
        <v/>
      </c>
      <c r="N43" s="175">
        <f>IF($C43="",0,IF(AND($E43&lt;&gt;"",$E43&lt;=M$37),0,IF(OR($D43="",$D43&gt;M$37),$C43,IF((YEAR(M$37)-$G43)=0,$C43*(1-$F43*$H43),$C43*(1-$F43*$H43)*(1-$F43)^(YEAR(M$37)-$G43)))))</f>
        <v/>
      </c>
      <c r="O43" s="175">
        <f>IF(OR($C43="",$D43=""),0,IF(AND($E43&lt;&gt;"",$E43&lt;=O$37),0,IF((YEAR(O$37)-$G43)&lt;0,0,IF((YEAR(O$37)-$G43)=0,$C43*$F43*$H43,$C43*(1-$F43*$H43)*(1-$F43)^((YEAR(O$37)-$G43)-1)*$F43))))</f>
        <v/>
      </c>
      <c r="P43" s="175">
        <f>IF($C43="",0,IF(AND($E43&lt;&gt;"",$E43&lt;=O$37),0,IF(OR($D43="",$D43&gt;O$37),$C43,IF((YEAR(O$37)-$G43)=0,$C43*(1-$F43*$H43),$C43*(1-$F43*$H43)*(1-$F43)^(YEAR(O$37)-$G43)))))</f>
        <v/>
      </c>
      <c r="Q43" s="175">
        <f>IF(OR($C43="",$D43=""),0,IF(AND($E43&lt;&gt;"",$E43&lt;=Q$37),0,IF((YEAR(Q$37)-$G43)&lt;0,0,IF((YEAR(Q$37)-$G43)=0,$C43*$F43*$H43,$C43*(1-$F43*$H43)*(1-$F43)^((YEAR(Q$37)-$G43)-1)*$F43))))</f>
        <v/>
      </c>
      <c r="R43" s="175">
        <f>IF($C43="",0,IF(AND($E43&lt;&gt;"",$E43&lt;=Q$37),0,IF(OR($D43="",$D43&gt;Q$37),$C43,IF((YEAR(Q$37)-$G43)=0,$C43*(1-$F43*$H43),$C43*(1-$F43*$H43)*(1-$F43)^(YEAR(Q$37)-$G43)))))</f>
        <v/>
      </c>
      <c r="S43" s="175">
        <f>IF(OR($C43="",$D43=""),0,IF(AND($E43&lt;&gt;"",$E43&lt;=S$37),0,IF((YEAR(S$37)-$G43)&lt;0,0,IF((YEAR(S$37)-$G43)=0,$C43*$F43*$H43,$C43*(1-$F43*$H43)*(1-$F43)^((YEAR(S$37)-$G43)-1)*$F43))))</f>
        <v/>
      </c>
      <c r="T43" s="175">
        <f>IF($C43="",0,IF(AND($E43&lt;&gt;"",$E43&lt;=S$37),0,IF(OR($D43="",$D43&gt;S$37),$C43,IF((YEAR(S$37)-$G43)=0,$C43*(1-$F43*$H43),$C43*(1-$F43*$H43)*(1-$F43)^(YEAR(S$37)-$G43)))))</f>
        <v/>
      </c>
      <c r="U43" s="175">
        <f>IF(OR($C43="",$D43=""),0,IF(AND($E43&lt;&gt;"",$E43&lt;=U$37),0,IF((YEAR(U$37)-$G43)&lt;0,0,IF((YEAR(U$37)-$G43)=0,$C43*$F43*$H43,$C43*(1-$F43*$H43)*(1-$F43)^((YEAR(U$37)-$G43)-1)*$F43))))</f>
        <v/>
      </c>
      <c r="V43" s="175">
        <f>IF($C43="",0,IF(AND($E43&lt;&gt;"",$E43&lt;=U$37),0,IF(OR($D43="",$D43&gt;U$37),$C43,IF((YEAR(U$37)-$G43)=0,$C43*(1-$F43*$H43),$C43*(1-$F43*$H43)*(1-$F43)^(YEAR(U$37)-$G43)))))</f>
        <v/>
      </c>
      <c r="W43" s="175">
        <f>IF(OR($C43="",$D43=""),0,IF(AND($E43&lt;&gt;"",$E43&lt;=W$37),0,IF((YEAR(W$37)-$G43)&lt;0,0,IF((YEAR(W$37)-$G43)=0,$C43*$F43*$H43,$C43*(1-$F43*$H43)*(1-$F43)^((YEAR(W$37)-$G43)-1)*$F43))))</f>
        <v/>
      </c>
      <c r="X43" s="175">
        <f>IF($C43="",0,IF(AND($E43&lt;&gt;"",$E43&lt;=W$37),0,IF(OR($D43="",$D43&gt;W$37),$C43,IF((YEAR(W$37)-$G43)=0,$C43*(1-$F43*$H43),$C43*(1-$F43*$H43)*(1-$F43)^(YEAR(W$37)-$G43)))))</f>
        <v/>
      </c>
      <c r="Y43" s="175">
        <f>IF(OR($C43="",$D43=""),0,IF(AND($E43&lt;&gt;"",$E43&lt;=Y$37),0,IF((YEAR(Y$37)-$G43)&lt;0,0,IF((YEAR(Y$37)-$G43)=0,$C43*$F43*$H43,$C43*(1-$F43*$H43)*(1-$F43)^((YEAR(Y$37)-$G43)-1)*$F43))))</f>
        <v/>
      </c>
      <c r="Z43" s="175">
        <f>IF($C43="",0,IF(AND($E43&lt;&gt;"",$E43&lt;=Y$37),0,IF(OR($D43="",$D43&gt;Y$37),$C43,IF((YEAR(Y$37)-$G43)=0,$C43*(1-$F43*$H43),$C43*(1-$F43*$H43)*(1-$F43)^(YEAR(Y$37)-$G43)))))</f>
        <v/>
      </c>
      <c r="AA43" s="175">
        <f>IF(OR($C43="",$D43=""),0,IF(AND($E43&lt;&gt;"",$E43&lt;=AA$37),0,IF((YEAR(AA$37)-$G43)&lt;0,0,IF((YEAR(AA$37)-$G43)=0,$C43*$F43*$H43,$C43*(1-$F43*$H43)*(1-$F43)^((YEAR(AA$37)-$G43)-1)*$F43))))</f>
        <v/>
      </c>
      <c r="AB43" s="175">
        <f>IF($C43="",0,IF(AND($E43&lt;&gt;"",$E43&lt;=AA$37),0,IF(OR($D43="",$D43&gt;AA$37),$C43,IF((YEAR(AA$37)-$G43)=0,$C43*(1-$F43*$H43),$C43*(1-$F43*$H43)*(1-$F43)^(YEAR(AA$37)-$G43)))))</f>
        <v/>
      </c>
      <c r="AC43" s="175">
        <f>IF(OR($C43="",$D43=""),0,IF(AND($E43&lt;&gt;"",$E43&lt;=AC$37),0,IF((YEAR(AC$37)-$G43)&lt;0,0,IF((YEAR(AC$37)-$G43)=0,$C43*$F43*$H43,$C43*(1-$F43*$H43)*(1-$F43)^((YEAR(AC$37)-$G43)-1)*$F43))))</f>
        <v/>
      </c>
      <c r="AD43" s="175">
        <f>IF($C43="",0,IF(AND($E43&lt;&gt;"",$E43&lt;=AC$37),0,IF(OR($D43="",$D43&gt;AC$37),$C43,IF((YEAR(AC$37)-$G43)=0,$C43*(1-$F43*$H43),$C43*(1-$F43*$H43)*(1-$F43)^(YEAR(AC$37)-$G43)))))</f>
        <v/>
      </c>
      <c r="AE43" s="175">
        <f>IF(OR($C43="",$D43=""),0,IF(AND($E43&lt;&gt;"",$E43&lt;=AE$37),0,IF((YEAR(AE$37)-$G43)&lt;0,0,IF((YEAR(AE$37)-$G43)=0,$C43*$F43*$H43,$C43*(1-$F43*$H43)*(1-$F43)^((YEAR(AE$37)-$G43)-1)*$F43))))</f>
        <v/>
      </c>
      <c r="AF43" s="175">
        <f>IF($C43="",0,IF(AND($E43&lt;&gt;"",$E43&lt;=AE$37),0,IF(OR($D43="",$D43&gt;AE$37),$C43,IF((YEAR(AE$37)-$G43)=0,$C43*(1-$F43*$H43),$C43*(1-$F43*$H43)*(1-$F43)^(YEAR(AE$37)-$G43)))))</f>
        <v/>
      </c>
      <c r="AG43" s="175">
        <f>IF(OR($C43="",$D43=""),0,IF(AND($E43&lt;&gt;"",$E43&lt;=AG$37),0,IF((YEAR(AG$37)-$G43)&lt;0,0,IF((YEAR(AG$37)-$G43)=0,$C43*$F43*$H43,$C43*(1-$F43*$H43)*(1-$F43)^((YEAR(AG$37)-$G43)-1)*$F43))))</f>
        <v/>
      </c>
      <c r="AH43" s="175">
        <f>IF($C43="",0,IF(AND($E43&lt;&gt;"",$E43&lt;=AG$37),0,IF(OR($D43="",$D43&gt;AG$37),$C43,IF((YEAR(AG$37)-$G43)=0,$C43*(1-$F43*$H43),$C43*(1-$F43*$H43)*(1-$F43)^(YEAR(AG$37)-$G43)))))</f>
        <v/>
      </c>
      <c r="AI43" s="175">
        <f>IF(OR($C43="",$D43=""),0,IF(AND($E43&lt;&gt;"",$E43&lt;=AI$37),0,IF((YEAR(AI$37)-$G43)&lt;0,0,IF((YEAR(AI$37)-$G43)=0,$C43*$F43*$H43,$C43*(1-$F43*$H43)*(1-$F43)^((YEAR(AI$37)-$G43)-1)*$F43))))</f>
        <v/>
      </c>
      <c r="AJ43" s="175">
        <f>IF($C43="",0,IF(AND($E43&lt;&gt;"",$E43&lt;=AI$37),0,IF(OR($D43="",$D43&gt;AI$37),$C43,IF((YEAR(AI$37)-$G43)=0,$C43*(1-$F43*$H43),$C43*(1-$F43*$H43)*(1-$F43)^(YEAR(AI$37)-$G43)))))</f>
        <v/>
      </c>
      <c r="AK43" s="175">
        <f>IF(OR($C43="",$D43=""),0,IF(AND($E43&lt;&gt;"",$E43&lt;=AK$37),0,IF((YEAR(AK$37)-$G43)&lt;0,0,IF((YEAR(AK$37)-$G43)=0,$C43*$F43*$H43,$C43*(1-$F43*$H43)*(1-$F43)^((YEAR(AK$37)-$G43)-1)*$F43))))</f>
        <v/>
      </c>
      <c r="AL43" s="175">
        <f>IF($C43="",0,IF(AND($E43&lt;&gt;"",$E43&lt;=AK$37),0,IF(OR($D43="",$D43&gt;AK$37),$C43,IF((YEAR(AK$37)-$G43)=0,$C43*(1-$F43*$H43),$C43*(1-$F43*$H43)*(1-$F43)^(YEAR(AK$37)-$G43)))))</f>
        <v/>
      </c>
      <c r="AM43" s="175">
        <f>IF(OR($C43="",$D43=""),0,IF(AND($E43&lt;&gt;"",$E43&lt;=AM$37),0,IF((YEAR(AM$37)-$G43)&lt;0,0,IF((YEAR(AM$37)-$G43)=0,$C43*$F43*$H43,$C43*(1-$F43*$H43)*(1-$F43)^((YEAR(AM$37)-$G43)-1)*$F43))))</f>
        <v/>
      </c>
      <c r="AN43" s="175">
        <f>IF($C43="",0,IF(AND($E43&lt;&gt;"",$E43&lt;=AM$37),0,IF(OR($D43="",$D43&gt;AM$37),$C43,IF((YEAR(AM$37)-$G43)=0,$C43*(1-$F43*$H43),$C43*(1-$F43*$H43)*(1-$F43)^(YEAR(AM$37)-$G43)))))</f>
        <v/>
      </c>
    </row>
    <row r="44">
      <c r="B44" s="126">
        <f>IF(FAR!K11="","",FAR!B11)</f>
        <v/>
      </c>
      <c r="C44" s="63">
        <f>IF(FAR!K11="","",FAR!K11)</f>
        <v/>
      </c>
      <c r="D44" s="128">
        <f>IF(FAR!H11="","",FAR!H11)</f>
        <v/>
      </c>
      <c r="E44" s="130">
        <f>IF(FAR!I11="","",FAR!I11)</f>
        <v/>
      </c>
      <c r="F44" s="169">
        <f>IF(FAR!C11="",0,IFERROR(VLOOKUP(FAR!C11,ScheduleIITable,6,FALSE),0))</f>
        <v/>
      </c>
      <c r="G44" s="129">
        <f>IF($D44="","",YEAR($D44)+IF(MONTH($D44)&gt;=4,1,0))</f>
        <v/>
      </c>
      <c r="H44" s="170">
        <f>IF($D44="","",IF((DATE($G44,3,31)-$D44+1)&gt;=180,1,0.5))</f>
        <v/>
      </c>
      <c r="I44" s="171">
        <f>IF(OR($C44="",$D44=""),0,IF(AND($E44&lt;&gt;"",$E44&lt;=I$37),0,IF((YEAR(I$37)-$G44)&lt;0,0,IF((YEAR(I$37)-$G44)=0,$C44*$F44*$H44,$C44*(1-$F44*$H44)*(1-$F44)^((YEAR(I$37)-$G44)-1)*$F44))))</f>
        <v/>
      </c>
      <c r="J44" s="172">
        <f>IF($C44="",0,IF(AND($E44&lt;&gt;"",$E44&lt;=I$37),0,IF(OR($D44="",$D44&gt;I$37),$C44,IF((YEAR(I$37)-$G44)=0,$C44*(1-$F44*$H44),$C44*(1-$F44*$H44)*(1-$F44)^(YEAR(I$37)-$G44)))))</f>
        <v/>
      </c>
      <c r="K44" s="171">
        <f>IF(OR($C44="",$D44=""),0,IF(AND($E44&lt;&gt;"",$E44&lt;=K$37),0,IF((YEAR(K$37)-$G44)&lt;0,0,IF((YEAR(K$37)-$G44)=0,$C44*$F44*$H44,$C44*(1-$F44*$H44)*(1-$F44)^((YEAR(K$37)-$G44)-1)*$F44))))</f>
        <v/>
      </c>
      <c r="L44" s="172">
        <f>IF($C44="",0,IF(AND($E44&lt;&gt;"",$E44&lt;=K$37),0,IF(OR($D44="",$D44&gt;K$37),$C44,IF((YEAR(K$37)-$G44)=0,$C44*(1-$F44*$H44),$C44*(1-$F44*$H44)*(1-$F44)^(YEAR(K$37)-$G44)))))</f>
        <v/>
      </c>
      <c r="M44" s="171">
        <f>IF(OR($C44="",$D44=""),0,IF(AND($E44&lt;&gt;"",$E44&lt;=M$37),0,IF((YEAR(M$37)-$G44)&lt;0,0,IF((YEAR(M$37)-$G44)=0,$C44*$F44*$H44,$C44*(1-$F44*$H44)*(1-$F44)^((YEAR(M$37)-$G44)-1)*$F44))))</f>
        <v/>
      </c>
      <c r="N44" s="172">
        <f>IF($C44="",0,IF(AND($E44&lt;&gt;"",$E44&lt;=M$37),0,IF(OR($D44="",$D44&gt;M$37),$C44,IF((YEAR(M$37)-$G44)=0,$C44*(1-$F44*$H44),$C44*(1-$F44*$H44)*(1-$F44)^(YEAR(M$37)-$G44)))))</f>
        <v/>
      </c>
      <c r="O44" s="171">
        <f>IF(OR($C44="",$D44=""),0,IF(AND($E44&lt;&gt;"",$E44&lt;=O$37),0,IF((YEAR(O$37)-$G44)&lt;0,0,IF((YEAR(O$37)-$G44)=0,$C44*$F44*$H44,$C44*(1-$F44*$H44)*(1-$F44)^((YEAR(O$37)-$G44)-1)*$F44))))</f>
        <v/>
      </c>
      <c r="P44" s="172">
        <f>IF($C44="",0,IF(AND($E44&lt;&gt;"",$E44&lt;=O$37),0,IF(OR($D44="",$D44&gt;O$37),$C44,IF((YEAR(O$37)-$G44)=0,$C44*(1-$F44*$H44),$C44*(1-$F44*$H44)*(1-$F44)^(YEAR(O$37)-$G44)))))</f>
        <v/>
      </c>
      <c r="Q44" s="171">
        <f>IF(OR($C44="",$D44=""),0,IF(AND($E44&lt;&gt;"",$E44&lt;=Q$37),0,IF((YEAR(Q$37)-$G44)&lt;0,0,IF((YEAR(Q$37)-$G44)=0,$C44*$F44*$H44,$C44*(1-$F44*$H44)*(1-$F44)^((YEAR(Q$37)-$G44)-1)*$F44))))</f>
        <v/>
      </c>
      <c r="R44" s="172">
        <f>IF($C44="",0,IF(AND($E44&lt;&gt;"",$E44&lt;=Q$37),0,IF(OR($D44="",$D44&gt;Q$37),$C44,IF((YEAR(Q$37)-$G44)=0,$C44*(1-$F44*$H44),$C44*(1-$F44*$H44)*(1-$F44)^(YEAR(Q$37)-$G44)))))</f>
        <v/>
      </c>
      <c r="S44" s="171">
        <f>IF(OR($C44="",$D44=""),0,IF(AND($E44&lt;&gt;"",$E44&lt;=S$37),0,IF((YEAR(S$37)-$G44)&lt;0,0,IF((YEAR(S$37)-$G44)=0,$C44*$F44*$H44,$C44*(1-$F44*$H44)*(1-$F44)^((YEAR(S$37)-$G44)-1)*$F44))))</f>
        <v/>
      </c>
      <c r="T44" s="172">
        <f>IF($C44="",0,IF(AND($E44&lt;&gt;"",$E44&lt;=S$37),0,IF(OR($D44="",$D44&gt;S$37),$C44,IF((YEAR(S$37)-$G44)=0,$C44*(1-$F44*$H44),$C44*(1-$F44*$H44)*(1-$F44)^(YEAR(S$37)-$G44)))))</f>
        <v/>
      </c>
      <c r="U44" s="171">
        <f>IF(OR($C44="",$D44=""),0,IF(AND($E44&lt;&gt;"",$E44&lt;=U$37),0,IF((YEAR(U$37)-$G44)&lt;0,0,IF((YEAR(U$37)-$G44)=0,$C44*$F44*$H44,$C44*(1-$F44*$H44)*(1-$F44)^((YEAR(U$37)-$G44)-1)*$F44))))</f>
        <v/>
      </c>
      <c r="V44" s="172">
        <f>IF($C44="",0,IF(AND($E44&lt;&gt;"",$E44&lt;=U$37),0,IF(OR($D44="",$D44&gt;U$37),$C44,IF((YEAR(U$37)-$G44)=0,$C44*(1-$F44*$H44),$C44*(1-$F44*$H44)*(1-$F44)^(YEAR(U$37)-$G44)))))</f>
        <v/>
      </c>
      <c r="W44" s="171">
        <f>IF(OR($C44="",$D44=""),0,IF(AND($E44&lt;&gt;"",$E44&lt;=W$37),0,IF((YEAR(W$37)-$G44)&lt;0,0,IF((YEAR(W$37)-$G44)=0,$C44*$F44*$H44,$C44*(1-$F44*$H44)*(1-$F44)^((YEAR(W$37)-$G44)-1)*$F44))))</f>
        <v/>
      </c>
      <c r="X44" s="172">
        <f>IF($C44="",0,IF(AND($E44&lt;&gt;"",$E44&lt;=W$37),0,IF(OR($D44="",$D44&gt;W$37),$C44,IF((YEAR(W$37)-$G44)=0,$C44*(1-$F44*$H44),$C44*(1-$F44*$H44)*(1-$F44)^(YEAR(W$37)-$G44)))))</f>
        <v/>
      </c>
      <c r="Y44" s="171">
        <f>IF(OR($C44="",$D44=""),0,IF(AND($E44&lt;&gt;"",$E44&lt;=Y$37),0,IF((YEAR(Y$37)-$G44)&lt;0,0,IF((YEAR(Y$37)-$G44)=0,$C44*$F44*$H44,$C44*(1-$F44*$H44)*(1-$F44)^((YEAR(Y$37)-$G44)-1)*$F44))))</f>
        <v/>
      </c>
      <c r="Z44" s="172">
        <f>IF($C44="",0,IF(AND($E44&lt;&gt;"",$E44&lt;=Y$37),0,IF(OR($D44="",$D44&gt;Y$37),$C44,IF((YEAR(Y$37)-$G44)=0,$C44*(1-$F44*$H44),$C44*(1-$F44*$H44)*(1-$F44)^(YEAR(Y$37)-$G44)))))</f>
        <v/>
      </c>
      <c r="AA44" s="171">
        <f>IF(OR($C44="",$D44=""),0,IF(AND($E44&lt;&gt;"",$E44&lt;=AA$37),0,IF((YEAR(AA$37)-$G44)&lt;0,0,IF((YEAR(AA$37)-$G44)=0,$C44*$F44*$H44,$C44*(1-$F44*$H44)*(1-$F44)^((YEAR(AA$37)-$G44)-1)*$F44))))</f>
        <v/>
      </c>
      <c r="AB44" s="172">
        <f>IF($C44="",0,IF(AND($E44&lt;&gt;"",$E44&lt;=AA$37),0,IF(OR($D44="",$D44&gt;AA$37),$C44,IF((YEAR(AA$37)-$G44)=0,$C44*(1-$F44*$H44),$C44*(1-$F44*$H44)*(1-$F44)^(YEAR(AA$37)-$G44)))))</f>
        <v/>
      </c>
      <c r="AC44" s="171">
        <f>IF(OR($C44="",$D44=""),0,IF(AND($E44&lt;&gt;"",$E44&lt;=AC$37),0,IF((YEAR(AC$37)-$G44)&lt;0,0,IF((YEAR(AC$37)-$G44)=0,$C44*$F44*$H44,$C44*(1-$F44*$H44)*(1-$F44)^((YEAR(AC$37)-$G44)-1)*$F44))))</f>
        <v/>
      </c>
      <c r="AD44" s="172">
        <f>IF($C44="",0,IF(AND($E44&lt;&gt;"",$E44&lt;=AC$37),0,IF(OR($D44="",$D44&gt;AC$37),$C44,IF((YEAR(AC$37)-$G44)=0,$C44*(1-$F44*$H44),$C44*(1-$F44*$H44)*(1-$F44)^(YEAR(AC$37)-$G44)))))</f>
        <v/>
      </c>
      <c r="AE44" s="171">
        <f>IF(OR($C44="",$D44=""),0,IF(AND($E44&lt;&gt;"",$E44&lt;=AE$37),0,IF((YEAR(AE$37)-$G44)&lt;0,0,IF((YEAR(AE$37)-$G44)=0,$C44*$F44*$H44,$C44*(1-$F44*$H44)*(1-$F44)^((YEAR(AE$37)-$G44)-1)*$F44))))</f>
        <v/>
      </c>
      <c r="AF44" s="172">
        <f>IF($C44="",0,IF(AND($E44&lt;&gt;"",$E44&lt;=AE$37),0,IF(OR($D44="",$D44&gt;AE$37),$C44,IF((YEAR(AE$37)-$G44)=0,$C44*(1-$F44*$H44),$C44*(1-$F44*$H44)*(1-$F44)^(YEAR(AE$37)-$G44)))))</f>
        <v/>
      </c>
      <c r="AG44" s="171">
        <f>IF(OR($C44="",$D44=""),0,IF(AND($E44&lt;&gt;"",$E44&lt;=AG$37),0,IF((YEAR(AG$37)-$G44)&lt;0,0,IF((YEAR(AG$37)-$G44)=0,$C44*$F44*$H44,$C44*(1-$F44*$H44)*(1-$F44)^((YEAR(AG$37)-$G44)-1)*$F44))))</f>
        <v/>
      </c>
      <c r="AH44" s="172">
        <f>IF($C44="",0,IF(AND($E44&lt;&gt;"",$E44&lt;=AG$37),0,IF(OR($D44="",$D44&gt;AG$37),$C44,IF((YEAR(AG$37)-$G44)=0,$C44*(1-$F44*$H44),$C44*(1-$F44*$H44)*(1-$F44)^(YEAR(AG$37)-$G44)))))</f>
        <v/>
      </c>
      <c r="AI44" s="171">
        <f>IF(OR($C44="",$D44=""),0,IF(AND($E44&lt;&gt;"",$E44&lt;=AI$37),0,IF((YEAR(AI$37)-$G44)&lt;0,0,IF((YEAR(AI$37)-$G44)=0,$C44*$F44*$H44,$C44*(1-$F44*$H44)*(1-$F44)^((YEAR(AI$37)-$G44)-1)*$F44))))</f>
        <v/>
      </c>
      <c r="AJ44" s="172">
        <f>IF($C44="",0,IF(AND($E44&lt;&gt;"",$E44&lt;=AI$37),0,IF(OR($D44="",$D44&gt;AI$37),$C44,IF((YEAR(AI$37)-$G44)=0,$C44*(1-$F44*$H44),$C44*(1-$F44*$H44)*(1-$F44)^(YEAR(AI$37)-$G44)))))</f>
        <v/>
      </c>
      <c r="AK44" s="171">
        <f>IF(OR($C44="",$D44=""),0,IF(AND($E44&lt;&gt;"",$E44&lt;=AK$37),0,IF((YEAR(AK$37)-$G44)&lt;0,0,IF((YEAR(AK$37)-$G44)=0,$C44*$F44*$H44,$C44*(1-$F44*$H44)*(1-$F44)^((YEAR(AK$37)-$G44)-1)*$F44))))</f>
        <v/>
      </c>
      <c r="AL44" s="172">
        <f>IF($C44="",0,IF(AND($E44&lt;&gt;"",$E44&lt;=AK$37),0,IF(OR($D44="",$D44&gt;AK$37),$C44,IF((YEAR(AK$37)-$G44)=0,$C44*(1-$F44*$H44),$C44*(1-$F44*$H44)*(1-$F44)^(YEAR(AK$37)-$G44)))))</f>
        <v/>
      </c>
      <c r="AM44" s="171">
        <f>IF(OR($C44="",$D44=""),0,IF(AND($E44&lt;&gt;"",$E44&lt;=AM$37),0,IF((YEAR(AM$37)-$G44)&lt;0,0,IF((YEAR(AM$37)-$G44)=0,$C44*$F44*$H44,$C44*(1-$F44*$H44)*(1-$F44)^((YEAR(AM$37)-$G44)-1)*$F44))))</f>
        <v/>
      </c>
      <c r="AN44" s="172">
        <f>IF($C44="",0,IF(AND($E44&lt;&gt;"",$E44&lt;=AM$37),0,IF(OR($D44="",$D44&gt;AM$37),$C44,IF((YEAR(AM$37)-$G44)=0,$C44*(1-$F44*$H44),$C44*(1-$F44*$H44)*(1-$F44)^(YEAR(AM$37)-$G44)))))</f>
        <v/>
      </c>
    </row>
    <row r="45">
      <c r="B45" s="132">
        <f>IF(FAR!K12="","",FAR!B12)</f>
        <v/>
      </c>
      <c r="C45" s="81">
        <f>IF(FAR!K12="","",FAR!K12)</f>
        <v/>
      </c>
      <c r="D45" s="134">
        <f>IF(FAR!H12="","",FAR!H12)</f>
        <v/>
      </c>
      <c r="E45" s="136">
        <f>IF(FAR!I12="","",FAR!I12)</f>
        <v/>
      </c>
      <c r="F45" s="173">
        <f>IF(FAR!C12="",0,IFERROR(VLOOKUP(FAR!C12,ScheduleIITable,6,FALSE),0))</f>
        <v/>
      </c>
      <c r="G45" s="135">
        <f>IF($D45="","",YEAR($D45)+IF(MONTH($D45)&gt;=4,1,0))</f>
        <v/>
      </c>
      <c r="H45" s="174">
        <f>IF($D45="","",IF((DATE($G45,3,31)-$D45+1)&gt;=180,1,0.5))</f>
        <v/>
      </c>
      <c r="I45" s="175">
        <f>IF(OR($C45="",$D45=""),0,IF(AND($E45&lt;&gt;"",$E45&lt;=I$37),0,IF((YEAR(I$37)-$G45)&lt;0,0,IF((YEAR(I$37)-$G45)=0,$C45*$F45*$H45,$C45*(1-$F45*$H45)*(1-$F45)^((YEAR(I$37)-$G45)-1)*$F45))))</f>
        <v/>
      </c>
      <c r="J45" s="175">
        <f>IF($C45="",0,IF(AND($E45&lt;&gt;"",$E45&lt;=I$37),0,IF(OR($D45="",$D45&gt;I$37),$C45,IF((YEAR(I$37)-$G45)=0,$C45*(1-$F45*$H45),$C45*(1-$F45*$H45)*(1-$F45)^(YEAR(I$37)-$G45)))))</f>
        <v/>
      </c>
      <c r="K45" s="175">
        <f>IF(OR($C45="",$D45=""),0,IF(AND($E45&lt;&gt;"",$E45&lt;=K$37),0,IF((YEAR(K$37)-$G45)&lt;0,0,IF((YEAR(K$37)-$G45)=0,$C45*$F45*$H45,$C45*(1-$F45*$H45)*(1-$F45)^((YEAR(K$37)-$G45)-1)*$F45))))</f>
        <v/>
      </c>
      <c r="L45" s="175">
        <f>IF($C45="",0,IF(AND($E45&lt;&gt;"",$E45&lt;=K$37),0,IF(OR($D45="",$D45&gt;K$37),$C45,IF((YEAR(K$37)-$G45)=0,$C45*(1-$F45*$H45),$C45*(1-$F45*$H45)*(1-$F45)^(YEAR(K$37)-$G45)))))</f>
        <v/>
      </c>
      <c r="M45" s="175">
        <f>IF(OR($C45="",$D45=""),0,IF(AND($E45&lt;&gt;"",$E45&lt;=M$37),0,IF((YEAR(M$37)-$G45)&lt;0,0,IF((YEAR(M$37)-$G45)=0,$C45*$F45*$H45,$C45*(1-$F45*$H45)*(1-$F45)^((YEAR(M$37)-$G45)-1)*$F45))))</f>
        <v/>
      </c>
      <c r="N45" s="175">
        <f>IF($C45="",0,IF(AND($E45&lt;&gt;"",$E45&lt;=M$37),0,IF(OR($D45="",$D45&gt;M$37),$C45,IF((YEAR(M$37)-$G45)=0,$C45*(1-$F45*$H45),$C45*(1-$F45*$H45)*(1-$F45)^(YEAR(M$37)-$G45)))))</f>
        <v/>
      </c>
      <c r="O45" s="175">
        <f>IF(OR($C45="",$D45=""),0,IF(AND($E45&lt;&gt;"",$E45&lt;=O$37),0,IF((YEAR(O$37)-$G45)&lt;0,0,IF((YEAR(O$37)-$G45)=0,$C45*$F45*$H45,$C45*(1-$F45*$H45)*(1-$F45)^((YEAR(O$37)-$G45)-1)*$F45))))</f>
        <v/>
      </c>
      <c r="P45" s="175">
        <f>IF($C45="",0,IF(AND($E45&lt;&gt;"",$E45&lt;=O$37),0,IF(OR($D45="",$D45&gt;O$37),$C45,IF((YEAR(O$37)-$G45)=0,$C45*(1-$F45*$H45),$C45*(1-$F45*$H45)*(1-$F45)^(YEAR(O$37)-$G45)))))</f>
        <v/>
      </c>
      <c r="Q45" s="175">
        <f>IF(OR($C45="",$D45=""),0,IF(AND($E45&lt;&gt;"",$E45&lt;=Q$37),0,IF((YEAR(Q$37)-$G45)&lt;0,0,IF((YEAR(Q$37)-$G45)=0,$C45*$F45*$H45,$C45*(1-$F45*$H45)*(1-$F45)^((YEAR(Q$37)-$G45)-1)*$F45))))</f>
        <v/>
      </c>
      <c r="R45" s="175">
        <f>IF($C45="",0,IF(AND($E45&lt;&gt;"",$E45&lt;=Q$37),0,IF(OR($D45="",$D45&gt;Q$37),$C45,IF((YEAR(Q$37)-$G45)=0,$C45*(1-$F45*$H45),$C45*(1-$F45*$H45)*(1-$F45)^(YEAR(Q$37)-$G45)))))</f>
        <v/>
      </c>
      <c r="S45" s="175">
        <f>IF(OR($C45="",$D45=""),0,IF(AND($E45&lt;&gt;"",$E45&lt;=S$37),0,IF((YEAR(S$37)-$G45)&lt;0,0,IF((YEAR(S$37)-$G45)=0,$C45*$F45*$H45,$C45*(1-$F45*$H45)*(1-$F45)^((YEAR(S$37)-$G45)-1)*$F45))))</f>
        <v/>
      </c>
      <c r="T45" s="175">
        <f>IF($C45="",0,IF(AND($E45&lt;&gt;"",$E45&lt;=S$37),0,IF(OR($D45="",$D45&gt;S$37),$C45,IF((YEAR(S$37)-$G45)=0,$C45*(1-$F45*$H45),$C45*(1-$F45*$H45)*(1-$F45)^(YEAR(S$37)-$G45)))))</f>
        <v/>
      </c>
      <c r="U45" s="175">
        <f>IF(OR($C45="",$D45=""),0,IF(AND($E45&lt;&gt;"",$E45&lt;=U$37),0,IF((YEAR(U$37)-$G45)&lt;0,0,IF((YEAR(U$37)-$G45)=0,$C45*$F45*$H45,$C45*(1-$F45*$H45)*(1-$F45)^((YEAR(U$37)-$G45)-1)*$F45))))</f>
        <v/>
      </c>
      <c r="V45" s="175">
        <f>IF($C45="",0,IF(AND($E45&lt;&gt;"",$E45&lt;=U$37),0,IF(OR($D45="",$D45&gt;U$37),$C45,IF((YEAR(U$37)-$G45)=0,$C45*(1-$F45*$H45),$C45*(1-$F45*$H45)*(1-$F45)^(YEAR(U$37)-$G45)))))</f>
        <v/>
      </c>
      <c r="W45" s="175">
        <f>IF(OR($C45="",$D45=""),0,IF(AND($E45&lt;&gt;"",$E45&lt;=W$37),0,IF((YEAR(W$37)-$G45)&lt;0,0,IF((YEAR(W$37)-$G45)=0,$C45*$F45*$H45,$C45*(1-$F45*$H45)*(1-$F45)^((YEAR(W$37)-$G45)-1)*$F45))))</f>
        <v/>
      </c>
      <c r="X45" s="175">
        <f>IF($C45="",0,IF(AND($E45&lt;&gt;"",$E45&lt;=W$37),0,IF(OR($D45="",$D45&gt;W$37),$C45,IF((YEAR(W$37)-$G45)=0,$C45*(1-$F45*$H45),$C45*(1-$F45*$H45)*(1-$F45)^(YEAR(W$37)-$G45)))))</f>
        <v/>
      </c>
      <c r="Y45" s="175">
        <f>IF(OR($C45="",$D45=""),0,IF(AND($E45&lt;&gt;"",$E45&lt;=Y$37),0,IF((YEAR(Y$37)-$G45)&lt;0,0,IF((YEAR(Y$37)-$G45)=0,$C45*$F45*$H45,$C45*(1-$F45*$H45)*(1-$F45)^((YEAR(Y$37)-$G45)-1)*$F45))))</f>
        <v/>
      </c>
      <c r="Z45" s="175">
        <f>IF($C45="",0,IF(AND($E45&lt;&gt;"",$E45&lt;=Y$37),0,IF(OR($D45="",$D45&gt;Y$37),$C45,IF((YEAR(Y$37)-$G45)=0,$C45*(1-$F45*$H45),$C45*(1-$F45*$H45)*(1-$F45)^(YEAR(Y$37)-$G45)))))</f>
        <v/>
      </c>
      <c r="AA45" s="175">
        <f>IF(OR($C45="",$D45=""),0,IF(AND($E45&lt;&gt;"",$E45&lt;=AA$37),0,IF((YEAR(AA$37)-$G45)&lt;0,0,IF((YEAR(AA$37)-$G45)=0,$C45*$F45*$H45,$C45*(1-$F45*$H45)*(1-$F45)^((YEAR(AA$37)-$G45)-1)*$F45))))</f>
        <v/>
      </c>
      <c r="AB45" s="175">
        <f>IF($C45="",0,IF(AND($E45&lt;&gt;"",$E45&lt;=AA$37),0,IF(OR($D45="",$D45&gt;AA$37),$C45,IF((YEAR(AA$37)-$G45)=0,$C45*(1-$F45*$H45),$C45*(1-$F45*$H45)*(1-$F45)^(YEAR(AA$37)-$G45)))))</f>
        <v/>
      </c>
      <c r="AC45" s="175">
        <f>IF(OR($C45="",$D45=""),0,IF(AND($E45&lt;&gt;"",$E45&lt;=AC$37),0,IF((YEAR(AC$37)-$G45)&lt;0,0,IF((YEAR(AC$37)-$G45)=0,$C45*$F45*$H45,$C45*(1-$F45*$H45)*(1-$F45)^((YEAR(AC$37)-$G45)-1)*$F45))))</f>
        <v/>
      </c>
      <c r="AD45" s="175">
        <f>IF($C45="",0,IF(AND($E45&lt;&gt;"",$E45&lt;=AC$37),0,IF(OR($D45="",$D45&gt;AC$37),$C45,IF((YEAR(AC$37)-$G45)=0,$C45*(1-$F45*$H45),$C45*(1-$F45*$H45)*(1-$F45)^(YEAR(AC$37)-$G45)))))</f>
        <v/>
      </c>
      <c r="AE45" s="175">
        <f>IF(OR($C45="",$D45=""),0,IF(AND($E45&lt;&gt;"",$E45&lt;=AE$37),0,IF((YEAR(AE$37)-$G45)&lt;0,0,IF((YEAR(AE$37)-$G45)=0,$C45*$F45*$H45,$C45*(1-$F45*$H45)*(1-$F45)^((YEAR(AE$37)-$G45)-1)*$F45))))</f>
        <v/>
      </c>
      <c r="AF45" s="175">
        <f>IF($C45="",0,IF(AND($E45&lt;&gt;"",$E45&lt;=AE$37),0,IF(OR($D45="",$D45&gt;AE$37),$C45,IF((YEAR(AE$37)-$G45)=0,$C45*(1-$F45*$H45),$C45*(1-$F45*$H45)*(1-$F45)^(YEAR(AE$37)-$G45)))))</f>
        <v/>
      </c>
      <c r="AG45" s="175">
        <f>IF(OR($C45="",$D45=""),0,IF(AND($E45&lt;&gt;"",$E45&lt;=AG$37),0,IF((YEAR(AG$37)-$G45)&lt;0,0,IF((YEAR(AG$37)-$G45)=0,$C45*$F45*$H45,$C45*(1-$F45*$H45)*(1-$F45)^((YEAR(AG$37)-$G45)-1)*$F45))))</f>
        <v/>
      </c>
      <c r="AH45" s="175">
        <f>IF($C45="",0,IF(AND($E45&lt;&gt;"",$E45&lt;=AG$37),0,IF(OR($D45="",$D45&gt;AG$37),$C45,IF((YEAR(AG$37)-$G45)=0,$C45*(1-$F45*$H45),$C45*(1-$F45*$H45)*(1-$F45)^(YEAR(AG$37)-$G45)))))</f>
        <v/>
      </c>
      <c r="AI45" s="175">
        <f>IF(OR($C45="",$D45=""),0,IF(AND($E45&lt;&gt;"",$E45&lt;=AI$37),0,IF((YEAR(AI$37)-$G45)&lt;0,0,IF((YEAR(AI$37)-$G45)=0,$C45*$F45*$H45,$C45*(1-$F45*$H45)*(1-$F45)^((YEAR(AI$37)-$G45)-1)*$F45))))</f>
        <v/>
      </c>
      <c r="AJ45" s="175">
        <f>IF($C45="",0,IF(AND($E45&lt;&gt;"",$E45&lt;=AI$37),0,IF(OR($D45="",$D45&gt;AI$37),$C45,IF((YEAR(AI$37)-$G45)=0,$C45*(1-$F45*$H45),$C45*(1-$F45*$H45)*(1-$F45)^(YEAR(AI$37)-$G45)))))</f>
        <v/>
      </c>
      <c r="AK45" s="175">
        <f>IF(OR($C45="",$D45=""),0,IF(AND($E45&lt;&gt;"",$E45&lt;=AK$37),0,IF((YEAR(AK$37)-$G45)&lt;0,0,IF((YEAR(AK$37)-$G45)=0,$C45*$F45*$H45,$C45*(1-$F45*$H45)*(1-$F45)^((YEAR(AK$37)-$G45)-1)*$F45))))</f>
        <v/>
      </c>
      <c r="AL45" s="175">
        <f>IF($C45="",0,IF(AND($E45&lt;&gt;"",$E45&lt;=AK$37),0,IF(OR($D45="",$D45&gt;AK$37),$C45,IF((YEAR(AK$37)-$G45)=0,$C45*(1-$F45*$H45),$C45*(1-$F45*$H45)*(1-$F45)^(YEAR(AK$37)-$G45)))))</f>
        <v/>
      </c>
      <c r="AM45" s="175">
        <f>IF(OR($C45="",$D45=""),0,IF(AND($E45&lt;&gt;"",$E45&lt;=AM$37),0,IF((YEAR(AM$37)-$G45)&lt;0,0,IF((YEAR(AM$37)-$G45)=0,$C45*$F45*$H45,$C45*(1-$F45*$H45)*(1-$F45)^((YEAR(AM$37)-$G45)-1)*$F45))))</f>
        <v/>
      </c>
      <c r="AN45" s="175">
        <f>IF($C45="",0,IF(AND($E45&lt;&gt;"",$E45&lt;=AM$37),0,IF(OR($D45="",$D45&gt;AM$37),$C45,IF((YEAR(AM$37)-$G45)=0,$C45*(1-$F45*$H45),$C45*(1-$F45*$H45)*(1-$F45)^(YEAR(AM$37)-$G45)))))</f>
        <v/>
      </c>
    </row>
    <row r="46">
      <c r="B46" s="126">
        <f>IF(FAR!K13="","",FAR!B13)</f>
        <v/>
      </c>
      <c r="C46" s="63">
        <f>IF(FAR!K13="","",FAR!K13)</f>
        <v/>
      </c>
      <c r="D46" s="128">
        <f>IF(FAR!H13="","",FAR!H13)</f>
        <v/>
      </c>
      <c r="E46" s="130">
        <f>IF(FAR!I13="","",FAR!I13)</f>
        <v/>
      </c>
      <c r="F46" s="169">
        <f>IF(FAR!C13="",0,IFERROR(VLOOKUP(FAR!C13,ScheduleIITable,6,FALSE),0))</f>
        <v/>
      </c>
      <c r="G46" s="129">
        <f>IF($D46="","",YEAR($D46)+IF(MONTH($D46)&gt;=4,1,0))</f>
        <v/>
      </c>
      <c r="H46" s="170">
        <f>IF($D46="","",IF((DATE($G46,3,31)-$D46+1)&gt;=180,1,0.5))</f>
        <v/>
      </c>
      <c r="I46" s="171">
        <f>IF(OR($C46="",$D46=""),0,IF(AND($E46&lt;&gt;"",$E46&lt;=I$37),0,IF((YEAR(I$37)-$G46)&lt;0,0,IF((YEAR(I$37)-$G46)=0,$C46*$F46*$H46,$C46*(1-$F46*$H46)*(1-$F46)^((YEAR(I$37)-$G46)-1)*$F46))))</f>
        <v/>
      </c>
      <c r="J46" s="172">
        <f>IF($C46="",0,IF(AND($E46&lt;&gt;"",$E46&lt;=I$37),0,IF(OR($D46="",$D46&gt;I$37),$C46,IF((YEAR(I$37)-$G46)=0,$C46*(1-$F46*$H46),$C46*(1-$F46*$H46)*(1-$F46)^(YEAR(I$37)-$G46)))))</f>
        <v/>
      </c>
      <c r="K46" s="171">
        <f>IF(OR($C46="",$D46=""),0,IF(AND($E46&lt;&gt;"",$E46&lt;=K$37),0,IF((YEAR(K$37)-$G46)&lt;0,0,IF((YEAR(K$37)-$G46)=0,$C46*$F46*$H46,$C46*(1-$F46*$H46)*(1-$F46)^((YEAR(K$37)-$G46)-1)*$F46))))</f>
        <v/>
      </c>
      <c r="L46" s="172">
        <f>IF($C46="",0,IF(AND($E46&lt;&gt;"",$E46&lt;=K$37),0,IF(OR($D46="",$D46&gt;K$37),$C46,IF((YEAR(K$37)-$G46)=0,$C46*(1-$F46*$H46),$C46*(1-$F46*$H46)*(1-$F46)^(YEAR(K$37)-$G46)))))</f>
        <v/>
      </c>
      <c r="M46" s="171">
        <f>IF(OR($C46="",$D46=""),0,IF(AND($E46&lt;&gt;"",$E46&lt;=M$37),0,IF((YEAR(M$37)-$G46)&lt;0,0,IF((YEAR(M$37)-$G46)=0,$C46*$F46*$H46,$C46*(1-$F46*$H46)*(1-$F46)^((YEAR(M$37)-$G46)-1)*$F46))))</f>
        <v/>
      </c>
      <c r="N46" s="172">
        <f>IF($C46="",0,IF(AND($E46&lt;&gt;"",$E46&lt;=M$37),0,IF(OR($D46="",$D46&gt;M$37),$C46,IF((YEAR(M$37)-$G46)=0,$C46*(1-$F46*$H46),$C46*(1-$F46*$H46)*(1-$F46)^(YEAR(M$37)-$G46)))))</f>
        <v/>
      </c>
      <c r="O46" s="171">
        <f>IF(OR($C46="",$D46=""),0,IF(AND($E46&lt;&gt;"",$E46&lt;=O$37),0,IF((YEAR(O$37)-$G46)&lt;0,0,IF((YEAR(O$37)-$G46)=0,$C46*$F46*$H46,$C46*(1-$F46*$H46)*(1-$F46)^((YEAR(O$37)-$G46)-1)*$F46))))</f>
        <v/>
      </c>
      <c r="P46" s="172">
        <f>IF($C46="",0,IF(AND($E46&lt;&gt;"",$E46&lt;=O$37),0,IF(OR($D46="",$D46&gt;O$37),$C46,IF((YEAR(O$37)-$G46)=0,$C46*(1-$F46*$H46),$C46*(1-$F46*$H46)*(1-$F46)^(YEAR(O$37)-$G46)))))</f>
        <v/>
      </c>
      <c r="Q46" s="171">
        <f>IF(OR($C46="",$D46=""),0,IF(AND($E46&lt;&gt;"",$E46&lt;=Q$37),0,IF((YEAR(Q$37)-$G46)&lt;0,0,IF((YEAR(Q$37)-$G46)=0,$C46*$F46*$H46,$C46*(1-$F46*$H46)*(1-$F46)^((YEAR(Q$37)-$G46)-1)*$F46))))</f>
        <v/>
      </c>
      <c r="R46" s="172">
        <f>IF($C46="",0,IF(AND($E46&lt;&gt;"",$E46&lt;=Q$37),0,IF(OR($D46="",$D46&gt;Q$37),$C46,IF((YEAR(Q$37)-$G46)=0,$C46*(1-$F46*$H46),$C46*(1-$F46*$H46)*(1-$F46)^(YEAR(Q$37)-$G46)))))</f>
        <v/>
      </c>
      <c r="S46" s="171">
        <f>IF(OR($C46="",$D46=""),0,IF(AND($E46&lt;&gt;"",$E46&lt;=S$37),0,IF((YEAR(S$37)-$G46)&lt;0,0,IF((YEAR(S$37)-$G46)=0,$C46*$F46*$H46,$C46*(1-$F46*$H46)*(1-$F46)^((YEAR(S$37)-$G46)-1)*$F46))))</f>
        <v/>
      </c>
      <c r="T46" s="172">
        <f>IF($C46="",0,IF(AND($E46&lt;&gt;"",$E46&lt;=S$37),0,IF(OR($D46="",$D46&gt;S$37),$C46,IF((YEAR(S$37)-$G46)=0,$C46*(1-$F46*$H46),$C46*(1-$F46*$H46)*(1-$F46)^(YEAR(S$37)-$G46)))))</f>
        <v/>
      </c>
      <c r="U46" s="171">
        <f>IF(OR($C46="",$D46=""),0,IF(AND($E46&lt;&gt;"",$E46&lt;=U$37),0,IF((YEAR(U$37)-$G46)&lt;0,0,IF((YEAR(U$37)-$G46)=0,$C46*$F46*$H46,$C46*(1-$F46*$H46)*(1-$F46)^((YEAR(U$37)-$G46)-1)*$F46))))</f>
        <v/>
      </c>
      <c r="V46" s="172">
        <f>IF($C46="",0,IF(AND($E46&lt;&gt;"",$E46&lt;=U$37),0,IF(OR($D46="",$D46&gt;U$37),$C46,IF((YEAR(U$37)-$G46)=0,$C46*(1-$F46*$H46),$C46*(1-$F46*$H46)*(1-$F46)^(YEAR(U$37)-$G46)))))</f>
        <v/>
      </c>
      <c r="W46" s="171">
        <f>IF(OR($C46="",$D46=""),0,IF(AND($E46&lt;&gt;"",$E46&lt;=W$37),0,IF((YEAR(W$37)-$G46)&lt;0,0,IF((YEAR(W$37)-$G46)=0,$C46*$F46*$H46,$C46*(1-$F46*$H46)*(1-$F46)^((YEAR(W$37)-$G46)-1)*$F46))))</f>
        <v/>
      </c>
      <c r="X46" s="172">
        <f>IF($C46="",0,IF(AND($E46&lt;&gt;"",$E46&lt;=W$37),0,IF(OR($D46="",$D46&gt;W$37),$C46,IF((YEAR(W$37)-$G46)=0,$C46*(1-$F46*$H46),$C46*(1-$F46*$H46)*(1-$F46)^(YEAR(W$37)-$G46)))))</f>
        <v/>
      </c>
      <c r="Y46" s="171">
        <f>IF(OR($C46="",$D46=""),0,IF(AND($E46&lt;&gt;"",$E46&lt;=Y$37),0,IF((YEAR(Y$37)-$G46)&lt;0,0,IF((YEAR(Y$37)-$G46)=0,$C46*$F46*$H46,$C46*(1-$F46*$H46)*(1-$F46)^((YEAR(Y$37)-$G46)-1)*$F46))))</f>
        <v/>
      </c>
      <c r="Z46" s="172">
        <f>IF($C46="",0,IF(AND($E46&lt;&gt;"",$E46&lt;=Y$37),0,IF(OR($D46="",$D46&gt;Y$37),$C46,IF((YEAR(Y$37)-$G46)=0,$C46*(1-$F46*$H46),$C46*(1-$F46*$H46)*(1-$F46)^(YEAR(Y$37)-$G46)))))</f>
        <v/>
      </c>
      <c r="AA46" s="171">
        <f>IF(OR($C46="",$D46=""),0,IF(AND($E46&lt;&gt;"",$E46&lt;=AA$37),0,IF((YEAR(AA$37)-$G46)&lt;0,0,IF((YEAR(AA$37)-$G46)=0,$C46*$F46*$H46,$C46*(1-$F46*$H46)*(1-$F46)^((YEAR(AA$37)-$G46)-1)*$F46))))</f>
        <v/>
      </c>
      <c r="AB46" s="172">
        <f>IF($C46="",0,IF(AND($E46&lt;&gt;"",$E46&lt;=AA$37),0,IF(OR($D46="",$D46&gt;AA$37),$C46,IF((YEAR(AA$37)-$G46)=0,$C46*(1-$F46*$H46),$C46*(1-$F46*$H46)*(1-$F46)^(YEAR(AA$37)-$G46)))))</f>
        <v/>
      </c>
      <c r="AC46" s="171">
        <f>IF(OR($C46="",$D46=""),0,IF(AND($E46&lt;&gt;"",$E46&lt;=AC$37),0,IF((YEAR(AC$37)-$G46)&lt;0,0,IF((YEAR(AC$37)-$G46)=0,$C46*$F46*$H46,$C46*(1-$F46*$H46)*(1-$F46)^((YEAR(AC$37)-$G46)-1)*$F46))))</f>
        <v/>
      </c>
      <c r="AD46" s="172">
        <f>IF($C46="",0,IF(AND($E46&lt;&gt;"",$E46&lt;=AC$37),0,IF(OR($D46="",$D46&gt;AC$37),$C46,IF((YEAR(AC$37)-$G46)=0,$C46*(1-$F46*$H46),$C46*(1-$F46*$H46)*(1-$F46)^(YEAR(AC$37)-$G46)))))</f>
        <v/>
      </c>
      <c r="AE46" s="171">
        <f>IF(OR($C46="",$D46=""),0,IF(AND($E46&lt;&gt;"",$E46&lt;=AE$37),0,IF((YEAR(AE$37)-$G46)&lt;0,0,IF((YEAR(AE$37)-$G46)=0,$C46*$F46*$H46,$C46*(1-$F46*$H46)*(1-$F46)^((YEAR(AE$37)-$G46)-1)*$F46))))</f>
        <v/>
      </c>
      <c r="AF46" s="172">
        <f>IF($C46="",0,IF(AND($E46&lt;&gt;"",$E46&lt;=AE$37),0,IF(OR($D46="",$D46&gt;AE$37),$C46,IF((YEAR(AE$37)-$G46)=0,$C46*(1-$F46*$H46),$C46*(1-$F46*$H46)*(1-$F46)^(YEAR(AE$37)-$G46)))))</f>
        <v/>
      </c>
      <c r="AG46" s="171">
        <f>IF(OR($C46="",$D46=""),0,IF(AND($E46&lt;&gt;"",$E46&lt;=AG$37),0,IF((YEAR(AG$37)-$G46)&lt;0,0,IF((YEAR(AG$37)-$G46)=0,$C46*$F46*$H46,$C46*(1-$F46*$H46)*(1-$F46)^((YEAR(AG$37)-$G46)-1)*$F46))))</f>
        <v/>
      </c>
      <c r="AH46" s="172">
        <f>IF($C46="",0,IF(AND($E46&lt;&gt;"",$E46&lt;=AG$37),0,IF(OR($D46="",$D46&gt;AG$37),$C46,IF((YEAR(AG$37)-$G46)=0,$C46*(1-$F46*$H46),$C46*(1-$F46*$H46)*(1-$F46)^(YEAR(AG$37)-$G46)))))</f>
        <v/>
      </c>
      <c r="AI46" s="171">
        <f>IF(OR($C46="",$D46=""),0,IF(AND($E46&lt;&gt;"",$E46&lt;=AI$37),0,IF((YEAR(AI$37)-$G46)&lt;0,0,IF((YEAR(AI$37)-$G46)=0,$C46*$F46*$H46,$C46*(1-$F46*$H46)*(1-$F46)^((YEAR(AI$37)-$G46)-1)*$F46))))</f>
        <v/>
      </c>
      <c r="AJ46" s="172">
        <f>IF($C46="",0,IF(AND($E46&lt;&gt;"",$E46&lt;=AI$37),0,IF(OR($D46="",$D46&gt;AI$37),$C46,IF((YEAR(AI$37)-$G46)=0,$C46*(1-$F46*$H46),$C46*(1-$F46*$H46)*(1-$F46)^(YEAR(AI$37)-$G46)))))</f>
        <v/>
      </c>
      <c r="AK46" s="171">
        <f>IF(OR($C46="",$D46=""),0,IF(AND($E46&lt;&gt;"",$E46&lt;=AK$37),0,IF((YEAR(AK$37)-$G46)&lt;0,0,IF((YEAR(AK$37)-$G46)=0,$C46*$F46*$H46,$C46*(1-$F46*$H46)*(1-$F46)^((YEAR(AK$37)-$G46)-1)*$F46))))</f>
        <v/>
      </c>
      <c r="AL46" s="172">
        <f>IF($C46="",0,IF(AND($E46&lt;&gt;"",$E46&lt;=AK$37),0,IF(OR($D46="",$D46&gt;AK$37),$C46,IF((YEAR(AK$37)-$G46)=0,$C46*(1-$F46*$H46),$C46*(1-$F46*$H46)*(1-$F46)^(YEAR(AK$37)-$G46)))))</f>
        <v/>
      </c>
      <c r="AM46" s="171">
        <f>IF(OR($C46="",$D46=""),0,IF(AND($E46&lt;&gt;"",$E46&lt;=AM$37),0,IF((YEAR(AM$37)-$G46)&lt;0,0,IF((YEAR(AM$37)-$G46)=0,$C46*$F46*$H46,$C46*(1-$F46*$H46)*(1-$F46)^((YEAR(AM$37)-$G46)-1)*$F46))))</f>
        <v/>
      </c>
      <c r="AN46" s="172">
        <f>IF($C46="",0,IF(AND($E46&lt;&gt;"",$E46&lt;=AM$37),0,IF(OR($D46="",$D46&gt;AM$37),$C46,IF((YEAR(AM$37)-$G46)=0,$C46*(1-$F46*$H46),$C46*(1-$F46*$H46)*(1-$F46)^(YEAR(AM$37)-$G46)))))</f>
        <v/>
      </c>
    </row>
    <row r="47">
      <c r="B47" s="132">
        <f>IF(FAR!K14="","",FAR!B14)</f>
        <v/>
      </c>
      <c r="C47" s="81">
        <f>IF(FAR!K14="","",FAR!K14)</f>
        <v/>
      </c>
      <c r="D47" s="134">
        <f>IF(FAR!H14="","",FAR!H14)</f>
        <v/>
      </c>
      <c r="E47" s="136">
        <f>IF(FAR!I14="","",FAR!I14)</f>
        <v/>
      </c>
      <c r="F47" s="173">
        <f>IF(FAR!C14="",0,IFERROR(VLOOKUP(FAR!C14,ScheduleIITable,6,FALSE),0))</f>
        <v/>
      </c>
      <c r="G47" s="135">
        <f>IF($D47="","",YEAR($D47)+IF(MONTH($D47)&gt;=4,1,0))</f>
        <v/>
      </c>
      <c r="H47" s="174">
        <f>IF($D47="","",IF((DATE($G47,3,31)-$D47+1)&gt;=180,1,0.5))</f>
        <v/>
      </c>
      <c r="I47" s="175">
        <f>IF(OR($C47="",$D47=""),0,IF(AND($E47&lt;&gt;"",$E47&lt;=I$37),0,IF((YEAR(I$37)-$G47)&lt;0,0,IF((YEAR(I$37)-$G47)=0,$C47*$F47*$H47,$C47*(1-$F47*$H47)*(1-$F47)^((YEAR(I$37)-$G47)-1)*$F47))))</f>
        <v/>
      </c>
      <c r="J47" s="175">
        <f>IF($C47="",0,IF(AND($E47&lt;&gt;"",$E47&lt;=I$37),0,IF(OR($D47="",$D47&gt;I$37),$C47,IF((YEAR(I$37)-$G47)=0,$C47*(1-$F47*$H47),$C47*(1-$F47*$H47)*(1-$F47)^(YEAR(I$37)-$G47)))))</f>
        <v/>
      </c>
      <c r="K47" s="175">
        <f>IF(OR($C47="",$D47=""),0,IF(AND($E47&lt;&gt;"",$E47&lt;=K$37),0,IF((YEAR(K$37)-$G47)&lt;0,0,IF((YEAR(K$37)-$G47)=0,$C47*$F47*$H47,$C47*(1-$F47*$H47)*(1-$F47)^((YEAR(K$37)-$G47)-1)*$F47))))</f>
        <v/>
      </c>
      <c r="L47" s="175">
        <f>IF($C47="",0,IF(AND($E47&lt;&gt;"",$E47&lt;=K$37),0,IF(OR($D47="",$D47&gt;K$37),$C47,IF((YEAR(K$37)-$G47)=0,$C47*(1-$F47*$H47),$C47*(1-$F47*$H47)*(1-$F47)^(YEAR(K$37)-$G47)))))</f>
        <v/>
      </c>
      <c r="M47" s="175">
        <f>IF(OR($C47="",$D47=""),0,IF(AND($E47&lt;&gt;"",$E47&lt;=M$37),0,IF((YEAR(M$37)-$G47)&lt;0,0,IF((YEAR(M$37)-$G47)=0,$C47*$F47*$H47,$C47*(1-$F47*$H47)*(1-$F47)^((YEAR(M$37)-$G47)-1)*$F47))))</f>
        <v/>
      </c>
      <c r="N47" s="175">
        <f>IF($C47="",0,IF(AND($E47&lt;&gt;"",$E47&lt;=M$37),0,IF(OR($D47="",$D47&gt;M$37),$C47,IF((YEAR(M$37)-$G47)=0,$C47*(1-$F47*$H47),$C47*(1-$F47*$H47)*(1-$F47)^(YEAR(M$37)-$G47)))))</f>
        <v/>
      </c>
      <c r="O47" s="175">
        <f>IF(OR($C47="",$D47=""),0,IF(AND($E47&lt;&gt;"",$E47&lt;=O$37),0,IF((YEAR(O$37)-$G47)&lt;0,0,IF((YEAR(O$37)-$G47)=0,$C47*$F47*$H47,$C47*(1-$F47*$H47)*(1-$F47)^((YEAR(O$37)-$G47)-1)*$F47))))</f>
        <v/>
      </c>
      <c r="P47" s="175">
        <f>IF($C47="",0,IF(AND($E47&lt;&gt;"",$E47&lt;=O$37),0,IF(OR($D47="",$D47&gt;O$37),$C47,IF((YEAR(O$37)-$G47)=0,$C47*(1-$F47*$H47),$C47*(1-$F47*$H47)*(1-$F47)^(YEAR(O$37)-$G47)))))</f>
        <v/>
      </c>
      <c r="Q47" s="175">
        <f>IF(OR($C47="",$D47=""),0,IF(AND($E47&lt;&gt;"",$E47&lt;=Q$37),0,IF((YEAR(Q$37)-$G47)&lt;0,0,IF((YEAR(Q$37)-$G47)=0,$C47*$F47*$H47,$C47*(1-$F47*$H47)*(1-$F47)^((YEAR(Q$37)-$G47)-1)*$F47))))</f>
        <v/>
      </c>
      <c r="R47" s="175">
        <f>IF($C47="",0,IF(AND($E47&lt;&gt;"",$E47&lt;=Q$37),0,IF(OR($D47="",$D47&gt;Q$37),$C47,IF((YEAR(Q$37)-$G47)=0,$C47*(1-$F47*$H47),$C47*(1-$F47*$H47)*(1-$F47)^(YEAR(Q$37)-$G47)))))</f>
        <v/>
      </c>
      <c r="S47" s="175">
        <f>IF(OR($C47="",$D47=""),0,IF(AND($E47&lt;&gt;"",$E47&lt;=S$37),0,IF((YEAR(S$37)-$G47)&lt;0,0,IF((YEAR(S$37)-$G47)=0,$C47*$F47*$H47,$C47*(1-$F47*$H47)*(1-$F47)^((YEAR(S$37)-$G47)-1)*$F47))))</f>
        <v/>
      </c>
      <c r="T47" s="175">
        <f>IF($C47="",0,IF(AND($E47&lt;&gt;"",$E47&lt;=S$37),0,IF(OR($D47="",$D47&gt;S$37),$C47,IF((YEAR(S$37)-$G47)=0,$C47*(1-$F47*$H47),$C47*(1-$F47*$H47)*(1-$F47)^(YEAR(S$37)-$G47)))))</f>
        <v/>
      </c>
      <c r="U47" s="175">
        <f>IF(OR($C47="",$D47=""),0,IF(AND($E47&lt;&gt;"",$E47&lt;=U$37),0,IF((YEAR(U$37)-$G47)&lt;0,0,IF((YEAR(U$37)-$G47)=0,$C47*$F47*$H47,$C47*(1-$F47*$H47)*(1-$F47)^((YEAR(U$37)-$G47)-1)*$F47))))</f>
        <v/>
      </c>
      <c r="V47" s="175">
        <f>IF($C47="",0,IF(AND($E47&lt;&gt;"",$E47&lt;=U$37),0,IF(OR($D47="",$D47&gt;U$37),$C47,IF((YEAR(U$37)-$G47)=0,$C47*(1-$F47*$H47),$C47*(1-$F47*$H47)*(1-$F47)^(YEAR(U$37)-$G47)))))</f>
        <v/>
      </c>
      <c r="W47" s="175">
        <f>IF(OR($C47="",$D47=""),0,IF(AND($E47&lt;&gt;"",$E47&lt;=W$37),0,IF((YEAR(W$37)-$G47)&lt;0,0,IF((YEAR(W$37)-$G47)=0,$C47*$F47*$H47,$C47*(1-$F47*$H47)*(1-$F47)^((YEAR(W$37)-$G47)-1)*$F47))))</f>
        <v/>
      </c>
      <c r="X47" s="175">
        <f>IF($C47="",0,IF(AND($E47&lt;&gt;"",$E47&lt;=W$37),0,IF(OR($D47="",$D47&gt;W$37),$C47,IF((YEAR(W$37)-$G47)=0,$C47*(1-$F47*$H47),$C47*(1-$F47*$H47)*(1-$F47)^(YEAR(W$37)-$G47)))))</f>
        <v/>
      </c>
      <c r="Y47" s="175">
        <f>IF(OR($C47="",$D47=""),0,IF(AND($E47&lt;&gt;"",$E47&lt;=Y$37),0,IF((YEAR(Y$37)-$G47)&lt;0,0,IF((YEAR(Y$37)-$G47)=0,$C47*$F47*$H47,$C47*(1-$F47*$H47)*(1-$F47)^((YEAR(Y$37)-$G47)-1)*$F47))))</f>
        <v/>
      </c>
      <c r="Z47" s="175">
        <f>IF($C47="",0,IF(AND($E47&lt;&gt;"",$E47&lt;=Y$37),0,IF(OR($D47="",$D47&gt;Y$37),$C47,IF((YEAR(Y$37)-$G47)=0,$C47*(1-$F47*$H47),$C47*(1-$F47*$H47)*(1-$F47)^(YEAR(Y$37)-$G47)))))</f>
        <v/>
      </c>
      <c r="AA47" s="175">
        <f>IF(OR($C47="",$D47=""),0,IF(AND($E47&lt;&gt;"",$E47&lt;=AA$37),0,IF((YEAR(AA$37)-$G47)&lt;0,0,IF((YEAR(AA$37)-$G47)=0,$C47*$F47*$H47,$C47*(1-$F47*$H47)*(1-$F47)^((YEAR(AA$37)-$G47)-1)*$F47))))</f>
        <v/>
      </c>
      <c r="AB47" s="175">
        <f>IF($C47="",0,IF(AND($E47&lt;&gt;"",$E47&lt;=AA$37),0,IF(OR($D47="",$D47&gt;AA$37),$C47,IF((YEAR(AA$37)-$G47)=0,$C47*(1-$F47*$H47),$C47*(1-$F47*$H47)*(1-$F47)^(YEAR(AA$37)-$G47)))))</f>
        <v/>
      </c>
      <c r="AC47" s="175">
        <f>IF(OR($C47="",$D47=""),0,IF(AND($E47&lt;&gt;"",$E47&lt;=AC$37),0,IF((YEAR(AC$37)-$G47)&lt;0,0,IF((YEAR(AC$37)-$G47)=0,$C47*$F47*$H47,$C47*(1-$F47*$H47)*(1-$F47)^((YEAR(AC$37)-$G47)-1)*$F47))))</f>
        <v/>
      </c>
      <c r="AD47" s="175">
        <f>IF($C47="",0,IF(AND($E47&lt;&gt;"",$E47&lt;=AC$37),0,IF(OR($D47="",$D47&gt;AC$37),$C47,IF((YEAR(AC$37)-$G47)=0,$C47*(1-$F47*$H47),$C47*(1-$F47*$H47)*(1-$F47)^(YEAR(AC$37)-$G47)))))</f>
        <v/>
      </c>
      <c r="AE47" s="175">
        <f>IF(OR($C47="",$D47=""),0,IF(AND($E47&lt;&gt;"",$E47&lt;=AE$37),0,IF((YEAR(AE$37)-$G47)&lt;0,0,IF((YEAR(AE$37)-$G47)=0,$C47*$F47*$H47,$C47*(1-$F47*$H47)*(1-$F47)^((YEAR(AE$37)-$G47)-1)*$F47))))</f>
        <v/>
      </c>
      <c r="AF47" s="175">
        <f>IF($C47="",0,IF(AND($E47&lt;&gt;"",$E47&lt;=AE$37),0,IF(OR($D47="",$D47&gt;AE$37),$C47,IF((YEAR(AE$37)-$G47)=0,$C47*(1-$F47*$H47),$C47*(1-$F47*$H47)*(1-$F47)^(YEAR(AE$37)-$G47)))))</f>
        <v/>
      </c>
      <c r="AG47" s="175">
        <f>IF(OR($C47="",$D47=""),0,IF(AND($E47&lt;&gt;"",$E47&lt;=AG$37),0,IF((YEAR(AG$37)-$G47)&lt;0,0,IF((YEAR(AG$37)-$G47)=0,$C47*$F47*$H47,$C47*(1-$F47*$H47)*(1-$F47)^((YEAR(AG$37)-$G47)-1)*$F47))))</f>
        <v/>
      </c>
      <c r="AH47" s="175">
        <f>IF($C47="",0,IF(AND($E47&lt;&gt;"",$E47&lt;=AG$37),0,IF(OR($D47="",$D47&gt;AG$37),$C47,IF((YEAR(AG$37)-$G47)=0,$C47*(1-$F47*$H47),$C47*(1-$F47*$H47)*(1-$F47)^(YEAR(AG$37)-$G47)))))</f>
        <v/>
      </c>
      <c r="AI47" s="175">
        <f>IF(OR($C47="",$D47=""),0,IF(AND($E47&lt;&gt;"",$E47&lt;=AI$37),0,IF((YEAR(AI$37)-$G47)&lt;0,0,IF((YEAR(AI$37)-$G47)=0,$C47*$F47*$H47,$C47*(1-$F47*$H47)*(1-$F47)^((YEAR(AI$37)-$G47)-1)*$F47))))</f>
        <v/>
      </c>
      <c r="AJ47" s="175">
        <f>IF($C47="",0,IF(AND($E47&lt;&gt;"",$E47&lt;=AI$37),0,IF(OR($D47="",$D47&gt;AI$37),$C47,IF((YEAR(AI$37)-$G47)=0,$C47*(1-$F47*$H47),$C47*(1-$F47*$H47)*(1-$F47)^(YEAR(AI$37)-$G47)))))</f>
        <v/>
      </c>
      <c r="AK47" s="175">
        <f>IF(OR($C47="",$D47=""),0,IF(AND($E47&lt;&gt;"",$E47&lt;=AK$37),0,IF((YEAR(AK$37)-$G47)&lt;0,0,IF((YEAR(AK$37)-$G47)=0,$C47*$F47*$H47,$C47*(1-$F47*$H47)*(1-$F47)^((YEAR(AK$37)-$G47)-1)*$F47))))</f>
        <v/>
      </c>
      <c r="AL47" s="175">
        <f>IF($C47="",0,IF(AND($E47&lt;&gt;"",$E47&lt;=AK$37),0,IF(OR($D47="",$D47&gt;AK$37),$C47,IF((YEAR(AK$37)-$G47)=0,$C47*(1-$F47*$H47),$C47*(1-$F47*$H47)*(1-$F47)^(YEAR(AK$37)-$G47)))))</f>
        <v/>
      </c>
      <c r="AM47" s="175">
        <f>IF(OR($C47="",$D47=""),0,IF(AND($E47&lt;&gt;"",$E47&lt;=AM$37),0,IF((YEAR(AM$37)-$G47)&lt;0,0,IF((YEAR(AM$37)-$G47)=0,$C47*$F47*$H47,$C47*(1-$F47*$H47)*(1-$F47)^((YEAR(AM$37)-$G47)-1)*$F47))))</f>
        <v/>
      </c>
      <c r="AN47" s="175">
        <f>IF($C47="",0,IF(AND($E47&lt;&gt;"",$E47&lt;=AM$37),0,IF(OR($D47="",$D47&gt;AM$37),$C47,IF((YEAR(AM$37)-$G47)=0,$C47*(1-$F47*$H47),$C47*(1-$F47*$H47)*(1-$F47)^(YEAR(AM$37)-$G47)))))</f>
        <v/>
      </c>
    </row>
    <row r="48">
      <c r="B48" s="126">
        <f>IF(FAR!K15="","",FAR!B15)</f>
        <v/>
      </c>
      <c r="C48" s="63">
        <f>IF(FAR!K15="","",FAR!K15)</f>
        <v/>
      </c>
      <c r="D48" s="128">
        <f>IF(FAR!H15="","",FAR!H15)</f>
        <v/>
      </c>
      <c r="E48" s="130">
        <f>IF(FAR!I15="","",FAR!I15)</f>
        <v/>
      </c>
      <c r="F48" s="169">
        <f>IF(FAR!C15="",0,IFERROR(VLOOKUP(FAR!C15,ScheduleIITable,6,FALSE),0))</f>
        <v/>
      </c>
      <c r="G48" s="129">
        <f>IF($D48="","",YEAR($D48)+IF(MONTH($D48)&gt;=4,1,0))</f>
        <v/>
      </c>
      <c r="H48" s="170">
        <f>IF($D48="","",IF((DATE($G48,3,31)-$D48+1)&gt;=180,1,0.5))</f>
        <v/>
      </c>
      <c r="I48" s="171">
        <f>IF(OR($C48="",$D48=""),0,IF(AND($E48&lt;&gt;"",$E48&lt;=I$37),0,IF((YEAR(I$37)-$G48)&lt;0,0,IF((YEAR(I$37)-$G48)=0,$C48*$F48*$H48,$C48*(1-$F48*$H48)*(1-$F48)^((YEAR(I$37)-$G48)-1)*$F48))))</f>
        <v/>
      </c>
      <c r="J48" s="172">
        <f>IF($C48="",0,IF(AND($E48&lt;&gt;"",$E48&lt;=I$37),0,IF(OR($D48="",$D48&gt;I$37),$C48,IF((YEAR(I$37)-$G48)=0,$C48*(1-$F48*$H48),$C48*(1-$F48*$H48)*(1-$F48)^(YEAR(I$37)-$G48)))))</f>
        <v/>
      </c>
      <c r="K48" s="171">
        <f>IF(OR($C48="",$D48=""),0,IF(AND($E48&lt;&gt;"",$E48&lt;=K$37),0,IF((YEAR(K$37)-$G48)&lt;0,0,IF((YEAR(K$37)-$G48)=0,$C48*$F48*$H48,$C48*(1-$F48*$H48)*(1-$F48)^((YEAR(K$37)-$G48)-1)*$F48))))</f>
        <v/>
      </c>
      <c r="L48" s="172">
        <f>IF($C48="",0,IF(AND($E48&lt;&gt;"",$E48&lt;=K$37),0,IF(OR($D48="",$D48&gt;K$37),$C48,IF((YEAR(K$37)-$G48)=0,$C48*(1-$F48*$H48),$C48*(1-$F48*$H48)*(1-$F48)^(YEAR(K$37)-$G48)))))</f>
        <v/>
      </c>
      <c r="M48" s="171">
        <f>IF(OR($C48="",$D48=""),0,IF(AND($E48&lt;&gt;"",$E48&lt;=M$37),0,IF((YEAR(M$37)-$G48)&lt;0,0,IF((YEAR(M$37)-$G48)=0,$C48*$F48*$H48,$C48*(1-$F48*$H48)*(1-$F48)^((YEAR(M$37)-$G48)-1)*$F48))))</f>
        <v/>
      </c>
      <c r="N48" s="172">
        <f>IF($C48="",0,IF(AND($E48&lt;&gt;"",$E48&lt;=M$37),0,IF(OR($D48="",$D48&gt;M$37),$C48,IF((YEAR(M$37)-$G48)=0,$C48*(1-$F48*$H48),$C48*(1-$F48*$H48)*(1-$F48)^(YEAR(M$37)-$G48)))))</f>
        <v/>
      </c>
      <c r="O48" s="171">
        <f>IF(OR($C48="",$D48=""),0,IF(AND($E48&lt;&gt;"",$E48&lt;=O$37),0,IF((YEAR(O$37)-$G48)&lt;0,0,IF((YEAR(O$37)-$G48)=0,$C48*$F48*$H48,$C48*(1-$F48*$H48)*(1-$F48)^((YEAR(O$37)-$G48)-1)*$F48))))</f>
        <v/>
      </c>
      <c r="P48" s="172">
        <f>IF($C48="",0,IF(AND($E48&lt;&gt;"",$E48&lt;=O$37),0,IF(OR($D48="",$D48&gt;O$37),$C48,IF((YEAR(O$37)-$G48)=0,$C48*(1-$F48*$H48),$C48*(1-$F48*$H48)*(1-$F48)^(YEAR(O$37)-$G48)))))</f>
        <v/>
      </c>
      <c r="Q48" s="171">
        <f>IF(OR($C48="",$D48=""),0,IF(AND($E48&lt;&gt;"",$E48&lt;=Q$37),0,IF((YEAR(Q$37)-$G48)&lt;0,0,IF((YEAR(Q$37)-$G48)=0,$C48*$F48*$H48,$C48*(1-$F48*$H48)*(1-$F48)^((YEAR(Q$37)-$G48)-1)*$F48))))</f>
        <v/>
      </c>
      <c r="R48" s="172">
        <f>IF($C48="",0,IF(AND($E48&lt;&gt;"",$E48&lt;=Q$37),0,IF(OR($D48="",$D48&gt;Q$37),$C48,IF((YEAR(Q$37)-$G48)=0,$C48*(1-$F48*$H48),$C48*(1-$F48*$H48)*(1-$F48)^(YEAR(Q$37)-$G48)))))</f>
        <v/>
      </c>
      <c r="S48" s="171">
        <f>IF(OR($C48="",$D48=""),0,IF(AND($E48&lt;&gt;"",$E48&lt;=S$37),0,IF((YEAR(S$37)-$G48)&lt;0,0,IF((YEAR(S$37)-$G48)=0,$C48*$F48*$H48,$C48*(1-$F48*$H48)*(1-$F48)^((YEAR(S$37)-$G48)-1)*$F48))))</f>
        <v/>
      </c>
      <c r="T48" s="172">
        <f>IF($C48="",0,IF(AND($E48&lt;&gt;"",$E48&lt;=S$37),0,IF(OR($D48="",$D48&gt;S$37),$C48,IF((YEAR(S$37)-$G48)=0,$C48*(1-$F48*$H48),$C48*(1-$F48*$H48)*(1-$F48)^(YEAR(S$37)-$G48)))))</f>
        <v/>
      </c>
      <c r="U48" s="171">
        <f>IF(OR($C48="",$D48=""),0,IF(AND($E48&lt;&gt;"",$E48&lt;=U$37),0,IF((YEAR(U$37)-$G48)&lt;0,0,IF((YEAR(U$37)-$G48)=0,$C48*$F48*$H48,$C48*(1-$F48*$H48)*(1-$F48)^((YEAR(U$37)-$G48)-1)*$F48))))</f>
        <v/>
      </c>
      <c r="V48" s="172">
        <f>IF($C48="",0,IF(AND($E48&lt;&gt;"",$E48&lt;=U$37),0,IF(OR($D48="",$D48&gt;U$37),$C48,IF((YEAR(U$37)-$G48)=0,$C48*(1-$F48*$H48),$C48*(1-$F48*$H48)*(1-$F48)^(YEAR(U$37)-$G48)))))</f>
        <v/>
      </c>
      <c r="W48" s="171">
        <f>IF(OR($C48="",$D48=""),0,IF(AND($E48&lt;&gt;"",$E48&lt;=W$37),0,IF((YEAR(W$37)-$G48)&lt;0,0,IF((YEAR(W$37)-$G48)=0,$C48*$F48*$H48,$C48*(1-$F48*$H48)*(1-$F48)^((YEAR(W$37)-$G48)-1)*$F48))))</f>
        <v/>
      </c>
      <c r="X48" s="172">
        <f>IF($C48="",0,IF(AND($E48&lt;&gt;"",$E48&lt;=W$37),0,IF(OR($D48="",$D48&gt;W$37),$C48,IF((YEAR(W$37)-$G48)=0,$C48*(1-$F48*$H48),$C48*(1-$F48*$H48)*(1-$F48)^(YEAR(W$37)-$G48)))))</f>
        <v/>
      </c>
      <c r="Y48" s="171">
        <f>IF(OR($C48="",$D48=""),0,IF(AND($E48&lt;&gt;"",$E48&lt;=Y$37),0,IF((YEAR(Y$37)-$G48)&lt;0,0,IF((YEAR(Y$37)-$G48)=0,$C48*$F48*$H48,$C48*(1-$F48*$H48)*(1-$F48)^((YEAR(Y$37)-$G48)-1)*$F48))))</f>
        <v/>
      </c>
      <c r="Z48" s="172">
        <f>IF($C48="",0,IF(AND($E48&lt;&gt;"",$E48&lt;=Y$37),0,IF(OR($D48="",$D48&gt;Y$37),$C48,IF((YEAR(Y$37)-$G48)=0,$C48*(1-$F48*$H48),$C48*(1-$F48*$H48)*(1-$F48)^(YEAR(Y$37)-$G48)))))</f>
        <v/>
      </c>
      <c r="AA48" s="171">
        <f>IF(OR($C48="",$D48=""),0,IF(AND($E48&lt;&gt;"",$E48&lt;=AA$37),0,IF((YEAR(AA$37)-$G48)&lt;0,0,IF((YEAR(AA$37)-$G48)=0,$C48*$F48*$H48,$C48*(1-$F48*$H48)*(1-$F48)^((YEAR(AA$37)-$G48)-1)*$F48))))</f>
        <v/>
      </c>
      <c r="AB48" s="172">
        <f>IF($C48="",0,IF(AND($E48&lt;&gt;"",$E48&lt;=AA$37),0,IF(OR($D48="",$D48&gt;AA$37),$C48,IF((YEAR(AA$37)-$G48)=0,$C48*(1-$F48*$H48),$C48*(1-$F48*$H48)*(1-$F48)^(YEAR(AA$37)-$G48)))))</f>
        <v/>
      </c>
      <c r="AC48" s="171">
        <f>IF(OR($C48="",$D48=""),0,IF(AND($E48&lt;&gt;"",$E48&lt;=AC$37),0,IF((YEAR(AC$37)-$G48)&lt;0,0,IF((YEAR(AC$37)-$G48)=0,$C48*$F48*$H48,$C48*(1-$F48*$H48)*(1-$F48)^((YEAR(AC$37)-$G48)-1)*$F48))))</f>
        <v/>
      </c>
      <c r="AD48" s="172">
        <f>IF($C48="",0,IF(AND($E48&lt;&gt;"",$E48&lt;=AC$37),0,IF(OR($D48="",$D48&gt;AC$37),$C48,IF((YEAR(AC$37)-$G48)=0,$C48*(1-$F48*$H48),$C48*(1-$F48*$H48)*(1-$F48)^(YEAR(AC$37)-$G48)))))</f>
        <v/>
      </c>
      <c r="AE48" s="171">
        <f>IF(OR($C48="",$D48=""),0,IF(AND($E48&lt;&gt;"",$E48&lt;=AE$37),0,IF((YEAR(AE$37)-$G48)&lt;0,0,IF((YEAR(AE$37)-$G48)=0,$C48*$F48*$H48,$C48*(1-$F48*$H48)*(1-$F48)^((YEAR(AE$37)-$G48)-1)*$F48))))</f>
        <v/>
      </c>
      <c r="AF48" s="172">
        <f>IF($C48="",0,IF(AND($E48&lt;&gt;"",$E48&lt;=AE$37),0,IF(OR($D48="",$D48&gt;AE$37),$C48,IF((YEAR(AE$37)-$G48)=0,$C48*(1-$F48*$H48),$C48*(1-$F48*$H48)*(1-$F48)^(YEAR(AE$37)-$G48)))))</f>
        <v/>
      </c>
      <c r="AG48" s="171">
        <f>IF(OR($C48="",$D48=""),0,IF(AND($E48&lt;&gt;"",$E48&lt;=AG$37),0,IF((YEAR(AG$37)-$G48)&lt;0,0,IF((YEAR(AG$37)-$G48)=0,$C48*$F48*$H48,$C48*(1-$F48*$H48)*(1-$F48)^((YEAR(AG$37)-$G48)-1)*$F48))))</f>
        <v/>
      </c>
      <c r="AH48" s="172">
        <f>IF($C48="",0,IF(AND($E48&lt;&gt;"",$E48&lt;=AG$37),0,IF(OR($D48="",$D48&gt;AG$37),$C48,IF((YEAR(AG$37)-$G48)=0,$C48*(1-$F48*$H48),$C48*(1-$F48*$H48)*(1-$F48)^(YEAR(AG$37)-$G48)))))</f>
        <v/>
      </c>
      <c r="AI48" s="171">
        <f>IF(OR($C48="",$D48=""),0,IF(AND($E48&lt;&gt;"",$E48&lt;=AI$37),0,IF((YEAR(AI$37)-$G48)&lt;0,0,IF((YEAR(AI$37)-$G48)=0,$C48*$F48*$H48,$C48*(1-$F48*$H48)*(1-$F48)^((YEAR(AI$37)-$G48)-1)*$F48))))</f>
        <v/>
      </c>
      <c r="AJ48" s="172">
        <f>IF($C48="",0,IF(AND($E48&lt;&gt;"",$E48&lt;=AI$37),0,IF(OR($D48="",$D48&gt;AI$37),$C48,IF((YEAR(AI$37)-$G48)=0,$C48*(1-$F48*$H48),$C48*(1-$F48*$H48)*(1-$F48)^(YEAR(AI$37)-$G48)))))</f>
        <v/>
      </c>
      <c r="AK48" s="171">
        <f>IF(OR($C48="",$D48=""),0,IF(AND($E48&lt;&gt;"",$E48&lt;=AK$37),0,IF((YEAR(AK$37)-$G48)&lt;0,0,IF((YEAR(AK$37)-$G48)=0,$C48*$F48*$H48,$C48*(1-$F48*$H48)*(1-$F48)^((YEAR(AK$37)-$G48)-1)*$F48))))</f>
        <v/>
      </c>
      <c r="AL48" s="172">
        <f>IF($C48="",0,IF(AND($E48&lt;&gt;"",$E48&lt;=AK$37),0,IF(OR($D48="",$D48&gt;AK$37),$C48,IF((YEAR(AK$37)-$G48)=0,$C48*(1-$F48*$H48),$C48*(1-$F48*$H48)*(1-$F48)^(YEAR(AK$37)-$G48)))))</f>
        <v/>
      </c>
      <c r="AM48" s="171">
        <f>IF(OR($C48="",$D48=""),0,IF(AND($E48&lt;&gt;"",$E48&lt;=AM$37),0,IF((YEAR(AM$37)-$G48)&lt;0,0,IF((YEAR(AM$37)-$G48)=0,$C48*$F48*$H48,$C48*(1-$F48*$H48)*(1-$F48)^((YEAR(AM$37)-$G48)-1)*$F48))))</f>
        <v/>
      </c>
      <c r="AN48" s="172">
        <f>IF($C48="",0,IF(AND($E48&lt;&gt;"",$E48&lt;=AM$37),0,IF(OR($D48="",$D48&gt;AM$37),$C48,IF((YEAR(AM$37)-$G48)=0,$C48*(1-$F48*$H48),$C48*(1-$F48*$H48)*(1-$F48)^(YEAR(AM$37)-$G48)))))</f>
        <v/>
      </c>
    </row>
    <row r="49">
      <c r="B49" s="132">
        <f>IF(FAR!K16="","",FAR!B16)</f>
        <v/>
      </c>
      <c r="C49" s="81">
        <f>IF(FAR!K16="","",FAR!K16)</f>
        <v/>
      </c>
      <c r="D49" s="134">
        <f>IF(FAR!H16="","",FAR!H16)</f>
        <v/>
      </c>
      <c r="E49" s="136">
        <f>IF(FAR!I16="","",FAR!I16)</f>
        <v/>
      </c>
      <c r="F49" s="173">
        <f>IF(FAR!C16="",0,IFERROR(VLOOKUP(FAR!C16,ScheduleIITable,6,FALSE),0))</f>
        <v/>
      </c>
      <c r="G49" s="135">
        <f>IF($D49="","",YEAR($D49)+IF(MONTH($D49)&gt;=4,1,0))</f>
        <v/>
      </c>
      <c r="H49" s="174">
        <f>IF($D49="","",IF((DATE($G49,3,31)-$D49+1)&gt;=180,1,0.5))</f>
        <v/>
      </c>
      <c r="I49" s="175">
        <f>IF(OR($C49="",$D49=""),0,IF(AND($E49&lt;&gt;"",$E49&lt;=I$37),0,IF((YEAR(I$37)-$G49)&lt;0,0,IF((YEAR(I$37)-$G49)=0,$C49*$F49*$H49,$C49*(1-$F49*$H49)*(1-$F49)^((YEAR(I$37)-$G49)-1)*$F49))))</f>
        <v/>
      </c>
      <c r="J49" s="175">
        <f>IF($C49="",0,IF(AND($E49&lt;&gt;"",$E49&lt;=I$37),0,IF(OR($D49="",$D49&gt;I$37),$C49,IF((YEAR(I$37)-$G49)=0,$C49*(1-$F49*$H49),$C49*(1-$F49*$H49)*(1-$F49)^(YEAR(I$37)-$G49)))))</f>
        <v/>
      </c>
      <c r="K49" s="175">
        <f>IF(OR($C49="",$D49=""),0,IF(AND($E49&lt;&gt;"",$E49&lt;=K$37),0,IF((YEAR(K$37)-$G49)&lt;0,0,IF((YEAR(K$37)-$G49)=0,$C49*$F49*$H49,$C49*(1-$F49*$H49)*(1-$F49)^((YEAR(K$37)-$G49)-1)*$F49))))</f>
        <v/>
      </c>
      <c r="L49" s="175">
        <f>IF($C49="",0,IF(AND($E49&lt;&gt;"",$E49&lt;=K$37),0,IF(OR($D49="",$D49&gt;K$37),$C49,IF((YEAR(K$37)-$G49)=0,$C49*(1-$F49*$H49),$C49*(1-$F49*$H49)*(1-$F49)^(YEAR(K$37)-$G49)))))</f>
        <v/>
      </c>
      <c r="M49" s="175">
        <f>IF(OR($C49="",$D49=""),0,IF(AND($E49&lt;&gt;"",$E49&lt;=M$37),0,IF((YEAR(M$37)-$G49)&lt;0,0,IF((YEAR(M$37)-$G49)=0,$C49*$F49*$H49,$C49*(1-$F49*$H49)*(1-$F49)^((YEAR(M$37)-$G49)-1)*$F49))))</f>
        <v/>
      </c>
      <c r="N49" s="175">
        <f>IF($C49="",0,IF(AND($E49&lt;&gt;"",$E49&lt;=M$37),0,IF(OR($D49="",$D49&gt;M$37),$C49,IF((YEAR(M$37)-$G49)=0,$C49*(1-$F49*$H49),$C49*(1-$F49*$H49)*(1-$F49)^(YEAR(M$37)-$G49)))))</f>
        <v/>
      </c>
      <c r="O49" s="175">
        <f>IF(OR($C49="",$D49=""),0,IF(AND($E49&lt;&gt;"",$E49&lt;=O$37),0,IF((YEAR(O$37)-$G49)&lt;0,0,IF((YEAR(O$37)-$G49)=0,$C49*$F49*$H49,$C49*(1-$F49*$H49)*(1-$F49)^((YEAR(O$37)-$G49)-1)*$F49))))</f>
        <v/>
      </c>
      <c r="P49" s="175">
        <f>IF($C49="",0,IF(AND($E49&lt;&gt;"",$E49&lt;=O$37),0,IF(OR($D49="",$D49&gt;O$37),$C49,IF((YEAR(O$37)-$G49)=0,$C49*(1-$F49*$H49),$C49*(1-$F49*$H49)*(1-$F49)^(YEAR(O$37)-$G49)))))</f>
        <v/>
      </c>
      <c r="Q49" s="175">
        <f>IF(OR($C49="",$D49=""),0,IF(AND($E49&lt;&gt;"",$E49&lt;=Q$37),0,IF((YEAR(Q$37)-$G49)&lt;0,0,IF((YEAR(Q$37)-$G49)=0,$C49*$F49*$H49,$C49*(1-$F49*$H49)*(1-$F49)^((YEAR(Q$37)-$G49)-1)*$F49))))</f>
        <v/>
      </c>
      <c r="R49" s="175">
        <f>IF($C49="",0,IF(AND($E49&lt;&gt;"",$E49&lt;=Q$37),0,IF(OR($D49="",$D49&gt;Q$37),$C49,IF((YEAR(Q$37)-$G49)=0,$C49*(1-$F49*$H49),$C49*(1-$F49*$H49)*(1-$F49)^(YEAR(Q$37)-$G49)))))</f>
        <v/>
      </c>
      <c r="S49" s="175">
        <f>IF(OR($C49="",$D49=""),0,IF(AND($E49&lt;&gt;"",$E49&lt;=S$37),0,IF((YEAR(S$37)-$G49)&lt;0,0,IF((YEAR(S$37)-$G49)=0,$C49*$F49*$H49,$C49*(1-$F49*$H49)*(1-$F49)^((YEAR(S$37)-$G49)-1)*$F49))))</f>
        <v/>
      </c>
      <c r="T49" s="175">
        <f>IF($C49="",0,IF(AND($E49&lt;&gt;"",$E49&lt;=S$37),0,IF(OR($D49="",$D49&gt;S$37),$C49,IF((YEAR(S$37)-$G49)=0,$C49*(1-$F49*$H49),$C49*(1-$F49*$H49)*(1-$F49)^(YEAR(S$37)-$G49)))))</f>
        <v/>
      </c>
      <c r="U49" s="175">
        <f>IF(OR($C49="",$D49=""),0,IF(AND($E49&lt;&gt;"",$E49&lt;=U$37),0,IF((YEAR(U$37)-$G49)&lt;0,0,IF((YEAR(U$37)-$G49)=0,$C49*$F49*$H49,$C49*(1-$F49*$H49)*(1-$F49)^((YEAR(U$37)-$G49)-1)*$F49))))</f>
        <v/>
      </c>
      <c r="V49" s="175">
        <f>IF($C49="",0,IF(AND($E49&lt;&gt;"",$E49&lt;=U$37),0,IF(OR($D49="",$D49&gt;U$37),$C49,IF((YEAR(U$37)-$G49)=0,$C49*(1-$F49*$H49),$C49*(1-$F49*$H49)*(1-$F49)^(YEAR(U$37)-$G49)))))</f>
        <v/>
      </c>
      <c r="W49" s="175">
        <f>IF(OR($C49="",$D49=""),0,IF(AND($E49&lt;&gt;"",$E49&lt;=W$37),0,IF((YEAR(W$37)-$G49)&lt;0,0,IF((YEAR(W$37)-$G49)=0,$C49*$F49*$H49,$C49*(1-$F49*$H49)*(1-$F49)^((YEAR(W$37)-$G49)-1)*$F49))))</f>
        <v/>
      </c>
      <c r="X49" s="175">
        <f>IF($C49="",0,IF(AND($E49&lt;&gt;"",$E49&lt;=W$37),0,IF(OR($D49="",$D49&gt;W$37),$C49,IF((YEAR(W$37)-$G49)=0,$C49*(1-$F49*$H49),$C49*(1-$F49*$H49)*(1-$F49)^(YEAR(W$37)-$G49)))))</f>
        <v/>
      </c>
      <c r="Y49" s="175">
        <f>IF(OR($C49="",$D49=""),0,IF(AND($E49&lt;&gt;"",$E49&lt;=Y$37),0,IF((YEAR(Y$37)-$G49)&lt;0,0,IF((YEAR(Y$37)-$G49)=0,$C49*$F49*$H49,$C49*(1-$F49*$H49)*(1-$F49)^((YEAR(Y$37)-$G49)-1)*$F49))))</f>
        <v/>
      </c>
      <c r="Z49" s="175">
        <f>IF($C49="",0,IF(AND($E49&lt;&gt;"",$E49&lt;=Y$37),0,IF(OR($D49="",$D49&gt;Y$37),$C49,IF((YEAR(Y$37)-$G49)=0,$C49*(1-$F49*$H49),$C49*(1-$F49*$H49)*(1-$F49)^(YEAR(Y$37)-$G49)))))</f>
        <v/>
      </c>
      <c r="AA49" s="175">
        <f>IF(OR($C49="",$D49=""),0,IF(AND($E49&lt;&gt;"",$E49&lt;=AA$37),0,IF((YEAR(AA$37)-$G49)&lt;0,0,IF((YEAR(AA$37)-$G49)=0,$C49*$F49*$H49,$C49*(1-$F49*$H49)*(1-$F49)^((YEAR(AA$37)-$G49)-1)*$F49))))</f>
        <v/>
      </c>
      <c r="AB49" s="175">
        <f>IF($C49="",0,IF(AND($E49&lt;&gt;"",$E49&lt;=AA$37),0,IF(OR($D49="",$D49&gt;AA$37),$C49,IF((YEAR(AA$37)-$G49)=0,$C49*(1-$F49*$H49),$C49*(1-$F49*$H49)*(1-$F49)^(YEAR(AA$37)-$G49)))))</f>
        <v/>
      </c>
      <c r="AC49" s="175">
        <f>IF(OR($C49="",$D49=""),0,IF(AND($E49&lt;&gt;"",$E49&lt;=AC$37),0,IF((YEAR(AC$37)-$G49)&lt;0,0,IF((YEAR(AC$37)-$G49)=0,$C49*$F49*$H49,$C49*(1-$F49*$H49)*(1-$F49)^((YEAR(AC$37)-$G49)-1)*$F49))))</f>
        <v/>
      </c>
      <c r="AD49" s="175">
        <f>IF($C49="",0,IF(AND($E49&lt;&gt;"",$E49&lt;=AC$37),0,IF(OR($D49="",$D49&gt;AC$37),$C49,IF((YEAR(AC$37)-$G49)=0,$C49*(1-$F49*$H49),$C49*(1-$F49*$H49)*(1-$F49)^(YEAR(AC$37)-$G49)))))</f>
        <v/>
      </c>
      <c r="AE49" s="175">
        <f>IF(OR($C49="",$D49=""),0,IF(AND($E49&lt;&gt;"",$E49&lt;=AE$37),0,IF((YEAR(AE$37)-$G49)&lt;0,0,IF((YEAR(AE$37)-$G49)=0,$C49*$F49*$H49,$C49*(1-$F49*$H49)*(1-$F49)^((YEAR(AE$37)-$G49)-1)*$F49))))</f>
        <v/>
      </c>
      <c r="AF49" s="175">
        <f>IF($C49="",0,IF(AND($E49&lt;&gt;"",$E49&lt;=AE$37),0,IF(OR($D49="",$D49&gt;AE$37),$C49,IF((YEAR(AE$37)-$G49)=0,$C49*(1-$F49*$H49),$C49*(1-$F49*$H49)*(1-$F49)^(YEAR(AE$37)-$G49)))))</f>
        <v/>
      </c>
      <c r="AG49" s="175">
        <f>IF(OR($C49="",$D49=""),0,IF(AND($E49&lt;&gt;"",$E49&lt;=AG$37),0,IF((YEAR(AG$37)-$G49)&lt;0,0,IF((YEAR(AG$37)-$G49)=0,$C49*$F49*$H49,$C49*(1-$F49*$H49)*(1-$F49)^((YEAR(AG$37)-$G49)-1)*$F49))))</f>
        <v/>
      </c>
      <c r="AH49" s="175">
        <f>IF($C49="",0,IF(AND($E49&lt;&gt;"",$E49&lt;=AG$37),0,IF(OR($D49="",$D49&gt;AG$37),$C49,IF((YEAR(AG$37)-$G49)=0,$C49*(1-$F49*$H49),$C49*(1-$F49*$H49)*(1-$F49)^(YEAR(AG$37)-$G49)))))</f>
        <v/>
      </c>
      <c r="AI49" s="175">
        <f>IF(OR($C49="",$D49=""),0,IF(AND($E49&lt;&gt;"",$E49&lt;=AI$37),0,IF((YEAR(AI$37)-$G49)&lt;0,0,IF((YEAR(AI$37)-$G49)=0,$C49*$F49*$H49,$C49*(1-$F49*$H49)*(1-$F49)^((YEAR(AI$37)-$G49)-1)*$F49))))</f>
        <v/>
      </c>
      <c r="AJ49" s="175">
        <f>IF($C49="",0,IF(AND($E49&lt;&gt;"",$E49&lt;=AI$37),0,IF(OR($D49="",$D49&gt;AI$37),$C49,IF((YEAR(AI$37)-$G49)=0,$C49*(1-$F49*$H49),$C49*(1-$F49*$H49)*(1-$F49)^(YEAR(AI$37)-$G49)))))</f>
        <v/>
      </c>
      <c r="AK49" s="175">
        <f>IF(OR($C49="",$D49=""),0,IF(AND($E49&lt;&gt;"",$E49&lt;=AK$37),0,IF((YEAR(AK$37)-$G49)&lt;0,0,IF((YEAR(AK$37)-$G49)=0,$C49*$F49*$H49,$C49*(1-$F49*$H49)*(1-$F49)^((YEAR(AK$37)-$G49)-1)*$F49))))</f>
        <v/>
      </c>
      <c r="AL49" s="175">
        <f>IF($C49="",0,IF(AND($E49&lt;&gt;"",$E49&lt;=AK$37),0,IF(OR($D49="",$D49&gt;AK$37),$C49,IF((YEAR(AK$37)-$G49)=0,$C49*(1-$F49*$H49),$C49*(1-$F49*$H49)*(1-$F49)^(YEAR(AK$37)-$G49)))))</f>
        <v/>
      </c>
      <c r="AM49" s="175">
        <f>IF(OR($C49="",$D49=""),0,IF(AND($E49&lt;&gt;"",$E49&lt;=AM$37),0,IF((YEAR(AM$37)-$G49)&lt;0,0,IF((YEAR(AM$37)-$G49)=0,$C49*$F49*$H49,$C49*(1-$F49*$H49)*(1-$F49)^((YEAR(AM$37)-$G49)-1)*$F49))))</f>
        <v/>
      </c>
      <c r="AN49" s="175">
        <f>IF($C49="",0,IF(AND($E49&lt;&gt;"",$E49&lt;=AM$37),0,IF(OR($D49="",$D49&gt;AM$37),$C49,IF((YEAR(AM$37)-$G49)=0,$C49*(1-$F49*$H49),$C49*(1-$F49*$H49)*(1-$F49)^(YEAR(AM$37)-$G49)))))</f>
        <v/>
      </c>
    </row>
    <row r="50">
      <c r="B50" s="126">
        <f>IF(FAR!K17="","",FAR!B17)</f>
        <v/>
      </c>
      <c r="C50" s="63">
        <f>IF(FAR!K17="","",FAR!K17)</f>
        <v/>
      </c>
      <c r="D50" s="128">
        <f>IF(FAR!H17="","",FAR!H17)</f>
        <v/>
      </c>
      <c r="E50" s="130">
        <f>IF(FAR!I17="","",FAR!I17)</f>
        <v/>
      </c>
      <c r="F50" s="169">
        <f>IF(FAR!C17="",0,IFERROR(VLOOKUP(FAR!C17,ScheduleIITable,6,FALSE),0))</f>
        <v/>
      </c>
      <c r="G50" s="129">
        <f>IF($D50="","",YEAR($D50)+IF(MONTH($D50)&gt;=4,1,0))</f>
        <v/>
      </c>
      <c r="H50" s="170">
        <f>IF($D50="","",IF((DATE($G50,3,31)-$D50+1)&gt;=180,1,0.5))</f>
        <v/>
      </c>
      <c r="I50" s="171">
        <f>IF(OR($C50="",$D50=""),0,IF(AND($E50&lt;&gt;"",$E50&lt;=I$37),0,IF((YEAR(I$37)-$G50)&lt;0,0,IF((YEAR(I$37)-$G50)=0,$C50*$F50*$H50,$C50*(1-$F50*$H50)*(1-$F50)^((YEAR(I$37)-$G50)-1)*$F50))))</f>
        <v/>
      </c>
      <c r="J50" s="172">
        <f>IF($C50="",0,IF(AND($E50&lt;&gt;"",$E50&lt;=I$37),0,IF(OR($D50="",$D50&gt;I$37),$C50,IF((YEAR(I$37)-$G50)=0,$C50*(1-$F50*$H50),$C50*(1-$F50*$H50)*(1-$F50)^(YEAR(I$37)-$G50)))))</f>
        <v/>
      </c>
      <c r="K50" s="171">
        <f>IF(OR($C50="",$D50=""),0,IF(AND($E50&lt;&gt;"",$E50&lt;=K$37),0,IF((YEAR(K$37)-$G50)&lt;0,0,IF((YEAR(K$37)-$G50)=0,$C50*$F50*$H50,$C50*(1-$F50*$H50)*(1-$F50)^((YEAR(K$37)-$G50)-1)*$F50))))</f>
        <v/>
      </c>
      <c r="L50" s="172">
        <f>IF($C50="",0,IF(AND($E50&lt;&gt;"",$E50&lt;=K$37),0,IF(OR($D50="",$D50&gt;K$37),$C50,IF((YEAR(K$37)-$G50)=0,$C50*(1-$F50*$H50),$C50*(1-$F50*$H50)*(1-$F50)^(YEAR(K$37)-$G50)))))</f>
        <v/>
      </c>
      <c r="M50" s="171">
        <f>IF(OR($C50="",$D50=""),0,IF(AND($E50&lt;&gt;"",$E50&lt;=M$37),0,IF((YEAR(M$37)-$G50)&lt;0,0,IF((YEAR(M$37)-$G50)=0,$C50*$F50*$H50,$C50*(1-$F50*$H50)*(1-$F50)^((YEAR(M$37)-$G50)-1)*$F50))))</f>
        <v/>
      </c>
      <c r="N50" s="172">
        <f>IF($C50="",0,IF(AND($E50&lt;&gt;"",$E50&lt;=M$37),0,IF(OR($D50="",$D50&gt;M$37),$C50,IF((YEAR(M$37)-$G50)=0,$C50*(1-$F50*$H50),$C50*(1-$F50*$H50)*(1-$F50)^(YEAR(M$37)-$G50)))))</f>
        <v/>
      </c>
      <c r="O50" s="171">
        <f>IF(OR($C50="",$D50=""),0,IF(AND($E50&lt;&gt;"",$E50&lt;=O$37),0,IF((YEAR(O$37)-$G50)&lt;0,0,IF((YEAR(O$37)-$G50)=0,$C50*$F50*$H50,$C50*(1-$F50*$H50)*(1-$F50)^((YEAR(O$37)-$G50)-1)*$F50))))</f>
        <v/>
      </c>
      <c r="P50" s="172">
        <f>IF($C50="",0,IF(AND($E50&lt;&gt;"",$E50&lt;=O$37),0,IF(OR($D50="",$D50&gt;O$37),$C50,IF((YEAR(O$37)-$G50)=0,$C50*(1-$F50*$H50),$C50*(1-$F50*$H50)*(1-$F50)^(YEAR(O$37)-$G50)))))</f>
        <v/>
      </c>
      <c r="Q50" s="171">
        <f>IF(OR($C50="",$D50=""),0,IF(AND($E50&lt;&gt;"",$E50&lt;=Q$37),0,IF((YEAR(Q$37)-$G50)&lt;0,0,IF((YEAR(Q$37)-$G50)=0,$C50*$F50*$H50,$C50*(1-$F50*$H50)*(1-$F50)^((YEAR(Q$37)-$G50)-1)*$F50))))</f>
        <v/>
      </c>
      <c r="R50" s="172">
        <f>IF($C50="",0,IF(AND($E50&lt;&gt;"",$E50&lt;=Q$37),0,IF(OR($D50="",$D50&gt;Q$37),$C50,IF((YEAR(Q$37)-$G50)=0,$C50*(1-$F50*$H50),$C50*(1-$F50*$H50)*(1-$F50)^(YEAR(Q$37)-$G50)))))</f>
        <v/>
      </c>
      <c r="S50" s="171">
        <f>IF(OR($C50="",$D50=""),0,IF(AND($E50&lt;&gt;"",$E50&lt;=S$37),0,IF((YEAR(S$37)-$G50)&lt;0,0,IF((YEAR(S$37)-$G50)=0,$C50*$F50*$H50,$C50*(1-$F50*$H50)*(1-$F50)^((YEAR(S$37)-$G50)-1)*$F50))))</f>
        <v/>
      </c>
      <c r="T50" s="172">
        <f>IF($C50="",0,IF(AND($E50&lt;&gt;"",$E50&lt;=S$37),0,IF(OR($D50="",$D50&gt;S$37),$C50,IF((YEAR(S$37)-$G50)=0,$C50*(1-$F50*$H50),$C50*(1-$F50*$H50)*(1-$F50)^(YEAR(S$37)-$G50)))))</f>
        <v/>
      </c>
      <c r="U50" s="171">
        <f>IF(OR($C50="",$D50=""),0,IF(AND($E50&lt;&gt;"",$E50&lt;=U$37),0,IF((YEAR(U$37)-$G50)&lt;0,0,IF((YEAR(U$37)-$G50)=0,$C50*$F50*$H50,$C50*(1-$F50*$H50)*(1-$F50)^((YEAR(U$37)-$G50)-1)*$F50))))</f>
        <v/>
      </c>
      <c r="V50" s="172">
        <f>IF($C50="",0,IF(AND($E50&lt;&gt;"",$E50&lt;=U$37),0,IF(OR($D50="",$D50&gt;U$37),$C50,IF((YEAR(U$37)-$G50)=0,$C50*(1-$F50*$H50),$C50*(1-$F50*$H50)*(1-$F50)^(YEAR(U$37)-$G50)))))</f>
        <v/>
      </c>
      <c r="W50" s="171">
        <f>IF(OR($C50="",$D50=""),0,IF(AND($E50&lt;&gt;"",$E50&lt;=W$37),0,IF((YEAR(W$37)-$G50)&lt;0,0,IF((YEAR(W$37)-$G50)=0,$C50*$F50*$H50,$C50*(1-$F50*$H50)*(1-$F50)^((YEAR(W$37)-$G50)-1)*$F50))))</f>
        <v/>
      </c>
      <c r="X50" s="172">
        <f>IF($C50="",0,IF(AND($E50&lt;&gt;"",$E50&lt;=W$37),0,IF(OR($D50="",$D50&gt;W$37),$C50,IF((YEAR(W$37)-$G50)=0,$C50*(1-$F50*$H50),$C50*(1-$F50*$H50)*(1-$F50)^(YEAR(W$37)-$G50)))))</f>
        <v/>
      </c>
      <c r="Y50" s="171">
        <f>IF(OR($C50="",$D50=""),0,IF(AND($E50&lt;&gt;"",$E50&lt;=Y$37),0,IF((YEAR(Y$37)-$G50)&lt;0,0,IF((YEAR(Y$37)-$G50)=0,$C50*$F50*$H50,$C50*(1-$F50*$H50)*(1-$F50)^((YEAR(Y$37)-$G50)-1)*$F50))))</f>
        <v/>
      </c>
      <c r="Z50" s="172">
        <f>IF($C50="",0,IF(AND($E50&lt;&gt;"",$E50&lt;=Y$37),0,IF(OR($D50="",$D50&gt;Y$37),$C50,IF((YEAR(Y$37)-$G50)=0,$C50*(1-$F50*$H50),$C50*(1-$F50*$H50)*(1-$F50)^(YEAR(Y$37)-$G50)))))</f>
        <v/>
      </c>
      <c r="AA50" s="171">
        <f>IF(OR($C50="",$D50=""),0,IF(AND($E50&lt;&gt;"",$E50&lt;=AA$37),0,IF((YEAR(AA$37)-$G50)&lt;0,0,IF((YEAR(AA$37)-$G50)=0,$C50*$F50*$H50,$C50*(1-$F50*$H50)*(1-$F50)^((YEAR(AA$37)-$G50)-1)*$F50))))</f>
        <v/>
      </c>
      <c r="AB50" s="172">
        <f>IF($C50="",0,IF(AND($E50&lt;&gt;"",$E50&lt;=AA$37),0,IF(OR($D50="",$D50&gt;AA$37),$C50,IF((YEAR(AA$37)-$G50)=0,$C50*(1-$F50*$H50),$C50*(1-$F50*$H50)*(1-$F50)^(YEAR(AA$37)-$G50)))))</f>
        <v/>
      </c>
      <c r="AC50" s="171">
        <f>IF(OR($C50="",$D50=""),0,IF(AND($E50&lt;&gt;"",$E50&lt;=AC$37),0,IF((YEAR(AC$37)-$G50)&lt;0,0,IF((YEAR(AC$37)-$G50)=0,$C50*$F50*$H50,$C50*(1-$F50*$H50)*(1-$F50)^((YEAR(AC$37)-$G50)-1)*$F50))))</f>
        <v/>
      </c>
      <c r="AD50" s="172">
        <f>IF($C50="",0,IF(AND($E50&lt;&gt;"",$E50&lt;=AC$37),0,IF(OR($D50="",$D50&gt;AC$37),$C50,IF((YEAR(AC$37)-$G50)=0,$C50*(1-$F50*$H50),$C50*(1-$F50*$H50)*(1-$F50)^(YEAR(AC$37)-$G50)))))</f>
        <v/>
      </c>
      <c r="AE50" s="171">
        <f>IF(OR($C50="",$D50=""),0,IF(AND($E50&lt;&gt;"",$E50&lt;=AE$37),0,IF((YEAR(AE$37)-$G50)&lt;0,0,IF((YEAR(AE$37)-$G50)=0,$C50*$F50*$H50,$C50*(1-$F50*$H50)*(1-$F50)^((YEAR(AE$37)-$G50)-1)*$F50))))</f>
        <v/>
      </c>
      <c r="AF50" s="172">
        <f>IF($C50="",0,IF(AND($E50&lt;&gt;"",$E50&lt;=AE$37),0,IF(OR($D50="",$D50&gt;AE$37),$C50,IF((YEAR(AE$37)-$G50)=0,$C50*(1-$F50*$H50),$C50*(1-$F50*$H50)*(1-$F50)^(YEAR(AE$37)-$G50)))))</f>
        <v/>
      </c>
      <c r="AG50" s="171">
        <f>IF(OR($C50="",$D50=""),0,IF(AND($E50&lt;&gt;"",$E50&lt;=AG$37),0,IF((YEAR(AG$37)-$G50)&lt;0,0,IF((YEAR(AG$37)-$G50)=0,$C50*$F50*$H50,$C50*(1-$F50*$H50)*(1-$F50)^((YEAR(AG$37)-$G50)-1)*$F50))))</f>
        <v/>
      </c>
      <c r="AH50" s="172">
        <f>IF($C50="",0,IF(AND($E50&lt;&gt;"",$E50&lt;=AG$37),0,IF(OR($D50="",$D50&gt;AG$37),$C50,IF((YEAR(AG$37)-$G50)=0,$C50*(1-$F50*$H50),$C50*(1-$F50*$H50)*(1-$F50)^(YEAR(AG$37)-$G50)))))</f>
        <v/>
      </c>
      <c r="AI50" s="171">
        <f>IF(OR($C50="",$D50=""),0,IF(AND($E50&lt;&gt;"",$E50&lt;=AI$37),0,IF((YEAR(AI$37)-$G50)&lt;0,0,IF((YEAR(AI$37)-$G50)=0,$C50*$F50*$H50,$C50*(1-$F50*$H50)*(1-$F50)^((YEAR(AI$37)-$G50)-1)*$F50))))</f>
        <v/>
      </c>
      <c r="AJ50" s="172">
        <f>IF($C50="",0,IF(AND($E50&lt;&gt;"",$E50&lt;=AI$37),0,IF(OR($D50="",$D50&gt;AI$37),$C50,IF((YEAR(AI$37)-$G50)=0,$C50*(1-$F50*$H50),$C50*(1-$F50*$H50)*(1-$F50)^(YEAR(AI$37)-$G50)))))</f>
        <v/>
      </c>
      <c r="AK50" s="171">
        <f>IF(OR($C50="",$D50=""),0,IF(AND($E50&lt;&gt;"",$E50&lt;=AK$37),0,IF((YEAR(AK$37)-$G50)&lt;0,0,IF((YEAR(AK$37)-$G50)=0,$C50*$F50*$H50,$C50*(1-$F50*$H50)*(1-$F50)^((YEAR(AK$37)-$G50)-1)*$F50))))</f>
        <v/>
      </c>
      <c r="AL50" s="172">
        <f>IF($C50="",0,IF(AND($E50&lt;&gt;"",$E50&lt;=AK$37),0,IF(OR($D50="",$D50&gt;AK$37),$C50,IF((YEAR(AK$37)-$G50)=0,$C50*(1-$F50*$H50),$C50*(1-$F50*$H50)*(1-$F50)^(YEAR(AK$37)-$G50)))))</f>
        <v/>
      </c>
      <c r="AM50" s="171">
        <f>IF(OR($C50="",$D50=""),0,IF(AND($E50&lt;&gt;"",$E50&lt;=AM$37),0,IF((YEAR(AM$37)-$G50)&lt;0,0,IF((YEAR(AM$37)-$G50)=0,$C50*$F50*$H50,$C50*(1-$F50*$H50)*(1-$F50)^((YEAR(AM$37)-$G50)-1)*$F50))))</f>
        <v/>
      </c>
      <c r="AN50" s="172">
        <f>IF($C50="",0,IF(AND($E50&lt;&gt;"",$E50&lt;=AM$37),0,IF(OR($D50="",$D50&gt;AM$37),$C50,IF((YEAR(AM$37)-$G50)=0,$C50*(1-$F50*$H50),$C50*(1-$F50*$H50)*(1-$F50)^(YEAR(AM$37)-$G50)))))</f>
        <v/>
      </c>
    </row>
    <row r="51">
      <c r="B51" s="132">
        <f>IF(FAR!K18="","",FAR!B18)</f>
        <v/>
      </c>
      <c r="C51" s="81">
        <f>IF(FAR!K18="","",FAR!K18)</f>
        <v/>
      </c>
      <c r="D51" s="134">
        <f>IF(FAR!H18="","",FAR!H18)</f>
        <v/>
      </c>
      <c r="E51" s="136">
        <f>IF(FAR!I18="","",FAR!I18)</f>
        <v/>
      </c>
      <c r="F51" s="173">
        <f>IF(FAR!C18="",0,IFERROR(VLOOKUP(FAR!C18,ScheduleIITable,6,FALSE),0))</f>
        <v/>
      </c>
      <c r="G51" s="135">
        <f>IF($D51="","",YEAR($D51)+IF(MONTH($D51)&gt;=4,1,0))</f>
        <v/>
      </c>
      <c r="H51" s="174">
        <f>IF($D51="","",IF((DATE($G51,3,31)-$D51+1)&gt;=180,1,0.5))</f>
        <v/>
      </c>
      <c r="I51" s="175">
        <f>IF(OR($C51="",$D51=""),0,IF(AND($E51&lt;&gt;"",$E51&lt;=I$37),0,IF((YEAR(I$37)-$G51)&lt;0,0,IF((YEAR(I$37)-$G51)=0,$C51*$F51*$H51,$C51*(1-$F51*$H51)*(1-$F51)^((YEAR(I$37)-$G51)-1)*$F51))))</f>
        <v/>
      </c>
      <c r="J51" s="175">
        <f>IF($C51="",0,IF(AND($E51&lt;&gt;"",$E51&lt;=I$37),0,IF(OR($D51="",$D51&gt;I$37),$C51,IF((YEAR(I$37)-$G51)=0,$C51*(1-$F51*$H51),$C51*(1-$F51*$H51)*(1-$F51)^(YEAR(I$37)-$G51)))))</f>
        <v/>
      </c>
      <c r="K51" s="175">
        <f>IF(OR($C51="",$D51=""),0,IF(AND($E51&lt;&gt;"",$E51&lt;=K$37),0,IF((YEAR(K$37)-$G51)&lt;0,0,IF((YEAR(K$37)-$G51)=0,$C51*$F51*$H51,$C51*(1-$F51*$H51)*(1-$F51)^((YEAR(K$37)-$G51)-1)*$F51))))</f>
        <v/>
      </c>
      <c r="L51" s="175">
        <f>IF($C51="",0,IF(AND($E51&lt;&gt;"",$E51&lt;=K$37),0,IF(OR($D51="",$D51&gt;K$37),$C51,IF((YEAR(K$37)-$G51)=0,$C51*(1-$F51*$H51),$C51*(1-$F51*$H51)*(1-$F51)^(YEAR(K$37)-$G51)))))</f>
        <v/>
      </c>
      <c r="M51" s="175">
        <f>IF(OR($C51="",$D51=""),0,IF(AND($E51&lt;&gt;"",$E51&lt;=M$37),0,IF((YEAR(M$37)-$G51)&lt;0,0,IF((YEAR(M$37)-$G51)=0,$C51*$F51*$H51,$C51*(1-$F51*$H51)*(1-$F51)^((YEAR(M$37)-$G51)-1)*$F51))))</f>
        <v/>
      </c>
      <c r="N51" s="175">
        <f>IF($C51="",0,IF(AND($E51&lt;&gt;"",$E51&lt;=M$37),0,IF(OR($D51="",$D51&gt;M$37),$C51,IF((YEAR(M$37)-$G51)=0,$C51*(1-$F51*$H51),$C51*(1-$F51*$H51)*(1-$F51)^(YEAR(M$37)-$G51)))))</f>
        <v/>
      </c>
      <c r="O51" s="175">
        <f>IF(OR($C51="",$D51=""),0,IF(AND($E51&lt;&gt;"",$E51&lt;=O$37),0,IF((YEAR(O$37)-$G51)&lt;0,0,IF((YEAR(O$37)-$G51)=0,$C51*$F51*$H51,$C51*(1-$F51*$H51)*(1-$F51)^((YEAR(O$37)-$G51)-1)*$F51))))</f>
        <v/>
      </c>
      <c r="P51" s="175">
        <f>IF($C51="",0,IF(AND($E51&lt;&gt;"",$E51&lt;=O$37),0,IF(OR($D51="",$D51&gt;O$37),$C51,IF((YEAR(O$37)-$G51)=0,$C51*(1-$F51*$H51),$C51*(1-$F51*$H51)*(1-$F51)^(YEAR(O$37)-$G51)))))</f>
        <v/>
      </c>
      <c r="Q51" s="175">
        <f>IF(OR($C51="",$D51=""),0,IF(AND($E51&lt;&gt;"",$E51&lt;=Q$37),0,IF((YEAR(Q$37)-$G51)&lt;0,0,IF((YEAR(Q$37)-$G51)=0,$C51*$F51*$H51,$C51*(1-$F51*$H51)*(1-$F51)^((YEAR(Q$37)-$G51)-1)*$F51))))</f>
        <v/>
      </c>
      <c r="R51" s="175">
        <f>IF($C51="",0,IF(AND($E51&lt;&gt;"",$E51&lt;=Q$37),0,IF(OR($D51="",$D51&gt;Q$37),$C51,IF((YEAR(Q$37)-$G51)=0,$C51*(1-$F51*$H51),$C51*(1-$F51*$H51)*(1-$F51)^(YEAR(Q$37)-$G51)))))</f>
        <v/>
      </c>
      <c r="S51" s="175">
        <f>IF(OR($C51="",$D51=""),0,IF(AND($E51&lt;&gt;"",$E51&lt;=S$37),0,IF((YEAR(S$37)-$G51)&lt;0,0,IF((YEAR(S$37)-$G51)=0,$C51*$F51*$H51,$C51*(1-$F51*$H51)*(1-$F51)^((YEAR(S$37)-$G51)-1)*$F51))))</f>
        <v/>
      </c>
      <c r="T51" s="175">
        <f>IF($C51="",0,IF(AND($E51&lt;&gt;"",$E51&lt;=S$37),0,IF(OR($D51="",$D51&gt;S$37),$C51,IF((YEAR(S$37)-$G51)=0,$C51*(1-$F51*$H51),$C51*(1-$F51*$H51)*(1-$F51)^(YEAR(S$37)-$G51)))))</f>
        <v/>
      </c>
      <c r="U51" s="175">
        <f>IF(OR($C51="",$D51=""),0,IF(AND($E51&lt;&gt;"",$E51&lt;=U$37),0,IF((YEAR(U$37)-$G51)&lt;0,0,IF((YEAR(U$37)-$G51)=0,$C51*$F51*$H51,$C51*(1-$F51*$H51)*(1-$F51)^((YEAR(U$37)-$G51)-1)*$F51))))</f>
        <v/>
      </c>
      <c r="V51" s="175">
        <f>IF($C51="",0,IF(AND($E51&lt;&gt;"",$E51&lt;=U$37),0,IF(OR($D51="",$D51&gt;U$37),$C51,IF((YEAR(U$37)-$G51)=0,$C51*(1-$F51*$H51),$C51*(1-$F51*$H51)*(1-$F51)^(YEAR(U$37)-$G51)))))</f>
        <v/>
      </c>
      <c r="W51" s="175">
        <f>IF(OR($C51="",$D51=""),0,IF(AND($E51&lt;&gt;"",$E51&lt;=W$37),0,IF((YEAR(W$37)-$G51)&lt;0,0,IF((YEAR(W$37)-$G51)=0,$C51*$F51*$H51,$C51*(1-$F51*$H51)*(1-$F51)^((YEAR(W$37)-$G51)-1)*$F51))))</f>
        <v/>
      </c>
      <c r="X51" s="175">
        <f>IF($C51="",0,IF(AND($E51&lt;&gt;"",$E51&lt;=W$37),0,IF(OR($D51="",$D51&gt;W$37),$C51,IF((YEAR(W$37)-$G51)=0,$C51*(1-$F51*$H51),$C51*(1-$F51*$H51)*(1-$F51)^(YEAR(W$37)-$G51)))))</f>
        <v/>
      </c>
      <c r="Y51" s="175">
        <f>IF(OR($C51="",$D51=""),0,IF(AND($E51&lt;&gt;"",$E51&lt;=Y$37),0,IF((YEAR(Y$37)-$G51)&lt;0,0,IF((YEAR(Y$37)-$G51)=0,$C51*$F51*$H51,$C51*(1-$F51*$H51)*(1-$F51)^((YEAR(Y$37)-$G51)-1)*$F51))))</f>
        <v/>
      </c>
      <c r="Z51" s="175">
        <f>IF($C51="",0,IF(AND($E51&lt;&gt;"",$E51&lt;=Y$37),0,IF(OR($D51="",$D51&gt;Y$37),$C51,IF((YEAR(Y$37)-$G51)=0,$C51*(1-$F51*$H51),$C51*(1-$F51*$H51)*(1-$F51)^(YEAR(Y$37)-$G51)))))</f>
        <v/>
      </c>
      <c r="AA51" s="175">
        <f>IF(OR($C51="",$D51=""),0,IF(AND($E51&lt;&gt;"",$E51&lt;=AA$37),0,IF((YEAR(AA$37)-$G51)&lt;0,0,IF((YEAR(AA$37)-$G51)=0,$C51*$F51*$H51,$C51*(1-$F51*$H51)*(1-$F51)^((YEAR(AA$37)-$G51)-1)*$F51))))</f>
        <v/>
      </c>
      <c r="AB51" s="175">
        <f>IF($C51="",0,IF(AND($E51&lt;&gt;"",$E51&lt;=AA$37),0,IF(OR($D51="",$D51&gt;AA$37),$C51,IF((YEAR(AA$37)-$G51)=0,$C51*(1-$F51*$H51),$C51*(1-$F51*$H51)*(1-$F51)^(YEAR(AA$37)-$G51)))))</f>
        <v/>
      </c>
      <c r="AC51" s="175">
        <f>IF(OR($C51="",$D51=""),0,IF(AND($E51&lt;&gt;"",$E51&lt;=AC$37),0,IF((YEAR(AC$37)-$G51)&lt;0,0,IF((YEAR(AC$37)-$G51)=0,$C51*$F51*$H51,$C51*(1-$F51*$H51)*(1-$F51)^((YEAR(AC$37)-$G51)-1)*$F51))))</f>
        <v/>
      </c>
      <c r="AD51" s="175">
        <f>IF($C51="",0,IF(AND($E51&lt;&gt;"",$E51&lt;=AC$37),0,IF(OR($D51="",$D51&gt;AC$37),$C51,IF((YEAR(AC$37)-$G51)=0,$C51*(1-$F51*$H51),$C51*(1-$F51*$H51)*(1-$F51)^(YEAR(AC$37)-$G51)))))</f>
        <v/>
      </c>
      <c r="AE51" s="175">
        <f>IF(OR($C51="",$D51=""),0,IF(AND($E51&lt;&gt;"",$E51&lt;=AE$37),0,IF((YEAR(AE$37)-$G51)&lt;0,0,IF((YEAR(AE$37)-$G51)=0,$C51*$F51*$H51,$C51*(1-$F51*$H51)*(1-$F51)^((YEAR(AE$37)-$G51)-1)*$F51))))</f>
        <v/>
      </c>
      <c r="AF51" s="175">
        <f>IF($C51="",0,IF(AND($E51&lt;&gt;"",$E51&lt;=AE$37),0,IF(OR($D51="",$D51&gt;AE$37),$C51,IF((YEAR(AE$37)-$G51)=0,$C51*(1-$F51*$H51),$C51*(1-$F51*$H51)*(1-$F51)^(YEAR(AE$37)-$G51)))))</f>
        <v/>
      </c>
      <c r="AG51" s="175">
        <f>IF(OR($C51="",$D51=""),0,IF(AND($E51&lt;&gt;"",$E51&lt;=AG$37),0,IF((YEAR(AG$37)-$G51)&lt;0,0,IF((YEAR(AG$37)-$G51)=0,$C51*$F51*$H51,$C51*(1-$F51*$H51)*(1-$F51)^((YEAR(AG$37)-$G51)-1)*$F51))))</f>
        <v/>
      </c>
      <c r="AH51" s="175">
        <f>IF($C51="",0,IF(AND($E51&lt;&gt;"",$E51&lt;=AG$37),0,IF(OR($D51="",$D51&gt;AG$37),$C51,IF((YEAR(AG$37)-$G51)=0,$C51*(1-$F51*$H51),$C51*(1-$F51*$H51)*(1-$F51)^(YEAR(AG$37)-$G51)))))</f>
        <v/>
      </c>
      <c r="AI51" s="175">
        <f>IF(OR($C51="",$D51=""),0,IF(AND($E51&lt;&gt;"",$E51&lt;=AI$37),0,IF((YEAR(AI$37)-$G51)&lt;0,0,IF((YEAR(AI$37)-$G51)=0,$C51*$F51*$H51,$C51*(1-$F51*$H51)*(1-$F51)^((YEAR(AI$37)-$G51)-1)*$F51))))</f>
        <v/>
      </c>
      <c r="AJ51" s="175">
        <f>IF($C51="",0,IF(AND($E51&lt;&gt;"",$E51&lt;=AI$37),0,IF(OR($D51="",$D51&gt;AI$37),$C51,IF((YEAR(AI$37)-$G51)=0,$C51*(1-$F51*$H51),$C51*(1-$F51*$H51)*(1-$F51)^(YEAR(AI$37)-$G51)))))</f>
        <v/>
      </c>
      <c r="AK51" s="175">
        <f>IF(OR($C51="",$D51=""),0,IF(AND($E51&lt;&gt;"",$E51&lt;=AK$37),0,IF((YEAR(AK$37)-$G51)&lt;0,0,IF((YEAR(AK$37)-$G51)=0,$C51*$F51*$H51,$C51*(1-$F51*$H51)*(1-$F51)^((YEAR(AK$37)-$G51)-1)*$F51))))</f>
        <v/>
      </c>
      <c r="AL51" s="175">
        <f>IF($C51="",0,IF(AND($E51&lt;&gt;"",$E51&lt;=AK$37),0,IF(OR($D51="",$D51&gt;AK$37),$C51,IF((YEAR(AK$37)-$G51)=0,$C51*(1-$F51*$H51),$C51*(1-$F51*$H51)*(1-$F51)^(YEAR(AK$37)-$G51)))))</f>
        <v/>
      </c>
      <c r="AM51" s="175">
        <f>IF(OR($C51="",$D51=""),0,IF(AND($E51&lt;&gt;"",$E51&lt;=AM$37),0,IF((YEAR(AM$37)-$G51)&lt;0,0,IF((YEAR(AM$37)-$G51)=0,$C51*$F51*$H51,$C51*(1-$F51*$H51)*(1-$F51)^((YEAR(AM$37)-$G51)-1)*$F51))))</f>
        <v/>
      </c>
      <c r="AN51" s="175">
        <f>IF($C51="",0,IF(AND($E51&lt;&gt;"",$E51&lt;=AM$37),0,IF(OR($D51="",$D51&gt;AM$37),$C51,IF((YEAR(AM$37)-$G51)=0,$C51*(1-$F51*$H51),$C51*(1-$F51*$H51)*(1-$F51)^(YEAR(AM$37)-$G51)))))</f>
        <v/>
      </c>
    </row>
    <row r="52">
      <c r="B52" s="126">
        <f>IF(FAR!K19="","",FAR!B19)</f>
        <v/>
      </c>
      <c r="C52" s="63">
        <f>IF(FAR!K19="","",FAR!K19)</f>
        <v/>
      </c>
      <c r="D52" s="128">
        <f>IF(FAR!H19="","",FAR!H19)</f>
        <v/>
      </c>
      <c r="E52" s="130">
        <f>IF(FAR!I19="","",FAR!I19)</f>
        <v/>
      </c>
      <c r="F52" s="169">
        <f>IF(FAR!C19="",0,IFERROR(VLOOKUP(FAR!C19,ScheduleIITable,6,FALSE),0))</f>
        <v/>
      </c>
      <c r="G52" s="129">
        <f>IF($D52="","",YEAR($D52)+IF(MONTH($D52)&gt;=4,1,0))</f>
        <v/>
      </c>
      <c r="H52" s="170">
        <f>IF($D52="","",IF((DATE($G52,3,31)-$D52+1)&gt;=180,1,0.5))</f>
        <v/>
      </c>
      <c r="I52" s="171">
        <f>IF(OR($C52="",$D52=""),0,IF(AND($E52&lt;&gt;"",$E52&lt;=I$37),0,IF((YEAR(I$37)-$G52)&lt;0,0,IF((YEAR(I$37)-$G52)=0,$C52*$F52*$H52,$C52*(1-$F52*$H52)*(1-$F52)^((YEAR(I$37)-$G52)-1)*$F52))))</f>
        <v/>
      </c>
      <c r="J52" s="172">
        <f>IF($C52="",0,IF(AND($E52&lt;&gt;"",$E52&lt;=I$37),0,IF(OR($D52="",$D52&gt;I$37),$C52,IF((YEAR(I$37)-$G52)=0,$C52*(1-$F52*$H52),$C52*(1-$F52*$H52)*(1-$F52)^(YEAR(I$37)-$G52)))))</f>
        <v/>
      </c>
      <c r="K52" s="171">
        <f>IF(OR($C52="",$D52=""),0,IF(AND($E52&lt;&gt;"",$E52&lt;=K$37),0,IF((YEAR(K$37)-$G52)&lt;0,0,IF((YEAR(K$37)-$G52)=0,$C52*$F52*$H52,$C52*(1-$F52*$H52)*(1-$F52)^((YEAR(K$37)-$G52)-1)*$F52))))</f>
        <v/>
      </c>
      <c r="L52" s="172">
        <f>IF($C52="",0,IF(AND($E52&lt;&gt;"",$E52&lt;=K$37),0,IF(OR($D52="",$D52&gt;K$37),$C52,IF((YEAR(K$37)-$G52)=0,$C52*(1-$F52*$H52),$C52*(1-$F52*$H52)*(1-$F52)^(YEAR(K$37)-$G52)))))</f>
        <v/>
      </c>
      <c r="M52" s="171">
        <f>IF(OR($C52="",$D52=""),0,IF(AND($E52&lt;&gt;"",$E52&lt;=M$37),0,IF((YEAR(M$37)-$G52)&lt;0,0,IF((YEAR(M$37)-$G52)=0,$C52*$F52*$H52,$C52*(1-$F52*$H52)*(1-$F52)^((YEAR(M$37)-$G52)-1)*$F52))))</f>
        <v/>
      </c>
      <c r="N52" s="172">
        <f>IF($C52="",0,IF(AND($E52&lt;&gt;"",$E52&lt;=M$37),0,IF(OR($D52="",$D52&gt;M$37),$C52,IF((YEAR(M$37)-$G52)=0,$C52*(1-$F52*$H52),$C52*(1-$F52*$H52)*(1-$F52)^(YEAR(M$37)-$G52)))))</f>
        <v/>
      </c>
      <c r="O52" s="171">
        <f>IF(OR($C52="",$D52=""),0,IF(AND($E52&lt;&gt;"",$E52&lt;=O$37),0,IF((YEAR(O$37)-$G52)&lt;0,0,IF((YEAR(O$37)-$G52)=0,$C52*$F52*$H52,$C52*(1-$F52*$H52)*(1-$F52)^((YEAR(O$37)-$G52)-1)*$F52))))</f>
        <v/>
      </c>
      <c r="P52" s="172">
        <f>IF($C52="",0,IF(AND($E52&lt;&gt;"",$E52&lt;=O$37),0,IF(OR($D52="",$D52&gt;O$37),$C52,IF((YEAR(O$37)-$G52)=0,$C52*(1-$F52*$H52),$C52*(1-$F52*$H52)*(1-$F52)^(YEAR(O$37)-$G52)))))</f>
        <v/>
      </c>
      <c r="Q52" s="171">
        <f>IF(OR($C52="",$D52=""),0,IF(AND($E52&lt;&gt;"",$E52&lt;=Q$37),0,IF((YEAR(Q$37)-$G52)&lt;0,0,IF((YEAR(Q$37)-$G52)=0,$C52*$F52*$H52,$C52*(1-$F52*$H52)*(1-$F52)^((YEAR(Q$37)-$G52)-1)*$F52))))</f>
        <v/>
      </c>
      <c r="R52" s="172">
        <f>IF($C52="",0,IF(AND($E52&lt;&gt;"",$E52&lt;=Q$37),0,IF(OR($D52="",$D52&gt;Q$37),$C52,IF((YEAR(Q$37)-$G52)=0,$C52*(1-$F52*$H52),$C52*(1-$F52*$H52)*(1-$F52)^(YEAR(Q$37)-$G52)))))</f>
        <v/>
      </c>
      <c r="S52" s="171">
        <f>IF(OR($C52="",$D52=""),0,IF(AND($E52&lt;&gt;"",$E52&lt;=S$37),0,IF((YEAR(S$37)-$G52)&lt;0,0,IF((YEAR(S$37)-$G52)=0,$C52*$F52*$H52,$C52*(1-$F52*$H52)*(1-$F52)^((YEAR(S$37)-$G52)-1)*$F52))))</f>
        <v/>
      </c>
      <c r="T52" s="172">
        <f>IF($C52="",0,IF(AND($E52&lt;&gt;"",$E52&lt;=S$37),0,IF(OR($D52="",$D52&gt;S$37),$C52,IF((YEAR(S$37)-$G52)=0,$C52*(1-$F52*$H52),$C52*(1-$F52*$H52)*(1-$F52)^(YEAR(S$37)-$G52)))))</f>
        <v/>
      </c>
      <c r="U52" s="171">
        <f>IF(OR($C52="",$D52=""),0,IF(AND($E52&lt;&gt;"",$E52&lt;=U$37),0,IF((YEAR(U$37)-$G52)&lt;0,0,IF((YEAR(U$37)-$G52)=0,$C52*$F52*$H52,$C52*(1-$F52*$H52)*(1-$F52)^((YEAR(U$37)-$G52)-1)*$F52))))</f>
        <v/>
      </c>
      <c r="V52" s="172">
        <f>IF($C52="",0,IF(AND($E52&lt;&gt;"",$E52&lt;=U$37),0,IF(OR($D52="",$D52&gt;U$37),$C52,IF((YEAR(U$37)-$G52)=0,$C52*(1-$F52*$H52),$C52*(1-$F52*$H52)*(1-$F52)^(YEAR(U$37)-$G52)))))</f>
        <v/>
      </c>
      <c r="W52" s="171">
        <f>IF(OR($C52="",$D52=""),0,IF(AND($E52&lt;&gt;"",$E52&lt;=W$37),0,IF((YEAR(W$37)-$G52)&lt;0,0,IF((YEAR(W$37)-$G52)=0,$C52*$F52*$H52,$C52*(1-$F52*$H52)*(1-$F52)^((YEAR(W$37)-$G52)-1)*$F52))))</f>
        <v/>
      </c>
      <c r="X52" s="172">
        <f>IF($C52="",0,IF(AND($E52&lt;&gt;"",$E52&lt;=W$37),0,IF(OR($D52="",$D52&gt;W$37),$C52,IF((YEAR(W$37)-$G52)=0,$C52*(1-$F52*$H52),$C52*(1-$F52*$H52)*(1-$F52)^(YEAR(W$37)-$G52)))))</f>
        <v/>
      </c>
      <c r="Y52" s="171">
        <f>IF(OR($C52="",$D52=""),0,IF(AND($E52&lt;&gt;"",$E52&lt;=Y$37),0,IF((YEAR(Y$37)-$G52)&lt;0,0,IF((YEAR(Y$37)-$G52)=0,$C52*$F52*$H52,$C52*(1-$F52*$H52)*(1-$F52)^((YEAR(Y$37)-$G52)-1)*$F52))))</f>
        <v/>
      </c>
      <c r="Z52" s="172">
        <f>IF($C52="",0,IF(AND($E52&lt;&gt;"",$E52&lt;=Y$37),0,IF(OR($D52="",$D52&gt;Y$37),$C52,IF((YEAR(Y$37)-$G52)=0,$C52*(1-$F52*$H52),$C52*(1-$F52*$H52)*(1-$F52)^(YEAR(Y$37)-$G52)))))</f>
        <v/>
      </c>
      <c r="AA52" s="171">
        <f>IF(OR($C52="",$D52=""),0,IF(AND($E52&lt;&gt;"",$E52&lt;=AA$37),0,IF((YEAR(AA$37)-$G52)&lt;0,0,IF((YEAR(AA$37)-$G52)=0,$C52*$F52*$H52,$C52*(1-$F52*$H52)*(1-$F52)^((YEAR(AA$37)-$G52)-1)*$F52))))</f>
        <v/>
      </c>
      <c r="AB52" s="172">
        <f>IF($C52="",0,IF(AND($E52&lt;&gt;"",$E52&lt;=AA$37),0,IF(OR($D52="",$D52&gt;AA$37),$C52,IF((YEAR(AA$37)-$G52)=0,$C52*(1-$F52*$H52),$C52*(1-$F52*$H52)*(1-$F52)^(YEAR(AA$37)-$G52)))))</f>
        <v/>
      </c>
      <c r="AC52" s="171">
        <f>IF(OR($C52="",$D52=""),0,IF(AND($E52&lt;&gt;"",$E52&lt;=AC$37),0,IF((YEAR(AC$37)-$G52)&lt;0,0,IF((YEAR(AC$37)-$G52)=0,$C52*$F52*$H52,$C52*(1-$F52*$H52)*(1-$F52)^((YEAR(AC$37)-$G52)-1)*$F52))))</f>
        <v/>
      </c>
      <c r="AD52" s="172">
        <f>IF($C52="",0,IF(AND($E52&lt;&gt;"",$E52&lt;=AC$37),0,IF(OR($D52="",$D52&gt;AC$37),$C52,IF((YEAR(AC$37)-$G52)=0,$C52*(1-$F52*$H52),$C52*(1-$F52*$H52)*(1-$F52)^(YEAR(AC$37)-$G52)))))</f>
        <v/>
      </c>
      <c r="AE52" s="171">
        <f>IF(OR($C52="",$D52=""),0,IF(AND($E52&lt;&gt;"",$E52&lt;=AE$37),0,IF((YEAR(AE$37)-$G52)&lt;0,0,IF((YEAR(AE$37)-$G52)=0,$C52*$F52*$H52,$C52*(1-$F52*$H52)*(1-$F52)^((YEAR(AE$37)-$G52)-1)*$F52))))</f>
        <v/>
      </c>
      <c r="AF52" s="172">
        <f>IF($C52="",0,IF(AND($E52&lt;&gt;"",$E52&lt;=AE$37),0,IF(OR($D52="",$D52&gt;AE$37),$C52,IF((YEAR(AE$37)-$G52)=0,$C52*(1-$F52*$H52),$C52*(1-$F52*$H52)*(1-$F52)^(YEAR(AE$37)-$G52)))))</f>
        <v/>
      </c>
      <c r="AG52" s="171">
        <f>IF(OR($C52="",$D52=""),0,IF(AND($E52&lt;&gt;"",$E52&lt;=AG$37),0,IF((YEAR(AG$37)-$G52)&lt;0,0,IF((YEAR(AG$37)-$G52)=0,$C52*$F52*$H52,$C52*(1-$F52*$H52)*(1-$F52)^((YEAR(AG$37)-$G52)-1)*$F52))))</f>
        <v/>
      </c>
      <c r="AH52" s="172">
        <f>IF($C52="",0,IF(AND($E52&lt;&gt;"",$E52&lt;=AG$37),0,IF(OR($D52="",$D52&gt;AG$37),$C52,IF((YEAR(AG$37)-$G52)=0,$C52*(1-$F52*$H52),$C52*(1-$F52*$H52)*(1-$F52)^(YEAR(AG$37)-$G52)))))</f>
        <v/>
      </c>
      <c r="AI52" s="171">
        <f>IF(OR($C52="",$D52=""),0,IF(AND($E52&lt;&gt;"",$E52&lt;=AI$37),0,IF((YEAR(AI$37)-$G52)&lt;0,0,IF((YEAR(AI$37)-$G52)=0,$C52*$F52*$H52,$C52*(1-$F52*$H52)*(1-$F52)^((YEAR(AI$37)-$G52)-1)*$F52))))</f>
        <v/>
      </c>
      <c r="AJ52" s="172">
        <f>IF($C52="",0,IF(AND($E52&lt;&gt;"",$E52&lt;=AI$37),0,IF(OR($D52="",$D52&gt;AI$37),$C52,IF((YEAR(AI$37)-$G52)=0,$C52*(1-$F52*$H52),$C52*(1-$F52*$H52)*(1-$F52)^(YEAR(AI$37)-$G52)))))</f>
        <v/>
      </c>
      <c r="AK52" s="171">
        <f>IF(OR($C52="",$D52=""),0,IF(AND($E52&lt;&gt;"",$E52&lt;=AK$37),0,IF((YEAR(AK$37)-$G52)&lt;0,0,IF((YEAR(AK$37)-$G52)=0,$C52*$F52*$H52,$C52*(1-$F52*$H52)*(1-$F52)^((YEAR(AK$37)-$G52)-1)*$F52))))</f>
        <v/>
      </c>
      <c r="AL52" s="172">
        <f>IF($C52="",0,IF(AND($E52&lt;&gt;"",$E52&lt;=AK$37),0,IF(OR($D52="",$D52&gt;AK$37),$C52,IF((YEAR(AK$37)-$G52)=0,$C52*(1-$F52*$H52),$C52*(1-$F52*$H52)*(1-$F52)^(YEAR(AK$37)-$G52)))))</f>
        <v/>
      </c>
      <c r="AM52" s="171">
        <f>IF(OR($C52="",$D52=""),0,IF(AND($E52&lt;&gt;"",$E52&lt;=AM$37),0,IF((YEAR(AM$37)-$G52)&lt;0,0,IF((YEAR(AM$37)-$G52)=0,$C52*$F52*$H52,$C52*(1-$F52*$H52)*(1-$F52)^((YEAR(AM$37)-$G52)-1)*$F52))))</f>
        <v/>
      </c>
      <c r="AN52" s="172">
        <f>IF($C52="",0,IF(AND($E52&lt;&gt;"",$E52&lt;=AM$37),0,IF(OR($D52="",$D52&gt;AM$37),$C52,IF((YEAR(AM$37)-$G52)=0,$C52*(1-$F52*$H52),$C52*(1-$F52*$H52)*(1-$F52)^(YEAR(AM$37)-$G52)))))</f>
        <v/>
      </c>
    </row>
    <row r="53">
      <c r="B53" s="132">
        <f>IF(FAR!K20="","",FAR!B20)</f>
        <v/>
      </c>
      <c r="C53" s="81">
        <f>IF(FAR!K20="","",FAR!K20)</f>
        <v/>
      </c>
      <c r="D53" s="134">
        <f>IF(FAR!H20="","",FAR!H20)</f>
        <v/>
      </c>
      <c r="E53" s="136">
        <f>IF(FAR!I20="","",FAR!I20)</f>
        <v/>
      </c>
      <c r="F53" s="173">
        <f>IF(FAR!C20="",0,IFERROR(VLOOKUP(FAR!C20,ScheduleIITable,6,FALSE),0))</f>
        <v/>
      </c>
      <c r="G53" s="135">
        <f>IF($D53="","",YEAR($D53)+IF(MONTH($D53)&gt;=4,1,0))</f>
        <v/>
      </c>
      <c r="H53" s="174">
        <f>IF($D53="","",IF((DATE($G53,3,31)-$D53+1)&gt;=180,1,0.5))</f>
        <v/>
      </c>
      <c r="I53" s="175">
        <f>IF(OR($C53="",$D53=""),0,IF(AND($E53&lt;&gt;"",$E53&lt;=I$37),0,IF((YEAR(I$37)-$G53)&lt;0,0,IF((YEAR(I$37)-$G53)=0,$C53*$F53*$H53,$C53*(1-$F53*$H53)*(1-$F53)^((YEAR(I$37)-$G53)-1)*$F53))))</f>
        <v/>
      </c>
      <c r="J53" s="175">
        <f>IF($C53="",0,IF(AND($E53&lt;&gt;"",$E53&lt;=I$37),0,IF(OR($D53="",$D53&gt;I$37),$C53,IF((YEAR(I$37)-$G53)=0,$C53*(1-$F53*$H53),$C53*(1-$F53*$H53)*(1-$F53)^(YEAR(I$37)-$G53)))))</f>
        <v/>
      </c>
      <c r="K53" s="175">
        <f>IF(OR($C53="",$D53=""),0,IF(AND($E53&lt;&gt;"",$E53&lt;=K$37),0,IF((YEAR(K$37)-$G53)&lt;0,0,IF((YEAR(K$37)-$G53)=0,$C53*$F53*$H53,$C53*(1-$F53*$H53)*(1-$F53)^((YEAR(K$37)-$G53)-1)*$F53))))</f>
        <v/>
      </c>
      <c r="L53" s="175">
        <f>IF($C53="",0,IF(AND($E53&lt;&gt;"",$E53&lt;=K$37),0,IF(OR($D53="",$D53&gt;K$37),$C53,IF((YEAR(K$37)-$G53)=0,$C53*(1-$F53*$H53),$C53*(1-$F53*$H53)*(1-$F53)^(YEAR(K$37)-$G53)))))</f>
        <v/>
      </c>
      <c r="M53" s="175">
        <f>IF(OR($C53="",$D53=""),0,IF(AND($E53&lt;&gt;"",$E53&lt;=M$37),0,IF((YEAR(M$37)-$G53)&lt;0,0,IF((YEAR(M$37)-$G53)=0,$C53*$F53*$H53,$C53*(1-$F53*$H53)*(1-$F53)^((YEAR(M$37)-$G53)-1)*$F53))))</f>
        <v/>
      </c>
      <c r="N53" s="175">
        <f>IF($C53="",0,IF(AND($E53&lt;&gt;"",$E53&lt;=M$37),0,IF(OR($D53="",$D53&gt;M$37),$C53,IF((YEAR(M$37)-$G53)=0,$C53*(1-$F53*$H53),$C53*(1-$F53*$H53)*(1-$F53)^(YEAR(M$37)-$G53)))))</f>
        <v/>
      </c>
      <c r="O53" s="175">
        <f>IF(OR($C53="",$D53=""),0,IF(AND($E53&lt;&gt;"",$E53&lt;=O$37),0,IF((YEAR(O$37)-$G53)&lt;0,0,IF((YEAR(O$37)-$G53)=0,$C53*$F53*$H53,$C53*(1-$F53*$H53)*(1-$F53)^((YEAR(O$37)-$G53)-1)*$F53))))</f>
        <v/>
      </c>
      <c r="P53" s="175">
        <f>IF($C53="",0,IF(AND($E53&lt;&gt;"",$E53&lt;=O$37),0,IF(OR($D53="",$D53&gt;O$37),$C53,IF((YEAR(O$37)-$G53)=0,$C53*(1-$F53*$H53),$C53*(1-$F53*$H53)*(1-$F53)^(YEAR(O$37)-$G53)))))</f>
        <v/>
      </c>
      <c r="Q53" s="175">
        <f>IF(OR($C53="",$D53=""),0,IF(AND($E53&lt;&gt;"",$E53&lt;=Q$37),0,IF((YEAR(Q$37)-$G53)&lt;0,0,IF((YEAR(Q$37)-$G53)=0,$C53*$F53*$H53,$C53*(1-$F53*$H53)*(1-$F53)^((YEAR(Q$37)-$G53)-1)*$F53))))</f>
        <v/>
      </c>
      <c r="R53" s="175">
        <f>IF($C53="",0,IF(AND($E53&lt;&gt;"",$E53&lt;=Q$37),0,IF(OR($D53="",$D53&gt;Q$37),$C53,IF((YEAR(Q$37)-$G53)=0,$C53*(1-$F53*$H53),$C53*(1-$F53*$H53)*(1-$F53)^(YEAR(Q$37)-$G53)))))</f>
        <v/>
      </c>
      <c r="S53" s="175">
        <f>IF(OR($C53="",$D53=""),0,IF(AND($E53&lt;&gt;"",$E53&lt;=S$37),0,IF((YEAR(S$37)-$G53)&lt;0,0,IF((YEAR(S$37)-$G53)=0,$C53*$F53*$H53,$C53*(1-$F53*$H53)*(1-$F53)^((YEAR(S$37)-$G53)-1)*$F53))))</f>
        <v/>
      </c>
      <c r="T53" s="175">
        <f>IF($C53="",0,IF(AND($E53&lt;&gt;"",$E53&lt;=S$37),0,IF(OR($D53="",$D53&gt;S$37),$C53,IF((YEAR(S$37)-$G53)=0,$C53*(1-$F53*$H53),$C53*(1-$F53*$H53)*(1-$F53)^(YEAR(S$37)-$G53)))))</f>
        <v/>
      </c>
      <c r="U53" s="175">
        <f>IF(OR($C53="",$D53=""),0,IF(AND($E53&lt;&gt;"",$E53&lt;=U$37),0,IF((YEAR(U$37)-$G53)&lt;0,0,IF((YEAR(U$37)-$G53)=0,$C53*$F53*$H53,$C53*(1-$F53*$H53)*(1-$F53)^((YEAR(U$37)-$G53)-1)*$F53))))</f>
        <v/>
      </c>
      <c r="V53" s="175">
        <f>IF($C53="",0,IF(AND($E53&lt;&gt;"",$E53&lt;=U$37),0,IF(OR($D53="",$D53&gt;U$37),$C53,IF((YEAR(U$37)-$G53)=0,$C53*(1-$F53*$H53),$C53*(1-$F53*$H53)*(1-$F53)^(YEAR(U$37)-$G53)))))</f>
        <v/>
      </c>
      <c r="W53" s="175">
        <f>IF(OR($C53="",$D53=""),0,IF(AND($E53&lt;&gt;"",$E53&lt;=W$37),0,IF((YEAR(W$37)-$G53)&lt;0,0,IF((YEAR(W$37)-$G53)=0,$C53*$F53*$H53,$C53*(1-$F53*$H53)*(1-$F53)^((YEAR(W$37)-$G53)-1)*$F53))))</f>
        <v/>
      </c>
      <c r="X53" s="175">
        <f>IF($C53="",0,IF(AND($E53&lt;&gt;"",$E53&lt;=W$37),0,IF(OR($D53="",$D53&gt;W$37),$C53,IF((YEAR(W$37)-$G53)=0,$C53*(1-$F53*$H53),$C53*(1-$F53*$H53)*(1-$F53)^(YEAR(W$37)-$G53)))))</f>
        <v/>
      </c>
      <c r="Y53" s="175">
        <f>IF(OR($C53="",$D53=""),0,IF(AND($E53&lt;&gt;"",$E53&lt;=Y$37),0,IF((YEAR(Y$37)-$G53)&lt;0,0,IF((YEAR(Y$37)-$G53)=0,$C53*$F53*$H53,$C53*(1-$F53*$H53)*(1-$F53)^((YEAR(Y$37)-$G53)-1)*$F53))))</f>
        <v/>
      </c>
      <c r="Z53" s="175">
        <f>IF($C53="",0,IF(AND($E53&lt;&gt;"",$E53&lt;=Y$37),0,IF(OR($D53="",$D53&gt;Y$37),$C53,IF((YEAR(Y$37)-$G53)=0,$C53*(1-$F53*$H53),$C53*(1-$F53*$H53)*(1-$F53)^(YEAR(Y$37)-$G53)))))</f>
        <v/>
      </c>
      <c r="AA53" s="175">
        <f>IF(OR($C53="",$D53=""),0,IF(AND($E53&lt;&gt;"",$E53&lt;=AA$37),0,IF((YEAR(AA$37)-$G53)&lt;0,0,IF((YEAR(AA$37)-$G53)=0,$C53*$F53*$H53,$C53*(1-$F53*$H53)*(1-$F53)^((YEAR(AA$37)-$G53)-1)*$F53))))</f>
        <v/>
      </c>
      <c r="AB53" s="175">
        <f>IF($C53="",0,IF(AND($E53&lt;&gt;"",$E53&lt;=AA$37),0,IF(OR($D53="",$D53&gt;AA$37),$C53,IF((YEAR(AA$37)-$G53)=0,$C53*(1-$F53*$H53),$C53*(1-$F53*$H53)*(1-$F53)^(YEAR(AA$37)-$G53)))))</f>
        <v/>
      </c>
      <c r="AC53" s="175">
        <f>IF(OR($C53="",$D53=""),0,IF(AND($E53&lt;&gt;"",$E53&lt;=AC$37),0,IF((YEAR(AC$37)-$G53)&lt;0,0,IF((YEAR(AC$37)-$G53)=0,$C53*$F53*$H53,$C53*(1-$F53*$H53)*(1-$F53)^((YEAR(AC$37)-$G53)-1)*$F53))))</f>
        <v/>
      </c>
      <c r="AD53" s="175">
        <f>IF($C53="",0,IF(AND($E53&lt;&gt;"",$E53&lt;=AC$37),0,IF(OR($D53="",$D53&gt;AC$37),$C53,IF((YEAR(AC$37)-$G53)=0,$C53*(1-$F53*$H53),$C53*(1-$F53*$H53)*(1-$F53)^(YEAR(AC$37)-$G53)))))</f>
        <v/>
      </c>
      <c r="AE53" s="175">
        <f>IF(OR($C53="",$D53=""),0,IF(AND($E53&lt;&gt;"",$E53&lt;=AE$37),0,IF((YEAR(AE$37)-$G53)&lt;0,0,IF((YEAR(AE$37)-$G53)=0,$C53*$F53*$H53,$C53*(1-$F53*$H53)*(1-$F53)^((YEAR(AE$37)-$G53)-1)*$F53))))</f>
        <v/>
      </c>
      <c r="AF53" s="175">
        <f>IF($C53="",0,IF(AND($E53&lt;&gt;"",$E53&lt;=AE$37),0,IF(OR($D53="",$D53&gt;AE$37),$C53,IF((YEAR(AE$37)-$G53)=0,$C53*(1-$F53*$H53),$C53*(1-$F53*$H53)*(1-$F53)^(YEAR(AE$37)-$G53)))))</f>
        <v/>
      </c>
      <c r="AG53" s="175">
        <f>IF(OR($C53="",$D53=""),0,IF(AND($E53&lt;&gt;"",$E53&lt;=AG$37),0,IF((YEAR(AG$37)-$G53)&lt;0,0,IF((YEAR(AG$37)-$G53)=0,$C53*$F53*$H53,$C53*(1-$F53*$H53)*(1-$F53)^((YEAR(AG$37)-$G53)-1)*$F53))))</f>
        <v/>
      </c>
      <c r="AH53" s="175">
        <f>IF($C53="",0,IF(AND($E53&lt;&gt;"",$E53&lt;=AG$37),0,IF(OR($D53="",$D53&gt;AG$37),$C53,IF((YEAR(AG$37)-$G53)=0,$C53*(1-$F53*$H53),$C53*(1-$F53*$H53)*(1-$F53)^(YEAR(AG$37)-$G53)))))</f>
        <v/>
      </c>
      <c r="AI53" s="175">
        <f>IF(OR($C53="",$D53=""),0,IF(AND($E53&lt;&gt;"",$E53&lt;=AI$37),0,IF((YEAR(AI$37)-$G53)&lt;0,0,IF((YEAR(AI$37)-$G53)=0,$C53*$F53*$H53,$C53*(1-$F53*$H53)*(1-$F53)^((YEAR(AI$37)-$G53)-1)*$F53))))</f>
        <v/>
      </c>
      <c r="AJ53" s="175">
        <f>IF($C53="",0,IF(AND($E53&lt;&gt;"",$E53&lt;=AI$37),0,IF(OR($D53="",$D53&gt;AI$37),$C53,IF((YEAR(AI$37)-$G53)=0,$C53*(1-$F53*$H53),$C53*(1-$F53*$H53)*(1-$F53)^(YEAR(AI$37)-$G53)))))</f>
        <v/>
      </c>
      <c r="AK53" s="175">
        <f>IF(OR($C53="",$D53=""),0,IF(AND($E53&lt;&gt;"",$E53&lt;=AK$37),0,IF((YEAR(AK$37)-$G53)&lt;0,0,IF((YEAR(AK$37)-$G53)=0,$C53*$F53*$H53,$C53*(1-$F53*$H53)*(1-$F53)^((YEAR(AK$37)-$G53)-1)*$F53))))</f>
        <v/>
      </c>
      <c r="AL53" s="175">
        <f>IF($C53="",0,IF(AND($E53&lt;&gt;"",$E53&lt;=AK$37),0,IF(OR($D53="",$D53&gt;AK$37),$C53,IF((YEAR(AK$37)-$G53)=0,$C53*(1-$F53*$H53),$C53*(1-$F53*$H53)*(1-$F53)^(YEAR(AK$37)-$G53)))))</f>
        <v/>
      </c>
      <c r="AM53" s="175">
        <f>IF(OR($C53="",$D53=""),0,IF(AND($E53&lt;&gt;"",$E53&lt;=AM$37),0,IF((YEAR(AM$37)-$G53)&lt;0,0,IF((YEAR(AM$37)-$G53)=0,$C53*$F53*$H53,$C53*(1-$F53*$H53)*(1-$F53)^((YEAR(AM$37)-$G53)-1)*$F53))))</f>
        <v/>
      </c>
      <c r="AN53" s="175">
        <f>IF($C53="",0,IF(AND($E53&lt;&gt;"",$E53&lt;=AM$37),0,IF(OR($D53="",$D53&gt;AM$37),$C53,IF((YEAR(AM$37)-$G53)=0,$C53*(1-$F53*$H53),$C53*(1-$F53*$H53)*(1-$F53)^(YEAR(AM$37)-$G53)))))</f>
        <v/>
      </c>
    </row>
    <row r="54">
      <c r="B54" s="126">
        <f>IF(FAR!K21="","",FAR!B21)</f>
        <v/>
      </c>
      <c r="C54" s="63">
        <f>IF(FAR!K21="","",FAR!K21)</f>
        <v/>
      </c>
      <c r="D54" s="128">
        <f>IF(FAR!H21="","",FAR!H21)</f>
        <v/>
      </c>
      <c r="E54" s="130">
        <f>IF(FAR!I21="","",FAR!I21)</f>
        <v/>
      </c>
      <c r="F54" s="169">
        <f>IF(FAR!C21="",0,IFERROR(VLOOKUP(FAR!C21,ScheduleIITable,6,FALSE),0))</f>
        <v/>
      </c>
      <c r="G54" s="129">
        <f>IF($D54="","",YEAR($D54)+IF(MONTH($D54)&gt;=4,1,0))</f>
        <v/>
      </c>
      <c r="H54" s="170">
        <f>IF($D54="","",IF((DATE($G54,3,31)-$D54+1)&gt;=180,1,0.5))</f>
        <v/>
      </c>
      <c r="I54" s="171">
        <f>IF(OR($C54="",$D54=""),0,IF(AND($E54&lt;&gt;"",$E54&lt;=I$37),0,IF((YEAR(I$37)-$G54)&lt;0,0,IF((YEAR(I$37)-$G54)=0,$C54*$F54*$H54,$C54*(1-$F54*$H54)*(1-$F54)^((YEAR(I$37)-$G54)-1)*$F54))))</f>
        <v/>
      </c>
      <c r="J54" s="172">
        <f>IF($C54="",0,IF(AND($E54&lt;&gt;"",$E54&lt;=I$37),0,IF(OR($D54="",$D54&gt;I$37),$C54,IF((YEAR(I$37)-$G54)=0,$C54*(1-$F54*$H54),$C54*(1-$F54*$H54)*(1-$F54)^(YEAR(I$37)-$G54)))))</f>
        <v/>
      </c>
      <c r="K54" s="171">
        <f>IF(OR($C54="",$D54=""),0,IF(AND($E54&lt;&gt;"",$E54&lt;=K$37),0,IF((YEAR(K$37)-$G54)&lt;0,0,IF((YEAR(K$37)-$G54)=0,$C54*$F54*$H54,$C54*(1-$F54*$H54)*(1-$F54)^((YEAR(K$37)-$G54)-1)*$F54))))</f>
        <v/>
      </c>
      <c r="L54" s="172">
        <f>IF($C54="",0,IF(AND($E54&lt;&gt;"",$E54&lt;=K$37),0,IF(OR($D54="",$D54&gt;K$37),$C54,IF((YEAR(K$37)-$G54)=0,$C54*(1-$F54*$H54),$C54*(1-$F54*$H54)*(1-$F54)^(YEAR(K$37)-$G54)))))</f>
        <v/>
      </c>
      <c r="M54" s="171">
        <f>IF(OR($C54="",$D54=""),0,IF(AND($E54&lt;&gt;"",$E54&lt;=M$37),0,IF((YEAR(M$37)-$G54)&lt;0,0,IF((YEAR(M$37)-$G54)=0,$C54*$F54*$H54,$C54*(1-$F54*$H54)*(1-$F54)^((YEAR(M$37)-$G54)-1)*$F54))))</f>
        <v/>
      </c>
      <c r="N54" s="172">
        <f>IF($C54="",0,IF(AND($E54&lt;&gt;"",$E54&lt;=M$37),0,IF(OR($D54="",$D54&gt;M$37),$C54,IF((YEAR(M$37)-$G54)=0,$C54*(1-$F54*$H54),$C54*(1-$F54*$H54)*(1-$F54)^(YEAR(M$37)-$G54)))))</f>
        <v/>
      </c>
      <c r="O54" s="171">
        <f>IF(OR($C54="",$D54=""),0,IF(AND($E54&lt;&gt;"",$E54&lt;=O$37),0,IF((YEAR(O$37)-$G54)&lt;0,0,IF((YEAR(O$37)-$G54)=0,$C54*$F54*$H54,$C54*(1-$F54*$H54)*(1-$F54)^((YEAR(O$37)-$G54)-1)*$F54))))</f>
        <v/>
      </c>
      <c r="P54" s="172">
        <f>IF($C54="",0,IF(AND($E54&lt;&gt;"",$E54&lt;=O$37),0,IF(OR($D54="",$D54&gt;O$37),$C54,IF((YEAR(O$37)-$G54)=0,$C54*(1-$F54*$H54),$C54*(1-$F54*$H54)*(1-$F54)^(YEAR(O$37)-$G54)))))</f>
        <v/>
      </c>
      <c r="Q54" s="171">
        <f>IF(OR($C54="",$D54=""),0,IF(AND($E54&lt;&gt;"",$E54&lt;=Q$37),0,IF((YEAR(Q$37)-$G54)&lt;0,0,IF((YEAR(Q$37)-$G54)=0,$C54*$F54*$H54,$C54*(1-$F54*$H54)*(1-$F54)^((YEAR(Q$37)-$G54)-1)*$F54))))</f>
        <v/>
      </c>
      <c r="R54" s="172">
        <f>IF($C54="",0,IF(AND($E54&lt;&gt;"",$E54&lt;=Q$37),0,IF(OR($D54="",$D54&gt;Q$37),$C54,IF((YEAR(Q$37)-$G54)=0,$C54*(1-$F54*$H54),$C54*(1-$F54*$H54)*(1-$F54)^(YEAR(Q$37)-$G54)))))</f>
        <v/>
      </c>
      <c r="S54" s="171">
        <f>IF(OR($C54="",$D54=""),0,IF(AND($E54&lt;&gt;"",$E54&lt;=S$37),0,IF((YEAR(S$37)-$G54)&lt;0,0,IF((YEAR(S$37)-$G54)=0,$C54*$F54*$H54,$C54*(1-$F54*$H54)*(1-$F54)^((YEAR(S$37)-$G54)-1)*$F54))))</f>
        <v/>
      </c>
      <c r="T54" s="172">
        <f>IF($C54="",0,IF(AND($E54&lt;&gt;"",$E54&lt;=S$37),0,IF(OR($D54="",$D54&gt;S$37),$C54,IF((YEAR(S$37)-$G54)=0,$C54*(1-$F54*$H54),$C54*(1-$F54*$H54)*(1-$F54)^(YEAR(S$37)-$G54)))))</f>
        <v/>
      </c>
      <c r="U54" s="171">
        <f>IF(OR($C54="",$D54=""),0,IF(AND($E54&lt;&gt;"",$E54&lt;=U$37),0,IF((YEAR(U$37)-$G54)&lt;0,0,IF((YEAR(U$37)-$G54)=0,$C54*$F54*$H54,$C54*(1-$F54*$H54)*(1-$F54)^((YEAR(U$37)-$G54)-1)*$F54))))</f>
        <v/>
      </c>
      <c r="V54" s="172">
        <f>IF($C54="",0,IF(AND($E54&lt;&gt;"",$E54&lt;=U$37),0,IF(OR($D54="",$D54&gt;U$37),$C54,IF((YEAR(U$37)-$G54)=0,$C54*(1-$F54*$H54),$C54*(1-$F54*$H54)*(1-$F54)^(YEAR(U$37)-$G54)))))</f>
        <v/>
      </c>
      <c r="W54" s="171">
        <f>IF(OR($C54="",$D54=""),0,IF(AND($E54&lt;&gt;"",$E54&lt;=W$37),0,IF((YEAR(W$37)-$G54)&lt;0,0,IF((YEAR(W$37)-$G54)=0,$C54*$F54*$H54,$C54*(1-$F54*$H54)*(1-$F54)^((YEAR(W$37)-$G54)-1)*$F54))))</f>
        <v/>
      </c>
      <c r="X54" s="172">
        <f>IF($C54="",0,IF(AND($E54&lt;&gt;"",$E54&lt;=W$37),0,IF(OR($D54="",$D54&gt;W$37),$C54,IF((YEAR(W$37)-$G54)=0,$C54*(1-$F54*$H54),$C54*(1-$F54*$H54)*(1-$F54)^(YEAR(W$37)-$G54)))))</f>
        <v/>
      </c>
      <c r="Y54" s="171">
        <f>IF(OR($C54="",$D54=""),0,IF(AND($E54&lt;&gt;"",$E54&lt;=Y$37),0,IF((YEAR(Y$37)-$G54)&lt;0,0,IF((YEAR(Y$37)-$G54)=0,$C54*$F54*$H54,$C54*(1-$F54*$H54)*(1-$F54)^((YEAR(Y$37)-$G54)-1)*$F54))))</f>
        <v/>
      </c>
      <c r="Z54" s="172">
        <f>IF($C54="",0,IF(AND($E54&lt;&gt;"",$E54&lt;=Y$37),0,IF(OR($D54="",$D54&gt;Y$37),$C54,IF((YEAR(Y$37)-$G54)=0,$C54*(1-$F54*$H54),$C54*(1-$F54*$H54)*(1-$F54)^(YEAR(Y$37)-$G54)))))</f>
        <v/>
      </c>
      <c r="AA54" s="171">
        <f>IF(OR($C54="",$D54=""),0,IF(AND($E54&lt;&gt;"",$E54&lt;=AA$37),0,IF((YEAR(AA$37)-$G54)&lt;0,0,IF((YEAR(AA$37)-$G54)=0,$C54*$F54*$H54,$C54*(1-$F54*$H54)*(1-$F54)^((YEAR(AA$37)-$G54)-1)*$F54))))</f>
        <v/>
      </c>
      <c r="AB54" s="172">
        <f>IF($C54="",0,IF(AND($E54&lt;&gt;"",$E54&lt;=AA$37),0,IF(OR($D54="",$D54&gt;AA$37),$C54,IF((YEAR(AA$37)-$G54)=0,$C54*(1-$F54*$H54),$C54*(1-$F54*$H54)*(1-$F54)^(YEAR(AA$37)-$G54)))))</f>
        <v/>
      </c>
      <c r="AC54" s="171">
        <f>IF(OR($C54="",$D54=""),0,IF(AND($E54&lt;&gt;"",$E54&lt;=AC$37),0,IF((YEAR(AC$37)-$G54)&lt;0,0,IF((YEAR(AC$37)-$G54)=0,$C54*$F54*$H54,$C54*(1-$F54*$H54)*(1-$F54)^((YEAR(AC$37)-$G54)-1)*$F54))))</f>
        <v/>
      </c>
      <c r="AD54" s="172">
        <f>IF($C54="",0,IF(AND($E54&lt;&gt;"",$E54&lt;=AC$37),0,IF(OR($D54="",$D54&gt;AC$37),$C54,IF((YEAR(AC$37)-$G54)=0,$C54*(1-$F54*$H54),$C54*(1-$F54*$H54)*(1-$F54)^(YEAR(AC$37)-$G54)))))</f>
        <v/>
      </c>
      <c r="AE54" s="171">
        <f>IF(OR($C54="",$D54=""),0,IF(AND($E54&lt;&gt;"",$E54&lt;=AE$37),0,IF((YEAR(AE$37)-$G54)&lt;0,0,IF((YEAR(AE$37)-$G54)=0,$C54*$F54*$H54,$C54*(1-$F54*$H54)*(1-$F54)^((YEAR(AE$37)-$G54)-1)*$F54))))</f>
        <v/>
      </c>
      <c r="AF54" s="172">
        <f>IF($C54="",0,IF(AND($E54&lt;&gt;"",$E54&lt;=AE$37),0,IF(OR($D54="",$D54&gt;AE$37),$C54,IF((YEAR(AE$37)-$G54)=0,$C54*(1-$F54*$H54),$C54*(1-$F54*$H54)*(1-$F54)^(YEAR(AE$37)-$G54)))))</f>
        <v/>
      </c>
      <c r="AG54" s="171">
        <f>IF(OR($C54="",$D54=""),0,IF(AND($E54&lt;&gt;"",$E54&lt;=AG$37),0,IF((YEAR(AG$37)-$G54)&lt;0,0,IF((YEAR(AG$37)-$G54)=0,$C54*$F54*$H54,$C54*(1-$F54*$H54)*(1-$F54)^((YEAR(AG$37)-$G54)-1)*$F54))))</f>
        <v/>
      </c>
      <c r="AH54" s="172">
        <f>IF($C54="",0,IF(AND($E54&lt;&gt;"",$E54&lt;=AG$37),0,IF(OR($D54="",$D54&gt;AG$37),$C54,IF((YEAR(AG$37)-$G54)=0,$C54*(1-$F54*$H54),$C54*(1-$F54*$H54)*(1-$F54)^(YEAR(AG$37)-$G54)))))</f>
        <v/>
      </c>
      <c r="AI54" s="171">
        <f>IF(OR($C54="",$D54=""),0,IF(AND($E54&lt;&gt;"",$E54&lt;=AI$37),0,IF((YEAR(AI$37)-$G54)&lt;0,0,IF((YEAR(AI$37)-$G54)=0,$C54*$F54*$H54,$C54*(1-$F54*$H54)*(1-$F54)^((YEAR(AI$37)-$G54)-1)*$F54))))</f>
        <v/>
      </c>
      <c r="AJ54" s="172">
        <f>IF($C54="",0,IF(AND($E54&lt;&gt;"",$E54&lt;=AI$37),0,IF(OR($D54="",$D54&gt;AI$37),$C54,IF((YEAR(AI$37)-$G54)=0,$C54*(1-$F54*$H54),$C54*(1-$F54*$H54)*(1-$F54)^(YEAR(AI$37)-$G54)))))</f>
        <v/>
      </c>
      <c r="AK54" s="171">
        <f>IF(OR($C54="",$D54=""),0,IF(AND($E54&lt;&gt;"",$E54&lt;=AK$37),0,IF((YEAR(AK$37)-$G54)&lt;0,0,IF((YEAR(AK$37)-$G54)=0,$C54*$F54*$H54,$C54*(1-$F54*$H54)*(1-$F54)^((YEAR(AK$37)-$G54)-1)*$F54))))</f>
        <v/>
      </c>
      <c r="AL54" s="172">
        <f>IF($C54="",0,IF(AND($E54&lt;&gt;"",$E54&lt;=AK$37),0,IF(OR($D54="",$D54&gt;AK$37),$C54,IF((YEAR(AK$37)-$G54)=0,$C54*(1-$F54*$H54),$C54*(1-$F54*$H54)*(1-$F54)^(YEAR(AK$37)-$G54)))))</f>
        <v/>
      </c>
      <c r="AM54" s="171">
        <f>IF(OR($C54="",$D54=""),0,IF(AND($E54&lt;&gt;"",$E54&lt;=AM$37),0,IF((YEAR(AM$37)-$G54)&lt;0,0,IF((YEAR(AM$37)-$G54)=0,$C54*$F54*$H54,$C54*(1-$F54*$H54)*(1-$F54)^((YEAR(AM$37)-$G54)-1)*$F54))))</f>
        <v/>
      </c>
      <c r="AN54" s="172">
        <f>IF($C54="",0,IF(AND($E54&lt;&gt;"",$E54&lt;=AM$37),0,IF(OR($D54="",$D54&gt;AM$37),$C54,IF((YEAR(AM$37)-$G54)=0,$C54*(1-$F54*$H54),$C54*(1-$F54*$H54)*(1-$F54)^(YEAR(AM$37)-$G54)))))</f>
        <v/>
      </c>
    </row>
    <row r="55">
      <c r="B55" s="132">
        <f>IF(FAR!K22="","",FAR!B22)</f>
        <v/>
      </c>
      <c r="C55" s="81">
        <f>IF(FAR!K22="","",FAR!K22)</f>
        <v/>
      </c>
      <c r="D55" s="134">
        <f>IF(FAR!H22="","",FAR!H22)</f>
        <v/>
      </c>
      <c r="E55" s="136">
        <f>IF(FAR!I22="","",FAR!I22)</f>
        <v/>
      </c>
      <c r="F55" s="173">
        <f>IF(FAR!C22="",0,IFERROR(VLOOKUP(FAR!C22,ScheduleIITable,6,FALSE),0))</f>
        <v/>
      </c>
      <c r="G55" s="135">
        <f>IF($D55="","",YEAR($D55)+IF(MONTH($D55)&gt;=4,1,0))</f>
        <v/>
      </c>
      <c r="H55" s="174">
        <f>IF($D55="","",IF((DATE($G55,3,31)-$D55+1)&gt;=180,1,0.5))</f>
        <v/>
      </c>
      <c r="I55" s="175">
        <f>IF(OR($C55="",$D55=""),0,IF(AND($E55&lt;&gt;"",$E55&lt;=I$37),0,IF((YEAR(I$37)-$G55)&lt;0,0,IF((YEAR(I$37)-$G55)=0,$C55*$F55*$H55,$C55*(1-$F55*$H55)*(1-$F55)^((YEAR(I$37)-$G55)-1)*$F55))))</f>
        <v/>
      </c>
      <c r="J55" s="175">
        <f>IF($C55="",0,IF(AND($E55&lt;&gt;"",$E55&lt;=I$37),0,IF(OR($D55="",$D55&gt;I$37),$C55,IF((YEAR(I$37)-$G55)=0,$C55*(1-$F55*$H55),$C55*(1-$F55*$H55)*(1-$F55)^(YEAR(I$37)-$G55)))))</f>
        <v/>
      </c>
      <c r="K55" s="175">
        <f>IF(OR($C55="",$D55=""),0,IF(AND($E55&lt;&gt;"",$E55&lt;=K$37),0,IF((YEAR(K$37)-$G55)&lt;0,0,IF((YEAR(K$37)-$G55)=0,$C55*$F55*$H55,$C55*(1-$F55*$H55)*(1-$F55)^((YEAR(K$37)-$G55)-1)*$F55))))</f>
        <v/>
      </c>
      <c r="L55" s="175">
        <f>IF($C55="",0,IF(AND($E55&lt;&gt;"",$E55&lt;=K$37),0,IF(OR($D55="",$D55&gt;K$37),$C55,IF((YEAR(K$37)-$G55)=0,$C55*(1-$F55*$H55),$C55*(1-$F55*$H55)*(1-$F55)^(YEAR(K$37)-$G55)))))</f>
        <v/>
      </c>
      <c r="M55" s="175">
        <f>IF(OR($C55="",$D55=""),0,IF(AND($E55&lt;&gt;"",$E55&lt;=M$37),0,IF((YEAR(M$37)-$G55)&lt;0,0,IF((YEAR(M$37)-$G55)=0,$C55*$F55*$H55,$C55*(1-$F55*$H55)*(1-$F55)^((YEAR(M$37)-$G55)-1)*$F55))))</f>
        <v/>
      </c>
      <c r="N55" s="175">
        <f>IF($C55="",0,IF(AND($E55&lt;&gt;"",$E55&lt;=M$37),0,IF(OR($D55="",$D55&gt;M$37),$C55,IF((YEAR(M$37)-$G55)=0,$C55*(1-$F55*$H55),$C55*(1-$F55*$H55)*(1-$F55)^(YEAR(M$37)-$G55)))))</f>
        <v/>
      </c>
      <c r="O55" s="175">
        <f>IF(OR($C55="",$D55=""),0,IF(AND($E55&lt;&gt;"",$E55&lt;=O$37),0,IF((YEAR(O$37)-$G55)&lt;0,0,IF((YEAR(O$37)-$G55)=0,$C55*$F55*$H55,$C55*(1-$F55*$H55)*(1-$F55)^((YEAR(O$37)-$G55)-1)*$F55))))</f>
        <v/>
      </c>
      <c r="P55" s="175">
        <f>IF($C55="",0,IF(AND($E55&lt;&gt;"",$E55&lt;=O$37),0,IF(OR($D55="",$D55&gt;O$37),$C55,IF((YEAR(O$37)-$G55)=0,$C55*(1-$F55*$H55),$C55*(1-$F55*$H55)*(1-$F55)^(YEAR(O$37)-$G55)))))</f>
        <v/>
      </c>
      <c r="Q55" s="175">
        <f>IF(OR($C55="",$D55=""),0,IF(AND($E55&lt;&gt;"",$E55&lt;=Q$37),0,IF((YEAR(Q$37)-$G55)&lt;0,0,IF((YEAR(Q$37)-$G55)=0,$C55*$F55*$H55,$C55*(1-$F55*$H55)*(1-$F55)^((YEAR(Q$37)-$G55)-1)*$F55))))</f>
        <v/>
      </c>
      <c r="R55" s="175">
        <f>IF($C55="",0,IF(AND($E55&lt;&gt;"",$E55&lt;=Q$37),0,IF(OR($D55="",$D55&gt;Q$37),$C55,IF((YEAR(Q$37)-$G55)=0,$C55*(1-$F55*$H55),$C55*(1-$F55*$H55)*(1-$F55)^(YEAR(Q$37)-$G55)))))</f>
        <v/>
      </c>
      <c r="S55" s="175">
        <f>IF(OR($C55="",$D55=""),0,IF(AND($E55&lt;&gt;"",$E55&lt;=S$37),0,IF((YEAR(S$37)-$G55)&lt;0,0,IF((YEAR(S$37)-$G55)=0,$C55*$F55*$H55,$C55*(1-$F55*$H55)*(1-$F55)^((YEAR(S$37)-$G55)-1)*$F55))))</f>
        <v/>
      </c>
      <c r="T55" s="175">
        <f>IF($C55="",0,IF(AND($E55&lt;&gt;"",$E55&lt;=S$37),0,IF(OR($D55="",$D55&gt;S$37),$C55,IF((YEAR(S$37)-$G55)=0,$C55*(1-$F55*$H55),$C55*(1-$F55*$H55)*(1-$F55)^(YEAR(S$37)-$G55)))))</f>
        <v/>
      </c>
      <c r="U55" s="175">
        <f>IF(OR($C55="",$D55=""),0,IF(AND($E55&lt;&gt;"",$E55&lt;=U$37),0,IF((YEAR(U$37)-$G55)&lt;0,0,IF((YEAR(U$37)-$G55)=0,$C55*$F55*$H55,$C55*(1-$F55*$H55)*(1-$F55)^((YEAR(U$37)-$G55)-1)*$F55))))</f>
        <v/>
      </c>
      <c r="V55" s="175">
        <f>IF($C55="",0,IF(AND($E55&lt;&gt;"",$E55&lt;=U$37),0,IF(OR($D55="",$D55&gt;U$37),$C55,IF((YEAR(U$37)-$G55)=0,$C55*(1-$F55*$H55),$C55*(1-$F55*$H55)*(1-$F55)^(YEAR(U$37)-$G55)))))</f>
        <v/>
      </c>
      <c r="W55" s="175">
        <f>IF(OR($C55="",$D55=""),0,IF(AND($E55&lt;&gt;"",$E55&lt;=W$37),0,IF((YEAR(W$37)-$G55)&lt;0,0,IF((YEAR(W$37)-$G55)=0,$C55*$F55*$H55,$C55*(1-$F55*$H55)*(1-$F55)^((YEAR(W$37)-$G55)-1)*$F55))))</f>
        <v/>
      </c>
      <c r="X55" s="175">
        <f>IF($C55="",0,IF(AND($E55&lt;&gt;"",$E55&lt;=W$37),0,IF(OR($D55="",$D55&gt;W$37),$C55,IF((YEAR(W$37)-$G55)=0,$C55*(1-$F55*$H55),$C55*(1-$F55*$H55)*(1-$F55)^(YEAR(W$37)-$G55)))))</f>
        <v/>
      </c>
      <c r="Y55" s="175">
        <f>IF(OR($C55="",$D55=""),0,IF(AND($E55&lt;&gt;"",$E55&lt;=Y$37),0,IF((YEAR(Y$37)-$G55)&lt;0,0,IF((YEAR(Y$37)-$G55)=0,$C55*$F55*$H55,$C55*(1-$F55*$H55)*(1-$F55)^((YEAR(Y$37)-$G55)-1)*$F55))))</f>
        <v/>
      </c>
      <c r="Z55" s="175">
        <f>IF($C55="",0,IF(AND($E55&lt;&gt;"",$E55&lt;=Y$37),0,IF(OR($D55="",$D55&gt;Y$37),$C55,IF((YEAR(Y$37)-$G55)=0,$C55*(1-$F55*$H55),$C55*(1-$F55*$H55)*(1-$F55)^(YEAR(Y$37)-$G55)))))</f>
        <v/>
      </c>
      <c r="AA55" s="175">
        <f>IF(OR($C55="",$D55=""),0,IF(AND($E55&lt;&gt;"",$E55&lt;=AA$37),0,IF((YEAR(AA$37)-$G55)&lt;0,0,IF((YEAR(AA$37)-$G55)=0,$C55*$F55*$H55,$C55*(1-$F55*$H55)*(1-$F55)^((YEAR(AA$37)-$G55)-1)*$F55))))</f>
        <v/>
      </c>
      <c r="AB55" s="175">
        <f>IF($C55="",0,IF(AND($E55&lt;&gt;"",$E55&lt;=AA$37),0,IF(OR($D55="",$D55&gt;AA$37),$C55,IF((YEAR(AA$37)-$G55)=0,$C55*(1-$F55*$H55),$C55*(1-$F55*$H55)*(1-$F55)^(YEAR(AA$37)-$G55)))))</f>
        <v/>
      </c>
      <c r="AC55" s="175">
        <f>IF(OR($C55="",$D55=""),0,IF(AND($E55&lt;&gt;"",$E55&lt;=AC$37),0,IF((YEAR(AC$37)-$G55)&lt;0,0,IF((YEAR(AC$37)-$G55)=0,$C55*$F55*$H55,$C55*(1-$F55*$H55)*(1-$F55)^((YEAR(AC$37)-$G55)-1)*$F55))))</f>
        <v/>
      </c>
      <c r="AD55" s="175">
        <f>IF($C55="",0,IF(AND($E55&lt;&gt;"",$E55&lt;=AC$37),0,IF(OR($D55="",$D55&gt;AC$37),$C55,IF((YEAR(AC$37)-$G55)=0,$C55*(1-$F55*$H55),$C55*(1-$F55*$H55)*(1-$F55)^(YEAR(AC$37)-$G55)))))</f>
        <v/>
      </c>
      <c r="AE55" s="175">
        <f>IF(OR($C55="",$D55=""),0,IF(AND($E55&lt;&gt;"",$E55&lt;=AE$37),0,IF((YEAR(AE$37)-$G55)&lt;0,0,IF((YEAR(AE$37)-$G55)=0,$C55*$F55*$H55,$C55*(1-$F55*$H55)*(1-$F55)^((YEAR(AE$37)-$G55)-1)*$F55))))</f>
        <v/>
      </c>
      <c r="AF55" s="175">
        <f>IF($C55="",0,IF(AND($E55&lt;&gt;"",$E55&lt;=AE$37),0,IF(OR($D55="",$D55&gt;AE$37),$C55,IF((YEAR(AE$37)-$G55)=0,$C55*(1-$F55*$H55),$C55*(1-$F55*$H55)*(1-$F55)^(YEAR(AE$37)-$G55)))))</f>
        <v/>
      </c>
      <c r="AG55" s="175">
        <f>IF(OR($C55="",$D55=""),0,IF(AND($E55&lt;&gt;"",$E55&lt;=AG$37),0,IF((YEAR(AG$37)-$G55)&lt;0,0,IF((YEAR(AG$37)-$G55)=0,$C55*$F55*$H55,$C55*(1-$F55*$H55)*(1-$F55)^((YEAR(AG$37)-$G55)-1)*$F55))))</f>
        <v/>
      </c>
      <c r="AH55" s="175">
        <f>IF($C55="",0,IF(AND($E55&lt;&gt;"",$E55&lt;=AG$37),0,IF(OR($D55="",$D55&gt;AG$37),$C55,IF((YEAR(AG$37)-$G55)=0,$C55*(1-$F55*$H55),$C55*(1-$F55*$H55)*(1-$F55)^(YEAR(AG$37)-$G55)))))</f>
        <v/>
      </c>
      <c r="AI55" s="175">
        <f>IF(OR($C55="",$D55=""),0,IF(AND($E55&lt;&gt;"",$E55&lt;=AI$37),0,IF((YEAR(AI$37)-$G55)&lt;0,0,IF((YEAR(AI$37)-$G55)=0,$C55*$F55*$H55,$C55*(1-$F55*$H55)*(1-$F55)^((YEAR(AI$37)-$G55)-1)*$F55))))</f>
        <v/>
      </c>
      <c r="AJ55" s="175">
        <f>IF($C55="",0,IF(AND($E55&lt;&gt;"",$E55&lt;=AI$37),0,IF(OR($D55="",$D55&gt;AI$37),$C55,IF((YEAR(AI$37)-$G55)=0,$C55*(1-$F55*$H55),$C55*(1-$F55*$H55)*(1-$F55)^(YEAR(AI$37)-$G55)))))</f>
        <v/>
      </c>
      <c r="AK55" s="175">
        <f>IF(OR($C55="",$D55=""),0,IF(AND($E55&lt;&gt;"",$E55&lt;=AK$37),0,IF((YEAR(AK$37)-$G55)&lt;0,0,IF((YEAR(AK$37)-$G55)=0,$C55*$F55*$H55,$C55*(1-$F55*$H55)*(1-$F55)^((YEAR(AK$37)-$G55)-1)*$F55))))</f>
        <v/>
      </c>
      <c r="AL55" s="175">
        <f>IF($C55="",0,IF(AND($E55&lt;&gt;"",$E55&lt;=AK$37),0,IF(OR($D55="",$D55&gt;AK$37),$C55,IF((YEAR(AK$37)-$G55)=0,$C55*(1-$F55*$H55),$C55*(1-$F55*$H55)*(1-$F55)^(YEAR(AK$37)-$G55)))))</f>
        <v/>
      </c>
      <c r="AM55" s="175">
        <f>IF(OR($C55="",$D55=""),0,IF(AND($E55&lt;&gt;"",$E55&lt;=AM$37),0,IF((YEAR(AM$37)-$G55)&lt;0,0,IF((YEAR(AM$37)-$G55)=0,$C55*$F55*$H55,$C55*(1-$F55*$H55)*(1-$F55)^((YEAR(AM$37)-$G55)-1)*$F55))))</f>
        <v/>
      </c>
      <c r="AN55" s="175">
        <f>IF($C55="",0,IF(AND($E55&lt;&gt;"",$E55&lt;=AM$37),0,IF(OR($D55="",$D55&gt;AM$37),$C55,IF((YEAR(AM$37)-$G55)=0,$C55*(1-$F55*$H55),$C55*(1-$F55*$H55)*(1-$F55)^(YEAR(AM$37)-$G55)))))</f>
        <v/>
      </c>
    </row>
    <row r="56">
      <c r="B56" s="126">
        <f>IF(FAR!K23="","",FAR!B23)</f>
        <v/>
      </c>
      <c r="C56" s="63">
        <f>IF(FAR!K23="","",FAR!K23)</f>
        <v/>
      </c>
      <c r="D56" s="128">
        <f>IF(FAR!H23="","",FAR!H23)</f>
        <v/>
      </c>
      <c r="E56" s="130">
        <f>IF(FAR!I23="","",FAR!I23)</f>
        <v/>
      </c>
      <c r="F56" s="169">
        <f>IF(FAR!C23="",0,IFERROR(VLOOKUP(FAR!C23,ScheduleIITable,6,FALSE),0))</f>
        <v/>
      </c>
      <c r="G56" s="129">
        <f>IF($D56="","",YEAR($D56)+IF(MONTH($D56)&gt;=4,1,0))</f>
        <v/>
      </c>
      <c r="H56" s="170">
        <f>IF($D56="","",IF((DATE($G56,3,31)-$D56+1)&gt;=180,1,0.5))</f>
        <v/>
      </c>
      <c r="I56" s="171">
        <f>IF(OR($C56="",$D56=""),0,IF(AND($E56&lt;&gt;"",$E56&lt;=I$37),0,IF((YEAR(I$37)-$G56)&lt;0,0,IF((YEAR(I$37)-$G56)=0,$C56*$F56*$H56,$C56*(1-$F56*$H56)*(1-$F56)^((YEAR(I$37)-$G56)-1)*$F56))))</f>
        <v/>
      </c>
      <c r="J56" s="172">
        <f>IF($C56="",0,IF(AND($E56&lt;&gt;"",$E56&lt;=I$37),0,IF(OR($D56="",$D56&gt;I$37),$C56,IF((YEAR(I$37)-$G56)=0,$C56*(1-$F56*$H56),$C56*(1-$F56*$H56)*(1-$F56)^(YEAR(I$37)-$G56)))))</f>
        <v/>
      </c>
      <c r="K56" s="171">
        <f>IF(OR($C56="",$D56=""),0,IF(AND($E56&lt;&gt;"",$E56&lt;=K$37),0,IF((YEAR(K$37)-$G56)&lt;0,0,IF((YEAR(K$37)-$G56)=0,$C56*$F56*$H56,$C56*(1-$F56*$H56)*(1-$F56)^((YEAR(K$37)-$G56)-1)*$F56))))</f>
        <v/>
      </c>
      <c r="L56" s="172">
        <f>IF($C56="",0,IF(AND($E56&lt;&gt;"",$E56&lt;=K$37),0,IF(OR($D56="",$D56&gt;K$37),$C56,IF((YEAR(K$37)-$G56)=0,$C56*(1-$F56*$H56),$C56*(1-$F56*$H56)*(1-$F56)^(YEAR(K$37)-$G56)))))</f>
        <v/>
      </c>
      <c r="M56" s="171">
        <f>IF(OR($C56="",$D56=""),0,IF(AND($E56&lt;&gt;"",$E56&lt;=M$37),0,IF((YEAR(M$37)-$G56)&lt;0,0,IF((YEAR(M$37)-$G56)=0,$C56*$F56*$H56,$C56*(1-$F56*$H56)*(1-$F56)^((YEAR(M$37)-$G56)-1)*$F56))))</f>
        <v/>
      </c>
      <c r="N56" s="172">
        <f>IF($C56="",0,IF(AND($E56&lt;&gt;"",$E56&lt;=M$37),0,IF(OR($D56="",$D56&gt;M$37),$C56,IF((YEAR(M$37)-$G56)=0,$C56*(1-$F56*$H56),$C56*(1-$F56*$H56)*(1-$F56)^(YEAR(M$37)-$G56)))))</f>
        <v/>
      </c>
      <c r="O56" s="171">
        <f>IF(OR($C56="",$D56=""),0,IF(AND($E56&lt;&gt;"",$E56&lt;=O$37),0,IF((YEAR(O$37)-$G56)&lt;0,0,IF((YEAR(O$37)-$G56)=0,$C56*$F56*$H56,$C56*(1-$F56*$H56)*(1-$F56)^((YEAR(O$37)-$G56)-1)*$F56))))</f>
        <v/>
      </c>
      <c r="P56" s="172">
        <f>IF($C56="",0,IF(AND($E56&lt;&gt;"",$E56&lt;=O$37),0,IF(OR($D56="",$D56&gt;O$37),$C56,IF((YEAR(O$37)-$G56)=0,$C56*(1-$F56*$H56),$C56*(1-$F56*$H56)*(1-$F56)^(YEAR(O$37)-$G56)))))</f>
        <v/>
      </c>
      <c r="Q56" s="171">
        <f>IF(OR($C56="",$D56=""),0,IF(AND($E56&lt;&gt;"",$E56&lt;=Q$37),0,IF((YEAR(Q$37)-$G56)&lt;0,0,IF((YEAR(Q$37)-$G56)=0,$C56*$F56*$H56,$C56*(1-$F56*$H56)*(1-$F56)^((YEAR(Q$37)-$G56)-1)*$F56))))</f>
        <v/>
      </c>
      <c r="R56" s="172">
        <f>IF($C56="",0,IF(AND($E56&lt;&gt;"",$E56&lt;=Q$37),0,IF(OR($D56="",$D56&gt;Q$37),$C56,IF((YEAR(Q$37)-$G56)=0,$C56*(1-$F56*$H56),$C56*(1-$F56*$H56)*(1-$F56)^(YEAR(Q$37)-$G56)))))</f>
        <v/>
      </c>
      <c r="S56" s="171">
        <f>IF(OR($C56="",$D56=""),0,IF(AND($E56&lt;&gt;"",$E56&lt;=S$37),0,IF((YEAR(S$37)-$G56)&lt;0,0,IF((YEAR(S$37)-$G56)=0,$C56*$F56*$H56,$C56*(1-$F56*$H56)*(1-$F56)^((YEAR(S$37)-$G56)-1)*$F56))))</f>
        <v/>
      </c>
      <c r="T56" s="172">
        <f>IF($C56="",0,IF(AND($E56&lt;&gt;"",$E56&lt;=S$37),0,IF(OR($D56="",$D56&gt;S$37),$C56,IF((YEAR(S$37)-$G56)=0,$C56*(1-$F56*$H56),$C56*(1-$F56*$H56)*(1-$F56)^(YEAR(S$37)-$G56)))))</f>
        <v/>
      </c>
      <c r="U56" s="171">
        <f>IF(OR($C56="",$D56=""),0,IF(AND($E56&lt;&gt;"",$E56&lt;=U$37),0,IF((YEAR(U$37)-$G56)&lt;0,0,IF((YEAR(U$37)-$G56)=0,$C56*$F56*$H56,$C56*(1-$F56*$H56)*(1-$F56)^((YEAR(U$37)-$G56)-1)*$F56))))</f>
        <v/>
      </c>
      <c r="V56" s="172">
        <f>IF($C56="",0,IF(AND($E56&lt;&gt;"",$E56&lt;=U$37),0,IF(OR($D56="",$D56&gt;U$37),$C56,IF((YEAR(U$37)-$G56)=0,$C56*(1-$F56*$H56),$C56*(1-$F56*$H56)*(1-$F56)^(YEAR(U$37)-$G56)))))</f>
        <v/>
      </c>
      <c r="W56" s="171">
        <f>IF(OR($C56="",$D56=""),0,IF(AND($E56&lt;&gt;"",$E56&lt;=W$37),0,IF((YEAR(W$37)-$G56)&lt;0,0,IF((YEAR(W$37)-$G56)=0,$C56*$F56*$H56,$C56*(1-$F56*$H56)*(1-$F56)^((YEAR(W$37)-$G56)-1)*$F56))))</f>
        <v/>
      </c>
      <c r="X56" s="172">
        <f>IF($C56="",0,IF(AND($E56&lt;&gt;"",$E56&lt;=W$37),0,IF(OR($D56="",$D56&gt;W$37),$C56,IF((YEAR(W$37)-$G56)=0,$C56*(1-$F56*$H56),$C56*(1-$F56*$H56)*(1-$F56)^(YEAR(W$37)-$G56)))))</f>
        <v/>
      </c>
      <c r="Y56" s="171">
        <f>IF(OR($C56="",$D56=""),0,IF(AND($E56&lt;&gt;"",$E56&lt;=Y$37),0,IF((YEAR(Y$37)-$G56)&lt;0,0,IF((YEAR(Y$37)-$G56)=0,$C56*$F56*$H56,$C56*(1-$F56*$H56)*(1-$F56)^((YEAR(Y$37)-$G56)-1)*$F56))))</f>
        <v/>
      </c>
      <c r="Z56" s="172">
        <f>IF($C56="",0,IF(AND($E56&lt;&gt;"",$E56&lt;=Y$37),0,IF(OR($D56="",$D56&gt;Y$37),$C56,IF((YEAR(Y$37)-$G56)=0,$C56*(1-$F56*$H56),$C56*(1-$F56*$H56)*(1-$F56)^(YEAR(Y$37)-$G56)))))</f>
        <v/>
      </c>
      <c r="AA56" s="171">
        <f>IF(OR($C56="",$D56=""),0,IF(AND($E56&lt;&gt;"",$E56&lt;=AA$37),0,IF((YEAR(AA$37)-$G56)&lt;0,0,IF((YEAR(AA$37)-$G56)=0,$C56*$F56*$H56,$C56*(1-$F56*$H56)*(1-$F56)^((YEAR(AA$37)-$G56)-1)*$F56))))</f>
        <v/>
      </c>
      <c r="AB56" s="172">
        <f>IF($C56="",0,IF(AND($E56&lt;&gt;"",$E56&lt;=AA$37),0,IF(OR($D56="",$D56&gt;AA$37),$C56,IF((YEAR(AA$37)-$G56)=0,$C56*(1-$F56*$H56),$C56*(1-$F56*$H56)*(1-$F56)^(YEAR(AA$37)-$G56)))))</f>
        <v/>
      </c>
      <c r="AC56" s="171">
        <f>IF(OR($C56="",$D56=""),0,IF(AND($E56&lt;&gt;"",$E56&lt;=AC$37),0,IF((YEAR(AC$37)-$G56)&lt;0,0,IF((YEAR(AC$37)-$G56)=0,$C56*$F56*$H56,$C56*(1-$F56*$H56)*(1-$F56)^((YEAR(AC$37)-$G56)-1)*$F56))))</f>
        <v/>
      </c>
      <c r="AD56" s="172">
        <f>IF($C56="",0,IF(AND($E56&lt;&gt;"",$E56&lt;=AC$37),0,IF(OR($D56="",$D56&gt;AC$37),$C56,IF((YEAR(AC$37)-$G56)=0,$C56*(1-$F56*$H56),$C56*(1-$F56*$H56)*(1-$F56)^(YEAR(AC$37)-$G56)))))</f>
        <v/>
      </c>
      <c r="AE56" s="171">
        <f>IF(OR($C56="",$D56=""),0,IF(AND($E56&lt;&gt;"",$E56&lt;=AE$37),0,IF((YEAR(AE$37)-$G56)&lt;0,0,IF((YEAR(AE$37)-$G56)=0,$C56*$F56*$H56,$C56*(1-$F56*$H56)*(1-$F56)^((YEAR(AE$37)-$G56)-1)*$F56))))</f>
        <v/>
      </c>
      <c r="AF56" s="172">
        <f>IF($C56="",0,IF(AND($E56&lt;&gt;"",$E56&lt;=AE$37),0,IF(OR($D56="",$D56&gt;AE$37),$C56,IF((YEAR(AE$37)-$G56)=0,$C56*(1-$F56*$H56),$C56*(1-$F56*$H56)*(1-$F56)^(YEAR(AE$37)-$G56)))))</f>
        <v/>
      </c>
      <c r="AG56" s="171">
        <f>IF(OR($C56="",$D56=""),0,IF(AND($E56&lt;&gt;"",$E56&lt;=AG$37),0,IF((YEAR(AG$37)-$G56)&lt;0,0,IF((YEAR(AG$37)-$G56)=0,$C56*$F56*$H56,$C56*(1-$F56*$H56)*(1-$F56)^((YEAR(AG$37)-$G56)-1)*$F56))))</f>
        <v/>
      </c>
      <c r="AH56" s="172">
        <f>IF($C56="",0,IF(AND($E56&lt;&gt;"",$E56&lt;=AG$37),0,IF(OR($D56="",$D56&gt;AG$37),$C56,IF((YEAR(AG$37)-$G56)=0,$C56*(1-$F56*$H56),$C56*(1-$F56*$H56)*(1-$F56)^(YEAR(AG$37)-$G56)))))</f>
        <v/>
      </c>
      <c r="AI56" s="171">
        <f>IF(OR($C56="",$D56=""),0,IF(AND($E56&lt;&gt;"",$E56&lt;=AI$37),0,IF((YEAR(AI$37)-$G56)&lt;0,0,IF((YEAR(AI$37)-$G56)=0,$C56*$F56*$H56,$C56*(1-$F56*$H56)*(1-$F56)^((YEAR(AI$37)-$G56)-1)*$F56))))</f>
        <v/>
      </c>
      <c r="AJ56" s="172">
        <f>IF($C56="",0,IF(AND($E56&lt;&gt;"",$E56&lt;=AI$37),0,IF(OR($D56="",$D56&gt;AI$37),$C56,IF((YEAR(AI$37)-$G56)=0,$C56*(1-$F56*$H56),$C56*(1-$F56*$H56)*(1-$F56)^(YEAR(AI$37)-$G56)))))</f>
        <v/>
      </c>
      <c r="AK56" s="171">
        <f>IF(OR($C56="",$D56=""),0,IF(AND($E56&lt;&gt;"",$E56&lt;=AK$37),0,IF((YEAR(AK$37)-$G56)&lt;0,0,IF((YEAR(AK$37)-$G56)=0,$C56*$F56*$H56,$C56*(1-$F56*$H56)*(1-$F56)^((YEAR(AK$37)-$G56)-1)*$F56))))</f>
        <v/>
      </c>
      <c r="AL56" s="172">
        <f>IF($C56="",0,IF(AND($E56&lt;&gt;"",$E56&lt;=AK$37),0,IF(OR($D56="",$D56&gt;AK$37),$C56,IF((YEAR(AK$37)-$G56)=0,$C56*(1-$F56*$H56),$C56*(1-$F56*$H56)*(1-$F56)^(YEAR(AK$37)-$G56)))))</f>
        <v/>
      </c>
      <c r="AM56" s="171">
        <f>IF(OR($C56="",$D56=""),0,IF(AND($E56&lt;&gt;"",$E56&lt;=AM$37),0,IF((YEAR(AM$37)-$G56)&lt;0,0,IF((YEAR(AM$37)-$G56)=0,$C56*$F56*$H56,$C56*(1-$F56*$H56)*(1-$F56)^((YEAR(AM$37)-$G56)-1)*$F56))))</f>
        <v/>
      </c>
      <c r="AN56" s="172">
        <f>IF($C56="",0,IF(AND($E56&lt;&gt;"",$E56&lt;=AM$37),0,IF(OR($D56="",$D56&gt;AM$37),$C56,IF((YEAR(AM$37)-$G56)=0,$C56*(1-$F56*$H56),$C56*(1-$F56*$H56)*(1-$F56)^(YEAR(AM$37)-$G56)))))</f>
        <v/>
      </c>
    </row>
    <row r="57">
      <c r="B57" s="132">
        <f>IF(FAR!K24="","",FAR!B24)</f>
        <v/>
      </c>
      <c r="C57" s="81">
        <f>IF(FAR!K24="","",FAR!K24)</f>
        <v/>
      </c>
      <c r="D57" s="134">
        <f>IF(FAR!H24="","",FAR!H24)</f>
        <v/>
      </c>
      <c r="E57" s="136">
        <f>IF(FAR!I24="","",FAR!I24)</f>
        <v/>
      </c>
      <c r="F57" s="173">
        <f>IF(FAR!C24="",0,IFERROR(VLOOKUP(FAR!C24,ScheduleIITable,6,FALSE),0))</f>
        <v/>
      </c>
      <c r="G57" s="135">
        <f>IF($D57="","",YEAR($D57)+IF(MONTH($D57)&gt;=4,1,0))</f>
        <v/>
      </c>
      <c r="H57" s="174">
        <f>IF($D57="","",IF((DATE($G57,3,31)-$D57+1)&gt;=180,1,0.5))</f>
        <v/>
      </c>
      <c r="I57" s="175">
        <f>IF(OR($C57="",$D57=""),0,IF(AND($E57&lt;&gt;"",$E57&lt;=I$37),0,IF((YEAR(I$37)-$G57)&lt;0,0,IF((YEAR(I$37)-$G57)=0,$C57*$F57*$H57,$C57*(1-$F57*$H57)*(1-$F57)^((YEAR(I$37)-$G57)-1)*$F57))))</f>
        <v/>
      </c>
      <c r="J57" s="175">
        <f>IF($C57="",0,IF(AND($E57&lt;&gt;"",$E57&lt;=I$37),0,IF(OR($D57="",$D57&gt;I$37),$C57,IF((YEAR(I$37)-$G57)=0,$C57*(1-$F57*$H57),$C57*(1-$F57*$H57)*(1-$F57)^(YEAR(I$37)-$G57)))))</f>
        <v/>
      </c>
      <c r="K57" s="175">
        <f>IF(OR($C57="",$D57=""),0,IF(AND($E57&lt;&gt;"",$E57&lt;=K$37),0,IF((YEAR(K$37)-$G57)&lt;0,0,IF((YEAR(K$37)-$G57)=0,$C57*$F57*$H57,$C57*(1-$F57*$H57)*(1-$F57)^((YEAR(K$37)-$G57)-1)*$F57))))</f>
        <v/>
      </c>
      <c r="L57" s="175">
        <f>IF($C57="",0,IF(AND($E57&lt;&gt;"",$E57&lt;=K$37),0,IF(OR($D57="",$D57&gt;K$37),$C57,IF((YEAR(K$37)-$G57)=0,$C57*(1-$F57*$H57),$C57*(1-$F57*$H57)*(1-$F57)^(YEAR(K$37)-$G57)))))</f>
        <v/>
      </c>
      <c r="M57" s="175">
        <f>IF(OR($C57="",$D57=""),0,IF(AND($E57&lt;&gt;"",$E57&lt;=M$37),0,IF((YEAR(M$37)-$G57)&lt;0,0,IF((YEAR(M$37)-$G57)=0,$C57*$F57*$H57,$C57*(1-$F57*$H57)*(1-$F57)^((YEAR(M$37)-$G57)-1)*$F57))))</f>
        <v/>
      </c>
      <c r="N57" s="175">
        <f>IF($C57="",0,IF(AND($E57&lt;&gt;"",$E57&lt;=M$37),0,IF(OR($D57="",$D57&gt;M$37),$C57,IF((YEAR(M$37)-$G57)=0,$C57*(1-$F57*$H57),$C57*(1-$F57*$H57)*(1-$F57)^(YEAR(M$37)-$G57)))))</f>
        <v/>
      </c>
      <c r="O57" s="175">
        <f>IF(OR($C57="",$D57=""),0,IF(AND($E57&lt;&gt;"",$E57&lt;=O$37),0,IF((YEAR(O$37)-$G57)&lt;0,0,IF((YEAR(O$37)-$G57)=0,$C57*$F57*$H57,$C57*(1-$F57*$H57)*(1-$F57)^((YEAR(O$37)-$G57)-1)*$F57))))</f>
        <v/>
      </c>
      <c r="P57" s="175">
        <f>IF($C57="",0,IF(AND($E57&lt;&gt;"",$E57&lt;=O$37),0,IF(OR($D57="",$D57&gt;O$37),$C57,IF((YEAR(O$37)-$G57)=0,$C57*(1-$F57*$H57),$C57*(1-$F57*$H57)*(1-$F57)^(YEAR(O$37)-$G57)))))</f>
        <v/>
      </c>
      <c r="Q57" s="175">
        <f>IF(OR($C57="",$D57=""),0,IF(AND($E57&lt;&gt;"",$E57&lt;=Q$37),0,IF((YEAR(Q$37)-$G57)&lt;0,0,IF((YEAR(Q$37)-$G57)=0,$C57*$F57*$H57,$C57*(1-$F57*$H57)*(1-$F57)^((YEAR(Q$37)-$G57)-1)*$F57))))</f>
        <v/>
      </c>
      <c r="R57" s="175">
        <f>IF($C57="",0,IF(AND($E57&lt;&gt;"",$E57&lt;=Q$37),0,IF(OR($D57="",$D57&gt;Q$37),$C57,IF((YEAR(Q$37)-$G57)=0,$C57*(1-$F57*$H57),$C57*(1-$F57*$H57)*(1-$F57)^(YEAR(Q$37)-$G57)))))</f>
        <v/>
      </c>
      <c r="S57" s="175">
        <f>IF(OR($C57="",$D57=""),0,IF(AND($E57&lt;&gt;"",$E57&lt;=S$37),0,IF((YEAR(S$37)-$G57)&lt;0,0,IF((YEAR(S$37)-$G57)=0,$C57*$F57*$H57,$C57*(1-$F57*$H57)*(1-$F57)^((YEAR(S$37)-$G57)-1)*$F57))))</f>
        <v/>
      </c>
      <c r="T57" s="175">
        <f>IF($C57="",0,IF(AND($E57&lt;&gt;"",$E57&lt;=S$37),0,IF(OR($D57="",$D57&gt;S$37),$C57,IF((YEAR(S$37)-$G57)=0,$C57*(1-$F57*$H57),$C57*(1-$F57*$H57)*(1-$F57)^(YEAR(S$37)-$G57)))))</f>
        <v/>
      </c>
      <c r="U57" s="175">
        <f>IF(OR($C57="",$D57=""),0,IF(AND($E57&lt;&gt;"",$E57&lt;=U$37),0,IF((YEAR(U$37)-$G57)&lt;0,0,IF((YEAR(U$37)-$G57)=0,$C57*$F57*$H57,$C57*(1-$F57*$H57)*(1-$F57)^((YEAR(U$37)-$G57)-1)*$F57))))</f>
        <v/>
      </c>
      <c r="V57" s="175">
        <f>IF($C57="",0,IF(AND($E57&lt;&gt;"",$E57&lt;=U$37),0,IF(OR($D57="",$D57&gt;U$37),$C57,IF((YEAR(U$37)-$G57)=0,$C57*(1-$F57*$H57),$C57*(1-$F57*$H57)*(1-$F57)^(YEAR(U$37)-$G57)))))</f>
        <v/>
      </c>
      <c r="W57" s="175">
        <f>IF(OR($C57="",$D57=""),0,IF(AND($E57&lt;&gt;"",$E57&lt;=W$37),0,IF((YEAR(W$37)-$G57)&lt;0,0,IF((YEAR(W$37)-$G57)=0,$C57*$F57*$H57,$C57*(1-$F57*$H57)*(1-$F57)^((YEAR(W$37)-$G57)-1)*$F57))))</f>
        <v/>
      </c>
      <c r="X57" s="175">
        <f>IF($C57="",0,IF(AND($E57&lt;&gt;"",$E57&lt;=W$37),0,IF(OR($D57="",$D57&gt;W$37),$C57,IF((YEAR(W$37)-$G57)=0,$C57*(1-$F57*$H57),$C57*(1-$F57*$H57)*(1-$F57)^(YEAR(W$37)-$G57)))))</f>
        <v/>
      </c>
      <c r="Y57" s="175">
        <f>IF(OR($C57="",$D57=""),0,IF(AND($E57&lt;&gt;"",$E57&lt;=Y$37),0,IF((YEAR(Y$37)-$G57)&lt;0,0,IF((YEAR(Y$37)-$G57)=0,$C57*$F57*$H57,$C57*(1-$F57*$H57)*(1-$F57)^((YEAR(Y$37)-$G57)-1)*$F57))))</f>
        <v/>
      </c>
      <c r="Z57" s="175">
        <f>IF($C57="",0,IF(AND($E57&lt;&gt;"",$E57&lt;=Y$37),0,IF(OR($D57="",$D57&gt;Y$37),$C57,IF((YEAR(Y$37)-$G57)=0,$C57*(1-$F57*$H57),$C57*(1-$F57*$H57)*(1-$F57)^(YEAR(Y$37)-$G57)))))</f>
        <v/>
      </c>
      <c r="AA57" s="175">
        <f>IF(OR($C57="",$D57=""),0,IF(AND($E57&lt;&gt;"",$E57&lt;=AA$37),0,IF((YEAR(AA$37)-$G57)&lt;0,0,IF((YEAR(AA$37)-$G57)=0,$C57*$F57*$H57,$C57*(1-$F57*$H57)*(1-$F57)^((YEAR(AA$37)-$G57)-1)*$F57))))</f>
        <v/>
      </c>
      <c r="AB57" s="175">
        <f>IF($C57="",0,IF(AND($E57&lt;&gt;"",$E57&lt;=AA$37),0,IF(OR($D57="",$D57&gt;AA$37),$C57,IF((YEAR(AA$37)-$G57)=0,$C57*(1-$F57*$H57),$C57*(1-$F57*$H57)*(1-$F57)^(YEAR(AA$37)-$G57)))))</f>
        <v/>
      </c>
      <c r="AC57" s="175">
        <f>IF(OR($C57="",$D57=""),0,IF(AND($E57&lt;&gt;"",$E57&lt;=AC$37),0,IF((YEAR(AC$37)-$G57)&lt;0,0,IF((YEAR(AC$37)-$G57)=0,$C57*$F57*$H57,$C57*(1-$F57*$H57)*(1-$F57)^((YEAR(AC$37)-$G57)-1)*$F57))))</f>
        <v/>
      </c>
      <c r="AD57" s="175">
        <f>IF($C57="",0,IF(AND($E57&lt;&gt;"",$E57&lt;=AC$37),0,IF(OR($D57="",$D57&gt;AC$37),$C57,IF((YEAR(AC$37)-$G57)=0,$C57*(1-$F57*$H57),$C57*(1-$F57*$H57)*(1-$F57)^(YEAR(AC$37)-$G57)))))</f>
        <v/>
      </c>
      <c r="AE57" s="175">
        <f>IF(OR($C57="",$D57=""),0,IF(AND($E57&lt;&gt;"",$E57&lt;=AE$37),0,IF((YEAR(AE$37)-$G57)&lt;0,0,IF((YEAR(AE$37)-$G57)=0,$C57*$F57*$H57,$C57*(1-$F57*$H57)*(1-$F57)^((YEAR(AE$37)-$G57)-1)*$F57))))</f>
        <v/>
      </c>
      <c r="AF57" s="175">
        <f>IF($C57="",0,IF(AND($E57&lt;&gt;"",$E57&lt;=AE$37),0,IF(OR($D57="",$D57&gt;AE$37),$C57,IF((YEAR(AE$37)-$G57)=0,$C57*(1-$F57*$H57),$C57*(1-$F57*$H57)*(1-$F57)^(YEAR(AE$37)-$G57)))))</f>
        <v/>
      </c>
      <c r="AG57" s="175">
        <f>IF(OR($C57="",$D57=""),0,IF(AND($E57&lt;&gt;"",$E57&lt;=AG$37),0,IF((YEAR(AG$37)-$G57)&lt;0,0,IF((YEAR(AG$37)-$G57)=0,$C57*$F57*$H57,$C57*(1-$F57*$H57)*(1-$F57)^((YEAR(AG$37)-$G57)-1)*$F57))))</f>
        <v/>
      </c>
      <c r="AH57" s="175">
        <f>IF($C57="",0,IF(AND($E57&lt;&gt;"",$E57&lt;=AG$37),0,IF(OR($D57="",$D57&gt;AG$37),$C57,IF((YEAR(AG$37)-$G57)=0,$C57*(1-$F57*$H57),$C57*(1-$F57*$H57)*(1-$F57)^(YEAR(AG$37)-$G57)))))</f>
        <v/>
      </c>
      <c r="AI57" s="175">
        <f>IF(OR($C57="",$D57=""),0,IF(AND($E57&lt;&gt;"",$E57&lt;=AI$37),0,IF((YEAR(AI$37)-$G57)&lt;0,0,IF((YEAR(AI$37)-$G57)=0,$C57*$F57*$H57,$C57*(1-$F57*$H57)*(1-$F57)^((YEAR(AI$37)-$G57)-1)*$F57))))</f>
        <v/>
      </c>
      <c r="AJ57" s="175">
        <f>IF($C57="",0,IF(AND($E57&lt;&gt;"",$E57&lt;=AI$37),0,IF(OR($D57="",$D57&gt;AI$37),$C57,IF((YEAR(AI$37)-$G57)=0,$C57*(1-$F57*$H57),$C57*(1-$F57*$H57)*(1-$F57)^(YEAR(AI$37)-$G57)))))</f>
        <v/>
      </c>
      <c r="AK57" s="175">
        <f>IF(OR($C57="",$D57=""),0,IF(AND($E57&lt;&gt;"",$E57&lt;=AK$37),0,IF((YEAR(AK$37)-$G57)&lt;0,0,IF((YEAR(AK$37)-$G57)=0,$C57*$F57*$H57,$C57*(1-$F57*$H57)*(1-$F57)^((YEAR(AK$37)-$G57)-1)*$F57))))</f>
        <v/>
      </c>
      <c r="AL57" s="175">
        <f>IF($C57="",0,IF(AND($E57&lt;&gt;"",$E57&lt;=AK$37),0,IF(OR($D57="",$D57&gt;AK$37),$C57,IF((YEAR(AK$37)-$G57)=0,$C57*(1-$F57*$H57),$C57*(1-$F57*$H57)*(1-$F57)^(YEAR(AK$37)-$G57)))))</f>
        <v/>
      </c>
      <c r="AM57" s="175">
        <f>IF(OR($C57="",$D57=""),0,IF(AND($E57&lt;&gt;"",$E57&lt;=AM$37),0,IF((YEAR(AM$37)-$G57)&lt;0,0,IF((YEAR(AM$37)-$G57)=0,$C57*$F57*$H57,$C57*(1-$F57*$H57)*(1-$F57)^((YEAR(AM$37)-$G57)-1)*$F57))))</f>
        <v/>
      </c>
      <c r="AN57" s="175">
        <f>IF($C57="",0,IF(AND($E57&lt;&gt;"",$E57&lt;=AM$37),0,IF(OR($D57="",$D57&gt;AM$37),$C57,IF((YEAR(AM$37)-$G57)=0,$C57*(1-$F57*$H57),$C57*(1-$F57*$H57)*(1-$F57)^(YEAR(AM$37)-$G57)))))</f>
        <v/>
      </c>
    </row>
    <row r="58">
      <c r="B58" s="126">
        <f>IF(FAR!K25="","",FAR!B25)</f>
        <v/>
      </c>
      <c r="C58" s="63">
        <f>IF(FAR!K25="","",FAR!K25)</f>
        <v/>
      </c>
      <c r="D58" s="128">
        <f>IF(FAR!H25="","",FAR!H25)</f>
        <v/>
      </c>
      <c r="E58" s="130">
        <f>IF(FAR!I25="","",FAR!I25)</f>
        <v/>
      </c>
      <c r="F58" s="169">
        <f>IF(FAR!C25="",0,IFERROR(VLOOKUP(FAR!C25,ScheduleIITable,6,FALSE),0))</f>
        <v/>
      </c>
      <c r="G58" s="129">
        <f>IF($D58="","",YEAR($D58)+IF(MONTH($D58)&gt;=4,1,0))</f>
        <v/>
      </c>
      <c r="H58" s="170">
        <f>IF($D58="","",IF((DATE($G58,3,31)-$D58+1)&gt;=180,1,0.5))</f>
        <v/>
      </c>
      <c r="I58" s="171">
        <f>IF(OR($C58="",$D58=""),0,IF(AND($E58&lt;&gt;"",$E58&lt;=I$37),0,IF((YEAR(I$37)-$G58)&lt;0,0,IF((YEAR(I$37)-$G58)=0,$C58*$F58*$H58,$C58*(1-$F58*$H58)*(1-$F58)^((YEAR(I$37)-$G58)-1)*$F58))))</f>
        <v/>
      </c>
      <c r="J58" s="172">
        <f>IF($C58="",0,IF(AND($E58&lt;&gt;"",$E58&lt;=I$37),0,IF(OR($D58="",$D58&gt;I$37),$C58,IF((YEAR(I$37)-$G58)=0,$C58*(1-$F58*$H58),$C58*(1-$F58*$H58)*(1-$F58)^(YEAR(I$37)-$G58)))))</f>
        <v/>
      </c>
      <c r="K58" s="171">
        <f>IF(OR($C58="",$D58=""),0,IF(AND($E58&lt;&gt;"",$E58&lt;=K$37),0,IF((YEAR(K$37)-$G58)&lt;0,0,IF((YEAR(K$37)-$G58)=0,$C58*$F58*$H58,$C58*(1-$F58*$H58)*(1-$F58)^((YEAR(K$37)-$G58)-1)*$F58))))</f>
        <v/>
      </c>
      <c r="L58" s="172">
        <f>IF($C58="",0,IF(AND($E58&lt;&gt;"",$E58&lt;=K$37),0,IF(OR($D58="",$D58&gt;K$37),$C58,IF((YEAR(K$37)-$G58)=0,$C58*(1-$F58*$H58),$C58*(1-$F58*$H58)*(1-$F58)^(YEAR(K$37)-$G58)))))</f>
        <v/>
      </c>
      <c r="M58" s="171">
        <f>IF(OR($C58="",$D58=""),0,IF(AND($E58&lt;&gt;"",$E58&lt;=M$37),0,IF((YEAR(M$37)-$G58)&lt;0,0,IF((YEAR(M$37)-$G58)=0,$C58*$F58*$H58,$C58*(1-$F58*$H58)*(1-$F58)^((YEAR(M$37)-$G58)-1)*$F58))))</f>
        <v/>
      </c>
      <c r="N58" s="172">
        <f>IF($C58="",0,IF(AND($E58&lt;&gt;"",$E58&lt;=M$37),0,IF(OR($D58="",$D58&gt;M$37),$C58,IF((YEAR(M$37)-$G58)=0,$C58*(1-$F58*$H58),$C58*(1-$F58*$H58)*(1-$F58)^(YEAR(M$37)-$G58)))))</f>
        <v/>
      </c>
      <c r="O58" s="171">
        <f>IF(OR($C58="",$D58=""),0,IF(AND($E58&lt;&gt;"",$E58&lt;=O$37),0,IF((YEAR(O$37)-$G58)&lt;0,0,IF((YEAR(O$37)-$G58)=0,$C58*$F58*$H58,$C58*(1-$F58*$H58)*(1-$F58)^((YEAR(O$37)-$G58)-1)*$F58))))</f>
        <v/>
      </c>
      <c r="P58" s="172">
        <f>IF($C58="",0,IF(AND($E58&lt;&gt;"",$E58&lt;=O$37),0,IF(OR($D58="",$D58&gt;O$37),$C58,IF((YEAR(O$37)-$G58)=0,$C58*(1-$F58*$H58),$C58*(1-$F58*$H58)*(1-$F58)^(YEAR(O$37)-$G58)))))</f>
        <v/>
      </c>
      <c r="Q58" s="171">
        <f>IF(OR($C58="",$D58=""),0,IF(AND($E58&lt;&gt;"",$E58&lt;=Q$37),0,IF((YEAR(Q$37)-$G58)&lt;0,0,IF((YEAR(Q$37)-$G58)=0,$C58*$F58*$H58,$C58*(1-$F58*$H58)*(1-$F58)^((YEAR(Q$37)-$G58)-1)*$F58))))</f>
        <v/>
      </c>
      <c r="R58" s="172">
        <f>IF($C58="",0,IF(AND($E58&lt;&gt;"",$E58&lt;=Q$37),0,IF(OR($D58="",$D58&gt;Q$37),$C58,IF((YEAR(Q$37)-$G58)=0,$C58*(1-$F58*$H58),$C58*(1-$F58*$H58)*(1-$F58)^(YEAR(Q$37)-$G58)))))</f>
        <v/>
      </c>
      <c r="S58" s="171">
        <f>IF(OR($C58="",$D58=""),0,IF(AND($E58&lt;&gt;"",$E58&lt;=S$37),0,IF((YEAR(S$37)-$G58)&lt;0,0,IF((YEAR(S$37)-$G58)=0,$C58*$F58*$H58,$C58*(1-$F58*$H58)*(1-$F58)^((YEAR(S$37)-$G58)-1)*$F58))))</f>
        <v/>
      </c>
      <c r="T58" s="172">
        <f>IF($C58="",0,IF(AND($E58&lt;&gt;"",$E58&lt;=S$37),0,IF(OR($D58="",$D58&gt;S$37),$C58,IF((YEAR(S$37)-$G58)=0,$C58*(1-$F58*$H58),$C58*(1-$F58*$H58)*(1-$F58)^(YEAR(S$37)-$G58)))))</f>
        <v/>
      </c>
      <c r="U58" s="171">
        <f>IF(OR($C58="",$D58=""),0,IF(AND($E58&lt;&gt;"",$E58&lt;=U$37),0,IF((YEAR(U$37)-$G58)&lt;0,0,IF((YEAR(U$37)-$G58)=0,$C58*$F58*$H58,$C58*(1-$F58*$H58)*(1-$F58)^((YEAR(U$37)-$G58)-1)*$F58))))</f>
        <v/>
      </c>
      <c r="V58" s="172">
        <f>IF($C58="",0,IF(AND($E58&lt;&gt;"",$E58&lt;=U$37),0,IF(OR($D58="",$D58&gt;U$37),$C58,IF((YEAR(U$37)-$G58)=0,$C58*(1-$F58*$H58),$C58*(1-$F58*$H58)*(1-$F58)^(YEAR(U$37)-$G58)))))</f>
        <v/>
      </c>
      <c r="W58" s="171">
        <f>IF(OR($C58="",$D58=""),0,IF(AND($E58&lt;&gt;"",$E58&lt;=W$37),0,IF((YEAR(W$37)-$G58)&lt;0,0,IF((YEAR(W$37)-$G58)=0,$C58*$F58*$H58,$C58*(1-$F58*$H58)*(1-$F58)^((YEAR(W$37)-$G58)-1)*$F58))))</f>
        <v/>
      </c>
      <c r="X58" s="172">
        <f>IF($C58="",0,IF(AND($E58&lt;&gt;"",$E58&lt;=W$37),0,IF(OR($D58="",$D58&gt;W$37),$C58,IF((YEAR(W$37)-$G58)=0,$C58*(1-$F58*$H58),$C58*(1-$F58*$H58)*(1-$F58)^(YEAR(W$37)-$G58)))))</f>
        <v/>
      </c>
      <c r="Y58" s="171">
        <f>IF(OR($C58="",$D58=""),0,IF(AND($E58&lt;&gt;"",$E58&lt;=Y$37),0,IF((YEAR(Y$37)-$G58)&lt;0,0,IF((YEAR(Y$37)-$G58)=0,$C58*$F58*$H58,$C58*(1-$F58*$H58)*(1-$F58)^((YEAR(Y$37)-$G58)-1)*$F58))))</f>
        <v/>
      </c>
      <c r="Z58" s="172">
        <f>IF($C58="",0,IF(AND($E58&lt;&gt;"",$E58&lt;=Y$37),0,IF(OR($D58="",$D58&gt;Y$37),$C58,IF((YEAR(Y$37)-$G58)=0,$C58*(1-$F58*$H58),$C58*(1-$F58*$H58)*(1-$F58)^(YEAR(Y$37)-$G58)))))</f>
        <v/>
      </c>
      <c r="AA58" s="171">
        <f>IF(OR($C58="",$D58=""),0,IF(AND($E58&lt;&gt;"",$E58&lt;=AA$37),0,IF((YEAR(AA$37)-$G58)&lt;0,0,IF((YEAR(AA$37)-$G58)=0,$C58*$F58*$H58,$C58*(1-$F58*$H58)*(1-$F58)^((YEAR(AA$37)-$G58)-1)*$F58))))</f>
        <v/>
      </c>
      <c r="AB58" s="172">
        <f>IF($C58="",0,IF(AND($E58&lt;&gt;"",$E58&lt;=AA$37),0,IF(OR($D58="",$D58&gt;AA$37),$C58,IF((YEAR(AA$37)-$G58)=0,$C58*(1-$F58*$H58),$C58*(1-$F58*$H58)*(1-$F58)^(YEAR(AA$37)-$G58)))))</f>
        <v/>
      </c>
      <c r="AC58" s="171">
        <f>IF(OR($C58="",$D58=""),0,IF(AND($E58&lt;&gt;"",$E58&lt;=AC$37),0,IF((YEAR(AC$37)-$G58)&lt;0,0,IF((YEAR(AC$37)-$G58)=0,$C58*$F58*$H58,$C58*(1-$F58*$H58)*(1-$F58)^((YEAR(AC$37)-$G58)-1)*$F58))))</f>
        <v/>
      </c>
      <c r="AD58" s="172">
        <f>IF($C58="",0,IF(AND($E58&lt;&gt;"",$E58&lt;=AC$37),0,IF(OR($D58="",$D58&gt;AC$37),$C58,IF((YEAR(AC$37)-$G58)=0,$C58*(1-$F58*$H58),$C58*(1-$F58*$H58)*(1-$F58)^(YEAR(AC$37)-$G58)))))</f>
        <v/>
      </c>
      <c r="AE58" s="171">
        <f>IF(OR($C58="",$D58=""),0,IF(AND($E58&lt;&gt;"",$E58&lt;=AE$37),0,IF((YEAR(AE$37)-$G58)&lt;0,0,IF((YEAR(AE$37)-$G58)=0,$C58*$F58*$H58,$C58*(1-$F58*$H58)*(1-$F58)^((YEAR(AE$37)-$G58)-1)*$F58))))</f>
        <v/>
      </c>
      <c r="AF58" s="172">
        <f>IF($C58="",0,IF(AND($E58&lt;&gt;"",$E58&lt;=AE$37),0,IF(OR($D58="",$D58&gt;AE$37),$C58,IF((YEAR(AE$37)-$G58)=0,$C58*(1-$F58*$H58),$C58*(1-$F58*$H58)*(1-$F58)^(YEAR(AE$37)-$G58)))))</f>
        <v/>
      </c>
      <c r="AG58" s="171">
        <f>IF(OR($C58="",$D58=""),0,IF(AND($E58&lt;&gt;"",$E58&lt;=AG$37),0,IF((YEAR(AG$37)-$G58)&lt;0,0,IF((YEAR(AG$37)-$G58)=0,$C58*$F58*$H58,$C58*(1-$F58*$H58)*(1-$F58)^((YEAR(AG$37)-$G58)-1)*$F58))))</f>
        <v/>
      </c>
      <c r="AH58" s="172">
        <f>IF($C58="",0,IF(AND($E58&lt;&gt;"",$E58&lt;=AG$37),0,IF(OR($D58="",$D58&gt;AG$37),$C58,IF((YEAR(AG$37)-$G58)=0,$C58*(1-$F58*$H58),$C58*(1-$F58*$H58)*(1-$F58)^(YEAR(AG$37)-$G58)))))</f>
        <v/>
      </c>
      <c r="AI58" s="171">
        <f>IF(OR($C58="",$D58=""),0,IF(AND($E58&lt;&gt;"",$E58&lt;=AI$37),0,IF((YEAR(AI$37)-$G58)&lt;0,0,IF((YEAR(AI$37)-$G58)=0,$C58*$F58*$H58,$C58*(1-$F58*$H58)*(1-$F58)^((YEAR(AI$37)-$G58)-1)*$F58))))</f>
        <v/>
      </c>
      <c r="AJ58" s="172">
        <f>IF($C58="",0,IF(AND($E58&lt;&gt;"",$E58&lt;=AI$37),0,IF(OR($D58="",$D58&gt;AI$37),$C58,IF((YEAR(AI$37)-$G58)=0,$C58*(1-$F58*$H58),$C58*(1-$F58*$H58)*(1-$F58)^(YEAR(AI$37)-$G58)))))</f>
        <v/>
      </c>
      <c r="AK58" s="171">
        <f>IF(OR($C58="",$D58=""),0,IF(AND($E58&lt;&gt;"",$E58&lt;=AK$37),0,IF((YEAR(AK$37)-$G58)&lt;0,0,IF((YEAR(AK$37)-$G58)=0,$C58*$F58*$H58,$C58*(1-$F58*$H58)*(1-$F58)^((YEAR(AK$37)-$G58)-1)*$F58))))</f>
        <v/>
      </c>
      <c r="AL58" s="172">
        <f>IF($C58="",0,IF(AND($E58&lt;&gt;"",$E58&lt;=AK$37),0,IF(OR($D58="",$D58&gt;AK$37),$C58,IF((YEAR(AK$37)-$G58)=0,$C58*(1-$F58*$H58),$C58*(1-$F58*$H58)*(1-$F58)^(YEAR(AK$37)-$G58)))))</f>
        <v/>
      </c>
      <c r="AM58" s="171">
        <f>IF(OR($C58="",$D58=""),0,IF(AND($E58&lt;&gt;"",$E58&lt;=AM$37),0,IF((YEAR(AM$37)-$G58)&lt;0,0,IF((YEAR(AM$37)-$G58)=0,$C58*$F58*$H58,$C58*(1-$F58*$H58)*(1-$F58)^((YEAR(AM$37)-$G58)-1)*$F58))))</f>
        <v/>
      </c>
      <c r="AN58" s="172">
        <f>IF($C58="",0,IF(AND($E58&lt;&gt;"",$E58&lt;=AM$37),0,IF(OR($D58="",$D58&gt;AM$37),$C58,IF((YEAR(AM$37)-$G58)=0,$C58*(1-$F58*$H58),$C58*(1-$F58*$H58)*(1-$F58)^(YEAR(AM$37)-$G58)))))</f>
        <v/>
      </c>
    </row>
    <row r="59">
      <c r="B59" s="132">
        <f>IF(FAR!K26="","",FAR!B26)</f>
        <v/>
      </c>
      <c r="C59" s="81">
        <f>IF(FAR!K26="","",FAR!K26)</f>
        <v/>
      </c>
      <c r="D59" s="134">
        <f>IF(FAR!H26="","",FAR!H26)</f>
        <v/>
      </c>
      <c r="E59" s="136">
        <f>IF(FAR!I26="","",FAR!I26)</f>
        <v/>
      </c>
      <c r="F59" s="173">
        <f>IF(FAR!C26="",0,IFERROR(VLOOKUP(FAR!C26,ScheduleIITable,6,FALSE),0))</f>
        <v/>
      </c>
      <c r="G59" s="135">
        <f>IF($D59="","",YEAR($D59)+IF(MONTH($D59)&gt;=4,1,0))</f>
        <v/>
      </c>
      <c r="H59" s="174">
        <f>IF($D59="","",IF((DATE($G59,3,31)-$D59+1)&gt;=180,1,0.5))</f>
        <v/>
      </c>
      <c r="I59" s="175">
        <f>IF(OR($C59="",$D59=""),0,IF(AND($E59&lt;&gt;"",$E59&lt;=I$37),0,IF((YEAR(I$37)-$G59)&lt;0,0,IF((YEAR(I$37)-$G59)=0,$C59*$F59*$H59,$C59*(1-$F59*$H59)*(1-$F59)^((YEAR(I$37)-$G59)-1)*$F59))))</f>
        <v/>
      </c>
      <c r="J59" s="175">
        <f>IF($C59="",0,IF(AND($E59&lt;&gt;"",$E59&lt;=I$37),0,IF(OR($D59="",$D59&gt;I$37),$C59,IF((YEAR(I$37)-$G59)=0,$C59*(1-$F59*$H59),$C59*(1-$F59*$H59)*(1-$F59)^(YEAR(I$37)-$G59)))))</f>
        <v/>
      </c>
      <c r="K59" s="175">
        <f>IF(OR($C59="",$D59=""),0,IF(AND($E59&lt;&gt;"",$E59&lt;=K$37),0,IF((YEAR(K$37)-$G59)&lt;0,0,IF((YEAR(K$37)-$G59)=0,$C59*$F59*$H59,$C59*(1-$F59*$H59)*(1-$F59)^((YEAR(K$37)-$G59)-1)*$F59))))</f>
        <v/>
      </c>
      <c r="L59" s="175">
        <f>IF($C59="",0,IF(AND($E59&lt;&gt;"",$E59&lt;=K$37),0,IF(OR($D59="",$D59&gt;K$37),$C59,IF((YEAR(K$37)-$G59)=0,$C59*(1-$F59*$H59),$C59*(1-$F59*$H59)*(1-$F59)^(YEAR(K$37)-$G59)))))</f>
        <v/>
      </c>
      <c r="M59" s="175">
        <f>IF(OR($C59="",$D59=""),0,IF(AND($E59&lt;&gt;"",$E59&lt;=M$37),0,IF((YEAR(M$37)-$G59)&lt;0,0,IF((YEAR(M$37)-$G59)=0,$C59*$F59*$H59,$C59*(1-$F59*$H59)*(1-$F59)^((YEAR(M$37)-$G59)-1)*$F59))))</f>
        <v/>
      </c>
      <c r="N59" s="175">
        <f>IF($C59="",0,IF(AND($E59&lt;&gt;"",$E59&lt;=M$37),0,IF(OR($D59="",$D59&gt;M$37),$C59,IF((YEAR(M$37)-$G59)=0,$C59*(1-$F59*$H59),$C59*(1-$F59*$H59)*(1-$F59)^(YEAR(M$37)-$G59)))))</f>
        <v/>
      </c>
      <c r="O59" s="175">
        <f>IF(OR($C59="",$D59=""),0,IF(AND($E59&lt;&gt;"",$E59&lt;=O$37),0,IF((YEAR(O$37)-$G59)&lt;0,0,IF((YEAR(O$37)-$G59)=0,$C59*$F59*$H59,$C59*(1-$F59*$H59)*(1-$F59)^((YEAR(O$37)-$G59)-1)*$F59))))</f>
        <v/>
      </c>
      <c r="P59" s="175">
        <f>IF($C59="",0,IF(AND($E59&lt;&gt;"",$E59&lt;=O$37),0,IF(OR($D59="",$D59&gt;O$37),$C59,IF((YEAR(O$37)-$G59)=0,$C59*(1-$F59*$H59),$C59*(1-$F59*$H59)*(1-$F59)^(YEAR(O$37)-$G59)))))</f>
        <v/>
      </c>
      <c r="Q59" s="175">
        <f>IF(OR($C59="",$D59=""),0,IF(AND($E59&lt;&gt;"",$E59&lt;=Q$37),0,IF((YEAR(Q$37)-$G59)&lt;0,0,IF((YEAR(Q$37)-$G59)=0,$C59*$F59*$H59,$C59*(1-$F59*$H59)*(1-$F59)^((YEAR(Q$37)-$G59)-1)*$F59))))</f>
        <v/>
      </c>
      <c r="R59" s="175">
        <f>IF($C59="",0,IF(AND($E59&lt;&gt;"",$E59&lt;=Q$37),0,IF(OR($D59="",$D59&gt;Q$37),$C59,IF((YEAR(Q$37)-$G59)=0,$C59*(1-$F59*$H59),$C59*(1-$F59*$H59)*(1-$F59)^(YEAR(Q$37)-$G59)))))</f>
        <v/>
      </c>
      <c r="S59" s="175">
        <f>IF(OR($C59="",$D59=""),0,IF(AND($E59&lt;&gt;"",$E59&lt;=S$37),0,IF((YEAR(S$37)-$G59)&lt;0,0,IF((YEAR(S$37)-$G59)=0,$C59*$F59*$H59,$C59*(1-$F59*$H59)*(1-$F59)^((YEAR(S$37)-$G59)-1)*$F59))))</f>
        <v/>
      </c>
      <c r="T59" s="175">
        <f>IF($C59="",0,IF(AND($E59&lt;&gt;"",$E59&lt;=S$37),0,IF(OR($D59="",$D59&gt;S$37),$C59,IF((YEAR(S$37)-$G59)=0,$C59*(1-$F59*$H59),$C59*(1-$F59*$H59)*(1-$F59)^(YEAR(S$37)-$G59)))))</f>
        <v/>
      </c>
      <c r="U59" s="175">
        <f>IF(OR($C59="",$D59=""),0,IF(AND($E59&lt;&gt;"",$E59&lt;=U$37),0,IF((YEAR(U$37)-$G59)&lt;0,0,IF((YEAR(U$37)-$G59)=0,$C59*$F59*$H59,$C59*(1-$F59*$H59)*(1-$F59)^((YEAR(U$37)-$G59)-1)*$F59))))</f>
        <v/>
      </c>
      <c r="V59" s="175">
        <f>IF($C59="",0,IF(AND($E59&lt;&gt;"",$E59&lt;=U$37),0,IF(OR($D59="",$D59&gt;U$37),$C59,IF((YEAR(U$37)-$G59)=0,$C59*(1-$F59*$H59),$C59*(1-$F59*$H59)*(1-$F59)^(YEAR(U$37)-$G59)))))</f>
        <v/>
      </c>
      <c r="W59" s="175">
        <f>IF(OR($C59="",$D59=""),0,IF(AND($E59&lt;&gt;"",$E59&lt;=W$37),0,IF((YEAR(W$37)-$G59)&lt;0,0,IF((YEAR(W$37)-$G59)=0,$C59*$F59*$H59,$C59*(1-$F59*$H59)*(1-$F59)^((YEAR(W$37)-$G59)-1)*$F59))))</f>
        <v/>
      </c>
      <c r="X59" s="175">
        <f>IF($C59="",0,IF(AND($E59&lt;&gt;"",$E59&lt;=W$37),0,IF(OR($D59="",$D59&gt;W$37),$C59,IF((YEAR(W$37)-$G59)=0,$C59*(1-$F59*$H59),$C59*(1-$F59*$H59)*(1-$F59)^(YEAR(W$37)-$G59)))))</f>
        <v/>
      </c>
      <c r="Y59" s="175">
        <f>IF(OR($C59="",$D59=""),0,IF(AND($E59&lt;&gt;"",$E59&lt;=Y$37),0,IF((YEAR(Y$37)-$G59)&lt;0,0,IF((YEAR(Y$37)-$G59)=0,$C59*$F59*$H59,$C59*(1-$F59*$H59)*(1-$F59)^((YEAR(Y$37)-$G59)-1)*$F59))))</f>
        <v/>
      </c>
      <c r="Z59" s="175">
        <f>IF($C59="",0,IF(AND($E59&lt;&gt;"",$E59&lt;=Y$37),0,IF(OR($D59="",$D59&gt;Y$37),$C59,IF((YEAR(Y$37)-$G59)=0,$C59*(1-$F59*$H59),$C59*(1-$F59*$H59)*(1-$F59)^(YEAR(Y$37)-$G59)))))</f>
        <v/>
      </c>
      <c r="AA59" s="175">
        <f>IF(OR($C59="",$D59=""),0,IF(AND($E59&lt;&gt;"",$E59&lt;=AA$37),0,IF((YEAR(AA$37)-$G59)&lt;0,0,IF((YEAR(AA$37)-$G59)=0,$C59*$F59*$H59,$C59*(1-$F59*$H59)*(1-$F59)^((YEAR(AA$37)-$G59)-1)*$F59))))</f>
        <v/>
      </c>
      <c r="AB59" s="175">
        <f>IF($C59="",0,IF(AND($E59&lt;&gt;"",$E59&lt;=AA$37),0,IF(OR($D59="",$D59&gt;AA$37),$C59,IF((YEAR(AA$37)-$G59)=0,$C59*(1-$F59*$H59),$C59*(1-$F59*$H59)*(1-$F59)^(YEAR(AA$37)-$G59)))))</f>
        <v/>
      </c>
      <c r="AC59" s="175">
        <f>IF(OR($C59="",$D59=""),0,IF(AND($E59&lt;&gt;"",$E59&lt;=AC$37),0,IF((YEAR(AC$37)-$G59)&lt;0,0,IF((YEAR(AC$37)-$G59)=0,$C59*$F59*$H59,$C59*(1-$F59*$H59)*(1-$F59)^((YEAR(AC$37)-$G59)-1)*$F59))))</f>
        <v/>
      </c>
      <c r="AD59" s="175">
        <f>IF($C59="",0,IF(AND($E59&lt;&gt;"",$E59&lt;=AC$37),0,IF(OR($D59="",$D59&gt;AC$37),$C59,IF((YEAR(AC$37)-$G59)=0,$C59*(1-$F59*$H59),$C59*(1-$F59*$H59)*(1-$F59)^(YEAR(AC$37)-$G59)))))</f>
        <v/>
      </c>
      <c r="AE59" s="175">
        <f>IF(OR($C59="",$D59=""),0,IF(AND($E59&lt;&gt;"",$E59&lt;=AE$37),0,IF((YEAR(AE$37)-$G59)&lt;0,0,IF((YEAR(AE$37)-$G59)=0,$C59*$F59*$H59,$C59*(1-$F59*$H59)*(1-$F59)^((YEAR(AE$37)-$G59)-1)*$F59))))</f>
        <v/>
      </c>
      <c r="AF59" s="175">
        <f>IF($C59="",0,IF(AND($E59&lt;&gt;"",$E59&lt;=AE$37),0,IF(OR($D59="",$D59&gt;AE$37),$C59,IF((YEAR(AE$37)-$G59)=0,$C59*(1-$F59*$H59),$C59*(1-$F59*$H59)*(1-$F59)^(YEAR(AE$37)-$G59)))))</f>
        <v/>
      </c>
      <c r="AG59" s="175">
        <f>IF(OR($C59="",$D59=""),0,IF(AND($E59&lt;&gt;"",$E59&lt;=AG$37),0,IF((YEAR(AG$37)-$G59)&lt;0,0,IF((YEAR(AG$37)-$G59)=0,$C59*$F59*$H59,$C59*(1-$F59*$H59)*(1-$F59)^((YEAR(AG$37)-$G59)-1)*$F59))))</f>
        <v/>
      </c>
      <c r="AH59" s="175">
        <f>IF($C59="",0,IF(AND($E59&lt;&gt;"",$E59&lt;=AG$37),0,IF(OR($D59="",$D59&gt;AG$37),$C59,IF((YEAR(AG$37)-$G59)=0,$C59*(1-$F59*$H59),$C59*(1-$F59*$H59)*(1-$F59)^(YEAR(AG$37)-$G59)))))</f>
        <v/>
      </c>
      <c r="AI59" s="175">
        <f>IF(OR($C59="",$D59=""),0,IF(AND($E59&lt;&gt;"",$E59&lt;=AI$37),0,IF((YEAR(AI$37)-$G59)&lt;0,0,IF((YEAR(AI$37)-$G59)=0,$C59*$F59*$H59,$C59*(1-$F59*$H59)*(1-$F59)^((YEAR(AI$37)-$G59)-1)*$F59))))</f>
        <v/>
      </c>
      <c r="AJ59" s="175">
        <f>IF($C59="",0,IF(AND($E59&lt;&gt;"",$E59&lt;=AI$37),0,IF(OR($D59="",$D59&gt;AI$37),$C59,IF((YEAR(AI$37)-$G59)=0,$C59*(1-$F59*$H59),$C59*(1-$F59*$H59)*(1-$F59)^(YEAR(AI$37)-$G59)))))</f>
        <v/>
      </c>
      <c r="AK59" s="175">
        <f>IF(OR($C59="",$D59=""),0,IF(AND($E59&lt;&gt;"",$E59&lt;=AK$37),0,IF((YEAR(AK$37)-$G59)&lt;0,0,IF((YEAR(AK$37)-$G59)=0,$C59*$F59*$H59,$C59*(1-$F59*$H59)*(1-$F59)^((YEAR(AK$37)-$G59)-1)*$F59))))</f>
        <v/>
      </c>
      <c r="AL59" s="175">
        <f>IF($C59="",0,IF(AND($E59&lt;&gt;"",$E59&lt;=AK$37),0,IF(OR($D59="",$D59&gt;AK$37),$C59,IF((YEAR(AK$37)-$G59)=0,$C59*(1-$F59*$H59),$C59*(1-$F59*$H59)*(1-$F59)^(YEAR(AK$37)-$G59)))))</f>
        <v/>
      </c>
      <c r="AM59" s="175">
        <f>IF(OR($C59="",$D59=""),0,IF(AND($E59&lt;&gt;"",$E59&lt;=AM$37),0,IF((YEAR(AM$37)-$G59)&lt;0,0,IF((YEAR(AM$37)-$G59)=0,$C59*$F59*$H59,$C59*(1-$F59*$H59)*(1-$F59)^((YEAR(AM$37)-$G59)-1)*$F59))))</f>
        <v/>
      </c>
      <c r="AN59" s="175">
        <f>IF($C59="",0,IF(AND($E59&lt;&gt;"",$E59&lt;=AM$37),0,IF(OR($D59="",$D59&gt;AM$37),$C59,IF((YEAR(AM$37)-$G59)=0,$C59*(1-$F59*$H59),$C59*(1-$F59*$H59)*(1-$F59)^(YEAR(AM$37)-$G59)))))</f>
        <v/>
      </c>
    </row>
    <row r="60">
      <c r="B60" s="126">
        <f>IF(FAR!K27="","",FAR!B27)</f>
        <v/>
      </c>
      <c r="C60" s="63">
        <f>IF(FAR!K27="","",FAR!K27)</f>
        <v/>
      </c>
      <c r="D60" s="128">
        <f>IF(FAR!H27="","",FAR!H27)</f>
        <v/>
      </c>
      <c r="E60" s="130">
        <f>IF(FAR!I27="","",FAR!I27)</f>
        <v/>
      </c>
      <c r="F60" s="169">
        <f>IF(FAR!C27="",0,IFERROR(VLOOKUP(FAR!C27,ScheduleIITable,6,FALSE),0))</f>
        <v/>
      </c>
      <c r="G60" s="129">
        <f>IF($D60="","",YEAR($D60)+IF(MONTH($D60)&gt;=4,1,0))</f>
        <v/>
      </c>
      <c r="H60" s="170">
        <f>IF($D60="","",IF((DATE($G60,3,31)-$D60+1)&gt;=180,1,0.5))</f>
        <v/>
      </c>
      <c r="I60" s="171">
        <f>IF(OR($C60="",$D60=""),0,IF(AND($E60&lt;&gt;"",$E60&lt;=I$37),0,IF((YEAR(I$37)-$G60)&lt;0,0,IF((YEAR(I$37)-$G60)=0,$C60*$F60*$H60,$C60*(1-$F60*$H60)*(1-$F60)^((YEAR(I$37)-$G60)-1)*$F60))))</f>
        <v/>
      </c>
      <c r="J60" s="172">
        <f>IF($C60="",0,IF(AND($E60&lt;&gt;"",$E60&lt;=I$37),0,IF(OR($D60="",$D60&gt;I$37),$C60,IF((YEAR(I$37)-$G60)=0,$C60*(1-$F60*$H60),$C60*(1-$F60*$H60)*(1-$F60)^(YEAR(I$37)-$G60)))))</f>
        <v/>
      </c>
      <c r="K60" s="171">
        <f>IF(OR($C60="",$D60=""),0,IF(AND($E60&lt;&gt;"",$E60&lt;=K$37),0,IF((YEAR(K$37)-$G60)&lt;0,0,IF((YEAR(K$37)-$G60)=0,$C60*$F60*$H60,$C60*(1-$F60*$H60)*(1-$F60)^((YEAR(K$37)-$G60)-1)*$F60))))</f>
        <v/>
      </c>
      <c r="L60" s="172">
        <f>IF($C60="",0,IF(AND($E60&lt;&gt;"",$E60&lt;=K$37),0,IF(OR($D60="",$D60&gt;K$37),$C60,IF((YEAR(K$37)-$G60)=0,$C60*(1-$F60*$H60),$C60*(1-$F60*$H60)*(1-$F60)^(YEAR(K$37)-$G60)))))</f>
        <v/>
      </c>
      <c r="M60" s="171">
        <f>IF(OR($C60="",$D60=""),0,IF(AND($E60&lt;&gt;"",$E60&lt;=M$37),0,IF((YEAR(M$37)-$G60)&lt;0,0,IF((YEAR(M$37)-$G60)=0,$C60*$F60*$H60,$C60*(1-$F60*$H60)*(1-$F60)^((YEAR(M$37)-$G60)-1)*$F60))))</f>
        <v/>
      </c>
      <c r="N60" s="172">
        <f>IF($C60="",0,IF(AND($E60&lt;&gt;"",$E60&lt;=M$37),0,IF(OR($D60="",$D60&gt;M$37),$C60,IF((YEAR(M$37)-$G60)=0,$C60*(1-$F60*$H60),$C60*(1-$F60*$H60)*(1-$F60)^(YEAR(M$37)-$G60)))))</f>
        <v/>
      </c>
      <c r="O60" s="171">
        <f>IF(OR($C60="",$D60=""),0,IF(AND($E60&lt;&gt;"",$E60&lt;=O$37),0,IF((YEAR(O$37)-$G60)&lt;0,0,IF((YEAR(O$37)-$G60)=0,$C60*$F60*$H60,$C60*(1-$F60*$H60)*(1-$F60)^((YEAR(O$37)-$G60)-1)*$F60))))</f>
        <v/>
      </c>
      <c r="P60" s="172">
        <f>IF($C60="",0,IF(AND($E60&lt;&gt;"",$E60&lt;=O$37),0,IF(OR($D60="",$D60&gt;O$37),$C60,IF((YEAR(O$37)-$G60)=0,$C60*(1-$F60*$H60),$C60*(1-$F60*$H60)*(1-$F60)^(YEAR(O$37)-$G60)))))</f>
        <v/>
      </c>
      <c r="Q60" s="171">
        <f>IF(OR($C60="",$D60=""),0,IF(AND($E60&lt;&gt;"",$E60&lt;=Q$37),0,IF((YEAR(Q$37)-$G60)&lt;0,0,IF((YEAR(Q$37)-$G60)=0,$C60*$F60*$H60,$C60*(1-$F60*$H60)*(1-$F60)^((YEAR(Q$37)-$G60)-1)*$F60))))</f>
        <v/>
      </c>
      <c r="R60" s="172">
        <f>IF($C60="",0,IF(AND($E60&lt;&gt;"",$E60&lt;=Q$37),0,IF(OR($D60="",$D60&gt;Q$37),$C60,IF((YEAR(Q$37)-$G60)=0,$C60*(1-$F60*$H60),$C60*(1-$F60*$H60)*(1-$F60)^(YEAR(Q$37)-$G60)))))</f>
        <v/>
      </c>
      <c r="S60" s="171">
        <f>IF(OR($C60="",$D60=""),0,IF(AND($E60&lt;&gt;"",$E60&lt;=S$37),0,IF((YEAR(S$37)-$G60)&lt;0,0,IF((YEAR(S$37)-$G60)=0,$C60*$F60*$H60,$C60*(1-$F60*$H60)*(1-$F60)^((YEAR(S$37)-$G60)-1)*$F60))))</f>
        <v/>
      </c>
      <c r="T60" s="172">
        <f>IF($C60="",0,IF(AND($E60&lt;&gt;"",$E60&lt;=S$37),0,IF(OR($D60="",$D60&gt;S$37),$C60,IF((YEAR(S$37)-$G60)=0,$C60*(1-$F60*$H60),$C60*(1-$F60*$H60)*(1-$F60)^(YEAR(S$37)-$G60)))))</f>
        <v/>
      </c>
      <c r="U60" s="171">
        <f>IF(OR($C60="",$D60=""),0,IF(AND($E60&lt;&gt;"",$E60&lt;=U$37),0,IF((YEAR(U$37)-$G60)&lt;0,0,IF((YEAR(U$37)-$G60)=0,$C60*$F60*$H60,$C60*(1-$F60*$H60)*(1-$F60)^((YEAR(U$37)-$G60)-1)*$F60))))</f>
        <v/>
      </c>
      <c r="V60" s="172">
        <f>IF($C60="",0,IF(AND($E60&lt;&gt;"",$E60&lt;=U$37),0,IF(OR($D60="",$D60&gt;U$37),$C60,IF((YEAR(U$37)-$G60)=0,$C60*(1-$F60*$H60),$C60*(1-$F60*$H60)*(1-$F60)^(YEAR(U$37)-$G60)))))</f>
        <v/>
      </c>
      <c r="W60" s="171">
        <f>IF(OR($C60="",$D60=""),0,IF(AND($E60&lt;&gt;"",$E60&lt;=W$37),0,IF((YEAR(W$37)-$G60)&lt;0,0,IF((YEAR(W$37)-$G60)=0,$C60*$F60*$H60,$C60*(1-$F60*$H60)*(1-$F60)^((YEAR(W$37)-$G60)-1)*$F60))))</f>
        <v/>
      </c>
      <c r="X60" s="172">
        <f>IF($C60="",0,IF(AND($E60&lt;&gt;"",$E60&lt;=W$37),0,IF(OR($D60="",$D60&gt;W$37),$C60,IF((YEAR(W$37)-$G60)=0,$C60*(1-$F60*$H60),$C60*(1-$F60*$H60)*(1-$F60)^(YEAR(W$37)-$G60)))))</f>
        <v/>
      </c>
      <c r="Y60" s="171">
        <f>IF(OR($C60="",$D60=""),0,IF(AND($E60&lt;&gt;"",$E60&lt;=Y$37),0,IF((YEAR(Y$37)-$G60)&lt;0,0,IF((YEAR(Y$37)-$G60)=0,$C60*$F60*$H60,$C60*(1-$F60*$H60)*(1-$F60)^((YEAR(Y$37)-$G60)-1)*$F60))))</f>
        <v/>
      </c>
      <c r="Z60" s="172">
        <f>IF($C60="",0,IF(AND($E60&lt;&gt;"",$E60&lt;=Y$37),0,IF(OR($D60="",$D60&gt;Y$37),$C60,IF((YEAR(Y$37)-$G60)=0,$C60*(1-$F60*$H60),$C60*(1-$F60*$H60)*(1-$F60)^(YEAR(Y$37)-$G60)))))</f>
        <v/>
      </c>
      <c r="AA60" s="171">
        <f>IF(OR($C60="",$D60=""),0,IF(AND($E60&lt;&gt;"",$E60&lt;=AA$37),0,IF((YEAR(AA$37)-$G60)&lt;0,0,IF((YEAR(AA$37)-$G60)=0,$C60*$F60*$H60,$C60*(1-$F60*$H60)*(1-$F60)^((YEAR(AA$37)-$G60)-1)*$F60))))</f>
        <v/>
      </c>
      <c r="AB60" s="172">
        <f>IF($C60="",0,IF(AND($E60&lt;&gt;"",$E60&lt;=AA$37),0,IF(OR($D60="",$D60&gt;AA$37),$C60,IF((YEAR(AA$37)-$G60)=0,$C60*(1-$F60*$H60),$C60*(1-$F60*$H60)*(1-$F60)^(YEAR(AA$37)-$G60)))))</f>
        <v/>
      </c>
      <c r="AC60" s="171">
        <f>IF(OR($C60="",$D60=""),0,IF(AND($E60&lt;&gt;"",$E60&lt;=AC$37),0,IF((YEAR(AC$37)-$G60)&lt;0,0,IF((YEAR(AC$37)-$G60)=0,$C60*$F60*$H60,$C60*(1-$F60*$H60)*(1-$F60)^((YEAR(AC$37)-$G60)-1)*$F60))))</f>
        <v/>
      </c>
      <c r="AD60" s="172">
        <f>IF($C60="",0,IF(AND($E60&lt;&gt;"",$E60&lt;=AC$37),0,IF(OR($D60="",$D60&gt;AC$37),$C60,IF((YEAR(AC$37)-$G60)=0,$C60*(1-$F60*$H60),$C60*(1-$F60*$H60)*(1-$F60)^(YEAR(AC$37)-$G60)))))</f>
        <v/>
      </c>
      <c r="AE60" s="171">
        <f>IF(OR($C60="",$D60=""),0,IF(AND($E60&lt;&gt;"",$E60&lt;=AE$37),0,IF((YEAR(AE$37)-$G60)&lt;0,0,IF((YEAR(AE$37)-$G60)=0,$C60*$F60*$H60,$C60*(1-$F60*$H60)*(1-$F60)^((YEAR(AE$37)-$G60)-1)*$F60))))</f>
        <v/>
      </c>
      <c r="AF60" s="172">
        <f>IF($C60="",0,IF(AND($E60&lt;&gt;"",$E60&lt;=AE$37),0,IF(OR($D60="",$D60&gt;AE$37),$C60,IF((YEAR(AE$37)-$G60)=0,$C60*(1-$F60*$H60),$C60*(1-$F60*$H60)*(1-$F60)^(YEAR(AE$37)-$G60)))))</f>
        <v/>
      </c>
      <c r="AG60" s="171">
        <f>IF(OR($C60="",$D60=""),0,IF(AND($E60&lt;&gt;"",$E60&lt;=AG$37),0,IF((YEAR(AG$37)-$G60)&lt;0,0,IF((YEAR(AG$37)-$G60)=0,$C60*$F60*$H60,$C60*(1-$F60*$H60)*(1-$F60)^((YEAR(AG$37)-$G60)-1)*$F60))))</f>
        <v/>
      </c>
      <c r="AH60" s="172">
        <f>IF($C60="",0,IF(AND($E60&lt;&gt;"",$E60&lt;=AG$37),0,IF(OR($D60="",$D60&gt;AG$37),$C60,IF((YEAR(AG$37)-$G60)=0,$C60*(1-$F60*$H60),$C60*(1-$F60*$H60)*(1-$F60)^(YEAR(AG$37)-$G60)))))</f>
        <v/>
      </c>
      <c r="AI60" s="171">
        <f>IF(OR($C60="",$D60=""),0,IF(AND($E60&lt;&gt;"",$E60&lt;=AI$37),0,IF((YEAR(AI$37)-$G60)&lt;0,0,IF((YEAR(AI$37)-$G60)=0,$C60*$F60*$H60,$C60*(1-$F60*$H60)*(1-$F60)^((YEAR(AI$37)-$G60)-1)*$F60))))</f>
        <v/>
      </c>
      <c r="AJ60" s="172">
        <f>IF($C60="",0,IF(AND($E60&lt;&gt;"",$E60&lt;=AI$37),0,IF(OR($D60="",$D60&gt;AI$37),$C60,IF((YEAR(AI$37)-$G60)=0,$C60*(1-$F60*$H60),$C60*(1-$F60*$H60)*(1-$F60)^(YEAR(AI$37)-$G60)))))</f>
        <v/>
      </c>
      <c r="AK60" s="171">
        <f>IF(OR($C60="",$D60=""),0,IF(AND($E60&lt;&gt;"",$E60&lt;=AK$37),0,IF((YEAR(AK$37)-$G60)&lt;0,0,IF((YEAR(AK$37)-$G60)=0,$C60*$F60*$H60,$C60*(1-$F60*$H60)*(1-$F60)^((YEAR(AK$37)-$G60)-1)*$F60))))</f>
        <v/>
      </c>
      <c r="AL60" s="172">
        <f>IF($C60="",0,IF(AND($E60&lt;&gt;"",$E60&lt;=AK$37),0,IF(OR($D60="",$D60&gt;AK$37),$C60,IF((YEAR(AK$37)-$G60)=0,$C60*(1-$F60*$H60),$C60*(1-$F60*$H60)*(1-$F60)^(YEAR(AK$37)-$G60)))))</f>
        <v/>
      </c>
      <c r="AM60" s="171">
        <f>IF(OR($C60="",$D60=""),0,IF(AND($E60&lt;&gt;"",$E60&lt;=AM$37),0,IF((YEAR(AM$37)-$G60)&lt;0,0,IF((YEAR(AM$37)-$G60)=0,$C60*$F60*$H60,$C60*(1-$F60*$H60)*(1-$F60)^((YEAR(AM$37)-$G60)-1)*$F60))))</f>
        <v/>
      </c>
      <c r="AN60" s="172">
        <f>IF($C60="",0,IF(AND($E60&lt;&gt;"",$E60&lt;=AM$37),0,IF(OR($D60="",$D60&gt;AM$37),$C60,IF((YEAR(AM$37)-$G60)=0,$C60*(1-$F60*$H60),$C60*(1-$F60*$H60)*(1-$F60)^(YEAR(AM$37)-$G60)))))</f>
        <v/>
      </c>
    </row>
    <row r="61">
      <c r="B61" s="132">
        <f>IF(FAR!K28="","",FAR!B28)</f>
        <v/>
      </c>
      <c r="C61" s="81">
        <f>IF(FAR!K28="","",FAR!K28)</f>
        <v/>
      </c>
      <c r="D61" s="134">
        <f>IF(FAR!H28="","",FAR!H28)</f>
        <v/>
      </c>
      <c r="E61" s="136">
        <f>IF(FAR!I28="","",FAR!I28)</f>
        <v/>
      </c>
      <c r="F61" s="173">
        <f>IF(FAR!C28="",0,IFERROR(VLOOKUP(FAR!C28,ScheduleIITable,6,FALSE),0))</f>
        <v/>
      </c>
      <c r="G61" s="135">
        <f>IF($D61="","",YEAR($D61)+IF(MONTH($D61)&gt;=4,1,0))</f>
        <v/>
      </c>
      <c r="H61" s="174">
        <f>IF($D61="","",IF((DATE($G61,3,31)-$D61+1)&gt;=180,1,0.5))</f>
        <v/>
      </c>
      <c r="I61" s="175">
        <f>IF(OR($C61="",$D61=""),0,IF(AND($E61&lt;&gt;"",$E61&lt;=I$37),0,IF((YEAR(I$37)-$G61)&lt;0,0,IF((YEAR(I$37)-$G61)=0,$C61*$F61*$H61,$C61*(1-$F61*$H61)*(1-$F61)^((YEAR(I$37)-$G61)-1)*$F61))))</f>
        <v/>
      </c>
      <c r="J61" s="175">
        <f>IF($C61="",0,IF(AND($E61&lt;&gt;"",$E61&lt;=I$37),0,IF(OR($D61="",$D61&gt;I$37),$C61,IF((YEAR(I$37)-$G61)=0,$C61*(1-$F61*$H61),$C61*(1-$F61*$H61)*(1-$F61)^(YEAR(I$37)-$G61)))))</f>
        <v/>
      </c>
      <c r="K61" s="175">
        <f>IF(OR($C61="",$D61=""),0,IF(AND($E61&lt;&gt;"",$E61&lt;=K$37),0,IF((YEAR(K$37)-$G61)&lt;0,0,IF((YEAR(K$37)-$G61)=0,$C61*$F61*$H61,$C61*(1-$F61*$H61)*(1-$F61)^((YEAR(K$37)-$G61)-1)*$F61))))</f>
        <v/>
      </c>
      <c r="L61" s="175">
        <f>IF($C61="",0,IF(AND($E61&lt;&gt;"",$E61&lt;=K$37),0,IF(OR($D61="",$D61&gt;K$37),$C61,IF((YEAR(K$37)-$G61)=0,$C61*(1-$F61*$H61),$C61*(1-$F61*$H61)*(1-$F61)^(YEAR(K$37)-$G61)))))</f>
        <v/>
      </c>
      <c r="M61" s="175">
        <f>IF(OR($C61="",$D61=""),0,IF(AND($E61&lt;&gt;"",$E61&lt;=M$37),0,IF((YEAR(M$37)-$G61)&lt;0,0,IF((YEAR(M$37)-$G61)=0,$C61*$F61*$H61,$C61*(1-$F61*$H61)*(1-$F61)^((YEAR(M$37)-$G61)-1)*$F61))))</f>
        <v/>
      </c>
      <c r="N61" s="175">
        <f>IF($C61="",0,IF(AND($E61&lt;&gt;"",$E61&lt;=M$37),0,IF(OR($D61="",$D61&gt;M$37),$C61,IF((YEAR(M$37)-$G61)=0,$C61*(1-$F61*$H61),$C61*(1-$F61*$H61)*(1-$F61)^(YEAR(M$37)-$G61)))))</f>
        <v/>
      </c>
      <c r="O61" s="175">
        <f>IF(OR($C61="",$D61=""),0,IF(AND($E61&lt;&gt;"",$E61&lt;=O$37),0,IF((YEAR(O$37)-$G61)&lt;0,0,IF((YEAR(O$37)-$G61)=0,$C61*$F61*$H61,$C61*(1-$F61*$H61)*(1-$F61)^((YEAR(O$37)-$G61)-1)*$F61))))</f>
        <v/>
      </c>
      <c r="P61" s="175">
        <f>IF($C61="",0,IF(AND($E61&lt;&gt;"",$E61&lt;=O$37),0,IF(OR($D61="",$D61&gt;O$37),$C61,IF((YEAR(O$37)-$G61)=0,$C61*(1-$F61*$H61),$C61*(1-$F61*$H61)*(1-$F61)^(YEAR(O$37)-$G61)))))</f>
        <v/>
      </c>
      <c r="Q61" s="175">
        <f>IF(OR($C61="",$D61=""),0,IF(AND($E61&lt;&gt;"",$E61&lt;=Q$37),0,IF((YEAR(Q$37)-$G61)&lt;0,0,IF((YEAR(Q$37)-$G61)=0,$C61*$F61*$H61,$C61*(1-$F61*$H61)*(1-$F61)^((YEAR(Q$37)-$G61)-1)*$F61))))</f>
        <v/>
      </c>
      <c r="R61" s="175">
        <f>IF($C61="",0,IF(AND($E61&lt;&gt;"",$E61&lt;=Q$37),0,IF(OR($D61="",$D61&gt;Q$37),$C61,IF((YEAR(Q$37)-$G61)=0,$C61*(1-$F61*$H61),$C61*(1-$F61*$H61)*(1-$F61)^(YEAR(Q$37)-$G61)))))</f>
        <v/>
      </c>
      <c r="S61" s="175">
        <f>IF(OR($C61="",$D61=""),0,IF(AND($E61&lt;&gt;"",$E61&lt;=S$37),0,IF((YEAR(S$37)-$G61)&lt;0,0,IF((YEAR(S$37)-$G61)=0,$C61*$F61*$H61,$C61*(1-$F61*$H61)*(1-$F61)^((YEAR(S$37)-$G61)-1)*$F61))))</f>
        <v/>
      </c>
      <c r="T61" s="175">
        <f>IF($C61="",0,IF(AND($E61&lt;&gt;"",$E61&lt;=S$37),0,IF(OR($D61="",$D61&gt;S$37),$C61,IF((YEAR(S$37)-$G61)=0,$C61*(1-$F61*$H61),$C61*(1-$F61*$H61)*(1-$F61)^(YEAR(S$37)-$G61)))))</f>
        <v/>
      </c>
      <c r="U61" s="175">
        <f>IF(OR($C61="",$D61=""),0,IF(AND($E61&lt;&gt;"",$E61&lt;=U$37),0,IF((YEAR(U$37)-$G61)&lt;0,0,IF((YEAR(U$37)-$G61)=0,$C61*$F61*$H61,$C61*(1-$F61*$H61)*(1-$F61)^((YEAR(U$37)-$G61)-1)*$F61))))</f>
        <v/>
      </c>
      <c r="V61" s="175">
        <f>IF($C61="",0,IF(AND($E61&lt;&gt;"",$E61&lt;=U$37),0,IF(OR($D61="",$D61&gt;U$37),$C61,IF((YEAR(U$37)-$G61)=0,$C61*(1-$F61*$H61),$C61*(1-$F61*$H61)*(1-$F61)^(YEAR(U$37)-$G61)))))</f>
        <v/>
      </c>
      <c r="W61" s="175">
        <f>IF(OR($C61="",$D61=""),0,IF(AND($E61&lt;&gt;"",$E61&lt;=W$37),0,IF((YEAR(W$37)-$G61)&lt;0,0,IF((YEAR(W$37)-$G61)=0,$C61*$F61*$H61,$C61*(1-$F61*$H61)*(1-$F61)^((YEAR(W$37)-$G61)-1)*$F61))))</f>
        <v/>
      </c>
      <c r="X61" s="175">
        <f>IF($C61="",0,IF(AND($E61&lt;&gt;"",$E61&lt;=W$37),0,IF(OR($D61="",$D61&gt;W$37),$C61,IF((YEAR(W$37)-$G61)=0,$C61*(1-$F61*$H61),$C61*(1-$F61*$H61)*(1-$F61)^(YEAR(W$37)-$G61)))))</f>
        <v/>
      </c>
      <c r="Y61" s="175">
        <f>IF(OR($C61="",$D61=""),0,IF(AND($E61&lt;&gt;"",$E61&lt;=Y$37),0,IF((YEAR(Y$37)-$G61)&lt;0,0,IF((YEAR(Y$37)-$G61)=0,$C61*$F61*$H61,$C61*(1-$F61*$H61)*(1-$F61)^((YEAR(Y$37)-$G61)-1)*$F61))))</f>
        <v/>
      </c>
      <c r="Z61" s="175">
        <f>IF($C61="",0,IF(AND($E61&lt;&gt;"",$E61&lt;=Y$37),0,IF(OR($D61="",$D61&gt;Y$37),$C61,IF((YEAR(Y$37)-$G61)=0,$C61*(1-$F61*$H61),$C61*(1-$F61*$H61)*(1-$F61)^(YEAR(Y$37)-$G61)))))</f>
        <v/>
      </c>
      <c r="AA61" s="175">
        <f>IF(OR($C61="",$D61=""),0,IF(AND($E61&lt;&gt;"",$E61&lt;=AA$37),0,IF((YEAR(AA$37)-$G61)&lt;0,0,IF((YEAR(AA$37)-$G61)=0,$C61*$F61*$H61,$C61*(1-$F61*$H61)*(1-$F61)^((YEAR(AA$37)-$G61)-1)*$F61))))</f>
        <v/>
      </c>
      <c r="AB61" s="175">
        <f>IF($C61="",0,IF(AND($E61&lt;&gt;"",$E61&lt;=AA$37),0,IF(OR($D61="",$D61&gt;AA$37),$C61,IF((YEAR(AA$37)-$G61)=0,$C61*(1-$F61*$H61),$C61*(1-$F61*$H61)*(1-$F61)^(YEAR(AA$37)-$G61)))))</f>
        <v/>
      </c>
      <c r="AC61" s="175">
        <f>IF(OR($C61="",$D61=""),0,IF(AND($E61&lt;&gt;"",$E61&lt;=AC$37),0,IF((YEAR(AC$37)-$G61)&lt;0,0,IF((YEAR(AC$37)-$G61)=0,$C61*$F61*$H61,$C61*(1-$F61*$H61)*(1-$F61)^((YEAR(AC$37)-$G61)-1)*$F61))))</f>
        <v/>
      </c>
      <c r="AD61" s="175">
        <f>IF($C61="",0,IF(AND($E61&lt;&gt;"",$E61&lt;=AC$37),0,IF(OR($D61="",$D61&gt;AC$37),$C61,IF((YEAR(AC$37)-$G61)=0,$C61*(1-$F61*$H61),$C61*(1-$F61*$H61)*(1-$F61)^(YEAR(AC$37)-$G61)))))</f>
        <v/>
      </c>
      <c r="AE61" s="175">
        <f>IF(OR($C61="",$D61=""),0,IF(AND($E61&lt;&gt;"",$E61&lt;=AE$37),0,IF((YEAR(AE$37)-$G61)&lt;0,0,IF((YEAR(AE$37)-$G61)=0,$C61*$F61*$H61,$C61*(1-$F61*$H61)*(1-$F61)^((YEAR(AE$37)-$G61)-1)*$F61))))</f>
        <v/>
      </c>
      <c r="AF61" s="175">
        <f>IF($C61="",0,IF(AND($E61&lt;&gt;"",$E61&lt;=AE$37),0,IF(OR($D61="",$D61&gt;AE$37),$C61,IF((YEAR(AE$37)-$G61)=0,$C61*(1-$F61*$H61),$C61*(1-$F61*$H61)*(1-$F61)^(YEAR(AE$37)-$G61)))))</f>
        <v/>
      </c>
      <c r="AG61" s="175">
        <f>IF(OR($C61="",$D61=""),0,IF(AND($E61&lt;&gt;"",$E61&lt;=AG$37),0,IF((YEAR(AG$37)-$G61)&lt;0,0,IF((YEAR(AG$37)-$G61)=0,$C61*$F61*$H61,$C61*(1-$F61*$H61)*(1-$F61)^((YEAR(AG$37)-$G61)-1)*$F61))))</f>
        <v/>
      </c>
      <c r="AH61" s="175">
        <f>IF($C61="",0,IF(AND($E61&lt;&gt;"",$E61&lt;=AG$37),0,IF(OR($D61="",$D61&gt;AG$37),$C61,IF((YEAR(AG$37)-$G61)=0,$C61*(1-$F61*$H61),$C61*(1-$F61*$H61)*(1-$F61)^(YEAR(AG$37)-$G61)))))</f>
        <v/>
      </c>
      <c r="AI61" s="175">
        <f>IF(OR($C61="",$D61=""),0,IF(AND($E61&lt;&gt;"",$E61&lt;=AI$37),0,IF((YEAR(AI$37)-$G61)&lt;0,0,IF((YEAR(AI$37)-$G61)=0,$C61*$F61*$H61,$C61*(1-$F61*$H61)*(1-$F61)^((YEAR(AI$37)-$G61)-1)*$F61))))</f>
        <v/>
      </c>
      <c r="AJ61" s="175">
        <f>IF($C61="",0,IF(AND($E61&lt;&gt;"",$E61&lt;=AI$37),0,IF(OR($D61="",$D61&gt;AI$37),$C61,IF((YEAR(AI$37)-$G61)=0,$C61*(1-$F61*$H61),$C61*(1-$F61*$H61)*(1-$F61)^(YEAR(AI$37)-$G61)))))</f>
        <v/>
      </c>
      <c r="AK61" s="175">
        <f>IF(OR($C61="",$D61=""),0,IF(AND($E61&lt;&gt;"",$E61&lt;=AK$37),0,IF((YEAR(AK$37)-$G61)&lt;0,0,IF((YEAR(AK$37)-$G61)=0,$C61*$F61*$H61,$C61*(1-$F61*$H61)*(1-$F61)^((YEAR(AK$37)-$G61)-1)*$F61))))</f>
        <v/>
      </c>
      <c r="AL61" s="175">
        <f>IF($C61="",0,IF(AND($E61&lt;&gt;"",$E61&lt;=AK$37),0,IF(OR($D61="",$D61&gt;AK$37),$C61,IF((YEAR(AK$37)-$G61)=0,$C61*(1-$F61*$H61),$C61*(1-$F61*$H61)*(1-$F61)^(YEAR(AK$37)-$G61)))))</f>
        <v/>
      </c>
      <c r="AM61" s="175">
        <f>IF(OR($C61="",$D61=""),0,IF(AND($E61&lt;&gt;"",$E61&lt;=AM$37),0,IF((YEAR(AM$37)-$G61)&lt;0,0,IF((YEAR(AM$37)-$G61)=0,$C61*$F61*$H61,$C61*(1-$F61*$H61)*(1-$F61)^((YEAR(AM$37)-$G61)-1)*$F61))))</f>
        <v/>
      </c>
      <c r="AN61" s="175">
        <f>IF($C61="",0,IF(AND($E61&lt;&gt;"",$E61&lt;=AM$37),0,IF(OR($D61="",$D61&gt;AM$37),$C61,IF((YEAR(AM$37)-$G61)=0,$C61*(1-$F61*$H61),$C61*(1-$F61*$H61)*(1-$F61)^(YEAR(AM$37)-$G61)))))</f>
        <v/>
      </c>
    </row>
    <row r="62">
      <c r="B62" s="126">
        <f>IF(FAR!K29="","",FAR!B29)</f>
        <v/>
      </c>
      <c r="C62" s="63">
        <f>IF(FAR!K29="","",FAR!K29)</f>
        <v/>
      </c>
      <c r="D62" s="128">
        <f>IF(FAR!H29="","",FAR!H29)</f>
        <v/>
      </c>
      <c r="E62" s="130">
        <f>IF(FAR!I29="","",FAR!I29)</f>
        <v/>
      </c>
      <c r="F62" s="169">
        <f>IF(FAR!C29="",0,IFERROR(VLOOKUP(FAR!C29,ScheduleIITable,6,FALSE),0))</f>
        <v/>
      </c>
      <c r="G62" s="129">
        <f>IF($D62="","",YEAR($D62)+IF(MONTH($D62)&gt;=4,1,0))</f>
        <v/>
      </c>
      <c r="H62" s="170">
        <f>IF($D62="","",IF((DATE($G62,3,31)-$D62+1)&gt;=180,1,0.5))</f>
        <v/>
      </c>
      <c r="I62" s="171">
        <f>IF(OR($C62="",$D62=""),0,IF(AND($E62&lt;&gt;"",$E62&lt;=I$37),0,IF((YEAR(I$37)-$G62)&lt;0,0,IF((YEAR(I$37)-$G62)=0,$C62*$F62*$H62,$C62*(1-$F62*$H62)*(1-$F62)^((YEAR(I$37)-$G62)-1)*$F62))))</f>
        <v/>
      </c>
      <c r="J62" s="172">
        <f>IF($C62="",0,IF(AND($E62&lt;&gt;"",$E62&lt;=I$37),0,IF(OR($D62="",$D62&gt;I$37),$C62,IF((YEAR(I$37)-$G62)=0,$C62*(1-$F62*$H62),$C62*(1-$F62*$H62)*(1-$F62)^(YEAR(I$37)-$G62)))))</f>
        <v/>
      </c>
      <c r="K62" s="171">
        <f>IF(OR($C62="",$D62=""),0,IF(AND($E62&lt;&gt;"",$E62&lt;=K$37),0,IF((YEAR(K$37)-$G62)&lt;0,0,IF((YEAR(K$37)-$G62)=0,$C62*$F62*$H62,$C62*(1-$F62*$H62)*(1-$F62)^((YEAR(K$37)-$G62)-1)*$F62))))</f>
        <v/>
      </c>
      <c r="L62" s="172">
        <f>IF($C62="",0,IF(AND($E62&lt;&gt;"",$E62&lt;=K$37),0,IF(OR($D62="",$D62&gt;K$37),$C62,IF((YEAR(K$37)-$G62)=0,$C62*(1-$F62*$H62),$C62*(1-$F62*$H62)*(1-$F62)^(YEAR(K$37)-$G62)))))</f>
        <v/>
      </c>
      <c r="M62" s="171">
        <f>IF(OR($C62="",$D62=""),0,IF(AND($E62&lt;&gt;"",$E62&lt;=M$37),0,IF((YEAR(M$37)-$G62)&lt;0,0,IF((YEAR(M$37)-$G62)=0,$C62*$F62*$H62,$C62*(1-$F62*$H62)*(1-$F62)^((YEAR(M$37)-$G62)-1)*$F62))))</f>
        <v/>
      </c>
      <c r="N62" s="172">
        <f>IF($C62="",0,IF(AND($E62&lt;&gt;"",$E62&lt;=M$37),0,IF(OR($D62="",$D62&gt;M$37),$C62,IF((YEAR(M$37)-$G62)=0,$C62*(1-$F62*$H62),$C62*(1-$F62*$H62)*(1-$F62)^(YEAR(M$37)-$G62)))))</f>
        <v/>
      </c>
      <c r="O62" s="171">
        <f>IF(OR($C62="",$D62=""),0,IF(AND($E62&lt;&gt;"",$E62&lt;=O$37),0,IF((YEAR(O$37)-$G62)&lt;0,0,IF((YEAR(O$37)-$G62)=0,$C62*$F62*$H62,$C62*(1-$F62*$H62)*(1-$F62)^((YEAR(O$37)-$G62)-1)*$F62))))</f>
        <v/>
      </c>
      <c r="P62" s="172">
        <f>IF($C62="",0,IF(AND($E62&lt;&gt;"",$E62&lt;=O$37),0,IF(OR($D62="",$D62&gt;O$37),$C62,IF((YEAR(O$37)-$G62)=0,$C62*(1-$F62*$H62),$C62*(1-$F62*$H62)*(1-$F62)^(YEAR(O$37)-$G62)))))</f>
        <v/>
      </c>
      <c r="Q62" s="171">
        <f>IF(OR($C62="",$D62=""),0,IF(AND($E62&lt;&gt;"",$E62&lt;=Q$37),0,IF((YEAR(Q$37)-$G62)&lt;0,0,IF((YEAR(Q$37)-$G62)=0,$C62*$F62*$H62,$C62*(1-$F62*$H62)*(1-$F62)^((YEAR(Q$37)-$G62)-1)*$F62))))</f>
        <v/>
      </c>
      <c r="R62" s="172">
        <f>IF($C62="",0,IF(AND($E62&lt;&gt;"",$E62&lt;=Q$37),0,IF(OR($D62="",$D62&gt;Q$37),$C62,IF((YEAR(Q$37)-$G62)=0,$C62*(1-$F62*$H62),$C62*(1-$F62*$H62)*(1-$F62)^(YEAR(Q$37)-$G62)))))</f>
        <v/>
      </c>
      <c r="S62" s="171">
        <f>IF(OR($C62="",$D62=""),0,IF(AND($E62&lt;&gt;"",$E62&lt;=S$37),0,IF((YEAR(S$37)-$G62)&lt;0,0,IF((YEAR(S$37)-$G62)=0,$C62*$F62*$H62,$C62*(1-$F62*$H62)*(1-$F62)^((YEAR(S$37)-$G62)-1)*$F62))))</f>
        <v/>
      </c>
      <c r="T62" s="172">
        <f>IF($C62="",0,IF(AND($E62&lt;&gt;"",$E62&lt;=S$37),0,IF(OR($D62="",$D62&gt;S$37),$C62,IF((YEAR(S$37)-$G62)=0,$C62*(1-$F62*$H62),$C62*(1-$F62*$H62)*(1-$F62)^(YEAR(S$37)-$G62)))))</f>
        <v/>
      </c>
      <c r="U62" s="171">
        <f>IF(OR($C62="",$D62=""),0,IF(AND($E62&lt;&gt;"",$E62&lt;=U$37),0,IF((YEAR(U$37)-$G62)&lt;0,0,IF((YEAR(U$37)-$G62)=0,$C62*$F62*$H62,$C62*(1-$F62*$H62)*(1-$F62)^((YEAR(U$37)-$G62)-1)*$F62))))</f>
        <v/>
      </c>
      <c r="V62" s="172">
        <f>IF($C62="",0,IF(AND($E62&lt;&gt;"",$E62&lt;=U$37),0,IF(OR($D62="",$D62&gt;U$37),$C62,IF((YEAR(U$37)-$G62)=0,$C62*(1-$F62*$H62),$C62*(1-$F62*$H62)*(1-$F62)^(YEAR(U$37)-$G62)))))</f>
        <v/>
      </c>
      <c r="W62" s="171">
        <f>IF(OR($C62="",$D62=""),0,IF(AND($E62&lt;&gt;"",$E62&lt;=W$37),0,IF((YEAR(W$37)-$G62)&lt;0,0,IF((YEAR(W$37)-$G62)=0,$C62*$F62*$H62,$C62*(1-$F62*$H62)*(1-$F62)^((YEAR(W$37)-$G62)-1)*$F62))))</f>
        <v/>
      </c>
      <c r="X62" s="172">
        <f>IF($C62="",0,IF(AND($E62&lt;&gt;"",$E62&lt;=W$37),0,IF(OR($D62="",$D62&gt;W$37),$C62,IF((YEAR(W$37)-$G62)=0,$C62*(1-$F62*$H62),$C62*(1-$F62*$H62)*(1-$F62)^(YEAR(W$37)-$G62)))))</f>
        <v/>
      </c>
      <c r="Y62" s="171">
        <f>IF(OR($C62="",$D62=""),0,IF(AND($E62&lt;&gt;"",$E62&lt;=Y$37),0,IF((YEAR(Y$37)-$G62)&lt;0,0,IF((YEAR(Y$37)-$G62)=0,$C62*$F62*$H62,$C62*(1-$F62*$H62)*(1-$F62)^((YEAR(Y$37)-$G62)-1)*$F62))))</f>
        <v/>
      </c>
      <c r="Z62" s="172">
        <f>IF($C62="",0,IF(AND($E62&lt;&gt;"",$E62&lt;=Y$37),0,IF(OR($D62="",$D62&gt;Y$37),$C62,IF((YEAR(Y$37)-$G62)=0,$C62*(1-$F62*$H62),$C62*(1-$F62*$H62)*(1-$F62)^(YEAR(Y$37)-$G62)))))</f>
        <v/>
      </c>
      <c r="AA62" s="171">
        <f>IF(OR($C62="",$D62=""),0,IF(AND($E62&lt;&gt;"",$E62&lt;=AA$37),0,IF((YEAR(AA$37)-$G62)&lt;0,0,IF((YEAR(AA$37)-$G62)=0,$C62*$F62*$H62,$C62*(1-$F62*$H62)*(1-$F62)^((YEAR(AA$37)-$G62)-1)*$F62))))</f>
        <v/>
      </c>
      <c r="AB62" s="172">
        <f>IF($C62="",0,IF(AND($E62&lt;&gt;"",$E62&lt;=AA$37),0,IF(OR($D62="",$D62&gt;AA$37),$C62,IF((YEAR(AA$37)-$G62)=0,$C62*(1-$F62*$H62),$C62*(1-$F62*$H62)*(1-$F62)^(YEAR(AA$37)-$G62)))))</f>
        <v/>
      </c>
      <c r="AC62" s="171">
        <f>IF(OR($C62="",$D62=""),0,IF(AND($E62&lt;&gt;"",$E62&lt;=AC$37),0,IF((YEAR(AC$37)-$G62)&lt;0,0,IF((YEAR(AC$37)-$G62)=0,$C62*$F62*$H62,$C62*(1-$F62*$H62)*(1-$F62)^((YEAR(AC$37)-$G62)-1)*$F62))))</f>
        <v/>
      </c>
      <c r="AD62" s="172">
        <f>IF($C62="",0,IF(AND($E62&lt;&gt;"",$E62&lt;=AC$37),0,IF(OR($D62="",$D62&gt;AC$37),$C62,IF((YEAR(AC$37)-$G62)=0,$C62*(1-$F62*$H62),$C62*(1-$F62*$H62)*(1-$F62)^(YEAR(AC$37)-$G62)))))</f>
        <v/>
      </c>
      <c r="AE62" s="171">
        <f>IF(OR($C62="",$D62=""),0,IF(AND($E62&lt;&gt;"",$E62&lt;=AE$37),0,IF((YEAR(AE$37)-$G62)&lt;0,0,IF((YEAR(AE$37)-$G62)=0,$C62*$F62*$H62,$C62*(1-$F62*$H62)*(1-$F62)^((YEAR(AE$37)-$G62)-1)*$F62))))</f>
        <v/>
      </c>
      <c r="AF62" s="172">
        <f>IF($C62="",0,IF(AND($E62&lt;&gt;"",$E62&lt;=AE$37),0,IF(OR($D62="",$D62&gt;AE$37),$C62,IF((YEAR(AE$37)-$G62)=0,$C62*(1-$F62*$H62),$C62*(1-$F62*$H62)*(1-$F62)^(YEAR(AE$37)-$G62)))))</f>
        <v/>
      </c>
      <c r="AG62" s="171">
        <f>IF(OR($C62="",$D62=""),0,IF(AND($E62&lt;&gt;"",$E62&lt;=AG$37),0,IF((YEAR(AG$37)-$G62)&lt;0,0,IF((YEAR(AG$37)-$G62)=0,$C62*$F62*$H62,$C62*(1-$F62*$H62)*(1-$F62)^((YEAR(AG$37)-$G62)-1)*$F62))))</f>
        <v/>
      </c>
      <c r="AH62" s="172">
        <f>IF($C62="",0,IF(AND($E62&lt;&gt;"",$E62&lt;=AG$37),0,IF(OR($D62="",$D62&gt;AG$37),$C62,IF((YEAR(AG$37)-$G62)=0,$C62*(1-$F62*$H62),$C62*(1-$F62*$H62)*(1-$F62)^(YEAR(AG$37)-$G62)))))</f>
        <v/>
      </c>
      <c r="AI62" s="171">
        <f>IF(OR($C62="",$D62=""),0,IF(AND($E62&lt;&gt;"",$E62&lt;=AI$37),0,IF((YEAR(AI$37)-$G62)&lt;0,0,IF((YEAR(AI$37)-$G62)=0,$C62*$F62*$H62,$C62*(1-$F62*$H62)*(1-$F62)^((YEAR(AI$37)-$G62)-1)*$F62))))</f>
        <v/>
      </c>
      <c r="AJ62" s="172">
        <f>IF($C62="",0,IF(AND($E62&lt;&gt;"",$E62&lt;=AI$37),0,IF(OR($D62="",$D62&gt;AI$37),$C62,IF((YEAR(AI$37)-$G62)=0,$C62*(1-$F62*$H62),$C62*(1-$F62*$H62)*(1-$F62)^(YEAR(AI$37)-$G62)))))</f>
        <v/>
      </c>
      <c r="AK62" s="171">
        <f>IF(OR($C62="",$D62=""),0,IF(AND($E62&lt;&gt;"",$E62&lt;=AK$37),0,IF((YEAR(AK$37)-$G62)&lt;0,0,IF((YEAR(AK$37)-$G62)=0,$C62*$F62*$H62,$C62*(1-$F62*$H62)*(1-$F62)^((YEAR(AK$37)-$G62)-1)*$F62))))</f>
        <v/>
      </c>
      <c r="AL62" s="172">
        <f>IF($C62="",0,IF(AND($E62&lt;&gt;"",$E62&lt;=AK$37),0,IF(OR($D62="",$D62&gt;AK$37),$C62,IF((YEAR(AK$37)-$G62)=0,$C62*(1-$F62*$H62),$C62*(1-$F62*$H62)*(1-$F62)^(YEAR(AK$37)-$G62)))))</f>
        <v/>
      </c>
      <c r="AM62" s="171">
        <f>IF(OR($C62="",$D62=""),0,IF(AND($E62&lt;&gt;"",$E62&lt;=AM$37),0,IF((YEAR(AM$37)-$G62)&lt;0,0,IF((YEAR(AM$37)-$G62)=0,$C62*$F62*$H62,$C62*(1-$F62*$H62)*(1-$F62)^((YEAR(AM$37)-$G62)-1)*$F62))))</f>
        <v/>
      </c>
      <c r="AN62" s="172">
        <f>IF($C62="",0,IF(AND($E62&lt;&gt;"",$E62&lt;=AM$37),0,IF(OR($D62="",$D62&gt;AM$37),$C62,IF((YEAR(AM$37)-$G62)=0,$C62*(1-$F62*$H62),$C62*(1-$F62*$H62)*(1-$F62)^(YEAR(AM$37)-$G62)))))</f>
        <v/>
      </c>
    </row>
    <row r="63">
      <c r="B63" s="132">
        <f>IF(FAR!K30="","",FAR!B30)</f>
        <v/>
      </c>
      <c r="C63" s="81">
        <f>IF(FAR!K30="","",FAR!K30)</f>
        <v/>
      </c>
      <c r="D63" s="134">
        <f>IF(FAR!H30="","",FAR!H30)</f>
        <v/>
      </c>
      <c r="E63" s="136">
        <f>IF(FAR!I30="","",FAR!I30)</f>
        <v/>
      </c>
      <c r="F63" s="173">
        <f>IF(FAR!C30="",0,IFERROR(VLOOKUP(FAR!C30,ScheduleIITable,6,FALSE),0))</f>
        <v/>
      </c>
      <c r="G63" s="135">
        <f>IF($D63="","",YEAR($D63)+IF(MONTH($D63)&gt;=4,1,0))</f>
        <v/>
      </c>
      <c r="H63" s="174">
        <f>IF($D63="","",IF((DATE($G63,3,31)-$D63+1)&gt;=180,1,0.5))</f>
        <v/>
      </c>
      <c r="I63" s="175">
        <f>IF(OR($C63="",$D63=""),0,IF(AND($E63&lt;&gt;"",$E63&lt;=I$37),0,IF((YEAR(I$37)-$G63)&lt;0,0,IF((YEAR(I$37)-$G63)=0,$C63*$F63*$H63,$C63*(1-$F63*$H63)*(1-$F63)^((YEAR(I$37)-$G63)-1)*$F63))))</f>
        <v/>
      </c>
      <c r="J63" s="175">
        <f>IF($C63="",0,IF(AND($E63&lt;&gt;"",$E63&lt;=I$37),0,IF(OR($D63="",$D63&gt;I$37),$C63,IF((YEAR(I$37)-$G63)=0,$C63*(1-$F63*$H63),$C63*(1-$F63*$H63)*(1-$F63)^(YEAR(I$37)-$G63)))))</f>
        <v/>
      </c>
      <c r="K63" s="175">
        <f>IF(OR($C63="",$D63=""),0,IF(AND($E63&lt;&gt;"",$E63&lt;=K$37),0,IF((YEAR(K$37)-$G63)&lt;0,0,IF((YEAR(K$37)-$G63)=0,$C63*$F63*$H63,$C63*(1-$F63*$H63)*(1-$F63)^((YEAR(K$37)-$G63)-1)*$F63))))</f>
        <v/>
      </c>
      <c r="L63" s="175">
        <f>IF($C63="",0,IF(AND($E63&lt;&gt;"",$E63&lt;=K$37),0,IF(OR($D63="",$D63&gt;K$37),$C63,IF((YEAR(K$37)-$G63)=0,$C63*(1-$F63*$H63),$C63*(1-$F63*$H63)*(1-$F63)^(YEAR(K$37)-$G63)))))</f>
        <v/>
      </c>
      <c r="M63" s="175">
        <f>IF(OR($C63="",$D63=""),0,IF(AND($E63&lt;&gt;"",$E63&lt;=M$37),0,IF((YEAR(M$37)-$G63)&lt;0,0,IF((YEAR(M$37)-$G63)=0,$C63*$F63*$H63,$C63*(1-$F63*$H63)*(1-$F63)^((YEAR(M$37)-$G63)-1)*$F63))))</f>
        <v/>
      </c>
      <c r="N63" s="175">
        <f>IF($C63="",0,IF(AND($E63&lt;&gt;"",$E63&lt;=M$37),0,IF(OR($D63="",$D63&gt;M$37),$C63,IF((YEAR(M$37)-$G63)=0,$C63*(1-$F63*$H63),$C63*(1-$F63*$H63)*(1-$F63)^(YEAR(M$37)-$G63)))))</f>
        <v/>
      </c>
      <c r="O63" s="175">
        <f>IF(OR($C63="",$D63=""),0,IF(AND($E63&lt;&gt;"",$E63&lt;=O$37),0,IF((YEAR(O$37)-$G63)&lt;0,0,IF((YEAR(O$37)-$G63)=0,$C63*$F63*$H63,$C63*(1-$F63*$H63)*(1-$F63)^((YEAR(O$37)-$G63)-1)*$F63))))</f>
        <v/>
      </c>
      <c r="P63" s="175">
        <f>IF($C63="",0,IF(AND($E63&lt;&gt;"",$E63&lt;=O$37),0,IF(OR($D63="",$D63&gt;O$37),$C63,IF((YEAR(O$37)-$G63)=0,$C63*(1-$F63*$H63),$C63*(1-$F63*$H63)*(1-$F63)^(YEAR(O$37)-$G63)))))</f>
        <v/>
      </c>
      <c r="Q63" s="175">
        <f>IF(OR($C63="",$D63=""),0,IF(AND($E63&lt;&gt;"",$E63&lt;=Q$37),0,IF((YEAR(Q$37)-$G63)&lt;0,0,IF((YEAR(Q$37)-$G63)=0,$C63*$F63*$H63,$C63*(1-$F63*$H63)*(1-$F63)^((YEAR(Q$37)-$G63)-1)*$F63))))</f>
        <v/>
      </c>
      <c r="R63" s="175">
        <f>IF($C63="",0,IF(AND($E63&lt;&gt;"",$E63&lt;=Q$37),0,IF(OR($D63="",$D63&gt;Q$37),$C63,IF((YEAR(Q$37)-$G63)=0,$C63*(1-$F63*$H63),$C63*(1-$F63*$H63)*(1-$F63)^(YEAR(Q$37)-$G63)))))</f>
        <v/>
      </c>
      <c r="S63" s="175">
        <f>IF(OR($C63="",$D63=""),0,IF(AND($E63&lt;&gt;"",$E63&lt;=S$37),0,IF((YEAR(S$37)-$G63)&lt;0,0,IF((YEAR(S$37)-$G63)=0,$C63*$F63*$H63,$C63*(1-$F63*$H63)*(1-$F63)^((YEAR(S$37)-$G63)-1)*$F63))))</f>
        <v/>
      </c>
      <c r="T63" s="175">
        <f>IF($C63="",0,IF(AND($E63&lt;&gt;"",$E63&lt;=S$37),0,IF(OR($D63="",$D63&gt;S$37),$C63,IF((YEAR(S$37)-$G63)=0,$C63*(1-$F63*$H63),$C63*(1-$F63*$H63)*(1-$F63)^(YEAR(S$37)-$G63)))))</f>
        <v/>
      </c>
      <c r="U63" s="175">
        <f>IF(OR($C63="",$D63=""),0,IF(AND($E63&lt;&gt;"",$E63&lt;=U$37),0,IF((YEAR(U$37)-$G63)&lt;0,0,IF((YEAR(U$37)-$G63)=0,$C63*$F63*$H63,$C63*(1-$F63*$H63)*(1-$F63)^((YEAR(U$37)-$G63)-1)*$F63))))</f>
        <v/>
      </c>
      <c r="V63" s="175">
        <f>IF($C63="",0,IF(AND($E63&lt;&gt;"",$E63&lt;=U$37),0,IF(OR($D63="",$D63&gt;U$37),$C63,IF((YEAR(U$37)-$G63)=0,$C63*(1-$F63*$H63),$C63*(1-$F63*$H63)*(1-$F63)^(YEAR(U$37)-$G63)))))</f>
        <v/>
      </c>
      <c r="W63" s="175">
        <f>IF(OR($C63="",$D63=""),0,IF(AND($E63&lt;&gt;"",$E63&lt;=W$37),0,IF((YEAR(W$37)-$G63)&lt;0,0,IF((YEAR(W$37)-$G63)=0,$C63*$F63*$H63,$C63*(1-$F63*$H63)*(1-$F63)^((YEAR(W$37)-$G63)-1)*$F63))))</f>
        <v/>
      </c>
      <c r="X63" s="175">
        <f>IF($C63="",0,IF(AND($E63&lt;&gt;"",$E63&lt;=W$37),0,IF(OR($D63="",$D63&gt;W$37),$C63,IF((YEAR(W$37)-$G63)=0,$C63*(1-$F63*$H63),$C63*(1-$F63*$H63)*(1-$F63)^(YEAR(W$37)-$G63)))))</f>
        <v/>
      </c>
      <c r="Y63" s="175">
        <f>IF(OR($C63="",$D63=""),0,IF(AND($E63&lt;&gt;"",$E63&lt;=Y$37),0,IF((YEAR(Y$37)-$G63)&lt;0,0,IF((YEAR(Y$37)-$G63)=0,$C63*$F63*$H63,$C63*(1-$F63*$H63)*(1-$F63)^((YEAR(Y$37)-$G63)-1)*$F63))))</f>
        <v/>
      </c>
      <c r="Z63" s="175">
        <f>IF($C63="",0,IF(AND($E63&lt;&gt;"",$E63&lt;=Y$37),0,IF(OR($D63="",$D63&gt;Y$37),$C63,IF((YEAR(Y$37)-$G63)=0,$C63*(1-$F63*$H63),$C63*(1-$F63*$H63)*(1-$F63)^(YEAR(Y$37)-$G63)))))</f>
        <v/>
      </c>
      <c r="AA63" s="175">
        <f>IF(OR($C63="",$D63=""),0,IF(AND($E63&lt;&gt;"",$E63&lt;=AA$37),0,IF((YEAR(AA$37)-$G63)&lt;0,0,IF((YEAR(AA$37)-$G63)=0,$C63*$F63*$H63,$C63*(1-$F63*$H63)*(1-$F63)^((YEAR(AA$37)-$G63)-1)*$F63))))</f>
        <v/>
      </c>
      <c r="AB63" s="175">
        <f>IF($C63="",0,IF(AND($E63&lt;&gt;"",$E63&lt;=AA$37),0,IF(OR($D63="",$D63&gt;AA$37),$C63,IF((YEAR(AA$37)-$G63)=0,$C63*(1-$F63*$H63),$C63*(1-$F63*$H63)*(1-$F63)^(YEAR(AA$37)-$G63)))))</f>
        <v/>
      </c>
      <c r="AC63" s="175">
        <f>IF(OR($C63="",$D63=""),0,IF(AND($E63&lt;&gt;"",$E63&lt;=AC$37),0,IF((YEAR(AC$37)-$G63)&lt;0,0,IF((YEAR(AC$37)-$G63)=0,$C63*$F63*$H63,$C63*(1-$F63*$H63)*(1-$F63)^((YEAR(AC$37)-$G63)-1)*$F63))))</f>
        <v/>
      </c>
      <c r="AD63" s="175">
        <f>IF($C63="",0,IF(AND($E63&lt;&gt;"",$E63&lt;=AC$37),0,IF(OR($D63="",$D63&gt;AC$37),$C63,IF((YEAR(AC$37)-$G63)=0,$C63*(1-$F63*$H63),$C63*(1-$F63*$H63)*(1-$F63)^(YEAR(AC$37)-$G63)))))</f>
        <v/>
      </c>
      <c r="AE63" s="175">
        <f>IF(OR($C63="",$D63=""),0,IF(AND($E63&lt;&gt;"",$E63&lt;=AE$37),0,IF((YEAR(AE$37)-$G63)&lt;0,0,IF((YEAR(AE$37)-$G63)=0,$C63*$F63*$H63,$C63*(1-$F63*$H63)*(1-$F63)^((YEAR(AE$37)-$G63)-1)*$F63))))</f>
        <v/>
      </c>
      <c r="AF63" s="175">
        <f>IF($C63="",0,IF(AND($E63&lt;&gt;"",$E63&lt;=AE$37),0,IF(OR($D63="",$D63&gt;AE$37),$C63,IF((YEAR(AE$37)-$G63)=0,$C63*(1-$F63*$H63),$C63*(1-$F63*$H63)*(1-$F63)^(YEAR(AE$37)-$G63)))))</f>
        <v/>
      </c>
      <c r="AG63" s="175">
        <f>IF(OR($C63="",$D63=""),0,IF(AND($E63&lt;&gt;"",$E63&lt;=AG$37),0,IF((YEAR(AG$37)-$G63)&lt;0,0,IF((YEAR(AG$37)-$G63)=0,$C63*$F63*$H63,$C63*(1-$F63*$H63)*(1-$F63)^((YEAR(AG$37)-$G63)-1)*$F63))))</f>
        <v/>
      </c>
      <c r="AH63" s="175">
        <f>IF($C63="",0,IF(AND($E63&lt;&gt;"",$E63&lt;=AG$37),0,IF(OR($D63="",$D63&gt;AG$37),$C63,IF((YEAR(AG$37)-$G63)=0,$C63*(1-$F63*$H63),$C63*(1-$F63*$H63)*(1-$F63)^(YEAR(AG$37)-$G63)))))</f>
        <v/>
      </c>
      <c r="AI63" s="175">
        <f>IF(OR($C63="",$D63=""),0,IF(AND($E63&lt;&gt;"",$E63&lt;=AI$37),0,IF((YEAR(AI$37)-$G63)&lt;0,0,IF((YEAR(AI$37)-$G63)=0,$C63*$F63*$H63,$C63*(1-$F63*$H63)*(1-$F63)^((YEAR(AI$37)-$G63)-1)*$F63))))</f>
        <v/>
      </c>
      <c r="AJ63" s="175">
        <f>IF($C63="",0,IF(AND($E63&lt;&gt;"",$E63&lt;=AI$37),0,IF(OR($D63="",$D63&gt;AI$37),$C63,IF((YEAR(AI$37)-$G63)=0,$C63*(1-$F63*$H63),$C63*(1-$F63*$H63)*(1-$F63)^(YEAR(AI$37)-$G63)))))</f>
        <v/>
      </c>
      <c r="AK63" s="175">
        <f>IF(OR($C63="",$D63=""),0,IF(AND($E63&lt;&gt;"",$E63&lt;=AK$37),0,IF((YEAR(AK$37)-$G63)&lt;0,0,IF((YEAR(AK$37)-$G63)=0,$C63*$F63*$H63,$C63*(1-$F63*$H63)*(1-$F63)^((YEAR(AK$37)-$G63)-1)*$F63))))</f>
        <v/>
      </c>
      <c r="AL63" s="175">
        <f>IF($C63="",0,IF(AND($E63&lt;&gt;"",$E63&lt;=AK$37),0,IF(OR($D63="",$D63&gt;AK$37),$C63,IF((YEAR(AK$37)-$G63)=0,$C63*(1-$F63*$H63),$C63*(1-$F63*$H63)*(1-$F63)^(YEAR(AK$37)-$G63)))))</f>
        <v/>
      </c>
      <c r="AM63" s="175">
        <f>IF(OR($C63="",$D63=""),0,IF(AND($E63&lt;&gt;"",$E63&lt;=AM$37),0,IF((YEAR(AM$37)-$G63)&lt;0,0,IF((YEAR(AM$37)-$G63)=0,$C63*$F63*$H63,$C63*(1-$F63*$H63)*(1-$F63)^((YEAR(AM$37)-$G63)-1)*$F63))))</f>
        <v/>
      </c>
      <c r="AN63" s="175">
        <f>IF($C63="",0,IF(AND($E63&lt;&gt;"",$E63&lt;=AM$37),0,IF(OR($D63="",$D63&gt;AM$37),$C63,IF((YEAR(AM$37)-$G63)=0,$C63*(1-$F63*$H63),$C63*(1-$F63*$H63)*(1-$F63)^(YEAR(AM$37)-$G63)))))</f>
        <v/>
      </c>
    </row>
    <row r="64">
      <c r="B64" s="126">
        <f>IF(FAR!K31="","",FAR!B31)</f>
        <v/>
      </c>
      <c r="C64" s="63">
        <f>IF(FAR!K31="","",FAR!K31)</f>
        <v/>
      </c>
      <c r="D64" s="128">
        <f>IF(FAR!H31="","",FAR!H31)</f>
        <v/>
      </c>
      <c r="E64" s="130">
        <f>IF(FAR!I31="","",FAR!I31)</f>
        <v/>
      </c>
      <c r="F64" s="169">
        <f>IF(FAR!C31="",0,IFERROR(VLOOKUP(FAR!C31,ScheduleIITable,6,FALSE),0))</f>
        <v/>
      </c>
      <c r="G64" s="129">
        <f>IF($D64="","",YEAR($D64)+IF(MONTH($D64)&gt;=4,1,0))</f>
        <v/>
      </c>
      <c r="H64" s="170">
        <f>IF($D64="","",IF((DATE($G64,3,31)-$D64+1)&gt;=180,1,0.5))</f>
        <v/>
      </c>
      <c r="I64" s="171">
        <f>IF(OR($C64="",$D64=""),0,IF(AND($E64&lt;&gt;"",$E64&lt;=I$37),0,IF((YEAR(I$37)-$G64)&lt;0,0,IF((YEAR(I$37)-$G64)=0,$C64*$F64*$H64,$C64*(1-$F64*$H64)*(1-$F64)^((YEAR(I$37)-$G64)-1)*$F64))))</f>
        <v/>
      </c>
      <c r="J64" s="172">
        <f>IF($C64="",0,IF(AND($E64&lt;&gt;"",$E64&lt;=I$37),0,IF(OR($D64="",$D64&gt;I$37),$C64,IF((YEAR(I$37)-$G64)=0,$C64*(1-$F64*$H64),$C64*(1-$F64*$H64)*(1-$F64)^(YEAR(I$37)-$G64)))))</f>
        <v/>
      </c>
      <c r="K64" s="171">
        <f>IF(OR($C64="",$D64=""),0,IF(AND($E64&lt;&gt;"",$E64&lt;=K$37),0,IF((YEAR(K$37)-$G64)&lt;0,0,IF((YEAR(K$37)-$G64)=0,$C64*$F64*$H64,$C64*(1-$F64*$H64)*(1-$F64)^((YEAR(K$37)-$G64)-1)*$F64))))</f>
        <v/>
      </c>
      <c r="L64" s="172">
        <f>IF($C64="",0,IF(AND($E64&lt;&gt;"",$E64&lt;=K$37),0,IF(OR($D64="",$D64&gt;K$37),$C64,IF((YEAR(K$37)-$G64)=0,$C64*(1-$F64*$H64),$C64*(1-$F64*$H64)*(1-$F64)^(YEAR(K$37)-$G64)))))</f>
        <v/>
      </c>
      <c r="M64" s="171">
        <f>IF(OR($C64="",$D64=""),0,IF(AND($E64&lt;&gt;"",$E64&lt;=M$37),0,IF((YEAR(M$37)-$G64)&lt;0,0,IF((YEAR(M$37)-$G64)=0,$C64*$F64*$H64,$C64*(1-$F64*$H64)*(1-$F64)^((YEAR(M$37)-$G64)-1)*$F64))))</f>
        <v/>
      </c>
      <c r="N64" s="172">
        <f>IF($C64="",0,IF(AND($E64&lt;&gt;"",$E64&lt;=M$37),0,IF(OR($D64="",$D64&gt;M$37),$C64,IF((YEAR(M$37)-$G64)=0,$C64*(1-$F64*$H64),$C64*(1-$F64*$H64)*(1-$F64)^(YEAR(M$37)-$G64)))))</f>
        <v/>
      </c>
      <c r="O64" s="171">
        <f>IF(OR($C64="",$D64=""),0,IF(AND($E64&lt;&gt;"",$E64&lt;=O$37),0,IF((YEAR(O$37)-$G64)&lt;0,0,IF((YEAR(O$37)-$G64)=0,$C64*$F64*$H64,$C64*(1-$F64*$H64)*(1-$F64)^((YEAR(O$37)-$G64)-1)*$F64))))</f>
        <v/>
      </c>
      <c r="P64" s="172">
        <f>IF($C64="",0,IF(AND($E64&lt;&gt;"",$E64&lt;=O$37),0,IF(OR($D64="",$D64&gt;O$37),$C64,IF((YEAR(O$37)-$G64)=0,$C64*(1-$F64*$H64),$C64*(1-$F64*$H64)*(1-$F64)^(YEAR(O$37)-$G64)))))</f>
        <v/>
      </c>
      <c r="Q64" s="171">
        <f>IF(OR($C64="",$D64=""),0,IF(AND($E64&lt;&gt;"",$E64&lt;=Q$37),0,IF((YEAR(Q$37)-$G64)&lt;0,0,IF((YEAR(Q$37)-$G64)=0,$C64*$F64*$H64,$C64*(1-$F64*$H64)*(1-$F64)^((YEAR(Q$37)-$G64)-1)*$F64))))</f>
        <v/>
      </c>
      <c r="R64" s="172">
        <f>IF($C64="",0,IF(AND($E64&lt;&gt;"",$E64&lt;=Q$37),0,IF(OR($D64="",$D64&gt;Q$37),$C64,IF((YEAR(Q$37)-$G64)=0,$C64*(1-$F64*$H64),$C64*(1-$F64*$H64)*(1-$F64)^(YEAR(Q$37)-$G64)))))</f>
        <v/>
      </c>
      <c r="S64" s="171">
        <f>IF(OR($C64="",$D64=""),0,IF(AND($E64&lt;&gt;"",$E64&lt;=S$37),0,IF((YEAR(S$37)-$G64)&lt;0,0,IF((YEAR(S$37)-$G64)=0,$C64*$F64*$H64,$C64*(1-$F64*$H64)*(1-$F64)^((YEAR(S$37)-$G64)-1)*$F64))))</f>
        <v/>
      </c>
      <c r="T64" s="172">
        <f>IF($C64="",0,IF(AND($E64&lt;&gt;"",$E64&lt;=S$37),0,IF(OR($D64="",$D64&gt;S$37),$C64,IF((YEAR(S$37)-$G64)=0,$C64*(1-$F64*$H64),$C64*(1-$F64*$H64)*(1-$F64)^(YEAR(S$37)-$G64)))))</f>
        <v/>
      </c>
      <c r="U64" s="171">
        <f>IF(OR($C64="",$D64=""),0,IF(AND($E64&lt;&gt;"",$E64&lt;=U$37),0,IF((YEAR(U$37)-$G64)&lt;0,0,IF((YEAR(U$37)-$G64)=0,$C64*$F64*$H64,$C64*(1-$F64*$H64)*(1-$F64)^((YEAR(U$37)-$G64)-1)*$F64))))</f>
        <v/>
      </c>
      <c r="V64" s="172">
        <f>IF($C64="",0,IF(AND($E64&lt;&gt;"",$E64&lt;=U$37),0,IF(OR($D64="",$D64&gt;U$37),$C64,IF((YEAR(U$37)-$G64)=0,$C64*(1-$F64*$H64),$C64*(1-$F64*$H64)*(1-$F64)^(YEAR(U$37)-$G64)))))</f>
        <v/>
      </c>
      <c r="W64" s="171">
        <f>IF(OR($C64="",$D64=""),0,IF(AND($E64&lt;&gt;"",$E64&lt;=W$37),0,IF((YEAR(W$37)-$G64)&lt;0,0,IF((YEAR(W$37)-$G64)=0,$C64*$F64*$H64,$C64*(1-$F64*$H64)*(1-$F64)^((YEAR(W$37)-$G64)-1)*$F64))))</f>
        <v/>
      </c>
      <c r="X64" s="172">
        <f>IF($C64="",0,IF(AND($E64&lt;&gt;"",$E64&lt;=W$37),0,IF(OR($D64="",$D64&gt;W$37),$C64,IF((YEAR(W$37)-$G64)=0,$C64*(1-$F64*$H64),$C64*(1-$F64*$H64)*(1-$F64)^(YEAR(W$37)-$G64)))))</f>
        <v/>
      </c>
      <c r="Y64" s="171">
        <f>IF(OR($C64="",$D64=""),0,IF(AND($E64&lt;&gt;"",$E64&lt;=Y$37),0,IF((YEAR(Y$37)-$G64)&lt;0,0,IF((YEAR(Y$37)-$G64)=0,$C64*$F64*$H64,$C64*(1-$F64*$H64)*(1-$F64)^((YEAR(Y$37)-$G64)-1)*$F64))))</f>
        <v/>
      </c>
      <c r="Z64" s="172">
        <f>IF($C64="",0,IF(AND($E64&lt;&gt;"",$E64&lt;=Y$37),0,IF(OR($D64="",$D64&gt;Y$37),$C64,IF((YEAR(Y$37)-$G64)=0,$C64*(1-$F64*$H64),$C64*(1-$F64*$H64)*(1-$F64)^(YEAR(Y$37)-$G64)))))</f>
        <v/>
      </c>
      <c r="AA64" s="171">
        <f>IF(OR($C64="",$D64=""),0,IF(AND($E64&lt;&gt;"",$E64&lt;=AA$37),0,IF((YEAR(AA$37)-$G64)&lt;0,0,IF((YEAR(AA$37)-$G64)=0,$C64*$F64*$H64,$C64*(1-$F64*$H64)*(1-$F64)^((YEAR(AA$37)-$G64)-1)*$F64))))</f>
        <v/>
      </c>
      <c r="AB64" s="172">
        <f>IF($C64="",0,IF(AND($E64&lt;&gt;"",$E64&lt;=AA$37),0,IF(OR($D64="",$D64&gt;AA$37),$C64,IF((YEAR(AA$37)-$G64)=0,$C64*(1-$F64*$H64),$C64*(1-$F64*$H64)*(1-$F64)^(YEAR(AA$37)-$G64)))))</f>
        <v/>
      </c>
      <c r="AC64" s="171">
        <f>IF(OR($C64="",$D64=""),0,IF(AND($E64&lt;&gt;"",$E64&lt;=AC$37),0,IF((YEAR(AC$37)-$G64)&lt;0,0,IF((YEAR(AC$37)-$G64)=0,$C64*$F64*$H64,$C64*(1-$F64*$H64)*(1-$F64)^((YEAR(AC$37)-$G64)-1)*$F64))))</f>
        <v/>
      </c>
      <c r="AD64" s="172">
        <f>IF($C64="",0,IF(AND($E64&lt;&gt;"",$E64&lt;=AC$37),0,IF(OR($D64="",$D64&gt;AC$37),$C64,IF((YEAR(AC$37)-$G64)=0,$C64*(1-$F64*$H64),$C64*(1-$F64*$H64)*(1-$F64)^(YEAR(AC$37)-$G64)))))</f>
        <v/>
      </c>
      <c r="AE64" s="171">
        <f>IF(OR($C64="",$D64=""),0,IF(AND($E64&lt;&gt;"",$E64&lt;=AE$37),0,IF((YEAR(AE$37)-$G64)&lt;0,0,IF((YEAR(AE$37)-$G64)=0,$C64*$F64*$H64,$C64*(1-$F64*$H64)*(1-$F64)^((YEAR(AE$37)-$G64)-1)*$F64))))</f>
        <v/>
      </c>
      <c r="AF64" s="172">
        <f>IF($C64="",0,IF(AND($E64&lt;&gt;"",$E64&lt;=AE$37),0,IF(OR($D64="",$D64&gt;AE$37),$C64,IF((YEAR(AE$37)-$G64)=0,$C64*(1-$F64*$H64),$C64*(1-$F64*$H64)*(1-$F64)^(YEAR(AE$37)-$G64)))))</f>
        <v/>
      </c>
      <c r="AG64" s="171">
        <f>IF(OR($C64="",$D64=""),0,IF(AND($E64&lt;&gt;"",$E64&lt;=AG$37),0,IF((YEAR(AG$37)-$G64)&lt;0,0,IF((YEAR(AG$37)-$G64)=0,$C64*$F64*$H64,$C64*(1-$F64*$H64)*(1-$F64)^((YEAR(AG$37)-$G64)-1)*$F64))))</f>
        <v/>
      </c>
      <c r="AH64" s="172">
        <f>IF($C64="",0,IF(AND($E64&lt;&gt;"",$E64&lt;=AG$37),0,IF(OR($D64="",$D64&gt;AG$37),$C64,IF((YEAR(AG$37)-$G64)=0,$C64*(1-$F64*$H64),$C64*(1-$F64*$H64)*(1-$F64)^(YEAR(AG$37)-$G64)))))</f>
        <v/>
      </c>
      <c r="AI64" s="171">
        <f>IF(OR($C64="",$D64=""),0,IF(AND($E64&lt;&gt;"",$E64&lt;=AI$37),0,IF((YEAR(AI$37)-$G64)&lt;0,0,IF((YEAR(AI$37)-$G64)=0,$C64*$F64*$H64,$C64*(1-$F64*$H64)*(1-$F64)^((YEAR(AI$37)-$G64)-1)*$F64))))</f>
        <v/>
      </c>
      <c r="AJ64" s="172">
        <f>IF($C64="",0,IF(AND($E64&lt;&gt;"",$E64&lt;=AI$37),0,IF(OR($D64="",$D64&gt;AI$37),$C64,IF((YEAR(AI$37)-$G64)=0,$C64*(1-$F64*$H64),$C64*(1-$F64*$H64)*(1-$F64)^(YEAR(AI$37)-$G64)))))</f>
        <v/>
      </c>
      <c r="AK64" s="171">
        <f>IF(OR($C64="",$D64=""),0,IF(AND($E64&lt;&gt;"",$E64&lt;=AK$37),0,IF((YEAR(AK$37)-$G64)&lt;0,0,IF((YEAR(AK$37)-$G64)=0,$C64*$F64*$H64,$C64*(1-$F64*$H64)*(1-$F64)^((YEAR(AK$37)-$G64)-1)*$F64))))</f>
        <v/>
      </c>
      <c r="AL64" s="172">
        <f>IF($C64="",0,IF(AND($E64&lt;&gt;"",$E64&lt;=AK$37),0,IF(OR($D64="",$D64&gt;AK$37),$C64,IF((YEAR(AK$37)-$G64)=0,$C64*(1-$F64*$H64),$C64*(1-$F64*$H64)*(1-$F64)^(YEAR(AK$37)-$G64)))))</f>
        <v/>
      </c>
      <c r="AM64" s="171">
        <f>IF(OR($C64="",$D64=""),0,IF(AND($E64&lt;&gt;"",$E64&lt;=AM$37),0,IF((YEAR(AM$37)-$G64)&lt;0,0,IF((YEAR(AM$37)-$G64)=0,$C64*$F64*$H64,$C64*(1-$F64*$H64)*(1-$F64)^((YEAR(AM$37)-$G64)-1)*$F64))))</f>
        <v/>
      </c>
      <c r="AN64" s="172">
        <f>IF($C64="",0,IF(AND($E64&lt;&gt;"",$E64&lt;=AM$37),0,IF(OR($D64="",$D64&gt;AM$37),$C64,IF((YEAR(AM$37)-$G64)=0,$C64*(1-$F64*$H64),$C64*(1-$F64*$H64)*(1-$F64)^(YEAR(AM$37)-$G64)))))</f>
        <v/>
      </c>
    </row>
    <row r="65">
      <c r="B65" s="132">
        <f>IF(FAR!K32="","",FAR!B32)</f>
        <v/>
      </c>
      <c r="C65" s="81">
        <f>IF(FAR!K32="","",FAR!K32)</f>
        <v/>
      </c>
      <c r="D65" s="134">
        <f>IF(FAR!H32="","",FAR!H32)</f>
        <v/>
      </c>
      <c r="E65" s="136">
        <f>IF(FAR!I32="","",FAR!I32)</f>
        <v/>
      </c>
      <c r="F65" s="173">
        <f>IF(FAR!C32="",0,IFERROR(VLOOKUP(FAR!C32,ScheduleIITable,6,FALSE),0))</f>
        <v/>
      </c>
      <c r="G65" s="135">
        <f>IF($D65="","",YEAR($D65)+IF(MONTH($D65)&gt;=4,1,0))</f>
        <v/>
      </c>
      <c r="H65" s="174">
        <f>IF($D65="","",IF((DATE($G65,3,31)-$D65+1)&gt;=180,1,0.5))</f>
        <v/>
      </c>
      <c r="I65" s="175">
        <f>IF(OR($C65="",$D65=""),0,IF(AND($E65&lt;&gt;"",$E65&lt;=I$37),0,IF((YEAR(I$37)-$G65)&lt;0,0,IF((YEAR(I$37)-$G65)=0,$C65*$F65*$H65,$C65*(1-$F65*$H65)*(1-$F65)^((YEAR(I$37)-$G65)-1)*$F65))))</f>
        <v/>
      </c>
      <c r="J65" s="175">
        <f>IF($C65="",0,IF(AND($E65&lt;&gt;"",$E65&lt;=I$37),0,IF(OR($D65="",$D65&gt;I$37),$C65,IF((YEAR(I$37)-$G65)=0,$C65*(1-$F65*$H65),$C65*(1-$F65*$H65)*(1-$F65)^(YEAR(I$37)-$G65)))))</f>
        <v/>
      </c>
      <c r="K65" s="175">
        <f>IF(OR($C65="",$D65=""),0,IF(AND($E65&lt;&gt;"",$E65&lt;=K$37),0,IF((YEAR(K$37)-$G65)&lt;0,0,IF((YEAR(K$37)-$G65)=0,$C65*$F65*$H65,$C65*(1-$F65*$H65)*(1-$F65)^((YEAR(K$37)-$G65)-1)*$F65))))</f>
        <v/>
      </c>
      <c r="L65" s="175">
        <f>IF($C65="",0,IF(AND($E65&lt;&gt;"",$E65&lt;=K$37),0,IF(OR($D65="",$D65&gt;K$37),$C65,IF((YEAR(K$37)-$G65)=0,$C65*(1-$F65*$H65),$C65*(1-$F65*$H65)*(1-$F65)^(YEAR(K$37)-$G65)))))</f>
        <v/>
      </c>
      <c r="M65" s="175">
        <f>IF(OR($C65="",$D65=""),0,IF(AND($E65&lt;&gt;"",$E65&lt;=M$37),0,IF((YEAR(M$37)-$G65)&lt;0,0,IF((YEAR(M$37)-$G65)=0,$C65*$F65*$H65,$C65*(1-$F65*$H65)*(1-$F65)^((YEAR(M$37)-$G65)-1)*$F65))))</f>
        <v/>
      </c>
      <c r="N65" s="175">
        <f>IF($C65="",0,IF(AND($E65&lt;&gt;"",$E65&lt;=M$37),0,IF(OR($D65="",$D65&gt;M$37),$C65,IF((YEAR(M$37)-$G65)=0,$C65*(1-$F65*$H65),$C65*(1-$F65*$H65)*(1-$F65)^(YEAR(M$37)-$G65)))))</f>
        <v/>
      </c>
      <c r="O65" s="175">
        <f>IF(OR($C65="",$D65=""),0,IF(AND($E65&lt;&gt;"",$E65&lt;=O$37),0,IF((YEAR(O$37)-$G65)&lt;0,0,IF((YEAR(O$37)-$G65)=0,$C65*$F65*$H65,$C65*(1-$F65*$H65)*(1-$F65)^((YEAR(O$37)-$G65)-1)*$F65))))</f>
        <v/>
      </c>
      <c r="P65" s="175">
        <f>IF($C65="",0,IF(AND($E65&lt;&gt;"",$E65&lt;=O$37),0,IF(OR($D65="",$D65&gt;O$37),$C65,IF((YEAR(O$37)-$G65)=0,$C65*(1-$F65*$H65),$C65*(1-$F65*$H65)*(1-$F65)^(YEAR(O$37)-$G65)))))</f>
        <v/>
      </c>
      <c r="Q65" s="175">
        <f>IF(OR($C65="",$D65=""),0,IF(AND($E65&lt;&gt;"",$E65&lt;=Q$37),0,IF((YEAR(Q$37)-$G65)&lt;0,0,IF((YEAR(Q$37)-$G65)=0,$C65*$F65*$H65,$C65*(1-$F65*$H65)*(1-$F65)^((YEAR(Q$37)-$G65)-1)*$F65))))</f>
        <v/>
      </c>
      <c r="R65" s="175">
        <f>IF($C65="",0,IF(AND($E65&lt;&gt;"",$E65&lt;=Q$37),0,IF(OR($D65="",$D65&gt;Q$37),$C65,IF((YEAR(Q$37)-$G65)=0,$C65*(1-$F65*$H65),$C65*(1-$F65*$H65)*(1-$F65)^(YEAR(Q$37)-$G65)))))</f>
        <v/>
      </c>
      <c r="S65" s="175">
        <f>IF(OR($C65="",$D65=""),0,IF(AND($E65&lt;&gt;"",$E65&lt;=S$37),0,IF((YEAR(S$37)-$G65)&lt;0,0,IF((YEAR(S$37)-$G65)=0,$C65*$F65*$H65,$C65*(1-$F65*$H65)*(1-$F65)^((YEAR(S$37)-$G65)-1)*$F65))))</f>
        <v/>
      </c>
      <c r="T65" s="175">
        <f>IF($C65="",0,IF(AND($E65&lt;&gt;"",$E65&lt;=S$37),0,IF(OR($D65="",$D65&gt;S$37),$C65,IF((YEAR(S$37)-$G65)=0,$C65*(1-$F65*$H65),$C65*(1-$F65*$H65)*(1-$F65)^(YEAR(S$37)-$G65)))))</f>
        <v/>
      </c>
      <c r="U65" s="175">
        <f>IF(OR($C65="",$D65=""),0,IF(AND($E65&lt;&gt;"",$E65&lt;=U$37),0,IF((YEAR(U$37)-$G65)&lt;0,0,IF((YEAR(U$37)-$G65)=0,$C65*$F65*$H65,$C65*(1-$F65*$H65)*(1-$F65)^((YEAR(U$37)-$G65)-1)*$F65))))</f>
        <v/>
      </c>
      <c r="V65" s="175">
        <f>IF($C65="",0,IF(AND($E65&lt;&gt;"",$E65&lt;=U$37),0,IF(OR($D65="",$D65&gt;U$37),$C65,IF((YEAR(U$37)-$G65)=0,$C65*(1-$F65*$H65),$C65*(1-$F65*$H65)*(1-$F65)^(YEAR(U$37)-$G65)))))</f>
        <v/>
      </c>
      <c r="W65" s="175">
        <f>IF(OR($C65="",$D65=""),0,IF(AND($E65&lt;&gt;"",$E65&lt;=W$37),0,IF((YEAR(W$37)-$G65)&lt;0,0,IF((YEAR(W$37)-$G65)=0,$C65*$F65*$H65,$C65*(1-$F65*$H65)*(1-$F65)^((YEAR(W$37)-$G65)-1)*$F65))))</f>
        <v/>
      </c>
      <c r="X65" s="175">
        <f>IF($C65="",0,IF(AND($E65&lt;&gt;"",$E65&lt;=W$37),0,IF(OR($D65="",$D65&gt;W$37),$C65,IF((YEAR(W$37)-$G65)=0,$C65*(1-$F65*$H65),$C65*(1-$F65*$H65)*(1-$F65)^(YEAR(W$37)-$G65)))))</f>
        <v/>
      </c>
      <c r="Y65" s="175">
        <f>IF(OR($C65="",$D65=""),0,IF(AND($E65&lt;&gt;"",$E65&lt;=Y$37),0,IF((YEAR(Y$37)-$G65)&lt;0,0,IF((YEAR(Y$37)-$G65)=0,$C65*$F65*$H65,$C65*(1-$F65*$H65)*(1-$F65)^((YEAR(Y$37)-$G65)-1)*$F65))))</f>
        <v/>
      </c>
      <c r="Z65" s="175">
        <f>IF($C65="",0,IF(AND($E65&lt;&gt;"",$E65&lt;=Y$37),0,IF(OR($D65="",$D65&gt;Y$37),$C65,IF((YEAR(Y$37)-$G65)=0,$C65*(1-$F65*$H65),$C65*(1-$F65*$H65)*(1-$F65)^(YEAR(Y$37)-$G65)))))</f>
        <v/>
      </c>
      <c r="AA65" s="175">
        <f>IF(OR($C65="",$D65=""),0,IF(AND($E65&lt;&gt;"",$E65&lt;=AA$37),0,IF((YEAR(AA$37)-$G65)&lt;0,0,IF((YEAR(AA$37)-$G65)=0,$C65*$F65*$H65,$C65*(1-$F65*$H65)*(1-$F65)^((YEAR(AA$37)-$G65)-1)*$F65))))</f>
        <v/>
      </c>
      <c r="AB65" s="175">
        <f>IF($C65="",0,IF(AND($E65&lt;&gt;"",$E65&lt;=AA$37),0,IF(OR($D65="",$D65&gt;AA$37),$C65,IF((YEAR(AA$37)-$G65)=0,$C65*(1-$F65*$H65),$C65*(1-$F65*$H65)*(1-$F65)^(YEAR(AA$37)-$G65)))))</f>
        <v/>
      </c>
      <c r="AC65" s="175">
        <f>IF(OR($C65="",$D65=""),0,IF(AND($E65&lt;&gt;"",$E65&lt;=AC$37),0,IF((YEAR(AC$37)-$G65)&lt;0,0,IF((YEAR(AC$37)-$G65)=0,$C65*$F65*$H65,$C65*(1-$F65*$H65)*(1-$F65)^((YEAR(AC$37)-$G65)-1)*$F65))))</f>
        <v/>
      </c>
      <c r="AD65" s="175">
        <f>IF($C65="",0,IF(AND($E65&lt;&gt;"",$E65&lt;=AC$37),0,IF(OR($D65="",$D65&gt;AC$37),$C65,IF((YEAR(AC$37)-$G65)=0,$C65*(1-$F65*$H65),$C65*(1-$F65*$H65)*(1-$F65)^(YEAR(AC$37)-$G65)))))</f>
        <v/>
      </c>
      <c r="AE65" s="175">
        <f>IF(OR($C65="",$D65=""),0,IF(AND($E65&lt;&gt;"",$E65&lt;=AE$37),0,IF((YEAR(AE$37)-$G65)&lt;0,0,IF((YEAR(AE$37)-$G65)=0,$C65*$F65*$H65,$C65*(1-$F65*$H65)*(1-$F65)^((YEAR(AE$37)-$G65)-1)*$F65))))</f>
        <v/>
      </c>
      <c r="AF65" s="175">
        <f>IF($C65="",0,IF(AND($E65&lt;&gt;"",$E65&lt;=AE$37),0,IF(OR($D65="",$D65&gt;AE$37),$C65,IF((YEAR(AE$37)-$G65)=0,$C65*(1-$F65*$H65),$C65*(1-$F65*$H65)*(1-$F65)^(YEAR(AE$37)-$G65)))))</f>
        <v/>
      </c>
      <c r="AG65" s="175">
        <f>IF(OR($C65="",$D65=""),0,IF(AND($E65&lt;&gt;"",$E65&lt;=AG$37),0,IF((YEAR(AG$37)-$G65)&lt;0,0,IF((YEAR(AG$37)-$G65)=0,$C65*$F65*$H65,$C65*(1-$F65*$H65)*(1-$F65)^((YEAR(AG$37)-$G65)-1)*$F65))))</f>
        <v/>
      </c>
      <c r="AH65" s="175">
        <f>IF($C65="",0,IF(AND($E65&lt;&gt;"",$E65&lt;=AG$37),0,IF(OR($D65="",$D65&gt;AG$37),$C65,IF((YEAR(AG$37)-$G65)=0,$C65*(1-$F65*$H65),$C65*(1-$F65*$H65)*(1-$F65)^(YEAR(AG$37)-$G65)))))</f>
        <v/>
      </c>
      <c r="AI65" s="175">
        <f>IF(OR($C65="",$D65=""),0,IF(AND($E65&lt;&gt;"",$E65&lt;=AI$37),0,IF((YEAR(AI$37)-$G65)&lt;0,0,IF((YEAR(AI$37)-$G65)=0,$C65*$F65*$H65,$C65*(1-$F65*$H65)*(1-$F65)^((YEAR(AI$37)-$G65)-1)*$F65))))</f>
        <v/>
      </c>
      <c r="AJ65" s="175">
        <f>IF($C65="",0,IF(AND($E65&lt;&gt;"",$E65&lt;=AI$37),0,IF(OR($D65="",$D65&gt;AI$37),$C65,IF((YEAR(AI$37)-$G65)=0,$C65*(1-$F65*$H65),$C65*(1-$F65*$H65)*(1-$F65)^(YEAR(AI$37)-$G65)))))</f>
        <v/>
      </c>
      <c r="AK65" s="175">
        <f>IF(OR($C65="",$D65=""),0,IF(AND($E65&lt;&gt;"",$E65&lt;=AK$37),0,IF((YEAR(AK$37)-$G65)&lt;0,0,IF((YEAR(AK$37)-$G65)=0,$C65*$F65*$H65,$C65*(1-$F65*$H65)*(1-$F65)^((YEAR(AK$37)-$G65)-1)*$F65))))</f>
        <v/>
      </c>
      <c r="AL65" s="175">
        <f>IF($C65="",0,IF(AND($E65&lt;&gt;"",$E65&lt;=AK$37),0,IF(OR($D65="",$D65&gt;AK$37),$C65,IF((YEAR(AK$37)-$G65)=0,$C65*(1-$F65*$H65),$C65*(1-$F65*$H65)*(1-$F65)^(YEAR(AK$37)-$G65)))))</f>
        <v/>
      </c>
      <c r="AM65" s="175">
        <f>IF(OR($C65="",$D65=""),0,IF(AND($E65&lt;&gt;"",$E65&lt;=AM$37),0,IF((YEAR(AM$37)-$G65)&lt;0,0,IF((YEAR(AM$37)-$G65)=0,$C65*$F65*$H65,$C65*(1-$F65*$H65)*(1-$F65)^((YEAR(AM$37)-$G65)-1)*$F65))))</f>
        <v/>
      </c>
      <c r="AN65" s="175">
        <f>IF($C65="",0,IF(AND($E65&lt;&gt;"",$E65&lt;=AM$37),0,IF(OR($D65="",$D65&gt;AM$37),$C65,IF((YEAR(AM$37)-$G65)=0,$C65*(1-$F65*$H65),$C65*(1-$F65*$H65)*(1-$F65)^(YEAR(AM$37)-$G65)))))</f>
        <v/>
      </c>
    </row>
    <row r="66">
      <c r="B66" s="126">
        <f>IF(FAR!K33="","",FAR!B33)</f>
        <v/>
      </c>
      <c r="C66" s="63">
        <f>IF(FAR!K33="","",FAR!K33)</f>
        <v/>
      </c>
      <c r="D66" s="128">
        <f>IF(FAR!H33="","",FAR!H33)</f>
        <v/>
      </c>
      <c r="E66" s="130">
        <f>IF(FAR!I33="","",FAR!I33)</f>
        <v/>
      </c>
      <c r="F66" s="169">
        <f>IF(FAR!C33="",0,IFERROR(VLOOKUP(FAR!C33,ScheduleIITable,6,FALSE),0))</f>
        <v/>
      </c>
      <c r="G66" s="129">
        <f>IF($D66="","",YEAR($D66)+IF(MONTH($D66)&gt;=4,1,0))</f>
        <v/>
      </c>
      <c r="H66" s="170">
        <f>IF($D66="","",IF((DATE($G66,3,31)-$D66+1)&gt;=180,1,0.5))</f>
        <v/>
      </c>
      <c r="I66" s="171">
        <f>IF(OR($C66="",$D66=""),0,IF(AND($E66&lt;&gt;"",$E66&lt;=I$37),0,IF((YEAR(I$37)-$G66)&lt;0,0,IF((YEAR(I$37)-$G66)=0,$C66*$F66*$H66,$C66*(1-$F66*$H66)*(1-$F66)^((YEAR(I$37)-$G66)-1)*$F66))))</f>
        <v/>
      </c>
      <c r="J66" s="172">
        <f>IF($C66="",0,IF(AND($E66&lt;&gt;"",$E66&lt;=I$37),0,IF(OR($D66="",$D66&gt;I$37),$C66,IF((YEAR(I$37)-$G66)=0,$C66*(1-$F66*$H66),$C66*(1-$F66*$H66)*(1-$F66)^(YEAR(I$37)-$G66)))))</f>
        <v/>
      </c>
      <c r="K66" s="171">
        <f>IF(OR($C66="",$D66=""),0,IF(AND($E66&lt;&gt;"",$E66&lt;=K$37),0,IF((YEAR(K$37)-$G66)&lt;0,0,IF((YEAR(K$37)-$G66)=0,$C66*$F66*$H66,$C66*(1-$F66*$H66)*(1-$F66)^((YEAR(K$37)-$G66)-1)*$F66))))</f>
        <v/>
      </c>
      <c r="L66" s="172">
        <f>IF($C66="",0,IF(AND($E66&lt;&gt;"",$E66&lt;=K$37),0,IF(OR($D66="",$D66&gt;K$37),$C66,IF((YEAR(K$37)-$G66)=0,$C66*(1-$F66*$H66),$C66*(1-$F66*$H66)*(1-$F66)^(YEAR(K$37)-$G66)))))</f>
        <v/>
      </c>
      <c r="M66" s="171">
        <f>IF(OR($C66="",$D66=""),0,IF(AND($E66&lt;&gt;"",$E66&lt;=M$37),0,IF((YEAR(M$37)-$G66)&lt;0,0,IF((YEAR(M$37)-$G66)=0,$C66*$F66*$H66,$C66*(1-$F66*$H66)*(1-$F66)^((YEAR(M$37)-$G66)-1)*$F66))))</f>
        <v/>
      </c>
      <c r="N66" s="172">
        <f>IF($C66="",0,IF(AND($E66&lt;&gt;"",$E66&lt;=M$37),0,IF(OR($D66="",$D66&gt;M$37),$C66,IF((YEAR(M$37)-$G66)=0,$C66*(1-$F66*$H66),$C66*(1-$F66*$H66)*(1-$F66)^(YEAR(M$37)-$G66)))))</f>
        <v/>
      </c>
      <c r="O66" s="171">
        <f>IF(OR($C66="",$D66=""),0,IF(AND($E66&lt;&gt;"",$E66&lt;=O$37),0,IF((YEAR(O$37)-$G66)&lt;0,0,IF((YEAR(O$37)-$G66)=0,$C66*$F66*$H66,$C66*(1-$F66*$H66)*(1-$F66)^((YEAR(O$37)-$G66)-1)*$F66))))</f>
        <v/>
      </c>
      <c r="P66" s="172">
        <f>IF($C66="",0,IF(AND($E66&lt;&gt;"",$E66&lt;=O$37),0,IF(OR($D66="",$D66&gt;O$37),$C66,IF((YEAR(O$37)-$G66)=0,$C66*(1-$F66*$H66),$C66*(1-$F66*$H66)*(1-$F66)^(YEAR(O$37)-$G66)))))</f>
        <v/>
      </c>
      <c r="Q66" s="171">
        <f>IF(OR($C66="",$D66=""),0,IF(AND($E66&lt;&gt;"",$E66&lt;=Q$37),0,IF((YEAR(Q$37)-$G66)&lt;0,0,IF((YEAR(Q$37)-$G66)=0,$C66*$F66*$H66,$C66*(1-$F66*$H66)*(1-$F66)^((YEAR(Q$37)-$G66)-1)*$F66))))</f>
        <v/>
      </c>
      <c r="R66" s="172">
        <f>IF($C66="",0,IF(AND($E66&lt;&gt;"",$E66&lt;=Q$37),0,IF(OR($D66="",$D66&gt;Q$37),$C66,IF((YEAR(Q$37)-$G66)=0,$C66*(1-$F66*$H66),$C66*(1-$F66*$H66)*(1-$F66)^(YEAR(Q$37)-$G66)))))</f>
        <v/>
      </c>
      <c r="S66" s="171">
        <f>IF(OR($C66="",$D66=""),0,IF(AND($E66&lt;&gt;"",$E66&lt;=S$37),0,IF((YEAR(S$37)-$G66)&lt;0,0,IF((YEAR(S$37)-$G66)=0,$C66*$F66*$H66,$C66*(1-$F66*$H66)*(1-$F66)^((YEAR(S$37)-$G66)-1)*$F66))))</f>
        <v/>
      </c>
      <c r="T66" s="172">
        <f>IF($C66="",0,IF(AND($E66&lt;&gt;"",$E66&lt;=S$37),0,IF(OR($D66="",$D66&gt;S$37),$C66,IF((YEAR(S$37)-$G66)=0,$C66*(1-$F66*$H66),$C66*(1-$F66*$H66)*(1-$F66)^(YEAR(S$37)-$G66)))))</f>
        <v/>
      </c>
      <c r="U66" s="171">
        <f>IF(OR($C66="",$D66=""),0,IF(AND($E66&lt;&gt;"",$E66&lt;=U$37),0,IF((YEAR(U$37)-$G66)&lt;0,0,IF((YEAR(U$37)-$G66)=0,$C66*$F66*$H66,$C66*(1-$F66*$H66)*(1-$F66)^((YEAR(U$37)-$G66)-1)*$F66))))</f>
        <v/>
      </c>
      <c r="V66" s="172">
        <f>IF($C66="",0,IF(AND($E66&lt;&gt;"",$E66&lt;=U$37),0,IF(OR($D66="",$D66&gt;U$37),$C66,IF((YEAR(U$37)-$G66)=0,$C66*(1-$F66*$H66),$C66*(1-$F66*$H66)*(1-$F66)^(YEAR(U$37)-$G66)))))</f>
        <v/>
      </c>
      <c r="W66" s="171">
        <f>IF(OR($C66="",$D66=""),0,IF(AND($E66&lt;&gt;"",$E66&lt;=W$37),0,IF((YEAR(W$37)-$G66)&lt;0,0,IF((YEAR(W$37)-$G66)=0,$C66*$F66*$H66,$C66*(1-$F66*$H66)*(1-$F66)^((YEAR(W$37)-$G66)-1)*$F66))))</f>
        <v/>
      </c>
      <c r="X66" s="172">
        <f>IF($C66="",0,IF(AND($E66&lt;&gt;"",$E66&lt;=W$37),0,IF(OR($D66="",$D66&gt;W$37),$C66,IF((YEAR(W$37)-$G66)=0,$C66*(1-$F66*$H66),$C66*(1-$F66*$H66)*(1-$F66)^(YEAR(W$37)-$G66)))))</f>
        <v/>
      </c>
      <c r="Y66" s="171">
        <f>IF(OR($C66="",$D66=""),0,IF(AND($E66&lt;&gt;"",$E66&lt;=Y$37),0,IF((YEAR(Y$37)-$G66)&lt;0,0,IF((YEAR(Y$37)-$G66)=0,$C66*$F66*$H66,$C66*(1-$F66*$H66)*(1-$F66)^((YEAR(Y$37)-$G66)-1)*$F66))))</f>
        <v/>
      </c>
      <c r="Z66" s="172">
        <f>IF($C66="",0,IF(AND($E66&lt;&gt;"",$E66&lt;=Y$37),0,IF(OR($D66="",$D66&gt;Y$37),$C66,IF((YEAR(Y$37)-$G66)=0,$C66*(1-$F66*$H66),$C66*(1-$F66*$H66)*(1-$F66)^(YEAR(Y$37)-$G66)))))</f>
        <v/>
      </c>
      <c r="AA66" s="171">
        <f>IF(OR($C66="",$D66=""),0,IF(AND($E66&lt;&gt;"",$E66&lt;=AA$37),0,IF((YEAR(AA$37)-$G66)&lt;0,0,IF((YEAR(AA$37)-$G66)=0,$C66*$F66*$H66,$C66*(1-$F66*$H66)*(1-$F66)^((YEAR(AA$37)-$G66)-1)*$F66))))</f>
        <v/>
      </c>
      <c r="AB66" s="172">
        <f>IF($C66="",0,IF(AND($E66&lt;&gt;"",$E66&lt;=AA$37),0,IF(OR($D66="",$D66&gt;AA$37),$C66,IF((YEAR(AA$37)-$G66)=0,$C66*(1-$F66*$H66),$C66*(1-$F66*$H66)*(1-$F66)^(YEAR(AA$37)-$G66)))))</f>
        <v/>
      </c>
      <c r="AC66" s="171">
        <f>IF(OR($C66="",$D66=""),0,IF(AND($E66&lt;&gt;"",$E66&lt;=AC$37),0,IF((YEAR(AC$37)-$G66)&lt;0,0,IF((YEAR(AC$37)-$G66)=0,$C66*$F66*$H66,$C66*(1-$F66*$H66)*(1-$F66)^((YEAR(AC$37)-$G66)-1)*$F66))))</f>
        <v/>
      </c>
      <c r="AD66" s="172">
        <f>IF($C66="",0,IF(AND($E66&lt;&gt;"",$E66&lt;=AC$37),0,IF(OR($D66="",$D66&gt;AC$37),$C66,IF((YEAR(AC$37)-$G66)=0,$C66*(1-$F66*$H66),$C66*(1-$F66*$H66)*(1-$F66)^(YEAR(AC$37)-$G66)))))</f>
        <v/>
      </c>
      <c r="AE66" s="171">
        <f>IF(OR($C66="",$D66=""),0,IF(AND($E66&lt;&gt;"",$E66&lt;=AE$37),0,IF((YEAR(AE$37)-$G66)&lt;0,0,IF((YEAR(AE$37)-$G66)=0,$C66*$F66*$H66,$C66*(1-$F66*$H66)*(1-$F66)^((YEAR(AE$37)-$G66)-1)*$F66))))</f>
        <v/>
      </c>
      <c r="AF66" s="172">
        <f>IF($C66="",0,IF(AND($E66&lt;&gt;"",$E66&lt;=AE$37),0,IF(OR($D66="",$D66&gt;AE$37),$C66,IF((YEAR(AE$37)-$G66)=0,$C66*(1-$F66*$H66),$C66*(1-$F66*$H66)*(1-$F66)^(YEAR(AE$37)-$G66)))))</f>
        <v/>
      </c>
      <c r="AG66" s="171">
        <f>IF(OR($C66="",$D66=""),0,IF(AND($E66&lt;&gt;"",$E66&lt;=AG$37),0,IF((YEAR(AG$37)-$G66)&lt;0,0,IF((YEAR(AG$37)-$G66)=0,$C66*$F66*$H66,$C66*(1-$F66*$H66)*(1-$F66)^((YEAR(AG$37)-$G66)-1)*$F66))))</f>
        <v/>
      </c>
      <c r="AH66" s="172">
        <f>IF($C66="",0,IF(AND($E66&lt;&gt;"",$E66&lt;=AG$37),0,IF(OR($D66="",$D66&gt;AG$37),$C66,IF((YEAR(AG$37)-$G66)=0,$C66*(1-$F66*$H66),$C66*(1-$F66*$H66)*(1-$F66)^(YEAR(AG$37)-$G66)))))</f>
        <v/>
      </c>
      <c r="AI66" s="171">
        <f>IF(OR($C66="",$D66=""),0,IF(AND($E66&lt;&gt;"",$E66&lt;=AI$37),0,IF((YEAR(AI$37)-$G66)&lt;0,0,IF((YEAR(AI$37)-$G66)=0,$C66*$F66*$H66,$C66*(1-$F66*$H66)*(1-$F66)^((YEAR(AI$37)-$G66)-1)*$F66))))</f>
        <v/>
      </c>
      <c r="AJ66" s="172">
        <f>IF($C66="",0,IF(AND($E66&lt;&gt;"",$E66&lt;=AI$37),0,IF(OR($D66="",$D66&gt;AI$37),$C66,IF((YEAR(AI$37)-$G66)=0,$C66*(1-$F66*$H66),$C66*(1-$F66*$H66)*(1-$F66)^(YEAR(AI$37)-$G66)))))</f>
        <v/>
      </c>
      <c r="AK66" s="171">
        <f>IF(OR($C66="",$D66=""),0,IF(AND($E66&lt;&gt;"",$E66&lt;=AK$37),0,IF((YEAR(AK$37)-$G66)&lt;0,0,IF((YEAR(AK$37)-$G66)=0,$C66*$F66*$H66,$C66*(1-$F66*$H66)*(1-$F66)^((YEAR(AK$37)-$G66)-1)*$F66))))</f>
        <v/>
      </c>
      <c r="AL66" s="172">
        <f>IF($C66="",0,IF(AND($E66&lt;&gt;"",$E66&lt;=AK$37),0,IF(OR($D66="",$D66&gt;AK$37),$C66,IF((YEAR(AK$37)-$G66)=0,$C66*(1-$F66*$H66),$C66*(1-$F66*$H66)*(1-$F66)^(YEAR(AK$37)-$G66)))))</f>
        <v/>
      </c>
      <c r="AM66" s="171">
        <f>IF(OR($C66="",$D66=""),0,IF(AND($E66&lt;&gt;"",$E66&lt;=AM$37),0,IF((YEAR(AM$37)-$G66)&lt;0,0,IF((YEAR(AM$37)-$G66)=0,$C66*$F66*$H66,$C66*(1-$F66*$H66)*(1-$F66)^((YEAR(AM$37)-$G66)-1)*$F66))))</f>
        <v/>
      </c>
      <c r="AN66" s="172">
        <f>IF($C66="",0,IF(AND($E66&lt;&gt;"",$E66&lt;=AM$37),0,IF(OR($D66="",$D66&gt;AM$37),$C66,IF((YEAR(AM$37)-$G66)=0,$C66*(1-$F66*$H66),$C66*(1-$F66*$H66)*(1-$F66)^(YEAR(AM$37)-$G66)))))</f>
        <v/>
      </c>
    </row>
    <row r="67">
      <c r="B67" s="132">
        <f>IF(FAR!K34="","",FAR!B34)</f>
        <v/>
      </c>
      <c r="C67" s="81">
        <f>IF(FAR!K34="","",FAR!K34)</f>
        <v/>
      </c>
      <c r="D67" s="134">
        <f>IF(FAR!H34="","",FAR!H34)</f>
        <v/>
      </c>
      <c r="E67" s="136">
        <f>IF(FAR!I34="","",FAR!I34)</f>
        <v/>
      </c>
      <c r="F67" s="173">
        <f>IF(FAR!C34="",0,IFERROR(VLOOKUP(FAR!C34,ScheduleIITable,6,FALSE),0))</f>
        <v/>
      </c>
      <c r="G67" s="135">
        <f>IF($D67="","",YEAR($D67)+IF(MONTH($D67)&gt;=4,1,0))</f>
        <v/>
      </c>
      <c r="H67" s="174">
        <f>IF($D67="","",IF((DATE($G67,3,31)-$D67+1)&gt;=180,1,0.5))</f>
        <v/>
      </c>
      <c r="I67" s="175">
        <f>IF(OR($C67="",$D67=""),0,IF(AND($E67&lt;&gt;"",$E67&lt;=I$37),0,IF((YEAR(I$37)-$G67)&lt;0,0,IF((YEAR(I$37)-$G67)=0,$C67*$F67*$H67,$C67*(1-$F67*$H67)*(1-$F67)^((YEAR(I$37)-$G67)-1)*$F67))))</f>
        <v/>
      </c>
      <c r="J67" s="175">
        <f>IF($C67="",0,IF(AND($E67&lt;&gt;"",$E67&lt;=I$37),0,IF(OR($D67="",$D67&gt;I$37),$C67,IF((YEAR(I$37)-$G67)=0,$C67*(1-$F67*$H67),$C67*(1-$F67*$H67)*(1-$F67)^(YEAR(I$37)-$G67)))))</f>
        <v/>
      </c>
      <c r="K67" s="175">
        <f>IF(OR($C67="",$D67=""),0,IF(AND($E67&lt;&gt;"",$E67&lt;=K$37),0,IF((YEAR(K$37)-$G67)&lt;0,0,IF((YEAR(K$37)-$G67)=0,$C67*$F67*$H67,$C67*(1-$F67*$H67)*(1-$F67)^((YEAR(K$37)-$G67)-1)*$F67))))</f>
        <v/>
      </c>
      <c r="L67" s="175">
        <f>IF($C67="",0,IF(AND($E67&lt;&gt;"",$E67&lt;=K$37),0,IF(OR($D67="",$D67&gt;K$37),$C67,IF((YEAR(K$37)-$G67)=0,$C67*(1-$F67*$H67),$C67*(1-$F67*$H67)*(1-$F67)^(YEAR(K$37)-$G67)))))</f>
        <v/>
      </c>
      <c r="M67" s="175">
        <f>IF(OR($C67="",$D67=""),0,IF(AND($E67&lt;&gt;"",$E67&lt;=M$37),0,IF((YEAR(M$37)-$G67)&lt;0,0,IF((YEAR(M$37)-$G67)=0,$C67*$F67*$H67,$C67*(1-$F67*$H67)*(1-$F67)^((YEAR(M$37)-$G67)-1)*$F67))))</f>
        <v/>
      </c>
      <c r="N67" s="175">
        <f>IF($C67="",0,IF(AND($E67&lt;&gt;"",$E67&lt;=M$37),0,IF(OR($D67="",$D67&gt;M$37),$C67,IF((YEAR(M$37)-$G67)=0,$C67*(1-$F67*$H67),$C67*(1-$F67*$H67)*(1-$F67)^(YEAR(M$37)-$G67)))))</f>
        <v/>
      </c>
      <c r="O67" s="175">
        <f>IF(OR($C67="",$D67=""),0,IF(AND($E67&lt;&gt;"",$E67&lt;=O$37),0,IF((YEAR(O$37)-$G67)&lt;0,0,IF((YEAR(O$37)-$G67)=0,$C67*$F67*$H67,$C67*(1-$F67*$H67)*(1-$F67)^((YEAR(O$37)-$G67)-1)*$F67))))</f>
        <v/>
      </c>
      <c r="P67" s="175">
        <f>IF($C67="",0,IF(AND($E67&lt;&gt;"",$E67&lt;=O$37),0,IF(OR($D67="",$D67&gt;O$37),$C67,IF((YEAR(O$37)-$G67)=0,$C67*(1-$F67*$H67),$C67*(1-$F67*$H67)*(1-$F67)^(YEAR(O$37)-$G67)))))</f>
        <v/>
      </c>
      <c r="Q67" s="175">
        <f>IF(OR($C67="",$D67=""),0,IF(AND($E67&lt;&gt;"",$E67&lt;=Q$37),0,IF((YEAR(Q$37)-$G67)&lt;0,0,IF((YEAR(Q$37)-$G67)=0,$C67*$F67*$H67,$C67*(1-$F67*$H67)*(1-$F67)^((YEAR(Q$37)-$G67)-1)*$F67))))</f>
        <v/>
      </c>
      <c r="R67" s="175">
        <f>IF($C67="",0,IF(AND($E67&lt;&gt;"",$E67&lt;=Q$37),0,IF(OR($D67="",$D67&gt;Q$37),$C67,IF((YEAR(Q$37)-$G67)=0,$C67*(1-$F67*$H67),$C67*(1-$F67*$H67)*(1-$F67)^(YEAR(Q$37)-$G67)))))</f>
        <v/>
      </c>
      <c r="S67" s="175">
        <f>IF(OR($C67="",$D67=""),0,IF(AND($E67&lt;&gt;"",$E67&lt;=S$37),0,IF((YEAR(S$37)-$G67)&lt;0,0,IF((YEAR(S$37)-$G67)=0,$C67*$F67*$H67,$C67*(1-$F67*$H67)*(1-$F67)^((YEAR(S$37)-$G67)-1)*$F67))))</f>
        <v/>
      </c>
      <c r="T67" s="175">
        <f>IF($C67="",0,IF(AND($E67&lt;&gt;"",$E67&lt;=S$37),0,IF(OR($D67="",$D67&gt;S$37),$C67,IF((YEAR(S$37)-$G67)=0,$C67*(1-$F67*$H67),$C67*(1-$F67*$H67)*(1-$F67)^(YEAR(S$37)-$G67)))))</f>
        <v/>
      </c>
      <c r="U67" s="175">
        <f>IF(OR($C67="",$D67=""),0,IF(AND($E67&lt;&gt;"",$E67&lt;=U$37),0,IF((YEAR(U$37)-$G67)&lt;0,0,IF((YEAR(U$37)-$G67)=0,$C67*$F67*$H67,$C67*(1-$F67*$H67)*(1-$F67)^((YEAR(U$37)-$G67)-1)*$F67))))</f>
        <v/>
      </c>
      <c r="V67" s="175">
        <f>IF($C67="",0,IF(AND($E67&lt;&gt;"",$E67&lt;=U$37),0,IF(OR($D67="",$D67&gt;U$37),$C67,IF((YEAR(U$37)-$G67)=0,$C67*(1-$F67*$H67),$C67*(1-$F67*$H67)*(1-$F67)^(YEAR(U$37)-$G67)))))</f>
        <v/>
      </c>
      <c r="W67" s="175">
        <f>IF(OR($C67="",$D67=""),0,IF(AND($E67&lt;&gt;"",$E67&lt;=W$37),0,IF((YEAR(W$37)-$G67)&lt;0,0,IF((YEAR(W$37)-$G67)=0,$C67*$F67*$H67,$C67*(1-$F67*$H67)*(1-$F67)^((YEAR(W$37)-$G67)-1)*$F67))))</f>
        <v/>
      </c>
      <c r="X67" s="175">
        <f>IF($C67="",0,IF(AND($E67&lt;&gt;"",$E67&lt;=W$37),0,IF(OR($D67="",$D67&gt;W$37),$C67,IF((YEAR(W$37)-$G67)=0,$C67*(1-$F67*$H67),$C67*(1-$F67*$H67)*(1-$F67)^(YEAR(W$37)-$G67)))))</f>
        <v/>
      </c>
      <c r="Y67" s="175">
        <f>IF(OR($C67="",$D67=""),0,IF(AND($E67&lt;&gt;"",$E67&lt;=Y$37),0,IF((YEAR(Y$37)-$G67)&lt;0,0,IF((YEAR(Y$37)-$G67)=0,$C67*$F67*$H67,$C67*(1-$F67*$H67)*(1-$F67)^((YEAR(Y$37)-$G67)-1)*$F67))))</f>
        <v/>
      </c>
      <c r="Z67" s="175">
        <f>IF($C67="",0,IF(AND($E67&lt;&gt;"",$E67&lt;=Y$37),0,IF(OR($D67="",$D67&gt;Y$37),$C67,IF((YEAR(Y$37)-$G67)=0,$C67*(1-$F67*$H67),$C67*(1-$F67*$H67)*(1-$F67)^(YEAR(Y$37)-$G67)))))</f>
        <v/>
      </c>
      <c r="AA67" s="175">
        <f>IF(OR($C67="",$D67=""),0,IF(AND($E67&lt;&gt;"",$E67&lt;=AA$37),0,IF((YEAR(AA$37)-$G67)&lt;0,0,IF((YEAR(AA$37)-$G67)=0,$C67*$F67*$H67,$C67*(1-$F67*$H67)*(1-$F67)^((YEAR(AA$37)-$G67)-1)*$F67))))</f>
        <v/>
      </c>
      <c r="AB67" s="175">
        <f>IF($C67="",0,IF(AND($E67&lt;&gt;"",$E67&lt;=AA$37),0,IF(OR($D67="",$D67&gt;AA$37),$C67,IF((YEAR(AA$37)-$G67)=0,$C67*(1-$F67*$H67),$C67*(1-$F67*$H67)*(1-$F67)^(YEAR(AA$37)-$G67)))))</f>
        <v/>
      </c>
      <c r="AC67" s="175">
        <f>IF(OR($C67="",$D67=""),0,IF(AND($E67&lt;&gt;"",$E67&lt;=AC$37),0,IF((YEAR(AC$37)-$G67)&lt;0,0,IF((YEAR(AC$37)-$G67)=0,$C67*$F67*$H67,$C67*(1-$F67*$H67)*(1-$F67)^((YEAR(AC$37)-$G67)-1)*$F67))))</f>
        <v/>
      </c>
      <c r="AD67" s="175">
        <f>IF($C67="",0,IF(AND($E67&lt;&gt;"",$E67&lt;=AC$37),0,IF(OR($D67="",$D67&gt;AC$37),$C67,IF((YEAR(AC$37)-$G67)=0,$C67*(1-$F67*$H67),$C67*(1-$F67*$H67)*(1-$F67)^(YEAR(AC$37)-$G67)))))</f>
        <v/>
      </c>
      <c r="AE67" s="175">
        <f>IF(OR($C67="",$D67=""),0,IF(AND($E67&lt;&gt;"",$E67&lt;=AE$37),0,IF((YEAR(AE$37)-$G67)&lt;0,0,IF((YEAR(AE$37)-$G67)=0,$C67*$F67*$H67,$C67*(1-$F67*$H67)*(1-$F67)^((YEAR(AE$37)-$G67)-1)*$F67))))</f>
        <v/>
      </c>
      <c r="AF67" s="175">
        <f>IF($C67="",0,IF(AND($E67&lt;&gt;"",$E67&lt;=AE$37),0,IF(OR($D67="",$D67&gt;AE$37),$C67,IF((YEAR(AE$37)-$G67)=0,$C67*(1-$F67*$H67),$C67*(1-$F67*$H67)*(1-$F67)^(YEAR(AE$37)-$G67)))))</f>
        <v/>
      </c>
      <c r="AG67" s="175">
        <f>IF(OR($C67="",$D67=""),0,IF(AND($E67&lt;&gt;"",$E67&lt;=AG$37),0,IF((YEAR(AG$37)-$G67)&lt;0,0,IF((YEAR(AG$37)-$G67)=0,$C67*$F67*$H67,$C67*(1-$F67*$H67)*(1-$F67)^((YEAR(AG$37)-$G67)-1)*$F67))))</f>
        <v/>
      </c>
      <c r="AH67" s="175">
        <f>IF($C67="",0,IF(AND($E67&lt;&gt;"",$E67&lt;=AG$37),0,IF(OR($D67="",$D67&gt;AG$37),$C67,IF((YEAR(AG$37)-$G67)=0,$C67*(1-$F67*$H67),$C67*(1-$F67*$H67)*(1-$F67)^(YEAR(AG$37)-$G67)))))</f>
        <v/>
      </c>
      <c r="AI67" s="175">
        <f>IF(OR($C67="",$D67=""),0,IF(AND($E67&lt;&gt;"",$E67&lt;=AI$37),0,IF((YEAR(AI$37)-$G67)&lt;0,0,IF((YEAR(AI$37)-$G67)=0,$C67*$F67*$H67,$C67*(1-$F67*$H67)*(1-$F67)^((YEAR(AI$37)-$G67)-1)*$F67))))</f>
        <v/>
      </c>
      <c r="AJ67" s="175">
        <f>IF($C67="",0,IF(AND($E67&lt;&gt;"",$E67&lt;=AI$37),0,IF(OR($D67="",$D67&gt;AI$37),$C67,IF((YEAR(AI$37)-$G67)=0,$C67*(1-$F67*$H67),$C67*(1-$F67*$H67)*(1-$F67)^(YEAR(AI$37)-$G67)))))</f>
        <v/>
      </c>
      <c r="AK67" s="175">
        <f>IF(OR($C67="",$D67=""),0,IF(AND($E67&lt;&gt;"",$E67&lt;=AK$37),0,IF((YEAR(AK$37)-$G67)&lt;0,0,IF((YEAR(AK$37)-$G67)=0,$C67*$F67*$H67,$C67*(1-$F67*$H67)*(1-$F67)^((YEAR(AK$37)-$G67)-1)*$F67))))</f>
        <v/>
      </c>
      <c r="AL67" s="175">
        <f>IF($C67="",0,IF(AND($E67&lt;&gt;"",$E67&lt;=AK$37),0,IF(OR($D67="",$D67&gt;AK$37),$C67,IF((YEAR(AK$37)-$G67)=0,$C67*(1-$F67*$H67),$C67*(1-$F67*$H67)*(1-$F67)^(YEAR(AK$37)-$G67)))))</f>
        <v/>
      </c>
      <c r="AM67" s="175">
        <f>IF(OR($C67="",$D67=""),0,IF(AND($E67&lt;&gt;"",$E67&lt;=AM$37),0,IF((YEAR(AM$37)-$G67)&lt;0,0,IF((YEAR(AM$37)-$G67)=0,$C67*$F67*$H67,$C67*(1-$F67*$H67)*(1-$F67)^((YEAR(AM$37)-$G67)-1)*$F67))))</f>
        <v/>
      </c>
      <c r="AN67" s="175">
        <f>IF($C67="",0,IF(AND($E67&lt;&gt;"",$E67&lt;=AM$37),0,IF(OR($D67="",$D67&gt;AM$37),$C67,IF((YEAR(AM$37)-$G67)=0,$C67*(1-$F67*$H67),$C67*(1-$F67*$H67)*(1-$F67)^(YEAR(AM$37)-$G67)))))</f>
        <v/>
      </c>
    </row>
    <row r="68">
      <c r="B68" s="126">
        <f>IF(FAR!K35="","",FAR!B35)</f>
        <v/>
      </c>
      <c r="C68" s="63">
        <f>IF(FAR!K35="","",FAR!K35)</f>
        <v/>
      </c>
      <c r="D68" s="128">
        <f>IF(FAR!H35="","",FAR!H35)</f>
        <v/>
      </c>
      <c r="E68" s="130">
        <f>IF(FAR!I35="","",FAR!I35)</f>
        <v/>
      </c>
      <c r="F68" s="169">
        <f>IF(FAR!C35="",0,IFERROR(VLOOKUP(FAR!C35,ScheduleIITable,6,FALSE),0))</f>
        <v/>
      </c>
      <c r="G68" s="129">
        <f>IF($D68="","",YEAR($D68)+IF(MONTH($D68)&gt;=4,1,0))</f>
        <v/>
      </c>
      <c r="H68" s="170">
        <f>IF($D68="","",IF((DATE($G68,3,31)-$D68+1)&gt;=180,1,0.5))</f>
        <v/>
      </c>
      <c r="I68" s="171">
        <f>IF(OR($C68="",$D68=""),0,IF(AND($E68&lt;&gt;"",$E68&lt;=I$37),0,IF((YEAR(I$37)-$G68)&lt;0,0,IF((YEAR(I$37)-$G68)=0,$C68*$F68*$H68,$C68*(1-$F68*$H68)*(1-$F68)^((YEAR(I$37)-$G68)-1)*$F68))))</f>
        <v/>
      </c>
      <c r="J68" s="172">
        <f>IF($C68="",0,IF(AND($E68&lt;&gt;"",$E68&lt;=I$37),0,IF(OR($D68="",$D68&gt;I$37),$C68,IF((YEAR(I$37)-$G68)=0,$C68*(1-$F68*$H68),$C68*(1-$F68*$H68)*(1-$F68)^(YEAR(I$37)-$G68)))))</f>
        <v/>
      </c>
      <c r="K68" s="171">
        <f>IF(OR($C68="",$D68=""),0,IF(AND($E68&lt;&gt;"",$E68&lt;=K$37),0,IF((YEAR(K$37)-$G68)&lt;0,0,IF((YEAR(K$37)-$G68)=0,$C68*$F68*$H68,$C68*(1-$F68*$H68)*(1-$F68)^((YEAR(K$37)-$G68)-1)*$F68))))</f>
        <v/>
      </c>
      <c r="L68" s="172">
        <f>IF($C68="",0,IF(AND($E68&lt;&gt;"",$E68&lt;=K$37),0,IF(OR($D68="",$D68&gt;K$37),$C68,IF((YEAR(K$37)-$G68)=0,$C68*(1-$F68*$H68),$C68*(1-$F68*$H68)*(1-$F68)^(YEAR(K$37)-$G68)))))</f>
        <v/>
      </c>
      <c r="M68" s="171">
        <f>IF(OR($C68="",$D68=""),0,IF(AND($E68&lt;&gt;"",$E68&lt;=M$37),0,IF((YEAR(M$37)-$G68)&lt;0,0,IF((YEAR(M$37)-$G68)=0,$C68*$F68*$H68,$C68*(1-$F68*$H68)*(1-$F68)^((YEAR(M$37)-$G68)-1)*$F68))))</f>
        <v/>
      </c>
      <c r="N68" s="172">
        <f>IF($C68="",0,IF(AND($E68&lt;&gt;"",$E68&lt;=M$37),0,IF(OR($D68="",$D68&gt;M$37),$C68,IF((YEAR(M$37)-$G68)=0,$C68*(1-$F68*$H68),$C68*(1-$F68*$H68)*(1-$F68)^(YEAR(M$37)-$G68)))))</f>
        <v/>
      </c>
      <c r="O68" s="171">
        <f>IF(OR($C68="",$D68=""),0,IF(AND($E68&lt;&gt;"",$E68&lt;=O$37),0,IF((YEAR(O$37)-$G68)&lt;0,0,IF((YEAR(O$37)-$G68)=0,$C68*$F68*$H68,$C68*(1-$F68*$H68)*(1-$F68)^((YEAR(O$37)-$G68)-1)*$F68))))</f>
        <v/>
      </c>
      <c r="P68" s="172">
        <f>IF($C68="",0,IF(AND($E68&lt;&gt;"",$E68&lt;=O$37),0,IF(OR($D68="",$D68&gt;O$37),$C68,IF((YEAR(O$37)-$G68)=0,$C68*(1-$F68*$H68),$C68*(1-$F68*$H68)*(1-$F68)^(YEAR(O$37)-$G68)))))</f>
        <v/>
      </c>
      <c r="Q68" s="171">
        <f>IF(OR($C68="",$D68=""),0,IF(AND($E68&lt;&gt;"",$E68&lt;=Q$37),0,IF((YEAR(Q$37)-$G68)&lt;0,0,IF((YEAR(Q$37)-$G68)=0,$C68*$F68*$H68,$C68*(1-$F68*$H68)*(1-$F68)^((YEAR(Q$37)-$G68)-1)*$F68))))</f>
        <v/>
      </c>
      <c r="R68" s="172">
        <f>IF($C68="",0,IF(AND($E68&lt;&gt;"",$E68&lt;=Q$37),0,IF(OR($D68="",$D68&gt;Q$37),$C68,IF((YEAR(Q$37)-$G68)=0,$C68*(1-$F68*$H68),$C68*(1-$F68*$H68)*(1-$F68)^(YEAR(Q$37)-$G68)))))</f>
        <v/>
      </c>
      <c r="S68" s="171">
        <f>IF(OR($C68="",$D68=""),0,IF(AND($E68&lt;&gt;"",$E68&lt;=S$37),0,IF((YEAR(S$37)-$G68)&lt;0,0,IF((YEAR(S$37)-$G68)=0,$C68*$F68*$H68,$C68*(1-$F68*$H68)*(1-$F68)^((YEAR(S$37)-$G68)-1)*$F68))))</f>
        <v/>
      </c>
      <c r="T68" s="172">
        <f>IF($C68="",0,IF(AND($E68&lt;&gt;"",$E68&lt;=S$37),0,IF(OR($D68="",$D68&gt;S$37),$C68,IF((YEAR(S$37)-$G68)=0,$C68*(1-$F68*$H68),$C68*(1-$F68*$H68)*(1-$F68)^(YEAR(S$37)-$G68)))))</f>
        <v/>
      </c>
      <c r="U68" s="171">
        <f>IF(OR($C68="",$D68=""),0,IF(AND($E68&lt;&gt;"",$E68&lt;=U$37),0,IF((YEAR(U$37)-$G68)&lt;0,0,IF((YEAR(U$37)-$G68)=0,$C68*$F68*$H68,$C68*(1-$F68*$H68)*(1-$F68)^((YEAR(U$37)-$G68)-1)*$F68))))</f>
        <v/>
      </c>
      <c r="V68" s="172">
        <f>IF($C68="",0,IF(AND($E68&lt;&gt;"",$E68&lt;=U$37),0,IF(OR($D68="",$D68&gt;U$37),$C68,IF((YEAR(U$37)-$G68)=0,$C68*(1-$F68*$H68),$C68*(1-$F68*$H68)*(1-$F68)^(YEAR(U$37)-$G68)))))</f>
        <v/>
      </c>
      <c r="W68" s="171">
        <f>IF(OR($C68="",$D68=""),0,IF(AND($E68&lt;&gt;"",$E68&lt;=W$37),0,IF((YEAR(W$37)-$G68)&lt;0,0,IF((YEAR(W$37)-$G68)=0,$C68*$F68*$H68,$C68*(1-$F68*$H68)*(1-$F68)^((YEAR(W$37)-$G68)-1)*$F68))))</f>
        <v/>
      </c>
      <c r="X68" s="172">
        <f>IF($C68="",0,IF(AND($E68&lt;&gt;"",$E68&lt;=W$37),0,IF(OR($D68="",$D68&gt;W$37),$C68,IF((YEAR(W$37)-$G68)=0,$C68*(1-$F68*$H68),$C68*(1-$F68*$H68)*(1-$F68)^(YEAR(W$37)-$G68)))))</f>
        <v/>
      </c>
      <c r="Y68" s="171">
        <f>IF(OR($C68="",$D68=""),0,IF(AND($E68&lt;&gt;"",$E68&lt;=Y$37),0,IF((YEAR(Y$37)-$G68)&lt;0,0,IF((YEAR(Y$37)-$G68)=0,$C68*$F68*$H68,$C68*(1-$F68*$H68)*(1-$F68)^((YEAR(Y$37)-$G68)-1)*$F68))))</f>
        <v/>
      </c>
      <c r="Z68" s="172">
        <f>IF($C68="",0,IF(AND($E68&lt;&gt;"",$E68&lt;=Y$37),0,IF(OR($D68="",$D68&gt;Y$37),$C68,IF((YEAR(Y$37)-$G68)=0,$C68*(1-$F68*$H68),$C68*(1-$F68*$H68)*(1-$F68)^(YEAR(Y$37)-$G68)))))</f>
        <v/>
      </c>
      <c r="AA68" s="171">
        <f>IF(OR($C68="",$D68=""),0,IF(AND($E68&lt;&gt;"",$E68&lt;=AA$37),0,IF((YEAR(AA$37)-$G68)&lt;0,0,IF((YEAR(AA$37)-$G68)=0,$C68*$F68*$H68,$C68*(1-$F68*$H68)*(1-$F68)^((YEAR(AA$37)-$G68)-1)*$F68))))</f>
        <v/>
      </c>
      <c r="AB68" s="172">
        <f>IF($C68="",0,IF(AND($E68&lt;&gt;"",$E68&lt;=AA$37),0,IF(OR($D68="",$D68&gt;AA$37),$C68,IF((YEAR(AA$37)-$G68)=0,$C68*(1-$F68*$H68),$C68*(1-$F68*$H68)*(1-$F68)^(YEAR(AA$37)-$G68)))))</f>
        <v/>
      </c>
      <c r="AC68" s="171">
        <f>IF(OR($C68="",$D68=""),0,IF(AND($E68&lt;&gt;"",$E68&lt;=AC$37),0,IF((YEAR(AC$37)-$G68)&lt;0,0,IF((YEAR(AC$37)-$G68)=0,$C68*$F68*$H68,$C68*(1-$F68*$H68)*(1-$F68)^((YEAR(AC$37)-$G68)-1)*$F68))))</f>
        <v/>
      </c>
      <c r="AD68" s="172">
        <f>IF($C68="",0,IF(AND($E68&lt;&gt;"",$E68&lt;=AC$37),0,IF(OR($D68="",$D68&gt;AC$37),$C68,IF((YEAR(AC$37)-$G68)=0,$C68*(1-$F68*$H68),$C68*(1-$F68*$H68)*(1-$F68)^(YEAR(AC$37)-$G68)))))</f>
        <v/>
      </c>
      <c r="AE68" s="171">
        <f>IF(OR($C68="",$D68=""),0,IF(AND($E68&lt;&gt;"",$E68&lt;=AE$37),0,IF((YEAR(AE$37)-$G68)&lt;0,0,IF((YEAR(AE$37)-$G68)=0,$C68*$F68*$H68,$C68*(1-$F68*$H68)*(1-$F68)^((YEAR(AE$37)-$G68)-1)*$F68))))</f>
        <v/>
      </c>
      <c r="AF68" s="172">
        <f>IF($C68="",0,IF(AND($E68&lt;&gt;"",$E68&lt;=AE$37),0,IF(OR($D68="",$D68&gt;AE$37),$C68,IF((YEAR(AE$37)-$G68)=0,$C68*(1-$F68*$H68),$C68*(1-$F68*$H68)*(1-$F68)^(YEAR(AE$37)-$G68)))))</f>
        <v/>
      </c>
      <c r="AG68" s="171">
        <f>IF(OR($C68="",$D68=""),0,IF(AND($E68&lt;&gt;"",$E68&lt;=AG$37),0,IF((YEAR(AG$37)-$G68)&lt;0,0,IF((YEAR(AG$37)-$G68)=0,$C68*$F68*$H68,$C68*(1-$F68*$H68)*(1-$F68)^((YEAR(AG$37)-$G68)-1)*$F68))))</f>
        <v/>
      </c>
      <c r="AH68" s="172">
        <f>IF($C68="",0,IF(AND($E68&lt;&gt;"",$E68&lt;=AG$37),0,IF(OR($D68="",$D68&gt;AG$37),$C68,IF((YEAR(AG$37)-$G68)=0,$C68*(1-$F68*$H68),$C68*(1-$F68*$H68)*(1-$F68)^(YEAR(AG$37)-$G68)))))</f>
        <v/>
      </c>
      <c r="AI68" s="171">
        <f>IF(OR($C68="",$D68=""),0,IF(AND($E68&lt;&gt;"",$E68&lt;=AI$37),0,IF((YEAR(AI$37)-$G68)&lt;0,0,IF((YEAR(AI$37)-$G68)=0,$C68*$F68*$H68,$C68*(1-$F68*$H68)*(1-$F68)^((YEAR(AI$37)-$G68)-1)*$F68))))</f>
        <v/>
      </c>
      <c r="AJ68" s="172">
        <f>IF($C68="",0,IF(AND($E68&lt;&gt;"",$E68&lt;=AI$37),0,IF(OR($D68="",$D68&gt;AI$37),$C68,IF((YEAR(AI$37)-$G68)=0,$C68*(1-$F68*$H68),$C68*(1-$F68*$H68)*(1-$F68)^(YEAR(AI$37)-$G68)))))</f>
        <v/>
      </c>
      <c r="AK68" s="171">
        <f>IF(OR($C68="",$D68=""),0,IF(AND($E68&lt;&gt;"",$E68&lt;=AK$37),0,IF((YEAR(AK$37)-$G68)&lt;0,0,IF((YEAR(AK$37)-$G68)=0,$C68*$F68*$H68,$C68*(1-$F68*$H68)*(1-$F68)^((YEAR(AK$37)-$G68)-1)*$F68))))</f>
        <v/>
      </c>
      <c r="AL68" s="172">
        <f>IF($C68="",0,IF(AND($E68&lt;&gt;"",$E68&lt;=AK$37),0,IF(OR($D68="",$D68&gt;AK$37),$C68,IF((YEAR(AK$37)-$G68)=0,$C68*(1-$F68*$H68),$C68*(1-$F68*$H68)*(1-$F68)^(YEAR(AK$37)-$G68)))))</f>
        <v/>
      </c>
      <c r="AM68" s="171">
        <f>IF(OR($C68="",$D68=""),0,IF(AND($E68&lt;&gt;"",$E68&lt;=AM$37),0,IF((YEAR(AM$37)-$G68)&lt;0,0,IF((YEAR(AM$37)-$G68)=0,$C68*$F68*$H68,$C68*(1-$F68*$H68)*(1-$F68)^((YEAR(AM$37)-$G68)-1)*$F68))))</f>
        <v/>
      </c>
      <c r="AN68" s="172">
        <f>IF($C68="",0,IF(AND($E68&lt;&gt;"",$E68&lt;=AM$37),0,IF(OR($D68="",$D68&gt;AM$37),$C68,IF((YEAR(AM$37)-$G68)=0,$C68*(1-$F68*$H68),$C68*(1-$F68*$H68)*(1-$F68)^(YEAR(AM$37)-$G68)))))</f>
        <v/>
      </c>
    </row>
    <row r="69">
      <c r="B69" s="132">
        <f>IF(FAR!K36="","",FAR!B36)</f>
        <v/>
      </c>
      <c r="C69" s="81">
        <f>IF(FAR!K36="","",FAR!K36)</f>
        <v/>
      </c>
      <c r="D69" s="134">
        <f>IF(FAR!H36="","",FAR!H36)</f>
        <v/>
      </c>
      <c r="E69" s="136">
        <f>IF(FAR!I36="","",FAR!I36)</f>
        <v/>
      </c>
      <c r="F69" s="173">
        <f>IF(FAR!C36="",0,IFERROR(VLOOKUP(FAR!C36,ScheduleIITable,6,FALSE),0))</f>
        <v/>
      </c>
      <c r="G69" s="135">
        <f>IF($D69="","",YEAR($D69)+IF(MONTH($D69)&gt;=4,1,0))</f>
        <v/>
      </c>
      <c r="H69" s="174">
        <f>IF($D69="","",IF((DATE($G69,3,31)-$D69+1)&gt;=180,1,0.5))</f>
        <v/>
      </c>
      <c r="I69" s="175">
        <f>IF(OR($C69="",$D69=""),0,IF(AND($E69&lt;&gt;"",$E69&lt;=I$37),0,IF((YEAR(I$37)-$G69)&lt;0,0,IF((YEAR(I$37)-$G69)=0,$C69*$F69*$H69,$C69*(1-$F69*$H69)*(1-$F69)^((YEAR(I$37)-$G69)-1)*$F69))))</f>
        <v/>
      </c>
      <c r="J69" s="175">
        <f>IF($C69="",0,IF(AND($E69&lt;&gt;"",$E69&lt;=I$37),0,IF(OR($D69="",$D69&gt;I$37),$C69,IF((YEAR(I$37)-$G69)=0,$C69*(1-$F69*$H69),$C69*(1-$F69*$H69)*(1-$F69)^(YEAR(I$37)-$G69)))))</f>
        <v/>
      </c>
      <c r="K69" s="175">
        <f>IF(OR($C69="",$D69=""),0,IF(AND($E69&lt;&gt;"",$E69&lt;=K$37),0,IF((YEAR(K$37)-$G69)&lt;0,0,IF((YEAR(K$37)-$G69)=0,$C69*$F69*$H69,$C69*(1-$F69*$H69)*(1-$F69)^((YEAR(K$37)-$G69)-1)*$F69))))</f>
        <v/>
      </c>
      <c r="L69" s="175">
        <f>IF($C69="",0,IF(AND($E69&lt;&gt;"",$E69&lt;=K$37),0,IF(OR($D69="",$D69&gt;K$37),$C69,IF((YEAR(K$37)-$G69)=0,$C69*(1-$F69*$H69),$C69*(1-$F69*$H69)*(1-$F69)^(YEAR(K$37)-$G69)))))</f>
        <v/>
      </c>
      <c r="M69" s="175">
        <f>IF(OR($C69="",$D69=""),0,IF(AND($E69&lt;&gt;"",$E69&lt;=M$37),0,IF((YEAR(M$37)-$G69)&lt;0,0,IF((YEAR(M$37)-$G69)=0,$C69*$F69*$H69,$C69*(1-$F69*$H69)*(1-$F69)^((YEAR(M$37)-$G69)-1)*$F69))))</f>
        <v/>
      </c>
      <c r="N69" s="175">
        <f>IF($C69="",0,IF(AND($E69&lt;&gt;"",$E69&lt;=M$37),0,IF(OR($D69="",$D69&gt;M$37),$C69,IF((YEAR(M$37)-$G69)=0,$C69*(1-$F69*$H69),$C69*(1-$F69*$H69)*(1-$F69)^(YEAR(M$37)-$G69)))))</f>
        <v/>
      </c>
      <c r="O69" s="175">
        <f>IF(OR($C69="",$D69=""),0,IF(AND($E69&lt;&gt;"",$E69&lt;=O$37),0,IF((YEAR(O$37)-$G69)&lt;0,0,IF((YEAR(O$37)-$G69)=0,$C69*$F69*$H69,$C69*(1-$F69*$H69)*(1-$F69)^((YEAR(O$37)-$G69)-1)*$F69))))</f>
        <v/>
      </c>
      <c r="P69" s="175">
        <f>IF($C69="",0,IF(AND($E69&lt;&gt;"",$E69&lt;=O$37),0,IF(OR($D69="",$D69&gt;O$37),$C69,IF((YEAR(O$37)-$G69)=0,$C69*(1-$F69*$H69),$C69*(1-$F69*$H69)*(1-$F69)^(YEAR(O$37)-$G69)))))</f>
        <v/>
      </c>
      <c r="Q69" s="175">
        <f>IF(OR($C69="",$D69=""),0,IF(AND($E69&lt;&gt;"",$E69&lt;=Q$37),0,IF((YEAR(Q$37)-$G69)&lt;0,0,IF((YEAR(Q$37)-$G69)=0,$C69*$F69*$H69,$C69*(1-$F69*$H69)*(1-$F69)^((YEAR(Q$37)-$G69)-1)*$F69))))</f>
        <v/>
      </c>
      <c r="R69" s="175">
        <f>IF($C69="",0,IF(AND($E69&lt;&gt;"",$E69&lt;=Q$37),0,IF(OR($D69="",$D69&gt;Q$37),$C69,IF((YEAR(Q$37)-$G69)=0,$C69*(1-$F69*$H69),$C69*(1-$F69*$H69)*(1-$F69)^(YEAR(Q$37)-$G69)))))</f>
        <v/>
      </c>
      <c r="S69" s="175">
        <f>IF(OR($C69="",$D69=""),0,IF(AND($E69&lt;&gt;"",$E69&lt;=S$37),0,IF((YEAR(S$37)-$G69)&lt;0,0,IF((YEAR(S$37)-$G69)=0,$C69*$F69*$H69,$C69*(1-$F69*$H69)*(1-$F69)^((YEAR(S$37)-$G69)-1)*$F69))))</f>
        <v/>
      </c>
      <c r="T69" s="175">
        <f>IF($C69="",0,IF(AND($E69&lt;&gt;"",$E69&lt;=S$37),0,IF(OR($D69="",$D69&gt;S$37),$C69,IF((YEAR(S$37)-$G69)=0,$C69*(1-$F69*$H69),$C69*(1-$F69*$H69)*(1-$F69)^(YEAR(S$37)-$G69)))))</f>
        <v/>
      </c>
      <c r="U69" s="175">
        <f>IF(OR($C69="",$D69=""),0,IF(AND($E69&lt;&gt;"",$E69&lt;=U$37),0,IF((YEAR(U$37)-$G69)&lt;0,0,IF((YEAR(U$37)-$G69)=0,$C69*$F69*$H69,$C69*(1-$F69*$H69)*(1-$F69)^((YEAR(U$37)-$G69)-1)*$F69))))</f>
        <v/>
      </c>
      <c r="V69" s="175">
        <f>IF($C69="",0,IF(AND($E69&lt;&gt;"",$E69&lt;=U$37),0,IF(OR($D69="",$D69&gt;U$37),$C69,IF((YEAR(U$37)-$G69)=0,$C69*(1-$F69*$H69),$C69*(1-$F69*$H69)*(1-$F69)^(YEAR(U$37)-$G69)))))</f>
        <v/>
      </c>
      <c r="W69" s="175">
        <f>IF(OR($C69="",$D69=""),0,IF(AND($E69&lt;&gt;"",$E69&lt;=W$37),0,IF((YEAR(W$37)-$G69)&lt;0,0,IF((YEAR(W$37)-$G69)=0,$C69*$F69*$H69,$C69*(1-$F69*$H69)*(1-$F69)^((YEAR(W$37)-$G69)-1)*$F69))))</f>
        <v/>
      </c>
      <c r="X69" s="175">
        <f>IF($C69="",0,IF(AND($E69&lt;&gt;"",$E69&lt;=W$37),0,IF(OR($D69="",$D69&gt;W$37),$C69,IF((YEAR(W$37)-$G69)=0,$C69*(1-$F69*$H69),$C69*(1-$F69*$H69)*(1-$F69)^(YEAR(W$37)-$G69)))))</f>
        <v/>
      </c>
      <c r="Y69" s="175">
        <f>IF(OR($C69="",$D69=""),0,IF(AND($E69&lt;&gt;"",$E69&lt;=Y$37),0,IF((YEAR(Y$37)-$G69)&lt;0,0,IF((YEAR(Y$37)-$G69)=0,$C69*$F69*$H69,$C69*(1-$F69*$H69)*(1-$F69)^((YEAR(Y$37)-$G69)-1)*$F69))))</f>
        <v/>
      </c>
      <c r="Z69" s="175">
        <f>IF($C69="",0,IF(AND($E69&lt;&gt;"",$E69&lt;=Y$37),0,IF(OR($D69="",$D69&gt;Y$37),$C69,IF((YEAR(Y$37)-$G69)=0,$C69*(1-$F69*$H69),$C69*(1-$F69*$H69)*(1-$F69)^(YEAR(Y$37)-$G69)))))</f>
        <v/>
      </c>
      <c r="AA69" s="175">
        <f>IF(OR($C69="",$D69=""),0,IF(AND($E69&lt;&gt;"",$E69&lt;=AA$37),0,IF((YEAR(AA$37)-$G69)&lt;0,0,IF((YEAR(AA$37)-$G69)=0,$C69*$F69*$H69,$C69*(1-$F69*$H69)*(1-$F69)^((YEAR(AA$37)-$G69)-1)*$F69))))</f>
        <v/>
      </c>
      <c r="AB69" s="175">
        <f>IF($C69="",0,IF(AND($E69&lt;&gt;"",$E69&lt;=AA$37),0,IF(OR($D69="",$D69&gt;AA$37),$C69,IF((YEAR(AA$37)-$G69)=0,$C69*(1-$F69*$H69),$C69*(1-$F69*$H69)*(1-$F69)^(YEAR(AA$37)-$G69)))))</f>
        <v/>
      </c>
      <c r="AC69" s="175">
        <f>IF(OR($C69="",$D69=""),0,IF(AND($E69&lt;&gt;"",$E69&lt;=AC$37),0,IF((YEAR(AC$37)-$G69)&lt;0,0,IF((YEAR(AC$37)-$G69)=0,$C69*$F69*$H69,$C69*(1-$F69*$H69)*(1-$F69)^((YEAR(AC$37)-$G69)-1)*$F69))))</f>
        <v/>
      </c>
      <c r="AD69" s="175">
        <f>IF($C69="",0,IF(AND($E69&lt;&gt;"",$E69&lt;=AC$37),0,IF(OR($D69="",$D69&gt;AC$37),$C69,IF((YEAR(AC$37)-$G69)=0,$C69*(1-$F69*$H69),$C69*(1-$F69*$H69)*(1-$F69)^(YEAR(AC$37)-$G69)))))</f>
        <v/>
      </c>
      <c r="AE69" s="175">
        <f>IF(OR($C69="",$D69=""),0,IF(AND($E69&lt;&gt;"",$E69&lt;=AE$37),0,IF((YEAR(AE$37)-$G69)&lt;0,0,IF((YEAR(AE$37)-$G69)=0,$C69*$F69*$H69,$C69*(1-$F69*$H69)*(1-$F69)^((YEAR(AE$37)-$G69)-1)*$F69))))</f>
        <v/>
      </c>
      <c r="AF69" s="175">
        <f>IF($C69="",0,IF(AND($E69&lt;&gt;"",$E69&lt;=AE$37),0,IF(OR($D69="",$D69&gt;AE$37),$C69,IF((YEAR(AE$37)-$G69)=0,$C69*(1-$F69*$H69),$C69*(1-$F69*$H69)*(1-$F69)^(YEAR(AE$37)-$G69)))))</f>
        <v/>
      </c>
      <c r="AG69" s="175">
        <f>IF(OR($C69="",$D69=""),0,IF(AND($E69&lt;&gt;"",$E69&lt;=AG$37),0,IF((YEAR(AG$37)-$G69)&lt;0,0,IF((YEAR(AG$37)-$G69)=0,$C69*$F69*$H69,$C69*(1-$F69*$H69)*(1-$F69)^((YEAR(AG$37)-$G69)-1)*$F69))))</f>
        <v/>
      </c>
      <c r="AH69" s="175">
        <f>IF($C69="",0,IF(AND($E69&lt;&gt;"",$E69&lt;=AG$37),0,IF(OR($D69="",$D69&gt;AG$37),$C69,IF((YEAR(AG$37)-$G69)=0,$C69*(1-$F69*$H69),$C69*(1-$F69*$H69)*(1-$F69)^(YEAR(AG$37)-$G69)))))</f>
        <v/>
      </c>
      <c r="AI69" s="175">
        <f>IF(OR($C69="",$D69=""),0,IF(AND($E69&lt;&gt;"",$E69&lt;=AI$37),0,IF((YEAR(AI$37)-$G69)&lt;0,0,IF((YEAR(AI$37)-$G69)=0,$C69*$F69*$H69,$C69*(1-$F69*$H69)*(1-$F69)^((YEAR(AI$37)-$G69)-1)*$F69))))</f>
        <v/>
      </c>
      <c r="AJ69" s="175">
        <f>IF($C69="",0,IF(AND($E69&lt;&gt;"",$E69&lt;=AI$37),0,IF(OR($D69="",$D69&gt;AI$37),$C69,IF((YEAR(AI$37)-$G69)=0,$C69*(1-$F69*$H69),$C69*(1-$F69*$H69)*(1-$F69)^(YEAR(AI$37)-$G69)))))</f>
        <v/>
      </c>
      <c r="AK69" s="175">
        <f>IF(OR($C69="",$D69=""),0,IF(AND($E69&lt;&gt;"",$E69&lt;=AK$37),0,IF((YEAR(AK$37)-$G69)&lt;0,0,IF((YEAR(AK$37)-$G69)=0,$C69*$F69*$H69,$C69*(1-$F69*$H69)*(1-$F69)^((YEAR(AK$37)-$G69)-1)*$F69))))</f>
        <v/>
      </c>
      <c r="AL69" s="175">
        <f>IF($C69="",0,IF(AND($E69&lt;&gt;"",$E69&lt;=AK$37),0,IF(OR($D69="",$D69&gt;AK$37),$C69,IF((YEAR(AK$37)-$G69)=0,$C69*(1-$F69*$H69),$C69*(1-$F69*$H69)*(1-$F69)^(YEAR(AK$37)-$G69)))))</f>
        <v/>
      </c>
      <c r="AM69" s="175">
        <f>IF(OR($C69="",$D69=""),0,IF(AND($E69&lt;&gt;"",$E69&lt;=AM$37),0,IF((YEAR(AM$37)-$G69)&lt;0,0,IF((YEAR(AM$37)-$G69)=0,$C69*$F69*$H69,$C69*(1-$F69*$H69)*(1-$F69)^((YEAR(AM$37)-$G69)-1)*$F69))))</f>
        <v/>
      </c>
      <c r="AN69" s="175">
        <f>IF($C69="",0,IF(AND($E69&lt;&gt;"",$E69&lt;=AM$37),0,IF(OR($D69="",$D69&gt;AM$37),$C69,IF((YEAR(AM$37)-$G69)=0,$C69*(1-$F69*$H69),$C69*(1-$F69*$H69)*(1-$F69)^(YEAR(AM$37)-$G69)))))</f>
        <v/>
      </c>
    </row>
    <row r="70">
      <c r="B70" s="126">
        <f>IF(FAR!K37="","",FAR!B37)</f>
        <v/>
      </c>
      <c r="C70" s="63">
        <f>IF(FAR!K37="","",FAR!K37)</f>
        <v/>
      </c>
      <c r="D70" s="128">
        <f>IF(FAR!H37="","",FAR!H37)</f>
        <v/>
      </c>
      <c r="E70" s="130">
        <f>IF(FAR!I37="","",FAR!I37)</f>
        <v/>
      </c>
      <c r="F70" s="169">
        <f>IF(FAR!C37="",0,IFERROR(VLOOKUP(FAR!C37,ScheduleIITable,6,FALSE),0))</f>
        <v/>
      </c>
      <c r="G70" s="129">
        <f>IF($D70="","",YEAR($D70)+IF(MONTH($D70)&gt;=4,1,0))</f>
        <v/>
      </c>
      <c r="H70" s="170">
        <f>IF($D70="","",IF((DATE($G70,3,31)-$D70+1)&gt;=180,1,0.5))</f>
        <v/>
      </c>
      <c r="I70" s="171">
        <f>IF(OR($C70="",$D70=""),0,IF(AND($E70&lt;&gt;"",$E70&lt;=I$37),0,IF((YEAR(I$37)-$G70)&lt;0,0,IF((YEAR(I$37)-$G70)=0,$C70*$F70*$H70,$C70*(1-$F70*$H70)*(1-$F70)^((YEAR(I$37)-$G70)-1)*$F70))))</f>
        <v/>
      </c>
      <c r="J70" s="172">
        <f>IF($C70="",0,IF(AND($E70&lt;&gt;"",$E70&lt;=I$37),0,IF(OR($D70="",$D70&gt;I$37),$C70,IF((YEAR(I$37)-$G70)=0,$C70*(1-$F70*$H70),$C70*(1-$F70*$H70)*(1-$F70)^(YEAR(I$37)-$G70)))))</f>
        <v/>
      </c>
      <c r="K70" s="171">
        <f>IF(OR($C70="",$D70=""),0,IF(AND($E70&lt;&gt;"",$E70&lt;=K$37),0,IF((YEAR(K$37)-$G70)&lt;0,0,IF((YEAR(K$37)-$G70)=0,$C70*$F70*$H70,$C70*(1-$F70*$H70)*(1-$F70)^((YEAR(K$37)-$G70)-1)*$F70))))</f>
        <v/>
      </c>
      <c r="L70" s="172">
        <f>IF($C70="",0,IF(AND($E70&lt;&gt;"",$E70&lt;=K$37),0,IF(OR($D70="",$D70&gt;K$37),$C70,IF((YEAR(K$37)-$G70)=0,$C70*(1-$F70*$H70),$C70*(1-$F70*$H70)*(1-$F70)^(YEAR(K$37)-$G70)))))</f>
        <v/>
      </c>
      <c r="M70" s="171">
        <f>IF(OR($C70="",$D70=""),0,IF(AND($E70&lt;&gt;"",$E70&lt;=M$37),0,IF((YEAR(M$37)-$G70)&lt;0,0,IF((YEAR(M$37)-$G70)=0,$C70*$F70*$H70,$C70*(1-$F70*$H70)*(1-$F70)^((YEAR(M$37)-$G70)-1)*$F70))))</f>
        <v/>
      </c>
      <c r="N70" s="172">
        <f>IF($C70="",0,IF(AND($E70&lt;&gt;"",$E70&lt;=M$37),0,IF(OR($D70="",$D70&gt;M$37),$C70,IF((YEAR(M$37)-$G70)=0,$C70*(1-$F70*$H70),$C70*(1-$F70*$H70)*(1-$F70)^(YEAR(M$37)-$G70)))))</f>
        <v/>
      </c>
      <c r="O70" s="171">
        <f>IF(OR($C70="",$D70=""),0,IF(AND($E70&lt;&gt;"",$E70&lt;=O$37),0,IF((YEAR(O$37)-$G70)&lt;0,0,IF((YEAR(O$37)-$G70)=0,$C70*$F70*$H70,$C70*(1-$F70*$H70)*(1-$F70)^((YEAR(O$37)-$G70)-1)*$F70))))</f>
        <v/>
      </c>
      <c r="P70" s="172">
        <f>IF($C70="",0,IF(AND($E70&lt;&gt;"",$E70&lt;=O$37),0,IF(OR($D70="",$D70&gt;O$37),$C70,IF((YEAR(O$37)-$G70)=0,$C70*(1-$F70*$H70),$C70*(1-$F70*$H70)*(1-$F70)^(YEAR(O$37)-$G70)))))</f>
        <v/>
      </c>
      <c r="Q70" s="171">
        <f>IF(OR($C70="",$D70=""),0,IF(AND($E70&lt;&gt;"",$E70&lt;=Q$37),0,IF((YEAR(Q$37)-$G70)&lt;0,0,IF((YEAR(Q$37)-$G70)=0,$C70*$F70*$H70,$C70*(1-$F70*$H70)*(1-$F70)^((YEAR(Q$37)-$G70)-1)*$F70))))</f>
        <v/>
      </c>
      <c r="R70" s="172">
        <f>IF($C70="",0,IF(AND($E70&lt;&gt;"",$E70&lt;=Q$37),0,IF(OR($D70="",$D70&gt;Q$37),$C70,IF((YEAR(Q$37)-$G70)=0,$C70*(1-$F70*$H70),$C70*(1-$F70*$H70)*(1-$F70)^(YEAR(Q$37)-$G70)))))</f>
        <v/>
      </c>
      <c r="S70" s="171">
        <f>IF(OR($C70="",$D70=""),0,IF(AND($E70&lt;&gt;"",$E70&lt;=S$37),0,IF((YEAR(S$37)-$G70)&lt;0,0,IF((YEAR(S$37)-$G70)=0,$C70*$F70*$H70,$C70*(1-$F70*$H70)*(1-$F70)^((YEAR(S$37)-$G70)-1)*$F70))))</f>
        <v/>
      </c>
      <c r="T70" s="172">
        <f>IF($C70="",0,IF(AND($E70&lt;&gt;"",$E70&lt;=S$37),0,IF(OR($D70="",$D70&gt;S$37),$C70,IF((YEAR(S$37)-$G70)=0,$C70*(1-$F70*$H70),$C70*(1-$F70*$H70)*(1-$F70)^(YEAR(S$37)-$G70)))))</f>
        <v/>
      </c>
      <c r="U70" s="171">
        <f>IF(OR($C70="",$D70=""),0,IF(AND($E70&lt;&gt;"",$E70&lt;=U$37),0,IF((YEAR(U$37)-$G70)&lt;0,0,IF((YEAR(U$37)-$G70)=0,$C70*$F70*$H70,$C70*(1-$F70*$H70)*(1-$F70)^((YEAR(U$37)-$G70)-1)*$F70))))</f>
        <v/>
      </c>
      <c r="V70" s="172">
        <f>IF($C70="",0,IF(AND($E70&lt;&gt;"",$E70&lt;=U$37),0,IF(OR($D70="",$D70&gt;U$37),$C70,IF((YEAR(U$37)-$G70)=0,$C70*(1-$F70*$H70),$C70*(1-$F70*$H70)*(1-$F70)^(YEAR(U$37)-$G70)))))</f>
        <v/>
      </c>
      <c r="W70" s="171">
        <f>IF(OR($C70="",$D70=""),0,IF(AND($E70&lt;&gt;"",$E70&lt;=W$37),0,IF((YEAR(W$37)-$G70)&lt;0,0,IF((YEAR(W$37)-$G70)=0,$C70*$F70*$H70,$C70*(1-$F70*$H70)*(1-$F70)^((YEAR(W$37)-$G70)-1)*$F70))))</f>
        <v/>
      </c>
      <c r="X70" s="172">
        <f>IF($C70="",0,IF(AND($E70&lt;&gt;"",$E70&lt;=W$37),0,IF(OR($D70="",$D70&gt;W$37),$C70,IF((YEAR(W$37)-$G70)=0,$C70*(1-$F70*$H70),$C70*(1-$F70*$H70)*(1-$F70)^(YEAR(W$37)-$G70)))))</f>
        <v/>
      </c>
      <c r="Y70" s="171">
        <f>IF(OR($C70="",$D70=""),0,IF(AND($E70&lt;&gt;"",$E70&lt;=Y$37),0,IF((YEAR(Y$37)-$G70)&lt;0,0,IF((YEAR(Y$37)-$G70)=0,$C70*$F70*$H70,$C70*(1-$F70*$H70)*(1-$F70)^((YEAR(Y$37)-$G70)-1)*$F70))))</f>
        <v/>
      </c>
      <c r="Z70" s="172">
        <f>IF($C70="",0,IF(AND($E70&lt;&gt;"",$E70&lt;=Y$37),0,IF(OR($D70="",$D70&gt;Y$37),$C70,IF((YEAR(Y$37)-$G70)=0,$C70*(1-$F70*$H70),$C70*(1-$F70*$H70)*(1-$F70)^(YEAR(Y$37)-$G70)))))</f>
        <v/>
      </c>
      <c r="AA70" s="171">
        <f>IF(OR($C70="",$D70=""),0,IF(AND($E70&lt;&gt;"",$E70&lt;=AA$37),0,IF((YEAR(AA$37)-$G70)&lt;0,0,IF((YEAR(AA$37)-$G70)=0,$C70*$F70*$H70,$C70*(1-$F70*$H70)*(1-$F70)^((YEAR(AA$37)-$G70)-1)*$F70))))</f>
        <v/>
      </c>
      <c r="AB70" s="172">
        <f>IF($C70="",0,IF(AND($E70&lt;&gt;"",$E70&lt;=AA$37),0,IF(OR($D70="",$D70&gt;AA$37),$C70,IF((YEAR(AA$37)-$G70)=0,$C70*(1-$F70*$H70),$C70*(1-$F70*$H70)*(1-$F70)^(YEAR(AA$37)-$G70)))))</f>
        <v/>
      </c>
      <c r="AC70" s="171">
        <f>IF(OR($C70="",$D70=""),0,IF(AND($E70&lt;&gt;"",$E70&lt;=AC$37),0,IF((YEAR(AC$37)-$G70)&lt;0,0,IF((YEAR(AC$37)-$G70)=0,$C70*$F70*$H70,$C70*(1-$F70*$H70)*(1-$F70)^((YEAR(AC$37)-$G70)-1)*$F70))))</f>
        <v/>
      </c>
      <c r="AD70" s="172">
        <f>IF($C70="",0,IF(AND($E70&lt;&gt;"",$E70&lt;=AC$37),0,IF(OR($D70="",$D70&gt;AC$37),$C70,IF((YEAR(AC$37)-$G70)=0,$C70*(1-$F70*$H70),$C70*(1-$F70*$H70)*(1-$F70)^(YEAR(AC$37)-$G70)))))</f>
        <v/>
      </c>
      <c r="AE70" s="171">
        <f>IF(OR($C70="",$D70=""),0,IF(AND($E70&lt;&gt;"",$E70&lt;=AE$37),0,IF((YEAR(AE$37)-$G70)&lt;0,0,IF((YEAR(AE$37)-$G70)=0,$C70*$F70*$H70,$C70*(1-$F70*$H70)*(1-$F70)^((YEAR(AE$37)-$G70)-1)*$F70))))</f>
        <v/>
      </c>
      <c r="AF70" s="172">
        <f>IF($C70="",0,IF(AND($E70&lt;&gt;"",$E70&lt;=AE$37),0,IF(OR($D70="",$D70&gt;AE$37),$C70,IF((YEAR(AE$37)-$G70)=0,$C70*(1-$F70*$H70),$C70*(1-$F70*$H70)*(1-$F70)^(YEAR(AE$37)-$G70)))))</f>
        <v/>
      </c>
      <c r="AG70" s="171">
        <f>IF(OR($C70="",$D70=""),0,IF(AND($E70&lt;&gt;"",$E70&lt;=AG$37),0,IF((YEAR(AG$37)-$G70)&lt;0,0,IF((YEAR(AG$37)-$G70)=0,$C70*$F70*$H70,$C70*(1-$F70*$H70)*(1-$F70)^((YEAR(AG$37)-$G70)-1)*$F70))))</f>
        <v/>
      </c>
      <c r="AH70" s="172">
        <f>IF($C70="",0,IF(AND($E70&lt;&gt;"",$E70&lt;=AG$37),0,IF(OR($D70="",$D70&gt;AG$37),$C70,IF((YEAR(AG$37)-$G70)=0,$C70*(1-$F70*$H70),$C70*(1-$F70*$H70)*(1-$F70)^(YEAR(AG$37)-$G70)))))</f>
        <v/>
      </c>
      <c r="AI70" s="171">
        <f>IF(OR($C70="",$D70=""),0,IF(AND($E70&lt;&gt;"",$E70&lt;=AI$37),0,IF((YEAR(AI$37)-$G70)&lt;0,0,IF((YEAR(AI$37)-$G70)=0,$C70*$F70*$H70,$C70*(1-$F70*$H70)*(1-$F70)^((YEAR(AI$37)-$G70)-1)*$F70))))</f>
        <v/>
      </c>
      <c r="AJ70" s="172">
        <f>IF($C70="",0,IF(AND($E70&lt;&gt;"",$E70&lt;=AI$37),0,IF(OR($D70="",$D70&gt;AI$37),$C70,IF((YEAR(AI$37)-$G70)=0,$C70*(1-$F70*$H70),$C70*(1-$F70*$H70)*(1-$F70)^(YEAR(AI$37)-$G70)))))</f>
        <v/>
      </c>
      <c r="AK70" s="171">
        <f>IF(OR($C70="",$D70=""),0,IF(AND($E70&lt;&gt;"",$E70&lt;=AK$37),0,IF((YEAR(AK$37)-$G70)&lt;0,0,IF((YEAR(AK$37)-$G70)=0,$C70*$F70*$H70,$C70*(1-$F70*$H70)*(1-$F70)^((YEAR(AK$37)-$G70)-1)*$F70))))</f>
        <v/>
      </c>
      <c r="AL70" s="172">
        <f>IF($C70="",0,IF(AND($E70&lt;&gt;"",$E70&lt;=AK$37),0,IF(OR($D70="",$D70&gt;AK$37),$C70,IF((YEAR(AK$37)-$G70)=0,$C70*(1-$F70*$H70),$C70*(1-$F70*$H70)*(1-$F70)^(YEAR(AK$37)-$G70)))))</f>
        <v/>
      </c>
      <c r="AM70" s="171">
        <f>IF(OR($C70="",$D70=""),0,IF(AND($E70&lt;&gt;"",$E70&lt;=AM$37),0,IF((YEAR(AM$37)-$G70)&lt;0,0,IF((YEAR(AM$37)-$G70)=0,$C70*$F70*$H70,$C70*(1-$F70*$H70)*(1-$F70)^((YEAR(AM$37)-$G70)-1)*$F70))))</f>
        <v/>
      </c>
      <c r="AN70" s="172">
        <f>IF($C70="",0,IF(AND($E70&lt;&gt;"",$E70&lt;=AM$37),0,IF(OR($D70="",$D70&gt;AM$37),$C70,IF((YEAR(AM$37)-$G70)=0,$C70*(1-$F70*$H70),$C70*(1-$F70*$H70)*(1-$F70)^(YEAR(AM$37)-$G70)))))</f>
        <v/>
      </c>
    </row>
    <row r="71">
      <c r="B71" s="132">
        <f>IF(FAR!K38="","",FAR!B38)</f>
        <v/>
      </c>
      <c r="C71" s="81">
        <f>IF(FAR!K38="","",FAR!K38)</f>
        <v/>
      </c>
      <c r="D71" s="134">
        <f>IF(FAR!H38="","",FAR!H38)</f>
        <v/>
      </c>
      <c r="E71" s="136">
        <f>IF(FAR!I38="","",FAR!I38)</f>
        <v/>
      </c>
      <c r="F71" s="173">
        <f>IF(FAR!C38="",0,IFERROR(VLOOKUP(FAR!C38,ScheduleIITable,6,FALSE),0))</f>
        <v/>
      </c>
      <c r="G71" s="135">
        <f>IF($D71="","",YEAR($D71)+IF(MONTH($D71)&gt;=4,1,0))</f>
        <v/>
      </c>
      <c r="H71" s="174">
        <f>IF($D71="","",IF((DATE($G71,3,31)-$D71+1)&gt;=180,1,0.5))</f>
        <v/>
      </c>
      <c r="I71" s="175">
        <f>IF(OR($C71="",$D71=""),0,IF(AND($E71&lt;&gt;"",$E71&lt;=I$37),0,IF((YEAR(I$37)-$G71)&lt;0,0,IF((YEAR(I$37)-$G71)=0,$C71*$F71*$H71,$C71*(1-$F71*$H71)*(1-$F71)^((YEAR(I$37)-$G71)-1)*$F71))))</f>
        <v/>
      </c>
      <c r="J71" s="175">
        <f>IF($C71="",0,IF(AND($E71&lt;&gt;"",$E71&lt;=I$37),0,IF(OR($D71="",$D71&gt;I$37),$C71,IF((YEAR(I$37)-$G71)=0,$C71*(1-$F71*$H71),$C71*(1-$F71*$H71)*(1-$F71)^(YEAR(I$37)-$G71)))))</f>
        <v/>
      </c>
      <c r="K71" s="175">
        <f>IF(OR($C71="",$D71=""),0,IF(AND($E71&lt;&gt;"",$E71&lt;=K$37),0,IF((YEAR(K$37)-$G71)&lt;0,0,IF((YEAR(K$37)-$G71)=0,$C71*$F71*$H71,$C71*(1-$F71*$H71)*(1-$F71)^((YEAR(K$37)-$G71)-1)*$F71))))</f>
        <v/>
      </c>
      <c r="L71" s="175">
        <f>IF($C71="",0,IF(AND($E71&lt;&gt;"",$E71&lt;=K$37),0,IF(OR($D71="",$D71&gt;K$37),$C71,IF((YEAR(K$37)-$G71)=0,$C71*(1-$F71*$H71),$C71*(1-$F71*$H71)*(1-$F71)^(YEAR(K$37)-$G71)))))</f>
        <v/>
      </c>
      <c r="M71" s="175">
        <f>IF(OR($C71="",$D71=""),0,IF(AND($E71&lt;&gt;"",$E71&lt;=M$37),0,IF((YEAR(M$37)-$G71)&lt;0,0,IF((YEAR(M$37)-$G71)=0,$C71*$F71*$H71,$C71*(1-$F71*$H71)*(1-$F71)^((YEAR(M$37)-$G71)-1)*$F71))))</f>
        <v/>
      </c>
      <c r="N71" s="175">
        <f>IF($C71="",0,IF(AND($E71&lt;&gt;"",$E71&lt;=M$37),0,IF(OR($D71="",$D71&gt;M$37),$C71,IF((YEAR(M$37)-$G71)=0,$C71*(1-$F71*$H71),$C71*(1-$F71*$H71)*(1-$F71)^(YEAR(M$37)-$G71)))))</f>
        <v/>
      </c>
      <c r="O71" s="175">
        <f>IF(OR($C71="",$D71=""),0,IF(AND($E71&lt;&gt;"",$E71&lt;=O$37),0,IF((YEAR(O$37)-$G71)&lt;0,0,IF((YEAR(O$37)-$G71)=0,$C71*$F71*$H71,$C71*(1-$F71*$H71)*(1-$F71)^((YEAR(O$37)-$G71)-1)*$F71))))</f>
        <v/>
      </c>
      <c r="P71" s="175">
        <f>IF($C71="",0,IF(AND($E71&lt;&gt;"",$E71&lt;=O$37),0,IF(OR($D71="",$D71&gt;O$37),$C71,IF((YEAR(O$37)-$G71)=0,$C71*(1-$F71*$H71),$C71*(1-$F71*$H71)*(1-$F71)^(YEAR(O$37)-$G71)))))</f>
        <v/>
      </c>
      <c r="Q71" s="175">
        <f>IF(OR($C71="",$D71=""),0,IF(AND($E71&lt;&gt;"",$E71&lt;=Q$37),0,IF((YEAR(Q$37)-$G71)&lt;0,0,IF((YEAR(Q$37)-$G71)=0,$C71*$F71*$H71,$C71*(1-$F71*$H71)*(1-$F71)^((YEAR(Q$37)-$G71)-1)*$F71))))</f>
        <v/>
      </c>
      <c r="R71" s="175">
        <f>IF($C71="",0,IF(AND($E71&lt;&gt;"",$E71&lt;=Q$37),0,IF(OR($D71="",$D71&gt;Q$37),$C71,IF((YEAR(Q$37)-$G71)=0,$C71*(1-$F71*$H71),$C71*(1-$F71*$H71)*(1-$F71)^(YEAR(Q$37)-$G71)))))</f>
        <v/>
      </c>
      <c r="S71" s="175">
        <f>IF(OR($C71="",$D71=""),0,IF(AND($E71&lt;&gt;"",$E71&lt;=S$37),0,IF((YEAR(S$37)-$G71)&lt;0,0,IF((YEAR(S$37)-$G71)=0,$C71*$F71*$H71,$C71*(1-$F71*$H71)*(1-$F71)^((YEAR(S$37)-$G71)-1)*$F71))))</f>
        <v/>
      </c>
      <c r="T71" s="175">
        <f>IF($C71="",0,IF(AND($E71&lt;&gt;"",$E71&lt;=S$37),0,IF(OR($D71="",$D71&gt;S$37),$C71,IF((YEAR(S$37)-$G71)=0,$C71*(1-$F71*$H71),$C71*(1-$F71*$H71)*(1-$F71)^(YEAR(S$37)-$G71)))))</f>
        <v/>
      </c>
      <c r="U71" s="175">
        <f>IF(OR($C71="",$D71=""),0,IF(AND($E71&lt;&gt;"",$E71&lt;=U$37),0,IF((YEAR(U$37)-$G71)&lt;0,0,IF((YEAR(U$37)-$G71)=0,$C71*$F71*$H71,$C71*(1-$F71*$H71)*(1-$F71)^((YEAR(U$37)-$G71)-1)*$F71))))</f>
        <v/>
      </c>
      <c r="V71" s="175">
        <f>IF($C71="",0,IF(AND($E71&lt;&gt;"",$E71&lt;=U$37),0,IF(OR($D71="",$D71&gt;U$37),$C71,IF((YEAR(U$37)-$G71)=0,$C71*(1-$F71*$H71),$C71*(1-$F71*$H71)*(1-$F71)^(YEAR(U$37)-$G71)))))</f>
        <v/>
      </c>
      <c r="W71" s="175">
        <f>IF(OR($C71="",$D71=""),0,IF(AND($E71&lt;&gt;"",$E71&lt;=W$37),0,IF((YEAR(W$37)-$G71)&lt;0,0,IF((YEAR(W$37)-$G71)=0,$C71*$F71*$H71,$C71*(1-$F71*$H71)*(1-$F71)^((YEAR(W$37)-$G71)-1)*$F71))))</f>
        <v/>
      </c>
      <c r="X71" s="175">
        <f>IF($C71="",0,IF(AND($E71&lt;&gt;"",$E71&lt;=W$37),0,IF(OR($D71="",$D71&gt;W$37),$C71,IF((YEAR(W$37)-$G71)=0,$C71*(1-$F71*$H71),$C71*(1-$F71*$H71)*(1-$F71)^(YEAR(W$37)-$G71)))))</f>
        <v/>
      </c>
      <c r="Y71" s="175">
        <f>IF(OR($C71="",$D71=""),0,IF(AND($E71&lt;&gt;"",$E71&lt;=Y$37),0,IF((YEAR(Y$37)-$G71)&lt;0,0,IF((YEAR(Y$37)-$G71)=0,$C71*$F71*$H71,$C71*(1-$F71*$H71)*(1-$F71)^((YEAR(Y$37)-$G71)-1)*$F71))))</f>
        <v/>
      </c>
      <c r="Z71" s="175">
        <f>IF($C71="",0,IF(AND($E71&lt;&gt;"",$E71&lt;=Y$37),0,IF(OR($D71="",$D71&gt;Y$37),$C71,IF((YEAR(Y$37)-$G71)=0,$C71*(1-$F71*$H71),$C71*(1-$F71*$H71)*(1-$F71)^(YEAR(Y$37)-$G71)))))</f>
        <v/>
      </c>
      <c r="AA71" s="175">
        <f>IF(OR($C71="",$D71=""),0,IF(AND($E71&lt;&gt;"",$E71&lt;=AA$37),0,IF((YEAR(AA$37)-$G71)&lt;0,0,IF((YEAR(AA$37)-$G71)=0,$C71*$F71*$H71,$C71*(1-$F71*$H71)*(1-$F71)^((YEAR(AA$37)-$G71)-1)*$F71))))</f>
        <v/>
      </c>
      <c r="AB71" s="175">
        <f>IF($C71="",0,IF(AND($E71&lt;&gt;"",$E71&lt;=AA$37),0,IF(OR($D71="",$D71&gt;AA$37),$C71,IF((YEAR(AA$37)-$G71)=0,$C71*(1-$F71*$H71),$C71*(1-$F71*$H71)*(1-$F71)^(YEAR(AA$37)-$G71)))))</f>
        <v/>
      </c>
      <c r="AC71" s="175">
        <f>IF(OR($C71="",$D71=""),0,IF(AND($E71&lt;&gt;"",$E71&lt;=AC$37),0,IF((YEAR(AC$37)-$G71)&lt;0,0,IF((YEAR(AC$37)-$G71)=0,$C71*$F71*$H71,$C71*(1-$F71*$H71)*(1-$F71)^((YEAR(AC$37)-$G71)-1)*$F71))))</f>
        <v/>
      </c>
      <c r="AD71" s="175">
        <f>IF($C71="",0,IF(AND($E71&lt;&gt;"",$E71&lt;=AC$37),0,IF(OR($D71="",$D71&gt;AC$37),$C71,IF((YEAR(AC$37)-$G71)=0,$C71*(1-$F71*$H71),$C71*(1-$F71*$H71)*(1-$F71)^(YEAR(AC$37)-$G71)))))</f>
        <v/>
      </c>
      <c r="AE71" s="175">
        <f>IF(OR($C71="",$D71=""),0,IF(AND($E71&lt;&gt;"",$E71&lt;=AE$37),0,IF((YEAR(AE$37)-$G71)&lt;0,0,IF((YEAR(AE$37)-$G71)=0,$C71*$F71*$H71,$C71*(1-$F71*$H71)*(1-$F71)^((YEAR(AE$37)-$G71)-1)*$F71))))</f>
        <v/>
      </c>
      <c r="AF71" s="175">
        <f>IF($C71="",0,IF(AND($E71&lt;&gt;"",$E71&lt;=AE$37),0,IF(OR($D71="",$D71&gt;AE$37),$C71,IF((YEAR(AE$37)-$G71)=0,$C71*(1-$F71*$H71),$C71*(1-$F71*$H71)*(1-$F71)^(YEAR(AE$37)-$G71)))))</f>
        <v/>
      </c>
      <c r="AG71" s="175">
        <f>IF(OR($C71="",$D71=""),0,IF(AND($E71&lt;&gt;"",$E71&lt;=AG$37),0,IF((YEAR(AG$37)-$G71)&lt;0,0,IF((YEAR(AG$37)-$G71)=0,$C71*$F71*$H71,$C71*(1-$F71*$H71)*(1-$F71)^((YEAR(AG$37)-$G71)-1)*$F71))))</f>
        <v/>
      </c>
      <c r="AH71" s="175">
        <f>IF($C71="",0,IF(AND($E71&lt;&gt;"",$E71&lt;=AG$37),0,IF(OR($D71="",$D71&gt;AG$37),$C71,IF((YEAR(AG$37)-$G71)=0,$C71*(1-$F71*$H71),$C71*(1-$F71*$H71)*(1-$F71)^(YEAR(AG$37)-$G71)))))</f>
        <v/>
      </c>
      <c r="AI71" s="175">
        <f>IF(OR($C71="",$D71=""),0,IF(AND($E71&lt;&gt;"",$E71&lt;=AI$37),0,IF((YEAR(AI$37)-$G71)&lt;0,0,IF((YEAR(AI$37)-$G71)=0,$C71*$F71*$H71,$C71*(1-$F71*$H71)*(1-$F71)^((YEAR(AI$37)-$G71)-1)*$F71))))</f>
        <v/>
      </c>
      <c r="AJ71" s="175">
        <f>IF($C71="",0,IF(AND($E71&lt;&gt;"",$E71&lt;=AI$37),0,IF(OR($D71="",$D71&gt;AI$37),$C71,IF((YEAR(AI$37)-$G71)=0,$C71*(1-$F71*$H71),$C71*(1-$F71*$H71)*(1-$F71)^(YEAR(AI$37)-$G71)))))</f>
        <v/>
      </c>
      <c r="AK71" s="175">
        <f>IF(OR($C71="",$D71=""),0,IF(AND($E71&lt;&gt;"",$E71&lt;=AK$37),0,IF((YEAR(AK$37)-$G71)&lt;0,0,IF((YEAR(AK$37)-$G71)=0,$C71*$F71*$H71,$C71*(1-$F71*$H71)*(1-$F71)^((YEAR(AK$37)-$G71)-1)*$F71))))</f>
        <v/>
      </c>
      <c r="AL71" s="175">
        <f>IF($C71="",0,IF(AND($E71&lt;&gt;"",$E71&lt;=AK$37),0,IF(OR($D71="",$D71&gt;AK$37),$C71,IF((YEAR(AK$37)-$G71)=0,$C71*(1-$F71*$H71),$C71*(1-$F71*$H71)*(1-$F71)^(YEAR(AK$37)-$G71)))))</f>
        <v/>
      </c>
      <c r="AM71" s="175">
        <f>IF(OR($C71="",$D71=""),0,IF(AND($E71&lt;&gt;"",$E71&lt;=AM$37),0,IF((YEAR(AM$37)-$G71)&lt;0,0,IF((YEAR(AM$37)-$G71)=0,$C71*$F71*$H71,$C71*(1-$F71*$H71)*(1-$F71)^((YEAR(AM$37)-$G71)-1)*$F71))))</f>
        <v/>
      </c>
      <c r="AN71" s="175">
        <f>IF($C71="",0,IF(AND($E71&lt;&gt;"",$E71&lt;=AM$37),0,IF(OR($D71="",$D71&gt;AM$37),$C71,IF((YEAR(AM$37)-$G71)=0,$C71*(1-$F71*$H71),$C71*(1-$F71*$H71)*(1-$F71)^(YEAR(AM$37)-$G71)))))</f>
        <v/>
      </c>
    </row>
    <row r="72">
      <c r="B72" s="126">
        <f>IF(FAR!K39="","",FAR!B39)</f>
        <v/>
      </c>
      <c r="C72" s="63">
        <f>IF(FAR!K39="","",FAR!K39)</f>
        <v/>
      </c>
      <c r="D72" s="128">
        <f>IF(FAR!H39="","",FAR!H39)</f>
        <v/>
      </c>
      <c r="E72" s="130">
        <f>IF(FAR!I39="","",FAR!I39)</f>
        <v/>
      </c>
      <c r="F72" s="169">
        <f>IF(FAR!C39="",0,IFERROR(VLOOKUP(FAR!C39,ScheduleIITable,6,FALSE),0))</f>
        <v/>
      </c>
      <c r="G72" s="129">
        <f>IF($D72="","",YEAR($D72)+IF(MONTH($D72)&gt;=4,1,0))</f>
        <v/>
      </c>
      <c r="H72" s="170">
        <f>IF($D72="","",IF((DATE($G72,3,31)-$D72+1)&gt;=180,1,0.5))</f>
        <v/>
      </c>
      <c r="I72" s="171">
        <f>IF(OR($C72="",$D72=""),0,IF(AND($E72&lt;&gt;"",$E72&lt;=I$37),0,IF((YEAR(I$37)-$G72)&lt;0,0,IF((YEAR(I$37)-$G72)=0,$C72*$F72*$H72,$C72*(1-$F72*$H72)*(1-$F72)^((YEAR(I$37)-$G72)-1)*$F72))))</f>
        <v/>
      </c>
      <c r="J72" s="172">
        <f>IF($C72="",0,IF(AND($E72&lt;&gt;"",$E72&lt;=I$37),0,IF(OR($D72="",$D72&gt;I$37),$C72,IF((YEAR(I$37)-$G72)=0,$C72*(1-$F72*$H72),$C72*(1-$F72*$H72)*(1-$F72)^(YEAR(I$37)-$G72)))))</f>
        <v/>
      </c>
      <c r="K72" s="171">
        <f>IF(OR($C72="",$D72=""),0,IF(AND($E72&lt;&gt;"",$E72&lt;=K$37),0,IF((YEAR(K$37)-$G72)&lt;0,0,IF((YEAR(K$37)-$G72)=0,$C72*$F72*$H72,$C72*(1-$F72*$H72)*(1-$F72)^((YEAR(K$37)-$G72)-1)*$F72))))</f>
        <v/>
      </c>
      <c r="L72" s="172">
        <f>IF($C72="",0,IF(AND($E72&lt;&gt;"",$E72&lt;=K$37),0,IF(OR($D72="",$D72&gt;K$37),$C72,IF((YEAR(K$37)-$G72)=0,$C72*(1-$F72*$H72),$C72*(1-$F72*$H72)*(1-$F72)^(YEAR(K$37)-$G72)))))</f>
        <v/>
      </c>
      <c r="M72" s="171">
        <f>IF(OR($C72="",$D72=""),0,IF(AND($E72&lt;&gt;"",$E72&lt;=M$37),0,IF((YEAR(M$37)-$G72)&lt;0,0,IF((YEAR(M$37)-$G72)=0,$C72*$F72*$H72,$C72*(1-$F72*$H72)*(1-$F72)^((YEAR(M$37)-$G72)-1)*$F72))))</f>
        <v/>
      </c>
      <c r="N72" s="172">
        <f>IF($C72="",0,IF(AND($E72&lt;&gt;"",$E72&lt;=M$37),0,IF(OR($D72="",$D72&gt;M$37),$C72,IF((YEAR(M$37)-$G72)=0,$C72*(1-$F72*$H72),$C72*(1-$F72*$H72)*(1-$F72)^(YEAR(M$37)-$G72)))))</f>
        <v/>
      </c>
      <c r="O72" s="171">
        <f>IF(OR($C72="",$D72=""),0,IF(AND($E72&lt;&gt;"",$E72&lt;=O$37),0,IF((YEAR(O$37)-$G72)&lt;0,0,IF((YEAR(O$37)-$G72)=0,$C72*$F72*$H72,$C72*(1-$F72*$H72)*(1-$F72)^((YEAR(O$37)-$G72)-1)*$F72))))</f>
        <v/>
      </c>
      <c r="P72" s="172">
        <f>IF($C72="",0,IF(AND($E72&lt;&gt;"",$E72&lt;=O$37),0,IF(OR($D72="",$D72&gt;O$37),$C72,IF((YEAR(O$37)-$G72)=0,$C72*(1-$F72*$H72),$C72*(1-$F72*$H72)*(1-$F72)^(YEAR(O$37)-$G72)))))</f>
        <v/>
      </c>
      <c r="Q72" s="171">
        <f>IF(OR($C72="",$D72=""),0,IF(AND($E72&lt;&gt;"",$E72&lt;=Q$37),0,IF((YEAR(Q$37)-$G72)&lt;0,0,IF((YEAR(Q$37)-$G72)=0,$C72*$F72*$H72,$C72*(1-$F72*$H72)*(1-$F72)^((YEAR(Q$37)-$G72)-1)*$F72))))</f>
        <v/>
      </c>
      <c r="R72" s="172">
        <f>IF($C72="",0,IF(AND($E72&lt;&gt;"",$E72&lt;=Q$37),0,IF(OR($D72="",$D72&gt;Q$37),$C72,IF((YEAR(Q$37)-$G72)=0,$C72*(1-$F72*$H72),$C72*(1-$F72*$H72)*(1-$F72)^(YEAR(Q$37)-$G72)))))</f>
        <v/>
      </c>
      <c r="S72" s="171">
        <f>IF(OR($C72="",$D72=""),0,IF(AND($E72&lt;&gt;"",$E72&lt;=S$37),0,IF((YEAR(S$37)-$G72)&lt;0,0,IF((YEAR(S$37)-$G72)=0,$C72*$F72*$H72,$C72*(1-$F72*$H72)*(1-$F72)^((YEAR(S$37)-$G72)-1)*$F72))))</f>
        <v/>
      </c>
      <c r="T72" s="172">
        <f>IF($C72="",0,IF(AND($E72&lt;&gt;"",$E72&lt;=S$37),0,IF(OR($D72="",$D72&gt;S$37),$C72,IF((YEAR(S$37)-$G72)=0,$C72*(1-$F72*$H72),$C72*(1-$F72*$H72)*(1-$F72)^(YEAR(S$37)-$G72)))))</f>
        <v/>
      </c>
      <c r="U72" s="171">
        <f>IF(OR($C72="",$D72=""),0,IF(AND($E72&lt;&gt;"",$E72&lt;=U$37),0,IF((YEAR(U$37)-$G72)&lt;0,0,IF((YEAR(U$37)-$G72)=0,$C72*$F72*$H72,$C72*(1-$F72*$H72)*(1-$F72)^((YEAR(U$37)-$G72)-1)*$F72))))</f>
        <v/>
      </c>
      <c r="V72" s="172">
        <f>IF($C72="",0,IF(AND($E72&lt;&gt;"",$E72&lt;=U$37),0,IF(OR($D72="",$D72&gt;U$37),$C72,IF((YEAR(U$37)-$G72)=0,$C72*(1-$F72*$H72),$C72*(1-$F72*$H72)*(1-$F72)^(YEAR(U$37)-$G72)))))</f>
        <v/>
      </c>
      <c r="W72" s="171">
        <f>IF(OR($C72="",$D72=""),0,IF(AND($E72&lt;&gt;"",$E72&lt;=W$37),0,IF((YEAR(W$37)-$G72)&lt;0,0,IF((YEAR(W$37)-$G72)=0,$C72*$F72*$H72,$C72*(1-$F72*$H72)*(1-$F72)^((YEAR(W$37)-$G72)-1)*$F72))))</f>
        <v/>
      </c>
      <c r="X72" s="172">
        <f>IF($C72="",0,IF(AND($E72&lt;&gt;"",$E72&lt;=W$37),0,IF(OR($D72="",$D72&gt;W$37),$C72,IF((YEAR(W$37)-$G72)=0,$C72*(1-$F72*$H72),$C72*(1-$F72*$H72)*(1-$F72)^(YEAR(W$37)-$G72)))))</f>
        <v/>
      </c>
      <c r="Y72" s="171">
        <f>IF(OR($C72="",$D72=""),0,IF(AND($E72&lt;&gt;"",$E72&lt;=Y$37),0,IF((YEAR(Y$37)-$G72)&lt;0,0,IF((YEAR(Y$37)-$G72)=0,$C72*$F72*$H72,$C72*(1-$F72*$H72)*(1-$F72)^((YEAR(Y$37)-$G72)-1)*$F72))))</f>
        <v/>
      </c>
      <c r="Z72" s="172">
        <f>IF($C72="",0,IF(AND($E72&lt;&gt;"",$E72&lt;=Y$37),0,IF(OR($D72="",$D72&gt;Y$37),$C72,IF((YEAR(Y$37)-$G72)=0,$C72*(1-$F72*$H72),$C72*(1-$F72*$H72)*(1-$F72)^(YEAR(Y$37)-$G72)))))</f>
        <v/>
      </c>
      <c r="AA72" s="171">
        <f>IF(OR($C72="",$D72=""),0,IF(AND($E72&lt;&gt;"",$E72&lt;=AA$37),0,IF((YEAR(AA$37)-$G72)&lt;0,0,IF((YEAR(AA$37)-$G72)=0,$C72*$F72*$H72,$C72*(1-$F72*$H72)*(1-$F72)^((YEAR(AA$37)-$G72)-1)*$F72))))</f>
        <v/>
      </c>
      <c r="AB72" s="172">
        <f>IF($C72="",0,IF(AND($E72&lt;&gt;"",$E72&lt;=AA$37),0,IF(OR($D72="",$D72&gt;AA$37),$C72,IF((YEAR(AA$37)-$G72)=0,$C72*(1-$F72*$H72),$C72*(1-$F72*$H72)*(1-$F72)^(YEAR(AA$37)-$G72)))))</f>
        <v/>
      </c>
      <c r="AC72" s="171">
        <f>IF(OR($C72="",$D72=""),0,IF(AND($E72&lt;&gt;"",$E72&lt;=AC$37),0,IF((YEAR(AC$37)-$G72)&lt;0,0,IF((YEAR(AC$37)-$G72)=0,$C72*$F72*$H72,$C72*(1-$F72*$H72)*(1-$F72)^((YEAR(AC$37)-$G72)-1)*$F72))))</f>
        <v/>
      </c>
      <c r="AD72" s="172">
        <f>IF($C72="",0,IF(AND($E72&lt;&gt;"",$E72&lt;=AC$37),0,IF(OR($D72="",$D72&gt;AC$37),$C72,IF((YEAR(AC$37)-$G72)=0,$C72*(1-$F72*$H72),$C72*(1-$F72*$H72)*(1-$F72)^(YEAR(AC$37)-$G72)))))</f>
        <v/>
      </c>
      <c r="AE72" s="171">
        <f>IF(OR($C72="",$D72=""),0,IF(AND($E72&lt;&gt;"",$E72&lt;=AE$37),0,IF((YEAR(AE$37)-$G72)&lt;0,0,IF((YEAR(AE$37)-$G72)=0,$C72*$F72*$H72,$C72*(1-$F72*$H72)*(1-$F72)^((YEAR(AE$37)-$G72)-1)*$F72))))</f>
        <v/>
      </c>
      <c r="AF72" s="172">
        <f>IF($C72="",0,IF(AND($E72&lt;&gt;"",$E72&lt;=AE$37),0,IF(OR($D72="",$D72&gt;AE$37),$C72,IF((YEAR(AE$37)-$G72)=0,$C72*(1-$F72*$H72),$C72*(1-$F72*$H72)*(1-$F72)^(YEAR(AE$37)-$G72)))))</f>
        <v/>
      </c>
      <c r="AG72" s="171">
        <f>IF(OR($C72="",$D72=""),0,IF(AND($E72&lt;&gt;"",$E72&lt;=AG$37),0,IF((YEAR(AG$37)-$G72)&lt;0,0,IF((YEAR(AG$37)-$G72)=0,$C72*$F72*$H72,$C72*(1-$F72*$H72)*(1-$F72)^((YEAR(AG$37)-$G72)-1)*$F72))))</f>
        <v/>
      </c>
      <c r="AH72" s="172">
        <f>IF($C72="",0,IF(AND($E72&lt;&gt;"",$E72&lt;=AG$37),0,IF(OR($D72="",$D72&gt;AG$37),$C72,IF((YEAR(AG$37)-$G72)=0,$C72*(1-$F72*$H72),$C72*(1-$F72*$H72)*(1-$F72)^(YEAR(AG$37)-$G72)))))</f>
        <v/>
      </c>
      <c r="AI72" s="171">
        <f>IF(OR($C72="",$D72=""),0,IF(AND($E72&lt;&gt;"",$E72&lt;=AI$37),0,IF((YEAR(AI$37)-$G72)&lt;0,0,IF((YEAR(AI$37)-$G72)=0,$C72*$F72*$H72,$C72*(1-$F72*$H72)*(1-$F72)^((YEAR(AI$37)-$G72)-1)*$F72))))</f>
        <v/>
      </c>
      <c r="AJ72" s="172">
        <f>IF($C72="",0,IF(AND($E72&lt;&gt;"",$E72&lt;=AI$37),0,IF(OR($D72="",$D72&gt;AI$37),$C72,IF((YEAR(AI$37)-$G72)=0,$C72*(1-$F72*$H72),$C72*(1-$F72*$H72)*(1-$F72)^(YEAR(AI$37)-$G72)))))</f>
        <v/>
      </c>
      <c r="AK72" s="171">
        <f>IF(OR($C72="",$D72=""),0,IF(AND($E72&lt;&gt;"",$E72&lt;=AK$37),0,IF((YEAR(AK$37)-$G72)&lt;0,0,IF((YEAR(AK$37)-$G72)=0,$C72*$F72*$H72,$C72*(1-$F72*$H72)*(1-$F72)^((YEAR(AK$37)-$G72)-1)*$F72))))</f>
        <v/>
      </c>
      <c r="AL72" s="172">
        <f>IF($C72="",0,IF(AND($E72&lt;&gt;"",$E72&lt;=AK$37),0,IF(OR($D72="",$D72&gt;AK$37),$C72,IF((YEAR(AK$37)-$G72)=0,$C72*(1-$F72*$H72),$C72*(1-$F72*$H72)*(1-$F72)^(YEAR(AK$37)-$G72)))))</f>
        <v/>
      </c>
      <c r="AM72" s="171">
        <f>IF(OR($C72="",$D72=""),0,IF(AND($E72&lt;&gt;"",$E72&lt;=AM$37),0,IF((YEAR(AM$37)-$G72)&lt;0,0,IF((YEAR(AM$37)-$G72)=0,$C72*$F72*$H72,$C72*(1-$F72*$H72)*(1-$F72)^((YEAR(AM$37)-$G72)-1)*$F72))))</f>
        <v/>
      </c>
      <c r="AN72" s="172">
        <f>IF($C72="",0,IF(AND($E72&lt;&gt;"",$E72&lt;=AM$37),0,IF(OR($D72="",$D72&gt;AM$37),$C72,IF((YEAR(AM$37)-$G72)=0,$C72*(1-$F72*$H72),$C72*(1-$F72*$H72)*(1-$F72)^(YEAR(AM$37)-$G72)))))</f>
        <v/>
      </c>
    </row>
    <row r="73">
      <c r="B73" s="132">
        <f>IF(FAR!K40="","",FAR!B40)</f>
        <v/>
      </c>
      <c r="C73" s="81">
        <f>IF(FAR!K40="","",FAR!K40)</f>
        <v/>
      </c>
      <c r="D73" s="134">
        <f>IF(FAR!H40="","",FAR!H40)</f>
        <v/>
      </c>
      <c r="E73" s="136">
        <f>IF(FAR!I40="","",FAR!I40)</f>
        <v/>
      </c>
      <c r="F73" s="173">
        <f>IF(FAR!C40="",0,IFERROR(VLOOKUP(FAR!C40,ScheduleIITable,6,FALSE),0))</f>
        <v/>
      </c>
      <c r="G73" s="135">
        <f>IF($D73="","",YEAR($D73)+IF(MONTH($D73)&gt;=4,1,0))</f>
        <v/>
      </c>
      <c r="H73" s="174">
        <f>IF($D73="","",IF((DATE($G73,3,31)-$D73+1)&gt;=180,1,0.5))</f>
        <v/>
      </c>
      <c r="I73" s="175">
        <f>IF(OR($C73="",$D73=""),0,IF(AND($E73&lt;&gt;"",$E73&lt;=I$37),0,IF((YEAR(I$37)-$G73)&lt;0,0,IF((YEAR(I$37)-$G73)=0,$C73*$F73*$H73,$C73*(1-$F73*$H73)*(1-$F73)^((YEAR(I$37)-$G73)-1)*$F73))))</f>
        <v/>
      </c>
      <c r="J73" s="175">
        <f>IF($C73="",0,IF(AND($E73&lt;&gt;"",$E73&lt;=I$37),0,IF(OR($D73="",$D73&gt;I$37),$C73,IF((YEAR(I$37)-$G73)=0,$C73*(1-$F73*$H73),$C73*(1-$F73*$H73)*(1-$F73)^(YEAR(I$37)-$G73)))))</f>
        <v/>
      </c>
      <c r="K73" s="175">
        <f>IF(OR($C73="",$D73=""),0,IF(AND($E73&lt;&gt;"",$E73&lt;=K$37),0,IF((YEAR(K$37)-$G73)&lt;0,0,IF((YEAR(K$37)-$G73)=0,$C73*$F73*$H73,$C73*(1-$F73*$H73)*(1-$F73)^((YEAR(K$37)-$G73)-1)*$F73))))</f>
        <v/>
      </c>
      <c r="L73" s="175">
        <f>IF($C73="",0,IF(AND($E73&lt;&gt;"",$E73&lt;=K$37),0,IF(OR($D73="",$D73&gt;K$37),$C73,IF((YEAR(K$37)-$G73)=0,$C73*(1-$F73*$H73),$C73*(1-$F73*$H73)*(1-$F73)^(YEAR(K$37)-$G73)))))</f>
        <v/>
      </c>
      <c r="M73" s="175">
        <f>IF(OR($C73="",$D73=""),0,IF(AND($E73&lt;&gt;"",$E73&lt;=M$37),0,IF((YEAR(M$37)-$G73)&lt;0,0,IF((YEAR(M$37)-$G73)=0,$C73*$F73*$H73,$C73*(1-$F73*$H73)*(1-$F73)^((YEAR(M$37)-$G73)-1)*$F73))))</f>
        <v/>
      </c>
      <c r="N73" s="175">
        <f>IF($C73="",0,IF(AND($E73&lt;&gt;"",$E73&lt;=M$37),0,IF(OR($D73="",$D73&gt;M$37),$C73,IF((YEAR(M$37)-$G73)=0,$C73*(1-$F73*$H73),$C73*(1-$F73*$H73)*(1-$F73)^(YEAR(M$37)-$G73)))))</f>
        <v/>
      </c>
      <c r="O73" s="175">
        <f>IF(OR($C73="",$D73=""),0,IF(AND($E73&lt;&gt;"",$E73&lt;=O$37),0,IF((YEAR(O$37)-$G73)&lt;0,0,IF((YEAR(O$37)-$G73)=0,$C73*$F73*$H73,$C73*(1-$F73*$H73)*(1-$F73)^((YEAR(O$37)-$G73)-1)*$F73))))</f>
        <v/>
      </c>
      <c r="P73" s="175">
        <f>IF($C73="",0,IF(AND($E73&lt;&gt;"",$E73&lt;=O$37),0,IF(OR($D73="",$D73&gt;O$37),$C73,IF((YEAR(O$37)-$G73)=0,$C73*(1-$F73*$H73),$C73*(1-$F73*$H73)*(1-$F73)^(YEAR(O$37)-$G73)))))</f>
        <v/>
      </c>
      <c r="Q73" s="175">
        <f>IF(OR($C73="",$D73=""),0,IF(AND($E73&lt;&gt;"",$E73&lt;=Q$37),0,IF((YEAR(Q$37)-$G73)&lt;0,0,IF((YEAR(Q$37)-$G73)=0,$C73*$F73*$H73,$C73*(1-$F73*$H73)*(1-$F73)^((YEAR(Q$37)-$G73)-1)*$F73))))</f>
        <v/>
      </c>
      <c r="R73" s="175">
        <f>IF($C73="",0,IF(AND($E73&lt;&gt;"",$E73&lt;=Q$37),0,IF(OR($D73="",$D73&gt;Q$37),$C73,IF((YEAR(Q$37)-$G73)=0,$C73*(1-$F73*$H73),$C73*(1-$F73*$H73)*(1-$F73)^(YEAR(Q$37)-$G73)))))</f>
        <v/>
      </c>
      <c r="S73" s="175">
        <f>IF(OR($C73="",$D73=""),0,IF(AND($E73&lt;&gt;"",$E73&lt;=S$37),0,IF((YEAR(S$37)-$G73)&lt;0,0,IF((YEAR(S$37)-$G73)=0,$C73*$F73*$H73,$C73*(1-$F73*$H73)*(1-$F73)^((YEAR(S$37)-$G73)-1)*$F73))))</f>
        <v/>
      </c>
      <c r="T73" s="175">
        <f>IF($C73="",0,IF(AND($E73&lt;&gt;"",$E73&lt;=S$37),0,IF(OR($D73="",$D73&gt;S$37),$C73,IF((YEAR(S$37)-$G73)=0,$C73*(1-$F73*$H73),$C73*(1-$F73*$H73)*(1-$F73)^(YEAR(S$37)-$G73)))))</f>
        <v/>
      </c>
      <c r="U73" s="175">
        <f>IF(OR($C73="",$D73=""),0,IF(AND($E73&lt;&gt;"",$E73&lt;=U$37),0,IF((YEAR(U$37)-$G73)&lt;0,0,IF((YEAR(U$37)-$G73)=0,$C73*$F73*$H73,$C73*(1-$F73*$H73)*(1-$F73)^((YEAR(U$37)-$G73)-1)*$F73))))</f>
        <v/>
      </c>
      <c r="V73" s="175">
        <f>IF($C73="",0,IF(AND($E73&lt;&gt;"",$E73&lt;=U$37),0,IF(OR($D73="",$D73&gt;U$37),$C73,IF((YEAR(U$37)-$G73)=0,$C73*(1-$F73*$H73),$C73*(1-$F73*$H73)*(1-$F73)^(YEAR(U$37)-$G73)))))</f>
        <v/>
      </c>
      <c r="W73" s="175">
        <f>IF(OR($C73="",$D73=""),0,IF(AND($E73&lt;&gt;"",$E73&lt;=W$37),0,IF((YEAR(W$37)-$G73)&lt;0,0,IF((YEAR(W$37)-$G73)=0,$C73*$F73*$H73,$C73*(1-$F73*$H73)*(1-$F73)^((YEAR(W$37)-$G73)-1)*$F73))))</f>
        <v/>
      </c>
      <c r="X73" s="175">
        <f>IF($C73="",0,IF(AND($E73&lt;&gt;"",$E73&lt;=W$37),0,IF(OR($D73="",$D73&gt;W$37),$C73,IF((YEAR(W$37)-$G73)=0,$C73*(1-$F73*$H73),$C73*(1-$F73*$H73)*(1-$F73)^(YEAR(W$37)-$G73)))))</f>
        <v/>
      </c>
      <c r="Y73" s="175">
        <f>IF(OR($C73="",$D73=""),0,IF(AND($E73&lt;&gt;"",$E73&lt;=Y$37),0,IF((YEAR(Y$37)-$G73)&lt;0,0,IF((YEAR(Y$37)-$G73)=0,$C73*$F73*$H73,$C73*(1-$F73*$H73)*(1-$F73)^((YEAR(Y$37)-$G73)-1)*$F73))))</f>
        <v/>
      </c>
      <c r="Z73" s="175">
        <f>IF($C73="",0,IF(AND($E73&lt;&gt;"",$E73&lt;=Y$37),0,IF(OR($D73="",$D73&gt;Y$37),$C73,IF((YEAR(Y$37)-$G73)=0,$C73*(1-$F73*$H73),$C73*(1-$F73*$H73)*(1-$F73)^(YEAR(Y$37)-$G73)))))</f>
        <v/>
      </c>
      <c r="AA73" s="175">
        <f>IF(OR($C73="",$D73=""),0,IF(AND($E73&lt;&gt;"",$E73&lt;=AA$37),0,IF((YEAR(AA$37)-$G73)&lt;0,0,IF((YEAR(AA$37)-$G73)=0,$C73*$F73*$H73,$C73*(1-$F73*$H73)*(1-$F73)^((YEAR(AA$37)-$G73)-1)*$F73))))</f>
        <v/>
      </c>
      <c r="AB73" s="175">
        <f>IF($C73="",0,IF(AND($E73&lt;&gt;"",$E73&lt;=AA$37),0,IF(OR($D73="",$D73&gt;AA$37),$C73,IF((YEAR(AA$37)-$G73)=0,$C73*(1-$F73*$H73),$C73*(1-$F73*$H73)*(1-$F73)^(YEAR(AA$37)-$G73)))))</f>
        <v/>
      </c>
      <c r="AC73" s="175">
        <f>IF(OR($C73="",$D73=""),0,IF(AND($E73&lt;&gt;"",$E73&lt;=AC$37),0,IF((YEAR(AC$37)-$G73)&lt;0,0,IF((YEAR(AC$37)-$G73)=0,$C73*$F73*$H73,$C73*(1-$F73*$H73)*(1-$F73)^((YEAR(AC$37)-$G73)-1)*$F73))))</f>
        <v/>
      </c>
      <c r="AD73" s="175">
        <f>IF($C73="",0,IF(AND($E73&lt;&gt;"",$E73&lt;=AC$37),0,IF(OR($D73="",$D73&gt;AC$37),$C73,IF((YEAR(AC$37)-$G73)=0,$C73*(1-$F73*$H73),$C73*(1-$F73*$H73)*(1-$F73)^(YEAR(AC$37)-$G73)))))</f>
        <v/>
      </c>
      <c r="AE73" s="175">
        <f>IF(OR($C73="",$D73=""),0,IF(AND($E73&lt;&gt;"",$E73&lt;=AE$37),0,IF((YEAR(AE$37)-$G73)&lt;0,0,IF((YEAR(AE$37)-$G73)=0,$C73*$F73*$H73,$C73*(1-$F73*$H73)*(1-$F73)^((YEAR(AE$37)-$G73)-1)*$F73))))</f>
        <v/>
      </c>
      <c r="AF73" s="175">
        <f>IF($C73="",0,IF(AND($E73&lt;&gt;"",$E73&lt;=AE$37),0,IF(OR($D73="",$D73&gt;AE$37),$C73,IF((YEAR(AE$37)-$G73)=0,$C73*(1-$F73*$H73),$C73*(1-$F73*$H73)*(1-$F73)^(YEAR(AE$37)-$G73)))))</f>
        <v/>
      </c>
      <c r="AG73" s="175">
        <f>IF(OR($C73="",$D73=""),0,IF(AND($E73&lt;&gt;"",$E73&lt;=AG$37),0,IF((YEAR(AG$37)-$G73)&lt;0,0,IF((YEAR(AG$37)-$G73)=0,$C73*$F73*$H73,$C73*(1-$F73*$H73)*(1-$F73)^((YEAR(AG$37)-$G73)-1)*$F73))))</f>
        <v/>
      </c>
      <c r="AH73" s="175">
        <f>IF($C73="",0,IF(AND($E73&lt;&gt;"",$E73&lt;=AG$37),0,IF(OR($D73="",$D73&gt;AG$37),$C73,IF((YEAR(AG$37)-$G73)=0,$C73*(1-$F73*$H73),$C73*(1-$F73*$H73)*(1-$F73)^(YEAR(AG$37)-$G73)))))</f>
        <v/>
      </c>
      <c r="AI73" s="175">
        <f>IF(OR($C73="",$D73=""),0,IF(AND($E73&lt;&gt;"",$E73&lt;=AI$37),0,IF((YEAR(AI$37)-$G73)&lt;0,0,IF((YEAR(AI$37)-$G73)=0,$C73*$F73*$H73,$C73*(1-$F73*$H73)*(1-$F73)^((YEAR(AI$37)-$G73)-1)*$F73))))</f>
        <v/>
      </c>
      <c r="AJ73" s="175">
        <f>IF($C73="",0,IF(AND($E73&lt;&gt;"",$E73&lt;=AI$37),0,IF(OR($D73="",$D73&gt;AI$37),$C73,IF((YEAR(AI$37)-$G73)=0,$C73*(1-$F73*$H73),$C73*(1-$F73*$H73)*(1-$F73)^(YEAR(AI$37)-$G73)))))</f>
        <v/>
      </c>
      <c r="AK73" s="175">
        <f>IF(OR($C73="",$D73=""),0,IF(AND($E73&lt;&gt;"",$E73&lt;=AK$37),0,IF((YEAR(AK$37)-$G73)&lt;0,0,IF((YEAR(AK$37)-$G73)=0,$C73*$F73*$H73,$C73*(1-$F73*$H73)*(1-$F73)^((YEAR(AK$37)-$G73)-1)*$F73))))</f>
        <v/>
      </c>
      <c r="AL73" s="175">
        <f>IF($C73="",0,IF(AND($E73&lt;&gt;"",$E73&lt;=AK$37),0,IF(OR($D73="",$D73&gt;AK$37),$C73,IF((YEAR(AK$37)-$G73)=0,$C73*(1-$F73*$H73),$C73*(1-$F73*$H73)*(1-$F73)^(YEAR(AK$37)-$G73)))))</f>
        <v/>
      </c>
      <c r="AM73" s="175">
        <f>IF(OR($C73="",$D73=""),0,IF(AND($E73&lt;&gt;"",$E73&lt;=AM$37),0,IF((YEAR(AM$37)-$G73)&lt;0,0,IF((YEAR(AM$37)-$G73)=0,$C73*$F73*$H73,$C73*(1-$F73*$H73)*(1-$F73)^((YEAR(AM$37)-$G73)-1)*$F73))))</f>
        <v/>
      </c>
      <c r="AN73" s="175">
        <f>IF($C73="",0,IF(AND($E73&lt;&gt;"",$E73&lt;=AM$37),0,IF(OR($D73="",$D73&gt;AM$37),$C73,IF((YEAR(AM$37)-$G73)=0,$C73*(1-$F73*$H73),$C73*(1-$F73*$H73)*(1-$F73)^(YEAR(AM$37)-$G73)))))</f>
        <v/>
      </c>
    </row>
    <row r="74">
      <c r="B74" s="126">
        <f>IF(FAR!K41="","",FAR!B41)</f>
        <v/>
      </c>
      <c r="C74" s="63">
        <f>IF(FAR!K41="","",FAR!K41)</f>
        <v/>
      </c>
      <c r="D74" s="128">
        <f>IF(FAR!H41="","",FAR!H41)</f>
        <v/>
      </c>
      <c r="E74" s="130">
        <f>IF(FAR!I41="","",FAR!I41)</f>
        <v/>
      </c>
      <c r="F74" s="169">
        <f>IF(FAR!C41="",0,IFERROR(VLOOKUP(FAR!C41,ScheduleIITable,6,FALSE),0))</f>
        <v/>
      </c>
      <c r="G74" s="129">
        <f>IF($D74="","",YEAR($D74)+IF(MONTH($D74)&gt;=4,1,0))</f>
        <v/>
      </c>
      <c r="H74" s="170">
        <f>IF($D74="","",IF((DATE($G74,3,31)-$D74+1)&gt;=180,1,0.5))</f>
        <v/>
      </c>
      <c r="I74" s="171">
        <f>IF(OR($C74="",$D74=""),0,IF(AND($E74&lt;&gt;"",$E74&lt;=I$37),0,IF((YEAR(I$37)-$G74)&lt;0,0,IF((YEAR(I$37)-$G74)=0,$C74*$F74*$H74,$C74*(1-$F74*$H74)*(1-$F74)^((YEAR(I$37)-$G74)-1)*$F74))))</f>
        <v/>
      </c>
      <c r="J74" s="172">
        <f>IF($C74="",0,IF(AND($E74&lt;&gt;"",$E74&lt;=I$37),0,IF(OR($D74="",$D74&gt;I$37),$C74,IF((YEAR(I$37)-$G74)=0,$C74*(1-$F74*$H74),$C74*(1-$F74*$H74)*(1-$F74)^(YEAR(I$37)-$G74)))))</f>
        <v/>
      </c>
      <c r="K74" s="171">
        <f>IF(OR($C74="",$D74=""),0,IF(AND($E74&lt;&gt;"",$E74&lt;=K$37),0,IF((YEAR(K$37)-$G74)&lt;0,0,IF((YEAR(K$37)-$G74)=0,$C74*$F74*$H74,$C74*(1-$F74*$H74)*(1-$F74)^((YEAR(K$37)-$G74)-1)*$F74))))</f>
        <v/>
      </c>
      <c r="L74" s="172">
        <f>IF($C74="",0,IF(AND($E74&lt;&gt;"",$E74&lt;=K$37),0,IF(OR($D74="",$D74&gt;K$37),$C74,IF((YEAR(K$37)-$G74)=0,$C74*(1-$F74*$H74),$C74*(1-$F74*$H74)*(1-$F74)^(YEAR(K$37)-$G74)))))</f>
        <v/>
      </c>
      <c r="M74" s="171">
        <f>IF(OR($C74="",$D74=""),0,IF(AND($E74&lt;&gt;"",$E74&lt;=M$37),0,IF((YEAR(M$37)-$G74)&lt;0,0,IF((YEAR(M$37)-$G74)=0,$C74*$F74*$H74,$C74*(1-$F74*$H74)*(1-$F74)^((YEAR(M$37)-$G74)-1)*$F74))))</f>
        <v/>
      </c>
      <c r="N74" s="172">
        <f>IF($C74="",0,IF(AND($E74&lt;&gt;"",$E74&lt;=M$37),0,IF(OR($D74="",$D74&gt;M$37),$C74,IF((YEAR(M$37)-$G74)=0,$C74*(1-$F74*$H74),$C74*(1-$F74*$H74)*(1-$F74)^(YEAR(M$37)-$G74)))))</f>
        <v/>
      </c>
      <c r="O74" s="171">
        <f>IF(OR($C74="",$D74=""),0,IF(AND($E74&lt;&gt;"",$E74&lt;=O$37),0,IF((YEAR(O$37)-$G74)&lt;0,0,IF((YEAR(O$37)-$G74)=0,$C74*$F74*$H74,$C74*(1-$F74*$H74)*(1-$F74)^((YEAR(O$37)-$G74)-1)*$F74))))</f>
        <v/>
      </c>
      <c r="P74" s="172">
        <f>IF($C74="",0,IF(AND($E74&lt;&gt;"",$E74&lt;=O$37),0,IF(OR($D74="",$D74&gt;O$37),$C74,IF((YEAR(O$37)-$G74)=0,$C74*(1-$F74*$H74),$C74*(1-$F74*$H74)*(1-$F74)^(YEAR(O$37)-$G74)))))</f>
        <v/>
      </c>
      <c r="Q74" s="171">
        <f>IF(OR($C74="",$D74=""),0,IF(AND($E74&lt;&gt;"",$E74&lt;=Q$37),0,IF((YEAR(Q$37)-$G74)&lt;0,0,IF((YEAR(Q$37)-$G74)=0,$C74*$F74*$H74,$C74*(1-$F74*$H74)*(1-$F74)^((YEAR(Q$37)-$G74)-1)*$F74))))</f>
        <v/>
      </c>
      <c r="R74" s="172">
        <f>IF($C74="",0,IF(AND($E74&lt;&gt;"",$E74&lt;=Q$37),0,IF(OR($D74="",$D74&gt;Q$37),$C74,IF((YEAR(Q$37)-$G74)=0,$C74*(1-$F74*$H74),$C74*(1-$F74*$H74)*(1-$F74)^(YEAR(Q$37)-$G74)))))</f>
        <v/>
      </c>
      <c r="S74" s="171">
        <f>IF(OR($C74="",$D74=""),0,IF(AND($E74&lt;&gt;"",$E74&lt;=S$37),0,IF((YEAR(S$37)-$G74)&lt;0,0,IF((YEAR(S$37)-$G74)=0,$C74*$F74*$H74,$C74*(1-$F74*$H74)*(1-$F74)^((YEAR(S$37)-$G74)-1)*$F74))))</f>
        <v/>
      </c>
      <c r="T74" s="172">
        <f>IF($C74="",0,IF(AND($E74&lt;&gt;"",$E74&lt;=S$37),0,IF(OR($D74="",$D74&gt;S$37),$C74,IF((YEAR(S$37)-$G74)=0,$C74*(1-$F74*$H74),$C74*(1-$F74*$H74)*(1-$F74)^(YEAR(S$37)-$G74)))))</f>
        <v/>
      </c>
      <c r="U74" s="171">
        <f>IF(OR($C74="",$D74=""),0,IF(AND($E74&lt;&gt;"",$E74&lt;=U$37),0,IF((YEAR(U$37)-$G74)&lt;0,0,IF((YEAR(U$37)-$G74)=0,$C74*$F74*$H74,$C74*(1-$F74*$H74)*(1-$F74)^((YEAR(U$37)-$G74)-1)*$F74))))</f>
        <v/>
      </c>
      <c r="V74" s="172">
        <f>IF($C74="",0,IF(AND($E74&lt;&gt;"",$E74&lt;=U$37),0,IF(OR($D74="",$D74&gt;U$37),$C74,IF((YEAR(U$37)-$G74)=0,$C74*(1-$F74*$H74),$C74*(1-$F74*$H74)*(1-$F74)^(YEAR(U$37)-$G74)))))</f>
        <v/>
      </c>
      <c r="W74" s="171">
        <f>IF(OR($C74="",$D74=""),0,IF(AND($E74&lt;&gt;"",$E74&lt;=W$37),0,IF((YEAR(W$37)-$G74)&lt;0,0,IF((YEAR(W$37)-$G74)=0,$C74*$F74*$H74,$C74*(1-$F74*$H74)*(1-$F74)^((YEAR(W$37)-$G74)-1)*$F74))))</f>
        <v/>
      </c>
      <c r="X74" s="172">
        <f>IF($C74="",0,IF(AND($E74&lt;&gt;"",$E74&lt;=W$37),0,IF(OR($D74="",$D74&gt;W$37),$C74,IF((YEAR(W$37)-$G74)=0,$C74*(1-$F74*$H74),$C74*(1-$F74*$H74)*(1-$F74)^(YEAR(W$37)-$G74)))))</f>
        <v/>
      </c>
      <c r="Y74" s="171">
        <f>IF(OR($C74="",$D74=""),0,IF(AND($E74&lt;&gt;"",$E74&lt;=Y$37),0,IF((YEAR(Y$37)-$G74)&lt;0,0,IF((YEAR(Y$37)-$G74)=0,$C74*$F74*$H74,$C74*(1-$F74*$H74)*(1-$F74)^((YEAR(Y$37)-$G74)-1)*$F74))))</f>
        <v/>
      </c>
      <c r="Z74" s="172">
        <f>IF($C74="",0,IF(AND($E74&lt;&gt;"",$E74&lt;=Y$37),0,IF(OR($D74="",$D74&gt;Y$37),$C74,IF((YEAR(Y$37)-$G74)=0,$C74*(1-$F74*$H74),$C74*(1-$F74*$H74)*(1-$F74)^(YEAR(Y$37)-$G74)))))</f>
        <v/>
      </c>
      <c r="AA74" s="171">
        <f>IF(OR($C74="",$D74=""),0,IF(AND($E74&lt;&gt;"",$E74&lt;=AA$37),0,IF((YEAR(AA$37)-$G74)&lt;0,0,IF((YEAR(AA$37)-$G74)=0,$C74*$F74*$H74,$C74*(1-$F74*$H74)*(1-$F74)^((YEAR(AA$37)-$G74)-1)*$F74))))</f>
        <v/>
      </c>
      <c r="AB74" s="172">
        <f>IF($C74="",0,IF(AND($E74&lt;&gt;"",$E74&lt;=AA$37),0,IF(OR($D74="",$D74&gt;AA$37),$C74,IF((YEAR(AA$37)-$G74)=0,$C74*(1-$F74*$H74),$C74*(1-$F74*$H74)*(1-$F74)^(YEAR(AA$37)-$G74)))))</f>
        <v/>
      </c>
      <c r="AC74" s="171">
        <f>IF(OR($C74="",$D74=""),0,IF(AND($E74&lt;&gt;"",$E74&lt;=AC$37),0,IF((YEAR(AC$37)-$G74)&lt;0,0,IF((YEAR(AC$37)-$G74)=0,$C74*$F74*$H74,$C74*(1-$F74*$H74)*(1-$F74)^((YEAR(AC$37)-$G74)-1)*$F74))))</f>
        <v/>
      </c>
      <c r="AD74" s="172">
        <f>IF($C74="",0,IF(AND($E74&lt;&gt;"",$E74&lt;=AC$37),0,IF(OR($D74="",$D74&gt;AC$37),$C74,IF((YEAR(AC$37)-$G74)=0,$C74*(1-$F74*$H74),$C74*(1-$F74*$H74)*(1-$F74)^(YEAR(AC$37)-$G74)))))</f>
        <v/>
      </c>
      <c r="AE74" s="171">
        <f>IF(OR($C74="",$D74=""),0,IF(AND($E74&lt;&gt;"",$E74&lt;=AE$37),0,IF((YEAR(AE$37)-$G74)&lt;0,0,IF((YEAR(AE$37)-$G74)=0,$C74*$F74*$H74,$C74*(1-$F74*$H74)*(1-$F74)^((YEAR(AE$37)-$G74)-1)*$F74))))</f>
        <v/>
      </c>
      <c r="AF74" s="172">
        <f>IF($C74="",0,IF(AND($E74&lt;&gt;"",$E74&lt;=AE$37),0,IF(OR($D74="",$D74&gt;AE$37),$C74,IF((YEAR(AE$37)-$G74)=0,$C74*(1-$F74*$H74),$C74*(1-$F74*$H74)*(1-$F74)^(YEAR(AE$37)-$G74)))))</f>
        <v/>
      </c>
      <c r="AG74" s="171">
        <f>IF(OR($C74="",$D74=""),0,IF(AND($E74&lt;&gt;"",$E74&lt;=AG$37),0,IF((YEAR(AG$37)-$G74)&lt;0,0,IF((YEAR(AG$37)-$G74)=0,$C74*$F74*$H74,$C74*(1-$F74*$H74)*(1-$F74)^((YEAR(AG$37)-$G74)-1)*$F74))))</f>
        <v/>
      </c>
      <c r="AH74" s="172">
        <f>IF($C74="",0,IF(AND($E74&lt;&gt;"",$E74&lt;=AG$37),0,IF(OR($D74="",$D74&gt;AG$37),$C74,IF((YEAR(AG$37)-$G74)=0,$C74*(1-$F74*$H74),$C74*(1-$F74*$H74)*(1-$F74)^(YEAR(AG$37)-$G74)))))</f>
        <v/>
      </c>
      <c r="AI74" s="171">
        <f>IF(OR($C74="",$D74=""),0,IF(AND($E74&lt;&gt;"",$E74&lt;=AI$37),0,IF((YEAR(AI$37)-$G74)&lt;0,0,IF((YEAR(AI$37)-$G74)=0,$C74*$F74*$H74,$C74*(1-$F74*$H74)*(1-$F74)^((YEAR(AI$37)-$G74)-1)*$F74))))</f>
        <v/>
      </c>
      <c r="AJ74" s="172">
        <f>IF($C74="",0,IF(AND($E74&lt;&gt;"",$E74&lt;=AI$37),0,IF(OR($D74="",$D74&gt;AI$37),$C74,IF((YEAR(AI$37)-$G74)=0,$C74*(1-$F74*$H74),$C74*(1-$F74*$H74)*(1-$F74)^(YEAR(AI$37)-$G74)))))</f>
        <v/>
      </c>
      <c r="AK74" s="171">
        <f>IF(OR($C74="",$D74=""),0,IF(AND($E74&lt;&gt;"",$E74&lt;=AK$37),0,IF((YEAR(AK$37)-$G74)&lt;0,0,IF((YEAR(AK$37)-$G74)=0,$C74*$F74*$H74,$C74*(1-$F74*$H74)*(1-$F74)^((YEAR(AK$37)-$G74)-1)*$F74))))</f>
        <v/>
      </c>
      <c r="AL74" s="172">
        <f>IF($C74="",0,IF(AND($E74&lt;&gt;"",$E74&lt;=AK$37),0,IF(OR($D74="",$D74&gt;AK$37),$C74,IF((YEAR(AK$37)-$G74)=0,$C74*(1-$F74*$H74),$C74*(1-$F74*$H74)*(1-$F74)^(YEAR(AK$37)-$G74)))))</f>
        <v/>
      </c>
      <c r="AM74" s="171">
        <f>IF(OR($C74="",$D74=""),0,IF(AND($E74&lt;&gt;"",$E74&lt;=AM$37),0,IF((YEAR(AM$37)-$G74)&lt;0,0,IF((YEAR(AM$37)-$G74)=0,$C74*$F74*$H74,$C74*(1-$F74*$H74)*(1-$F74)^((YEAR(AM$37)-$G74)-1)*$F74))))</f>
        <v/>
      </c>
      <c r="AN74" s="172">
        <f>IF($C74="",0,IF(AND($E74&lt;&gt;"",$E74&lt;=AM$37),0,IF(OR($D74="",$D74&gt;AM$37),$C74,IF((YEAR(AM$37)-$G74)=0,$C74*(1-$F74*$H74),$C74*(1-$F74*$H74)*(1-$F74)^(YEAR(AM$37)-$G74)))))</f>
        <v/>
      </c>
    </row>
    <row r="75">
      <c r="B75" s="132">
        <f>IF(FAR!K42="","",FAR!B42)</f>
        <v/>
      </c>
      <c r="C75" s="81">
        <f>IF(FAR!K42="","",FAR!K42)</f>
        <v/>
      </c>
      <c r="D75" s="134">
        <f>IF(FAR!H42="","",FAR!H42)</f>
        <v/>
      </c>
      <c r="E75" s="136">
        <f>IF(FAR!I42="","",FAR!I42)</f>
        <v/>
      </c>
      <c r="F75" s="173">
        <f>IF(FAR!C42="",0,IFERROR(VLOOKUP(FAR!C42,ScheduleIITable,6,FALSE),0))</f>
        <v/>
      </c>
      <c r="G75" s="135">
        <f>IF($D75="","",YEAR($D75)+IF(MONTH($D75)&gt;=4,1,0))</f>
        <v/>
      </c>
      <c r="H75" s="174">
        <f>IF($D75="","",IF((DATE($G75,3,31)-$D75+1)&gt;=180,1,0.5))</f>
        <v/>
      </c>
      <c r="I75" s="175">
        <f>IF(OR($C75="",$D75=""),0,IF(AND($E75&lt;&gt;"",$E75&lt;=I$37),0,IF((YEAR(I$37)-$G75)&lt;0,0,IF((YEAR(I$37)-$G75)=0,$C75*$F75*$H75,$C75*(1-$F75*$H75)*(1-$F75)^((YEAR(I$37)-$G75)-1)*$F75))))</f>
        <v/>
      </c>
      <c r="J75" s="175">
        <f>IF($C75="",0,IF(AND($E75&lt;&gt;"",$E75&lt;=I$37),0,IF(OR($D75="",$D75&gt;I$37),$C75,IF((YEAR(I$37)-$G75)=0,$C75*(1-$F75*$H75),$C75*(1-$F75*$H75)*(1-$F75)^(YEAR(I$37)-$G75)))))</f>
        <v/>
      </c>
      <c r="K75" s="175">
        <f>IF(OR($C75="",$D75=""),0,IF(AND($E75&lt;&gt;"",$E75&lt;=K$37),0,IF((YEAR(K$37)-$G75)&lt;0,0,IF((YEAR(K$37)-$G75)=0,$C75*$F75*$H75,$C75*(1-$F75*$H75)*(1-$F75)^((YEAR(K$37)-$G75)-1)*$F75))))</f>
        <v/>
      </c>
      <c r="L75" s="175">
        <f>IF($C75="",0,IF(AND($E75&lt;&gt;"",$E75&lt;=K$37),0,IF(OR($D75="",$D75&gt;K$37),$C75,IF((YEAR(K$37)-$G75)=0,$C75*(1-$F75*$H75),$C75*(1-$F75*$H75)*(1-$F75)^(YEAR(K$37)-$G75)))))</f>
        <v/>
      </c>
      <c r="M75" s="175">
        <f>IF(OR($C75="",$D75=""),0,IF(AND($E75&lt;&gt;"",$E75&lt;=M$37),0,IF((YEAR(M$37)-$G75)&lt;0,0,IF((YEAR(M$37)-$G75)=0,$C75*$F75*$H75,$C75*(1-$F75*$H75)*(1-$F75)^((YEAR(M$37)-$G75)-1)*$F75))))</f>
        <v/>
      </c>
      <c r="N75" s="175">
        <f>IF($C75="",0,IF(AND($E75&lt;&gt;"",$E75&lt;=M$37),0,IF(OR($D75="",$D75&gt;M$37),$C75,IF((YEAR(M$37)-$G75)=0,$C75*(1-$F75*$H75),$C75*(1-$F75*$H75)*(1-$F75)^(YEAR(M$37)-$G75)))))</f>
        <v/>
      </c>
      <c r="O75" s="175">
        <f>IF(OR($C75="",$D75=""),0,IF(AND($E75&lt;&gt;"",$E75&lt;=O$37),0,IF((YEAR(O$37)-$G75)&lt;0,0,IF((YEAR(O$37)-$G75)=0,$C75*$F75*$H75,$C75*(1-$F75*$H75)*(1-$F75)^((YEAR(O$37)-$G75)-1)*$F75))))</f>
        <v/>
      </c>
      <c r="P75" s="175">
        <f>IF($C75="",0,IF(AND($E75&lt;&gt;"",$E75&lt;=O$37),0,IF(OR($D75="",$D75&gt;O$37),$C75,IF((YEAR(O$37)-$G75)=0,$C75*(1-$F75*$H75),$C75*(1-$F75*$H75)*(1-$F75)^(YEAR(O$37)-$G75)))))</f>
        <v/>
      </c>
      <c r="Q75" s="175">
        <f>IF(OR($C75="",$D75=""),0,IF(AND($E75&lt;&gt;"",$E75&lt;=Q$37),0,IF((YEAR(Q$37)-$G75)&lt;0,0,IF((YEAR(Q$37)-$G75)=0,$C75*$F75*$H75,$C75*(1-$F75*$H75)*(1-$F75)^((YEAR(Q$37)-$G75)-1)*$F75))))</f>
        <v/>
      </c>
      <c r="R75" s="175">
        <f>IF($C75="",0,IF(AND($E75&lt;&gt;"",$E75&lt;=Q$37),0,IF(OR($D75="",$D75&gt;Q$37),$C75,IF((YEAR(Q$37)-$G75)=0,$C75*(1-$F75*$H75),$C75*(1-$F75*$H75)*(1-$F75)^(YEAR(Q$37)-$G75)))))</f>
        <v/>
      </c>
      <c r="S75" s="175">
        <f>IF(OR($C75="",$D75=""),0,IF(AND($E75&lt;&gt;"",$E75&lt;=S$37),0,IF((YEAR(S$37)-$G75)&lt;0,0,IF((YEAR(S$37)-$G75)=0,$C75*$F75*$H75,$C75*(1-$F75*$H75)*(1-$F75)^((YEAR(S$37)-$G75)-1)*$F75))))</f>
        <v/>
      </c>
      <c r="T75" s="175">
        <f>IF($C75="",0,IF(AND($E75&lt;&gt;"",$E75&lt;=S$37),0,IF(OR($D75="",$D75&gt;S$37),$C75,IF((YEAR(S$37)-$G75)=0,$C75*(1-$F75*$H75),$C75*(1-$F75*$H75)*(1-$F75)^(YEAR(S$37)-$G75)))))</f>
        <v/>
      </c>
      <c r="U75" s="175">
        <f>IF(OR($C75="",$D75=""),0,IF(AND($E75&lt;&gt;"",$E75&lt;=U$37),0,IF((YEAR(U$37)-$G75)&lt;0,0,IF((YEAR(U$37)-$G75)=0,$C75*$F75*$H75,$C75*(1-$F75*$H75)*(1-$F75)^((YEAR(U$37)-$G75)-1)*$F75))))</f>
        <v/>
      </c>
      <c r="V75" s="175">
        <f>IF($C75="",0,IF(AND($E75&lt;&gt;"",$E75&lt;=U$37),0,IF(OR($D75="",$D75&gt;U$37),$C75,IF((YEAR(U$37)-$G75)=0,$C75*(1-$F75*$H75),$C75*(1-$F75*$H75)*(1-$F75)^(YEAR(U$37)-$G75)))))</f>
        <v/>
      </c>
      <c r="W75" s="175">
        <f>IF(OR($C75="",$D75=""),0,IF(AND($E75&lt;&gt;"",$E75&lt;=W$37),0,IF((YEAR(W$37)-$G75)&lt;0,0,IF((YEAR(W$37)-$G75)=0,$C75*$F75*$H75,$C75*(1-$F75*$H75)*(1-$F75)^((YEAR(W$37)-$G75)-1)*$F75))))</f>
        <v/>
      </c>
      <c r="X75" s="175">
        <f>IF($C75="",0,IF(AND($E75&lt;&gt;"",$E75&lt;=W$37),0,IF(OR($D75="",$D75&gt;W$37),$C75,IF((YEAR(W$37)-$G75)=0,$C75*(1-$F75*$H75),$C75*(1-$F75*$H75)*(1-$F75)^(YEAR(W$37)-$G75)))))</f>
        <v/>
      </c>
      <c r="Y75" s="175">
        <f>IF(OR($C75="",$D75=""),0,IF(AND($E75&lt;&gt;"",$E75&lt;=Y$37),0,IF((YEAR(Y$37)-$G75)&lt;0,0,IF((YEAR(Y$37)-$G75)=0,$C75*$F75*$H75,$C75*(1-$F75*$H75)*(1-$F75)^((YEAR(Y$37)-$G75)-1)*$F75))))</f>
        <v/>
      </c>
      <c r="Z75" s="175">
        <f>IF($C75="",0,IF(AND($E75&lt;&gt;"",$E75&lt;=Y$37),0,IF(OR($D75="",$D75&gt;Y$37),$C75,IF((YEAR(Y$37)-$G75)=0,$C75*(1-$F75*$H75),$C75*(1-$F75*$H75)*(1-$F75)^(YEAR(Y$37)-$G75)))))</f>
        <v/>
      </c>
      <c r="AA75" s="175">
        <f>IF(OR($C75="",$D75=""),0,IF(AND($E75&lt;&gt;"",$E75&lt;=AA$37),0,IF((YEAR(AA$37)-$G75)&lt;0,0,IF((YEAR(AA$37)-$G75)=0,$C75*$F75*$H75,$C75*(1-$F75*$H75)*(1-$F75)^((YEAR(AA$37)-$G75)-1)*$F75))))</f>
        <v/>
      </c>
      <c r="AB75" s="175">
        <f>IF($C75="",0,IF(AND($E75&lt;&gt;"",$E75&lt;=AA$37),0,IF(OR($D75="",$D75&gt;AA$37),$C75,IF((YEAR(AA$37)-$G75)=0,$C75*(1-$F75*$H75),$C75*(1-$F75*$H75)*(1-$F75)^(YEAR(AA$37)-$G75)))))</f>
        <v/>
      </c>
      <c r="AC75" s="175">
        <f>IF(OR($C75="",$D75=""),0,IF(AND($E75&lt;&gt;"",$E75&lt;=AC$37),0,IF((YEAR(AC$37)-$G75)&lt;0,0,IF((YEAR(AC$37)-$G75)=0,$C75*$F75*$H75,$C75*(1-$F75*$H75)*(1-$F75)^((YEAR(AC$37)-$G75)-1)*$F75))))</f>
        <v/>
      </c>
      <c r="AD75" s="175">
        <f>IF($C75="",0,IF(AND($E75&lt;&gt;"",$E75&lt;=AC$37),0,IF(OR($D75="",$D75&gt;AC$37),$C75,IF((YEAR(AC$37)-$G75)=0,$C75*(1-$F75*$H75),$C75*(1-$F75*$H75)*(1-$F75)^(YEAR(AC$37)-$G75)))))</f>
        <v/>
      </c>
      <c r="AE75" s="175">
        <f>IF(OR($C75="",$D75=""),0,IF(AND($E75&lt;&gt;"",$E75&lt;=AE$37),0,IF((YEAR(AE$37)-$G75)&lt;0,0,IF((YEAR(AE$37)-$G75)=0,$C75*$F75*$H75,$C75*(1-$F75*$H75)*(1-$F75)^((YEAR(AE$37)-$G75)-1)*$F75))))</f>
        <v/>
      </c>
      <c r="AF75" s="175">
        <f>IF($C75="",0,IF(AND($E75&lt;&gt;"",$E75&lt;=AE$37),0,IF(OR($D75="",$D75&gt;AE$37),$C75,IF((YEAR(AE$37)-$G75)=0,$C75*(1-$F75*$H75),$C75*(1-$F75*$H75)*(1-$F75)^(YEAR(AE$37)-$G75)))))</f>
        <v/>
      </c>
      <c r="AG75" s="175">
        <f>IF(OR($C75="",$D75=""),0,IF(AND($E75&lt;&gt;"",$E75&lt;=AG$37),0,IF((YEAR(AG$37)-$G75)&lt;0,0,IF((YEAR(AG$37)-$G75)=0,$C75*$F75*$H75,$C75*(1-$F75*$H75)*(1-$F75)^((YEAR(AG$37)-$G75)-1)*$F75))))</f>
        <v/>
      </c>
      <c r="AH75" s="175">
        <f>IF($C75="",0,IF(AND($E75&lt;&gt;"",$E75&lt;=AG$37),0,IF(OR($D75="",$D75&gt;AG$37),$C75,IF((YEAR(AG$37)-$G75)=0,$C75*(1-$F75*$H75),$C75*(1-$F75*$H75)*(1-$F75)^(YEAR(AG$37)-$G75)))))</f>
        <v/>
      </c>
      <c r="AI75" s="175">
        <f>IF(OR($C75="",$D75=""),0,IF(AND($E75&lt;&gt;"",$E75&lt;=AI$37),0,IF((YEAR(AI$37)-$G75)&lt;0,0,IF((YEAR(AI$37)-$G75)=0,$C75*$F75*$H75,$C75*(1-$F75*$H75)*(1-$F75)^((YEAR(AI$37)-$G75)-1)*$F75))))</f>
        <v/>
      </c>
      <c r="AJ75" s="175">
        <f>IF($C75="",0,IF(AND($E75&lt;&gt;"",$E75&lt;=AI$37),0,IF(OR($D75="",$D75&gt;AI$37),$C75,IF((YEAR(AI$37)-$G75)=0,$C75*(1-$F75*$H75),$C75*(1-$F75*$H75)*(1-$F75)^(YEAR(AI$37)-$G75)))))</f>
        <v/>
      </c>
      <c r="AK75" s="175">
        <f>IF(OR($C75="",$D75=""),0,IF(AND($E75&lt;&gt;"",$E75&lt;=AK$37),0,IF((YEAR(AK$37)-$G75)&lt;0,0,IF((YEAR(AK$37)-$G75)=0,$C75*$F75*$H75,$C75*(1-$F75*$H75)*(1-$F75)^((YEAR(AK$37)-$G75)-1)*$F75))))</f>
        <v/>
      </c>
      <c r="AL75" s="175">
        <f>IF($C75="",0,IF(AND($E75&lt;&gt;"",$E75&lt;=AK$37),0,IF(OR($D75="",$D75&gt;AK$37),$C75,IF((YEAR(AK$37)-$G75)=0,$C75*(1-$F75*$H75),$C75*(1-$F75*$H75)*(1-$F75)^(YEAR(AK$37)-$G75)))))</f>
        <v/>
      </c>
      <c r="AM75" s="175">
        <f>IF(OR($C75="",$D75=""),0,IF(AND($E75&lt;&gt;"",$E75&lt;=AM$37),0,IF((YEAR(AM$37)-$G75)&lt;0,0,IF((YEAR(AM$37)-$G75)=0,$C75*$F75*$H75,$C75*(1-$F75*$H75)*(1-$F75)^((YEAR(AM$37)-$G75)-1)*$F75))))</f>
        <v/>
      </c>
      <c r="AN75" s="175">
        <f>IF($C75="",0,IF(AND($E75&lt;&gt;"",$E75&lt;=AM$37),0,IF(OR($D75="",$D75&gt;AM$37),$C75,IF((YEAR(AM$37)-$G75)=0,$C75*(1-$F75*$H75),$C75*(1-$F75*$H75)*(1-$F75)^(YEAR(AM$37)-$G75)))))</f>
        <v/>
      </c>
    </row>
    <row r="76">
      <c r="B76" s="126">
        <f>IF(FAR!K43="","",FAR!B43)</f>
        <v/>
      </c>
      <c r="C76" s="63">
        <f>IF(FAR!K43="","",FAR!K43)</f>
        <v/>
      </c>
      <c r="D76" s="128">
        <f>IF(FAR!H43="","",FAR!H43)</f>
        <v/>
      </c>
      <c r="E76" s="130">
        <f>IF(FAR!I43="","",FAR!I43)</f>
        <v/>
      </c>
      <c r="F76" s="169">
        <f>IF(FAR!C43="",0,IFERROR(VLOOKUP(FAR!C43,ScheduleIITable,6,FALSE),0))</f>
        <v/>
      </c>
      <c r="G76" s="129">
        <f>IF($D76="","",YEAR($D76)+IF(MONTH($D76)&gt;=4,1,0))</f>
        <v/>
      </c>
      <c r="H76" s="170">
        <f>IF($D76="","",IF((DATE($G76,3,31)-$D76+1)&gt;=180,1,0.5))</f>
        <v/>
      </c>
      <c r="I76" s="171">
        <f>IF(OR($C76="",$D76=""),0,IF(AND($E76&lt;&gt;"",$E76&lt;=I$37),0,IF((YEAR(I$37)-$G76)&lt;0,0,IF((YEAR(I$37)-$G76)=0,$C76*$F76*$H76,$C76*(1-$F76*$H76)*(1-$F76)^((YEAR(I$37)-$G76)-1)*$F76))))</f>
        <v/>
      </c>
      <c r="J76" s="172">
        <f>IF($C76="",0,IF(AND($E76&lt;&gt;"",$E76&lt;=I$37),0,IF(OR($D76="",$D76&gt;I$37),$C76,IF((YEAR(I$37)-$G76)=0,$C76*(1-$F76*$H76),$C76*(1-$F76*$H76)*(1-$F76)^(YEAR(I$37)-$G76)))))</f>
        <v/>
      </c>
      <c r="K76" s="171">
        <f>IF(OR($C76="",$D76=""),0,IF(AND($E76&lt;&gt;"",$E76&lt;=K$37),0,IF((YEAR(K$37)-$G76)&lt;0,0,IF((YEAR(K$37)-$G76)=0,$C76*$F76*$H76,$C76*(1-$F76*$H76)*(1-$F76)^((YEAR(K$37)-$G76)-1)*$F76))))</f>
        <v/>
      </c>
      <c r="L76" s="172">
        <f>IF($C76="",0,IF(AND($E76&lt;&gt;"",$E76&lt;=K$37),0,IF(OR($D76="",$D76&gt;K$37),$C76,IF((YEAR(K$37)-$G76)=0,$C76*(1-$F76*$H76),$C76*(1-$F76*$H76)*(1-$F76)^(YEAR(K$37)-$G76)))))</f>
        <v/>
      </c>
      <c r="M76" s="171">
        <f>IF(OR($C76="",$D76=""),0,IF(AND($E76&lt;&gt;"",$E76&lt;=M$37),0,IF((YEAR(M$37)-$G76)&lt;0,0,IF((YEAR(M$37)-$G76)=0,$C76*$F76*$H76,$C76*(1-$F76*$H76)*(1-$F76)^((YEAR(M$37)-$G76)-1)*$F76))))</f>
        <v/>
      </c>
      <c r="N76" s="172">
        <f>IF($C76="",0,IF(AND($E76&lt;&gt;"",$E76&lt;=M$37),0,IF(OR($D76="",$D76&gt;M$37),$C76,IF((YEAR(M$37)-$G76)=0,$C76*(1-$F76*$H76),$C76*(1-$F76*$H76)*(1-$F76)^(YEAR(M$37)-$G76)))))</f>
        <v/>
      </c>
      <c r="O76" s="171">
        <f>IF(OR($C76="",$D76=""),0,IF(AND($E76&lt;&gt;"",$E76&lt;=O$37),0,IF((YEAR(O$37)-$G76)&lt;0,0,IF((YEAR(O$37)-$G76)=0,$C76*$F76*$H76,$C76*(1-$F76*$H76)*(1-$F76)^((YEAR(O$37)-$G76)-1)*$F76))))</f>
        <v/>
      </c>
      <c r="P76" s="172">
        <f>IF($C76="",0,IF(AND($E76&lt;&gt;"",$E76&lt;=O$37),0,IF(OR($D76="",$D76&gt;O$37),$C76,IF((YEAR(O$37)-$G76)=0,$C76*(1-$F76*$H76),$C76*(1-$F76*$H76)*(1-$F76)^(YEAR(O$37)-$G76)))))</f>
        <v/>
      </c>
      <c r="Q76" s="171">
        <f>IF(OR($C76="",$D76=""),0,IF(AND($E76&lt;&gt;"",$E76&lt;=Q$37),0,IF((YEAR(Q$37)-$G76)&lt;0,0,IF((YEAR(Q$37)-$G76)=0,$C76*$F76*$H76,$C76*(1-$F76*$H76)*(1-$F76)^((YEAR(Q$37)-$G76)-1)*$F76))))</f>
        <v/>
      </c>
      <c r="R76" s="172">
        <f>IF($C76="",0,IF(AND($E76&lt;&gt;"",$E76&lt;=Q$37),0,IF(OR($D76="",$D76&gt;Q$37),$C76,IF((YEAR(Q$37)-$G76)=0,$C76*(1-$F76*$H76),$C76*(1-$F76*$H76)*(1-$F76)^(YEAR(Q$37)-$G76)))))</f>
        <v/>
      </c>
      <c r="S76" s="171">
        <f>IF(OR($C76="",$D76=""),0,IF(AND($E76&lt;&gt;"",$E76&lt;=S$37),0,IF((YEAR(S$37)-$G76)&lt;0,0,IF((YEAR(S$37)-$G76)=0,$C76*$F76*$H76,$C76*(1-$F76*$H76)*(1-$F76)^((YEAR(S$37)-$G76)-1)*$F76))))</f>
        <v/>
      </c>
      <c r="T76" s="172">
        <f>IF($C76="",0,IF(AND($E76&lt;&gt;"",$E76&lt;=S$37),0,IF(OR($D76="",$D76&gt;S$37),$C76,IF((YEAR(S$37)-$G76)=0,$C76*(1-$F76*$H76),$C76*(1-$F76*$H76)*(1-$F76)^(YEAR(S$37)-$G76)))))</f>
        <v/>
      </c>
      <c r="U76" s="171">
        <f>IF(OR($C76="",$D76=""),0,IF(AND($E76&lt;&gt;"",$E76&lt;=U$37),0,IF((YEAR(U$37)-$G76)&lt;0,0,IF((YEAR(U$37)-$G76)=0,$C76*$F76*$H76,$C76*(1-$F76*$H76)*(1-$F76)^((YEAR(U$37)-$G76)-1)*$F76))))</f>
        <v/>
      </c>
      <c r="V76" s="172">
        <f>IF($C76="",0,IF(AND($E76&lt;&gt;"",$E76&lt;=U$37),0,IF(OR($D76="",$D76&gt;U$37),$C76,IF((YEAR(U$37)-$G76)=0,$C76*(1-$F76*$H76),$C76*(1-$F76*$H76)*(1-$F76)^(YEAR(U$37)-$G76)))))</f>
        <v/>
      </c>
      <c r="W76" s="171">
        <f>IF(OR($C76="",$D76=""),0,IF(AND($E76&lt;&gt;"",$E76&lt;=W$37),0,IF((YEAR(W$37)-$G76)&lt;0,0,IF((YEAR(W$37)-$G76)=0,$C76*$F76*$H76,$C76*(1-$F76*$H76)*(1-$F76)^((YEAR(W$37)-$G76)-1)*$F76))))</f>
        <v/>
      </c>
      <c r="X76" s="172">
        <f>IF($C76="",0,IF(AND($E76&lt;&gt;"",$E76&lt;=W$37),0,IF(OR($D76="",$D76&gt;W$37),$C76,IF((YEAR(W$37)-$G76)=0,$C76*(1-$F76*$H76),$C76*(1-$F76*$H76)*(1-$F76)^(YEAR(W$37)-$G76)))))</f>
        <v/>
      </c>
      <c r="Y76" s="171">
        <f>IF(OR($C76="",$D76=""),0,IF(AND($E76&lt;&gt;"",$E76&lt;=Y$37),0,IF((YEAR(Y$37)-$G76)&lt;0,0,IF((YEAR(Y$37)-$G76)=0,$C76*$F76*$H76,$C76*(1-$F76*$H76)*(1-$F76)^((YEAR(Y$37)-$G76)-1)*$F76))))</f>
        <v/>
      </c>
      <c r="Z76" s="172">
        <f>IF($C76="",0,IF(AND($E76&lt;&gt;"",$E76&lt;=Y$37),0,IF(OR($D76="",$D76&gt;Y$37),$C76,IF((YEAR(Y$37)-$G76)=0,$C76*(1-$F76*$H76),$C76*(1-$F76*$H76)*(1-$F76)^(YEAR(Y$37)-$G76)))))</f>
        <v/>
      </c>
      <c r="AA76" s="171">
        <f>IF(OR($C76="",$D76=""),0,IF(AND($E76&lt;&gt;"",$E76&lt;=AA$37),0,IF((YEAR(AA$37)-$G76)&lt;0,0,IF((YEAR(AA$37)-$G76)=0,$C76*$F76*$H76,$C76*(1-$F76*$H76)*(1-$F76)^((YEAR(AA$37)-$G76)-1)*$F76))))</f>
        <v/>
      </c>
      <c r="AB76" s="172">
        <f>IF($C76="",0,IF(AND($E76&lt;&gt;"",$E76&lt;=AA$37),0,IF(OR($D76="",$D76&gt;AA$37),$C76,IF((YEAR(AA$37)-$G76)=0,$C76*(1-$F76*$H76),$C76*(1-$F76*$H76)*(1-$F76)^(YEAR(AA$37)-$G76)))))</f>
        <v/>
      </c>
      <c r="AC76" s="171">
        <f>IF(OR($C76="",$D76=""),0,IF(AND($E76&lt;&gt;"",$E76&lt;=AC$37),0,IF((YEAR(AC$37)-$G76)&lt;0,0,IF((YEAR(AC$37)-$G76)=0,$C76*$F76*$H76,$C76*(1-$F76*$H76)*(1-$F76)^((YEAR(AC$37)-$G76)-1)*$F76))))</f>
        <v/>
      </c>
      <c r="AD76" s="172">
        <f>IF($C76="",0,IF(AND($E76&lt;&gt;"",$E76&lt;=AC$37),0,IF(OR($D76="",$D76&gt;AC$37),$C76,IF((YEAR(AC$37)-$G76)=0,$C76*(1-$F76*$H76),$C76*(1-$F76*$H76)*(1-$F76)^(YEAR(AC$37)-$G76)))))</f>
        <v/>
      </c>
      <c r="AE76" s="171">
        <f>IF(OR($C76="",$D76=""),0,IF(AND($E76&lt;&gt;"",$E76&lt;=AE$37),0,IF((YEAR(AE$37)-$G76)&lt;0,0,IF((YEAR(AE$37)-$G76)=0,$C76*$F76*$H76,$C76*(1-$F76*$H76)*(1-$F76)^((YEAR(AE$37)-$G76)-1)*$F76))))</f>
        <v/>
      </c>
      <c r="AF76" s="172">
        <f>IF($C76="",0,IF(AND($E76&lt;&gt;"",$E76&lt;=AE$37),0,IF(OR($D76="",$D76&gt;AE$37),$C76,IF((YEAR(AE$37)-$G76)=0,$C76*(1-$F76*$H76),$C76*(1-$F76*$H76)*(1-$F76)^(YEAR(AE$37)-$G76)))))</f>
        <v/>
      </c>
      <c r="AG76" s="171">
        <f>IF(OR($C76="",$D76=""),0,IF(AND($E76&lt;&gt;"",$E76&lt;=AG$37),0,IF((YEAR(AG$37)-$G76)&lt;0,0,IF((YEAR(AG$37)-$G76)=0,$C76*$F76*$H76,$C76*(1-$F76*$H76)*(1-$F76)^((YEAR(AG$37)-$G76)-1)*$F76))))</f>
        <v/>
      </c>
      <c r="AH76" s="172">
        <f>IF($C76="",0,IF(AND($E76&lt;&gt;"",$E76&lt;=AG$37),0,IF(OR($D76="",$D76&gt;AG$37),$C76,IF((YEAR(AG$37)-$G76)=0,$C76*(1-$F76*$H76),$C76*(1-$F76*$H76)*(1-$F76)^(YEAR(AG$37)-$G76)))))</f>
        <v/>
      </c>
      <c r="AI76" s="171">
        <f>IF(OR($C76="",$D76=""),0,IF(AND($E76&lt;&gt;"",$E76&lt;=AI$37),0,IF((YEAR(AI$37)-$G76)&lt;0,0,IF((YEAR(AI$37)-$G76)=0,$C76*$F76*$H76,$C76*(1-$F76*$H76)*(1-$F76)^((YEAR(AI$37)-$G76)-1)*$F76))))</f>
        <v/>
      </c>
      <c r="AJ76" s="172">
        <f>IF($C76="",0,IF(AND($E76&lt;&gt;"",$E76&lt;=AI$37),0,IF(OR($D76="",$D76&gt;AI$37),$C76,IF((YEAR(AI$37)-$G76)=0,$C76*(1-$F76*$H76),$C76*(1-$F76*$H76)*(1-$F76)^(YEAR(AI$37)-$G76)))))</f>
        <v/>
      </c>
      <c r="AK76" s="171">
        <f>IF(OR($C76="",$D76=""),0,IF(AND($E76&lt;&gt;"",$E76&lt;=AK$37),0,IF((YEAR(AK$37)-$G76)&lt;0,0,IF((YEAR(AK$37)-$G76)=0,$C76*$F76*$H76,$C76*(1-$F76*$H76)*(1-$F76)^((YEAR(AK$37)-$G76)-1)*$F76))))</f>
        <v/>
      </c>
      <c r="AL76" s="172">
        <f>IF($C76="",0,IF(AND($E76&lt;&gt;"",$E76&lt;=AK$37),0,IF(OR($D76="",$D76&gt;AK$37),$C76,IF((YEAR(AK$37)-$G76)=0,$C76*(1-$F76*$H76),$C76*(1-$F76*$H76)*(1-$F76)^(YEAR(AK$37)-$G76)))))</f>
        <v/>
      </c>
      <c r="AM76" s="171">
        <f>IF(OR($C76="",$D76=""),0,IF(AND($E76&lt;&gt;"",$E76&lt;=AM$37),0,IF((YEAR(AM$37)-$G76)&lt;0,0,IF((YEAR(AM$37)-$G76)=0,$C76*$F76*$H76,$C76*(1-$F76*$H76)*(1-$F76)^((YEAR(AM$37)-$G76)-1)*$F76))))</f>
        <v/>
      </c>
      <c r="AN76" s="172">
        <f>IF($C76="",0,IF(AND($E76&lt;&gt;"",$E76&lt;=AM$37),0,IF(OR($D76="",$D76&gt;AM$37),$C76,IF((YEAR(AM$37)-$G76)=0,$C76*(1-$F76*$H76),$C76*(1-$F76*$H76)*(1-$F76)^(YEAR(AM$37)-$G76)))))</f>
        <v/>
      </c>
    </row>
    <row r="77">
      <c r="B77" s="132">
        <f>IF(FAR!K44="","",FAR!B44)</f>
        <v/>
      </c>
      <c r="C77" s="81">
        <f>IF(FAR!K44="","",FAR!K44)</f>
        <v/>
      </c>
      <c r="D77" s="134">
        <f>IF(FAR!H44="","",FAR!H44)</f>
        <v/>
      </c>
      <c r="E77" s="136">
        <f>IF(FAR!I44="","",FAR!I44)</f>
        <v/>
      </c>
      <c r="F77" s="173">
        <f>IF(FAR!C44="",0,IFERROR(VLOOKUP(FAR!C44,ScheduleIITable,6,FALSE),0))</f>
        <v/>
      </c>
      <c r="G77" s="135">
        <f>IF($D77="","",YEAR($D77)+IF(MONTH($D77)&gt;=4,1,0))</f>
        <v/>
      </c>
      <c r="H77" s="174">
        <f>IF($D77="","",IF((DATE($G77,3,31)-$D77+1)&gt;=180,1,0.5))</f>
        <v/>
      </c>
      <c r="I77" s="175">
        <f>IF(OR($C77="",$D77=""),0,IF(AND($E77&lt;&gt;"",$E77&lt;=I$37),0,IF((YEAR(I$37)-$G77)&lt;0,0,IF((YEAR(I$37)-$G77)=0,$C77*$F77*$H77,$C77*(1-$F77*$H77)*(1-$F77)^((YEAR(I$37)-$G77)-1)*$F77))))</f>
        <v/>
      </c>
      <c r="J77" s="175">
        <f>IF($C77="",0,IF(AND($E77&lt;&gt;"",$E77&lt;=I$37),0,IF(OR($D77="",$D77&gt;I$37),$C77,IF((YEAR(I$37)-$G77)=0,$C77*(1-$F77*$H77),$C77*(1-$F77*$H77)*(1-$F77)^(YEAR(I$37)-$G77)))))</f>
        <v/>
      </c>
      <c r="K77" s="175">
        <f>IF(OR($C77="",$D77=""),0,IF(AND($E77&lt;&gt;"",$E77&lt;=K$37),0,IF((YEAR(K$37)-$G77)&lt;0,0,IF((YEAR(K$37)-$G77)=0,$C77*$F77*$H77,$C77*(1-$F77*$H77)*(1-$F77)^((YEAR(K$37)-$G77)-1)*$F77))))</f>
        <v/>
      </c>
      <c r="L77" s="175">
        <f>IF($C77="",0,IF(AND($E77&lt;&gt;"",$E77&lt;=K$37),0,IF(OR($D77="",$D77&gt;K$37),$C77,IF((YEAR(K$37)-$G77)=0,$C77*(1-$F77*$H77),$C77*(1-$F77*$H77)*(1-$F77)^(YEAR(K$37)-$G77)))))</f>
        <v/>
      </c>
      <c r="M77" s="175">
        <f>IF(OR($C77="",$D77=""),0,IF(AND($E77&lt;&gt;"",$E77&lt;=M$37),0,IF((YEAR(M$37)-$G77)&lt;0,0,IF((YEAR(M$37)-$G77)=0,$C77*$F77*$H77,$C77*(1-$F77*$H77)*(1-$F77)^((YEAR(M$37)-$G77)-1)*$F77))))</f>
        <v/>
      </c>
      <c r="N77" s="175">
        <f>IF($C77="",0,IF(AND($E77&lt;&gt;"",$E77&lt;=M$37),0,IF(OR($D77="",$D77&gt;M$37),$C77,IF((YEAR(M$37)-$G77)=0,$C77*(1-$F77*$H77),$C77*(1-$F77*$H77)*(1-$F77)^(YEAR(M$37)-$G77)))))</f>
        <v/>
      </c>
      <c r="O77" s="175">
        <f>IF(OR($C77="",$D77=""),0,IF(AND($E77&lt;&gt;"",$E77&lt;=O$37),0,IF((YEAR(O$37)-$G77)&lt;0,0,IF((YEAR(O$37)-$G77)=0,$C77*$F77*$H77,$C77*(1-$F77*$H77)*(1-$F77)^((YEAR(O$37)-$G77)-1)*$F77))))</f>
        <v/>
      </c>
      <c r="P77" s="175">
        <f>IF($C77="",0,IF(AND($E77&lt;&gt;"",$E77&lt;=O$37),0,IF(OR($D77="",$D77&gt;O$37),$C77,IF((YEAR(O$37)-$G77)=0,$C77*(1-$F77*$H77),$C77*(1-$F77*$H77)*(1-$F77)^(YEAR(O$37)-$G77)))))</f>
        <v/>
      </c>
      <c r="Q77" s="175">
        <f>IF(OR($C77="",$D77=""),0,IF(AND($E77&lt;&gt;"",$E77&lt;=Q$37),0,IF((YEAR(Q$37)-$G77)&lt;0,0,IF((YEAR(Q$37)-$G77)=0,$C77*$F77*$H77,$C77*(1-$F77*$H77)*(1-$F77)^((YEAR(Q$37)-$G77)-1)*$F77))))</f>
        <v/>
      </c>
      <c r="R77" s="175">
        <f>IF($C77="",0,IF(AND($E77&lt;&gt;"",$E77&lt;=Q$37),0,IF(OR($D77="",$D77&gt;Q$37),$C77,IF((YEAR(Q$37)-$G77)=0,$C77*(1-$F77*$H77),$C77*(1-$F77*$H77)*(1-$F77)^(YEAR(Q$37)-$G77)))))</f>
        <v/>
      </c>
      <c r="S77" s="175">
        <f>IF(OR($C77="",$D77=""),0,IF(AND($E77&lt;&gt;"",$E77&lt;=S$37),0,IF((YEAR(S$37)-$G77)&lt;0,0,IF((YEAR(S$37)-$G77)=0,$C77*$F77*$H77,$C77*(1-$F77*$H77)*(1-$F77)^((YEAR(S$37)-$G77)-1)*$F77))))</f>
        <v/>
      </c>
      <c r="T77" s="175">
        <f>IF($C77="",0,IF(AND($E77&lt;&gt;"",$E77&lt;=S$37),0,IF(OR($D77="",$D77&gt;S$37),$C77,IF((YEAR(S$37)-$G77)=0,$C77*(1-$F77*$H77),$C77*(1-$F77*$H77)*(1-$F77)^(YEAR(S$37)-$G77)))))</f>
        <v/>
      </c>
      <c r="U77" s="175">
        <f>IF(OR($C77="",$D77=""),0,IF(AND($E77&lt;&gt;"",$E77&lt;=U$37),0,IF((YEAR(U$37)-$G77)&lt;0,0,IF((YEAR(U$37)-$G77)=0,$C77*$F77*$H77,$C77*(1-$F77*$H77)*(1-$F77)^((YEAR(U$37)-$G77)-1)*$F77))))</f>
        <v/>
      </c>
      <c r="V77" s="175">
        <f>IF($C77="",0,IF(AND($E77&lt;&gt;"",$E77&lt;=U$37),0,IF(OR($D77="",$D77&gt;U$37),$C77,IF((YEAR(U$37)-$G77)=0,$C77*(1-$F77*$H77),$C77*(1-$F77*$H77)*(1-$F77)^(YEAR(U$37)-$G77)))))</f>
        <v/>
      </c>
      <c r="W77" s="175">
        <f>IF(OR($C77="",$D77=""),0,IF(AND($E77&lt;&gt;"",$E77&lt;=W$37),0,IF((YEAR(W$37)-$G77)&lt;0,0,IF((YEAR(W$37)-$G77)=0,$C77*$F77*$H77,$C77*(1-$F77*$H77)*(1-$F77)^((YEAR(W$37)-$G77)-1)*$F77))))</f>
        <v/>
      </c>
      <c r="X77" s="175">
        <f>IF($C77="",0,IF(AND($E77&lt;&gt;"",$E77&lt;=W$37),0,IF(OR($D77="",$D77&gt;W$37),$C77,IF((YEAR(W$37)-$G77)=0,$C77*(1-$F77*$H77),$C77*(1-$F77*$H77)*(1-$F77)^(YEAR(W$37)-$G77)))))</f>
        <v/>
      </c>
      <c r="Y77" s="175">
        <f>IF(OR($C77="",$D77=""),0,IF(AND($E77&lt;&gt;"",$E77&lt;=Y$37),0,IF((YEAR(Y$37)-$G77)&lt;0,0,IF((YEAR(Y$37)-$G77)=0,$C77*$F77*$H77,$C77*(1-$F77*$H77)*(1-$F77)^((YEAR(Y$37)-$G77)-1)*$F77))))</f>
        <v/>
      </c>
      <c r="Z77" s="175">
        <f>IF($C77="",0,IF(AND($E77&lt;&gt;"",$E77&lt;=Y$37),0,IF(OR($D77="",$D77&gt;Y$37),$C77,IF((YEAR(Y$37)-$G77)=0,$C77*(1-$F77*$H77),$C77*(1-$F77*$H77)*(1-$F77)^(YEAR(Y$37)-$G77)))))</f>
        <v/>
      </c>
      <c r="AA77" s="175">
        <f>IF(OR($C77="",$D77=""),0,IF(AND($E77&lt;&gt;"",$E77&lt;=AA$37),0,IF((YEAR(AA$37)-$G77)&lt;0,0,IF((YEAR(AA$37)-$G77)=0,$C77*$F77*$H77,$C77*(1-$F77*$H77)*(1-$F77)^((YEAR(AA$37)-$G77)-1)*$F77))))</f>
        <v/>
      </c>
      <c r="AB77" s="175">
        <f>IF($C77="",0,IF(AND($E77&lt;&gt;"",$E77&lt;=AA$37),0,IF(OR($D77="",$D77&gt;AA$37),$C77,IF((YEAR(AA$37)-$G77)=0,$C77*(1-$F77*$H77),$C77*(1-$F77*$H77)*(1-$F77)^(YEAR(AA$37)-$G77)))))</f>
        <v/>
      </c>
      <c r="AC77" s="175">
        <f>IF(OR($C77="",$D77=""),0,IF(AND($E77&lt;&gt;"",$E77&lt;=AC$37),0,IF((YEAR(AC$37)-$G77)&lt;0,0,IF((YEAR(AC$37)-$G77)=0,$C77*$F77*$H77,$C77*(1-$F77*$H77)*(1-$F77)^((YEAR(AC$37)-$G77)-1)*$F77))))</f>
        <v/>
      </c>
      <c r="AD77" s="175">
        <f>IF($C77="",0,IF(AND($E77&lt;&gt;"",$E77&lt;=AC$37),0,IF(OR($D77="",$D77&gt;AC$37),$C77,IF((YEAR(AC$37)-$G77)=0,$C77*(1-$F77*$H77),$C77*(1-$F77*$H77)*(1-$F77)^(YEAR(AC$37)-$G77)))))</f>
        <v/>
      </c>
      <c r="AE77" s="175">
        <f>IF(OR($C77="",$D77=""),0,IF(AND($E77&lt;&gt;"",$E77&lt;=AE$37),0,IF((YEAR(AE$37)-$G77)&lt;0,0,IF((YEAR(AE$37)-$G77)=0,$C77*$F77*$H77,$C77*(1-$F77*$H77)*(1-$F77)^((YEAR(AE$37)-$G77)-1)*$F77))))</f>
        <v/>
      </c>
      <c r="AF77" s="175">
        <f>IF($C77="",0,IF(AND($E77&lt;&gt;"",$E77&lt;=AE$37),0,IF(OR($D77="",$D77&gt;AE$37),$C77,IF((YEAR(AE$37)-$G77)=0,$C77*(1-$F77*$H77),$C77*(1-$F77*$H77)*(1-$F77)^(YEAR(AE$37)-$G77)))))</f>
        <v/>
      </c>
      <c r="AG77" s="175">
        <f>IF(OR($C77="",$D77=""),0,IF(AND($E77&lt;&gt;"",$E77&lt;=AG$37),0,IF((YEAR(AG$37)-$G77)&lt;0,0,IF((YEAR(AG$37)-$G77)=0,$C77*$F77*$H77,$C77*(1-$F77*$H77)*(1-$F77)^((YEAR(AG$37)-$G77)-1)*$F77))))</f>
        <v/>
      </c>
      <c r="AH77" s="175">
        <f>IF($C77="",0,IF(AND($E77&lt;&gt;"",$E77&lt;=AG$37),0,IF(OR($D77="",$D77&gt;AG$37),$C77,IF((YEAR(AG$37)-$G77)=0,$C77*(1-$F77*$H77),$C77*(1-$F77*$H77)*(1-$F77)^(YEAR(AG$37)-$G77)))))</f>
        <v/>
      </c>
      <c r="AI77" s="175">
        <f>IF(OR($C77="",$D77=""),0,IF(AND($E77&lt;&gt;"",$E77&lt;=AI$37),0,IF((YEAR(AI$37)-$G77)&lt;0,0,IF((YEAR(AI$37)-$G77)=0,$C77*$F77*$H77,$C77*(1-$F77*$H77)*(1-$F77)^((YEAR(AI$37)-$G77)-1)*$F77))))</f>
        <v/>
      </c>
      <c r="AJ77" s="175">
        <f>IF($C77="",0,IF(AND($E77&lt;&gt;"",$E77&lt;=AI$37),0,IF(OR($D77="",$D77&gt;AI$37),$C77,IF((YEAR(AI$37)-$G77)=0,$C77*(1-$F77*$H77),$C77*(1-$F77*$H77)*(1-$F77)^(YEAR(AI$37)-$G77)))))</f>
        <v/>
      </c>
      <c r="AK77" s="175">
        <f>IF(OR($C77="",$D77=""),0,IF(AND($E77&lt;&gt;"",$E77&lt;=AK$37),0,IF((YEAR(AK$37)-$G77)&lt;0,0,IF((YEAR(AK$37)-$G77)=0,$C77*$F77*$H77,$C77*(1-$F77*$H77)*(1-$F77)^((YEAR(AK$37)-$G77)-1)*$F77))))</f>
        <v/>
      </c>
      <c r="AL77" s="175">
        <f>IF($C77="",0,IF(AND($E77&lt;&gt;"",$E77&lt;=AK$37),0,IF(OR($D77="",$D77&gt;AK$37),$C77,IF((YEAR(AK$37)-$G77)=0,$C77*(1-$F77*$H77),$C77*(1-$F77*$H77)*(1-$F77)^(YEAR(AK$37)-$G77)))))</f>
        <v/>
      </c>
      <c r="AM77" s="175">
        <f>IF(OR($C77="",$D77=""),0,IF(AND($E77&lt;&gt;"",$E77&lt;=AM$37),0,IF((YEAR(AM$37)-$G77)&lt;0,0,IF((YEAR(AM$37)-$G77)=0,$C77*$F77*$H77,$C77*(1-$F77*$H77)*(1-$F77)^((YEAR(AM$37)-$G77)-1)*$F77))))</f>
        <v/>
      </c>
      <c r="AN77" s="175">
        <f>IF($C77="",0,IF(AND($E77&lt;&gt;"",$E77&lt;=AM$37),0,IF(OR($D77="",$D77&gt;AM$37),$C77,IF((YEAR(AM$37)-$G77)=0,$C77*(1-$F77*$H77),$C77*(1-$F77*$H77)*(1-$F77)^(YEAR(AM$37)-$G77)))))</f>
        <v/>
      </c>
    </row>
    <row r="78">
      <c r="B78" s="126">
        <f>IF(FAR!K45="","",FAR!B45)</f>
        <v/>
      </c>
      <c r="C78" s="63">
        <f>IF(FAR!K45="","",FAR!K45)</f>
        <v/>
      </c>
      <c r="D78" s="128">
        <f>IF(FAR!H45="","",FAR!H45)</f>
        <v/>
      </c>
      <c r="E78" s="130">
        <f>IF(FAR!I45="","",FAR!I45)</f>
        <v/>
      </c>
      <c r="F78" s="169">
        <f>IF(FAR!C45="",0,IFERROR(VLOOKUP(FAR!C45,ScheduleIITable,6,FALSE),0))</f>
        <v/>
      </c>
      <c r="G78" s="129">
        <f>IF($D78="","",YEAR($D78)+IF(MONTH($D78)&gt;=4,1,0))</f>
        <v/>
      </c>
      <c r="H78" s="170">
        <f>IF($D78="","",IF((DATE($G78,3,31)-$D78+1)&gt;=180,1,0.5))</f>
        <v/>
      </c>
      <c r="I78" s="171">
        <f>IF(OR($C78="",$D78=""),0,IF(AND($E78&lt;&gt;"",$E78&lt;=I$37),0,IF((YEAR(I$37)-$G78)&lt;0,0,IF((YEAR(I$37)-$G78)=0,$C78*$F78*$H78,$C78*(1-$F78*$H78)*(1-$F78)^((YEAR(I$37)-$G78)-1)*$F78))))</f>
        <v/>
      </c>
      <c r="J78" s="172">
        <f>IF($C78="",0,IF(AND($E78&lt;&gt;"",$E78&lt;=I$37),0,IF(OR($D78="",$D78&gt;I$37),$C78,IF((YEAR(I$37)-$G78)=0,$C78*(1-$F78*$H78),$C78*(1-$F78*$H78)*(1-$F78)^(YEAR(I$37)-$G78)))))</f>
        <v/>
      </c>
      <c r="K78" s="171">
        <f>IF(OR($C78="",$D78=""),0,IF(AND($E78&lt;&gt;"",$E78&lt;=K$37),0,IF((YEAR(K$37)-$G78)&lt;0,0,IF((YEAR(K$37)-$G78)=0,$C78*$F78*$H78,$C78*(1-$F78*$H78)*(1-$F78)^((YEAR(K$37)-$G78)-1)*$F78))))</f>
        <v/>
      </c>
      <c r="L78" s="172">
        <f>IF($C78="",0,IF(AND($E78&lt;&gt;"",$E78&lt;=K$37),0,IF(OR($D78="",$D78&gt;K$37),$C78,IF((YEAR(K$37)-$G78)=0,$C78*(1-$F78*$H78),$C78*(1-$F78*$H78)*(1-$F78)^(YEAR(K$37)-$G78)))))</f>
        <v/>
      </c>
      <c r="M78" s="171">
        <f>IF(OR($C78="",$D78=""),0,IF(AND($E78&lt;&gt;"",$E78&lt;=M$37),0,IF((YEAR(M$37)-$G78)&lt;0,0,IF((YEAR(M$37)-$G78)=0,$C78*$F78*$H78,$C78*(1-$F78*$H78)*(1-$F78)^((YEAR(M$37)-$G78)-1)*$F78))))</f>
        <v/>
      </c>
      <c r="N78" s="172">
        <f>IF($C78="",0,IF(AND($E78&lt;&gt;"",$E78&lt;=M$37),0,IF(OR($D78="",$D78&gt;M$37),$C78,IF((YEAR(M$37)-$G78)=0,$C78*(1-$F78*$H78),$C78*(1-$F78*$H78)*(1-$F78)^(YEAR(M$37)-$G78)))))</f>
        <v/>
      </c>
      <c r="O78" s="171">
        <f>IF(OR($C78="",$D78=""),0,IF(AND($E78&lt;&gt;"",$E78&lt;=O$37),0,IF((YEAR(O$37)-$G78)&lt;0,0,IF((YEAR(O$37)-$G78)=0,$C78*$F78*$H78,$C78*(1-$F78*$H78)*(1-$F78)^((YEAR(O$37)-$G78)-1)*$F78))))</f>
        <v/>
      </c>
      <c r="P78" s="172">
        <f>IF($C78="",0,IF(AND($E78&lt;&gt;"",$E78&lt;=O$37),0,IF(OR($D78="",$D78&gt;O$37),$C78,IF((YEAR(O$37)-$G78)=0,$C78*(1-$F78*$H78),$C78*(1-$F78*$H78)*(1-$F78)^(YEAR(O$37)-$G78)))))</f>
        <v/>
      </c>
      <c r="Q78" s="171">
        <f>IF(OR($C78="",$D78=""),0,IF(AND($E78&lt;&gt;"",$E78&lt;=Q$37),0,IF((YEAR(Q$37)-$G78)&lt;0,0,IF((YEAR(Q$37)-$G78)=0,$C78*$F78*$H78,$C78*(1-$F78*$H78)*(1-$F78)^((YEAR(Q$37)-$G78)-1)*$F78))))</f>
        <v/>
      </c>
      <c r="R78" s="172">
        <f>IF($C78="",0,IF(AND($E78&lt;&gt;"",$E78&lt;=Q$37),0,IF(OR($D78="",$D78&gt;Q$37),$C78,IF((YEAR(Q$37)-$G78)=0,$C78*(1-$F78*$H78),$C78*(1-$F78*$H78)*(1-$F78)^(YEAR(Q$37)-$G78)))))</f>
        <v/>
      </c>
      <c r="S78" s="171">
        <f>IF(OR($C78="",$D78=""),0,IF(AND($E78&lt;&gt;"",$E78&lt;=S$37),0,IF((YEAR(S$37)-$G78)&lt;0,0,IF((YEAR(S$37)-$G78)=0,$C78*$F78*$H78,$C78*(1-$F78*$H78)*(1-$F78)^((YEAR(S$37)-$G78)-1)*$F78))))</f>
        <v/>
      </c>
      <c r="T78" s="172">
        <f>IF($C78="",0,IF(AND($E78&lt;&gt;"",$E78&lt;=S$37),0,IF(OR($D78="",$D78&gt;S$37),$C78,IF((YEAR(S$37)-$G78)=0,$C78*(1-$F78*$H78),$C78*(1-$F78*$H78)*(1-$F78)^(YEAR(S$37)-$G78)))))</f>
        <v/>
      </c>
      <c r="U78" s="171">
        <f>IF(OR($C78="",$D78=""),0,IF(AND($E78&lt;&gt;"",$E78&lt;=U$37),0,IF((YEAR(U$37)-$G78)&lt;0,0,IF((YEAR(U$37)-$G78)=0,$C78*$F78*$H78,$C78*(1-$F78*$H78)*(1-$F78)^((YEAR(U$37)-$G78)-1)*$F78))))</f>
        <v/>
      </c>
      <c r="V78" s="172">
        <f>IF($C78="",0,IF(AND($E78&lt;&gt;"",$E78&lt;=U$37),0,IF(OR($D78="",$D78&gt;U$37),$C78,IF((YEAR(U$37)-$G78)=0,$C78*(1-$F78*$H78),$C78*(1-$F78*$H78)*(1-$F78)^(YEAR(U$37)-$G78)))))</f>
        <v/>
      </c>
      <c r="W78" s="171">
        <f>IF(OR($C78="",$D78=""),0,IF(AND($E78&lt;&gt;"",$E78&lt;=W$37),0,IF((YEAR(W$37)-$G78)&lt;0,0,IF((YEAR(W$37)-$G78)=0,$C78*$F78*$H78,$C78*(1-$F78*$H78)*(1-$F78)^((YEAR(W$37)-$G78)-1)*$F78))))</f>
        <v/>
      </c>
      <c r="X78" s="172">
        <f>IF($C78="",0,IF(AND($E78&lt;&gt;"",$E78&lt;=W$37),0,IF(OR($D78="",$D78&gt;W$37),$C78,IF((YEAR(W$37)-$G78)=0,$C78*(1-$F78*$H78),$C78*(1-$F78*$H78)*(1-$F78)^(YEAR(W$37)-$G78)))))</f>
        <v/>
      </c>
      <c r="Y78" s="171">
        <f>IF(OR($C78="",$D78=""),0,IF(AND($E78&lt;&gt;"",$E78&lt;=Y$37),0,IF((YEAR(Y$37)-$G78)&lt;0,0,IF((YEAR(Y$37)-$G78)=0,$C78*$F78*$H78,$C78*(1-$F78*$H78)*(1-$F78)^((YEAR(Y$37)-$G78)-1)*$F78))))</f>
        <v/>
      </c>
      <c r="Z78" s="172">
        <f>IF($C78="",0,IF(AND($E78&lt;&gt;"",$E78&lt;=Y$37),0,IF(OR($D78="",$D78&gt;Y$37),$C78,IF((YEAR(Y$37)-$G78)=0,$C78*(1-$F78*$H78),$C78*(1-$F78*$H78)*(1-$F78)^(YEAR(Y$37)-$G78)))))</f>
        <v/>
      </c>
      <c r="AA78" s="171">
        <f>IF(OR($C78="",$D78=""),0,IF(AND($E78&lt;&gt;"",$E78&lt;=AA$37),0,IF((YEAR(AA$37)-$G78)&lt;0,0,IF((YEAR(AA$37)-$G78)=0,$C78*$F78*$H78,$C78*(1-$F78*$H78)*(1-$F78)^((YEAR(AA$37)-$G78)-1)*$F78))))</f>
        <v/>
      </c>
      <c r="AB78" s="172">
        <f>IF($C78="",0,IF(AND($E78&lt;&gt;"",$E78&lt;=AA$37),0,IF(OR($D78="",$D78&gt;AA$37),$C78,IF((YEAR(AA$37)-$G78)=0,$C78*(1-$F78*$H78),$C78*(1-$F78*$H78)*(1-$F78)^(YEAR(AA$37)-$G78)))))</f>
        <v/>
      </c>
      <c r="AC78" s="171">
        <f>IF(OR($C78="",$D78=""),0,IF(AND($E78&lt;&gt;"",$E78&lt;=AC$37),0,IF((YEAR(AC$37)-$G78)&lt;0,0,IF((YEAR(AC$37)-$G78)=0,$C78*$F78*$H78,$C78*(1-$F78*$H78)*(1-$F78)^((YEAR(AC$37)-$G78)-1)*$F78))))</f>
        <v/>
      </c>
      <c r="AD78" s="172">
        <f>IF($C78="",0,IF(AND($E78&lt;&gt;"",$E78&lt;=AC$37),0,IF(OR($D78="",$D78&gt;AC$37),$C78,IF((YEAR(AC$37)-$G78)=0,$C78*(1-$F78*$H78),$C78*(1-$F78*$H78)*(1-$F78)^(YEAR(AC$37)-$G78)))))</f>
        <v/>
      </c>
      <c r="AE78" s="171">
        <f>IF(OR($C78="",$D78=""),0,IF(AND($E78&lt;&gt;"",$E78&lt;=AE$37),0,IF((YEAR(AE$37)-$G78)&lt;0,0,IF((YEAR(AE$37)-$G78)=0,$C78*$F78*$H78,$C78*(1-$F78*$H78)*(1-$F78)^((YEAR(AE$37)-$G78)-1)*$F78))))</f>
        <v/>
      </c>
      <c r="AF78" s="172">
        <f>IF($C78="",0,IF(AND($E78&lt;&gt;"",$E78&lt;=AE$37),0,IF(OR($D78="",$D78&gt;AE$37),$C78,IF((YEAR(AE$37)-$G78)=0,$C78*(1-$F78*$H78),$C78*(1-$F78*$H78)*(1-$F78)^(YEAR(AE$37)-$G78)))))</f>
        <v/>
      </c>
      <c r="AG78" s="171">
        <f>IF(OR($C78="",$D78=""),0,IF(AND($E78&lt;&gt;"",$E78&lt;=AG$37),0,IF((YEAR(AG$37)-$G78)&lt;0,0,IF((YEAR(AG$37)-$G78)=0,$C78*$F78*$H78,$C78*(1-$F78*$H78)*(1-$F78)^((YEAR(AG$37)-$G78)-1)*$F78))))</f>
        <v/>
      </c>
      <c r="AH78" s="172">
        <f>IF($C78="",0,IF(AND($E78&lt;&gt;"",$E78&lt;=AG$37),0,IF(OR($D78="",$D78&gt;AG$37),$C78,IF((YEAR(AG$37)-$G78)=0,$C78*(1-$F78*$H78),$C78*(1-$F78*$H78)*(1-$F78)^(YEAR(AG$37)-$G78)))))</f>
        <v/>
      </c>
      <c r="AI78" s="171">
        <f>IF(OR($C78="",$D78=""),0,IF(AND($E78&lt;&gt;"",$E78&lt;=AI$37),0,IF((YEAR(AI$37)-$G78)&lt;0,0,IF((YEAR(AI$37)-$G78)=0,$C78*$F78*$H78,$C78*(1-$F78*$H78)*(1-$F78)^((YEAR(AI$37)-$G78)-1)*$F78))))</f>
        <v/>
      </c>
      <c r="AJ78" s="172">
        <f>IF($C78="",0,IF(AND($E78&lt;&gt;"",$E78&lt;=AI$37),0,IF(OR($D78="",$D78&gt;AI$37),$C78,IF((YEAR(AI$37)-$G78)=0,$C78*(1-$F78*$H78),$C78*(1-$F78*$H78)*(1-$F78)^(YEAR(AI$37)-$G78)))))</f>
        <v/>
      </c>
      <c r="AK78" s="171">
        <f>IF(OR($C78="",$D78=""),0,IF(AND($E78&lt;&gt;"",$E78&lt;=AK$37),0,IF((YEAR(AK$37)-$G78)&lt;0,0,IF((YEAR(AK$37)-$G78)=0,$C78*$F78*$H78,$C78*(1-$F78*$H78)*(1-$F78)^((YEAR(AK$37)-$G78)-1)*$F78))))</f>
        <v/>
      </c>
      <c r="AL78" s="172">
        <f>IF($C78="",0,IF(AND($E78&lt;&gt;"",$E78&lt;=AK$37),0,IF(OR($D78="",$D78&gt;AK$37),$C78,IF((YEAR(AK$37)-$G78)=0,$C78*(1-$F78*$H78),$C78*(1-$F78*$H78)*(1-$F78)^(YEAR(AK$37)-$G78)))))</f>
        <v/>
      </c>
      <c r="AM78" s="171">
        <f>IF(OR($C78="",$D78=""),0,IF(AND($E78&lt;&gt;"",$E78&lt;=AM$37),0,IF((YEAR(AM$37)-$G78)&lt;0,0,IF((YEAR(AM$37)-$G78)=0,$C78*$F78*$H78,$C78*(1-$F78*$H78)*(1-$F78)^((YEAR(AM$37)-$G78)-1)*$F78))))</f>
        <v/>
      </c>
      <c r="AN78" s="172">
        <f>IF($C78="",0,IF(AND($E78&lt;&gt;"",$E78&lt;=AM$37),0,IF(OR($D78="",$D78&gt;AM$37),$C78,IF((YEAR(AM$37)-$G78)=0,$C78*(1-$F78*$H78),$C78*(1-$F78*$H78)*(1-$F78)^(YEAR(AM$37)-$G78)))))</f>
        <v/>
      </c>
    </row>
    <row r="79">
      <c r="B79" s="132">
        <f>IF(FAR!K46="","",FAR!B46)</f>
        <v/>
      </c>
      <c r="C79" s="81">
        <f>IF(FAR!K46="","",FAR!K46)</f>
        <v/>
      </c>
      <c r="D79" s="134">
        <f>IF(FAR!H46="","",FAR!H46)</f>
        <v/>
      </c>
      <c r="E79" s="136">
        <f>IF(FAR!I46="","",FAR!I46)</f>
        <v/>
      </c>
      <c r="F79" s="173">
        <f>IF(FAR!C46="",0,IFERROR(VLOOKUP(FAR!C46,ScheduleIITable,6,FALSE),0))</f>
        <v/>
      </c>
      <c r="G79" s="135">
        <f>IF($D79="","",YEAR($D79)+IF(MONTH($D79)&gt;=4,1,0))</f>
        <v/>
      </c>
      <c r="H79" s="174">
        <f>IF($D79="","",IF((DATE($G79,3,31)-$D79+1)&gt;=180,1,0.5))</f>
        <v/>
      </c>
      <c r="I79" s="175">
        <f>IF(OR($C79="",$D79=""),0,IF(AND($E79&lt;&gt;"",$E79&lt;=I$37),0,IF((YEAR(I$37)-$G79)&lt;0,0,IF((YEAR(I$37)-$G79)=0,$C79*$F79*$H79,$C79*(1-$F79*$H79)*(1-$F79)^((YEAR(I$37)-$G79)-1)*$F79))))</f>
        <v/>
      </c>
      <c r="J79" s="175">
        <f>IF($C79="",0,IF(AND($E79&lt;&gt;"",$E79&lt;=I$37),0,IF(OR($D79="",$D79&gt;I$37),$C79,IF((YEAR(I$37)-$G79)=0,$C79*(1-$F79*$H79),$C79*(1-$F79*$H79)*(1-$F79)^(YEAR(I$37)-$G79)))))</f>
        <v/>
      </c>
      <c r="K79" s="175">
        <f>IF(OR($C79="",$D79=""),0,IF(AND($E79&lt;&gt;"",$E79&lt;=K$37),0,IF((YEAR(K$37)-$G79)&lt;0,0,IF((YEAR(K$37)-$G79)=0,$C79*$F79*$H79,$C79*(1-$F79*$H79)*(1-$F79)^((YEAR(K$37)-$G79)-1)*$F79))))</f>
        <v/>
      </c>
      <c r="L79" s="175">
        <f>IF($C79="",0,IF(AND($E79&lt;&gt;"",$E79&lt;=K$37),0,IF(OR($D79="",$D79&gt;K$37),$C79,IF((YEAR(K$37)-$G79)=0,$C79*(1-$F79*$H79),$C79*(1-$F79*$H79)*(1-$F79)^(YEAR(K$37)-$G79)))))</f>
        <v/>
      </c>
      <c r="M79" s="175">
        <f>IF(OR($C79="",$D79=""),0,IF(AND($E79&lt;&gt;"",$E79&lt;=M$37),0,IF((YEAR(M$37)-$G79)&lt;0,0,IF((YEAR(M$37)-$G79)=0,$C79*$F79*$H79,$C79*(1-$F79*$H79)*(1-$F79)^((YEAR(M$37)-$G79)-1)*$F79))))</f>
        <v/>
      </c>
      <c r="N79" s="175">
        <f>IF($C79="",0,IF(AND($E79&lt;&gt;"",$E79&lt;=M$37),0,IF(OR($D79="",$D79&gt;M$37),$C79,IF((YEAR(M$37)-$G79)=0,$C79*(1-$F79*$H79),$C79*(1-$F79*$H79)*(1-$F79)^(YEAR(M$37)-$G79)))))</f>
        <v/>
      </c>
      <c r="O79" s="175">
        <f>IF(OR($C79="",$D79=""),0,IF(AND($E79&lt;&gt;"",$E79&lt;=O$37),0,IF((YEAR(O$37)-$G79)&lt;0,0,IF((YEAR(O$37)-$G79)=0,$C79*$F79*$H79,$C79*(1-$F79*$H79)*(1-$F79)^((YEAR(O$37)-$G79)-1)*$F79))))</f>
        <v/>
      </c>
      <c r="P79" s="175">
        <f>IF($C79="",0,IF(AND($E79&lt;&gt;"",$E79&lt;=O$37),0,IF(OR($D79="",$D79&gt;O$37),$C79,IF((YEAR(O$37)-$G79)=0,$C79*(1-$F79*$H79),$C79*(1-$F79*$H79)*(1-$F79)^(YEAR(O$37)-$G79)))))</f>
        <v/>
      </c>
      <c r="Q79" s="175">
        <f>IF(OR($C79="",$D79=""),0,IF(AND($E79&lt;&gt;"",$E79&lt;=Q$37),0,IF((YEAR(Q$37)-$G79)&lt;0,0,IF((YEAR(Q$37)-$G79)=0,$C79*$F79*$H79,$C79*(1-$F79*$H79)*(1-$F79)^((YEAR(Q$37)-$G79)-1)*$F79))))</f>
        <v/>
      </c>
      <c r="R79" s="175">
        <f>IF($C79="",0,IF(AND($E79&lt;&gt;"",$E79&lt;=Q$37),0,IF(OR($D79="",$D79&gt;Q$37),$C79,IF((YEAR(Q$37)-$G79)=0,$C79*(1-$F79*$H79),$C79*(1-$F79*$H79)*(1-$F79)^(YEAR(Q$37)-$G79)))))</f>
        <v/>
      </c>
      <c r="S79" s="175">
        <f>IF(OR($C79="",$D79=""),0,IF(AND($E79&lt;&gt;"",$E79&lt;=S$37),0,IF((YEAR(S$37)-$G79)&lt;0,0,IF((YEAR(S$37)-$G79)=0,$C79*$F79*$H79,$C79*(1-$F79*$H79)*(1-$F79)^((YEAR(S$37)-$G79)-1)*$F79))))</f>
        <v/>
      </c>
      <c r="T79" s="175">
        <f>IF($C79="",0,IF(AND($E79&lt;&gt;"",$E79&lt;=S$37),0,IF(OR($D79="",$D79&gt;S$37),$C79,IF((YEAR(S$37)-$G79)=0,$C79*(1-$F79*$H79),$C79*(1-$F79*$H79)*(1-$F79)^(YEAR(S$37)-$G79)))))</f>
        <v/>
      </c>
      <c r="U79" s="175">
        <f>IF(OR($C79="",$D79=""),0,IF(AND($E79&lt;&gt;"",$E79&lt;=U$37),0,IF((YEAR(U$37)-$G79)&lt;0,0,IF((YEAR(U$37)-$G79)=0,$C79*$F79*$H79,$C79*(1-$F79*$H79)*(1-$F79)^((YEAR(U$37)-$G79)-1)*$F79))))</f>
        <v/>
      </c>
      <c r="V79" s="175">
        <f>IF($C79="",0,IF(AND($E79&lt;&gt;"",$E79&lt;=U$37),0,IF(OR($D79="",$D79&gt;U$37),$C79,IF((YEAR(U$37)-$G79)=0,$C79*(1-$F79*$H79),$C79*(1-$F79*$H79)*(1-$F79)^(YEAR(U$37)-$G79)))))</f>
        <v/>
      </c>
      <c r="W79" s="175">
        <f>IF(OR($C79="",$D79=""),0,IF(AND($E79&lt;&gt;"",$E79&lt;=W$37),0,IF((YEAR(W$37)-$G79)&lt;0,0,IF((YEAR(W$37)-$G79)=0,$C79*$F79*$H79,$C79*(1-$F79*$H79)*(1-$F79)^((YEAR(W$37)-$G79)-1)*$F79))))</f>
        <v/>
      </c>
      <c r="X79" s="175">
        <f>IF($C79="",0,IF(AND($E79&lt;&gt;"",$E79&lt;=W$37),0,IF(OR($D79="",$D79&gt;W$37),$C79,IF((YEAR(W$37)-$G79)=0,$C79*(1-$F79*$H79),$C79*(1-$F79*$H79)*(1-$F79)^(YEAR(W$37)-$G79)))))</f>
        <v/>
      </c>
      <c r="Y79" s="175">
        <f>IF(OR($C79="",$D79=""),0,IF(AND($E79&lt;&gt;"",$E79&lt;=Y$37),0,IF((YEAR(Y$37)-$G79)&lt;0,0,IF((YEAR(Y$37)-$G79)=0,$C79*$F79*$H79,$C79*(1-$F79*$H79)*(1-$F79)^((YEAR(Y$37)-$G79)-1)*$F79))))</f>
        <v/>
      </c>
      <c r="Z79" s="175">
        <f>IF($C79="",0,IF(AND($E79&lt;&gt;"",$E79&lt;=Y$37),0,IF(OR($D79="",$D79&gt;Y$37),$C79,IF((YEAR(Y$37)-$G79)=0,$C79*(1-$F79*$H79),$C79*(1-$F79*$H79)*(1-$F79)^(YEAR(Y$37)-$G79)))))</f>
        <v/>
      </c>
      <c r="AA79" s="175">
        <f>IF(OR($C79="",$D79=""),0,IF(AND($E79&lt;&gt;"",$E79&lt;=AA$37),0,IF((YEAR(AA$37)-$G79)&lt;0,0,IF((YEAR(AA$37)-$G79)=0,$C79*$F79*$H79,$C79*(1-$F79*$H79)*(1-$F79)^((YEAR(AA$37)-$G79)-1)*$F79))))</f>
        <v/>
      </c>
      <c r="AB79" s="175">
        <f>IF($C79="",0,IF(AND($E79&lt;&gt;"",$E79&lt;=AA$37),0,IF(OR($D79="",$D79&gt;AA$37),$C79,IF((YEAR(AA$37)-$G79)=0,$C79*(1-$F79*$H79),$C79*(1-$F79*$H79)*(1-$F79)^(YEAR(AA$37)-$G79)))))</f>
        <v/>
      </c>
      <c r="AC79" s="175">
        <f>IF(OR($C79="",$D79=""),0,IF(AND($E79&lt;&gt;"",$E79&lt;=AC$37),0,IF((YEAR(AC$37)-$G79)&lt;0,0,IF((YEAR(AC$37)-$G79)=0,$C79*$F79*$H79,$C79*(1-$F79*$H79)*(1-$F79)^((YEAR(AC$37)-$G79)-1)*$F79))))</f>
        <v/>
      </c>
      <c r="AD79" s="175">
        <f>IF($C79="",0,IF(AND($E79&lt;&gt;"",$E79&lt;=AC$37),0,IF(OR($D79="",$D79&gt;AC$37),$C79,IF((YEAR(AC$37)-$G79)=0,$C79*(1-$F79*$H79),$C79*(1-$F79*$H79)*(1-$F79)^(YEAR(AC$37)-$G79)))))</f>
        <v/>
      </c>
      <c r="AE79" s="175">
        <f>IF(OR($C79="",$D79=""),0,IF(AND($E79&lt;&gt;"",$E79&lt;=AE$37),0,IF((YEAR(AE$37)-$G79)&lt;0,0,IF((YEAR(AE$37)-$G79)=0,$C79*$F79*$H79,$C79*(1-$F79*$H79)*(1-$F79)^((YEAR(AE$37)-$G79)-1)*$F79))))</f>
        <v/>
      </c>
      <c r="AF79" s="175">
        <f>IF($C79="",0,IF(AND($E79&lt;&gt;"",$E79&lt;=AE$37),0,IF(OR($D79="",$D79&gt;AE$37),$C79,IF((YEAR(AE$37)-$G79)=0,$C79*(1-$F79*$H79),$C79*(1-$F79*$H79)*(1-$F79)^(YEAR(AE$37)-$G79)))))</f>
        <v/>
      </c>
      <c r="AG79" s="175">
        <f>IF(OR($C79="",$D79=""),0,IF(AND($E79&lt;&gt;"",$E79&lt;=AG$37),0,IF((YEAR(AG$37)-$G79)&lt;0,0,IF((YEAR(AG$37)-$G79)=0,$C79*$F79*$H79,$C79*(1-$F79*$H79)*(1-$F79)^((YEAR(AG$37)-$G79)-1)*$F79))))</f>
        <v/>
      </c>
      <c r="AH79" s="175">
        <f>IF($C79="",0,IF(AND($E79&lt;&gt;"",$E79&lt;=AG$37),0,IF(OR($D79="",$D79&gt;AG$37),$C79,IF((YEAR(AG$37)-$G79)=0,$C79*(1-$F79*$H79),$C79*(1-$F79*$H79)*(1-$F79)^(YEAR(AG$37)-$G79)))))</f>
        <v/>
      </c>
      <c r="AI79" s="175">
        <f>IF(OR($C79="",$D79=""),0,IF(AND($E79&lt;&gt;"",$E79&lt;=AI$37),0,IF((YEAR(AI$37)-$G79)&lt;0,0,IF((YEAR(AI$37)-$G79)=0,$C79*$F79*$H79,$C79*(1-$F79*$H79)*(1-$F79)^((YEAR(AI$37)-$G79)-1)*$F79))))</f>
        <v/>
      </c>
      <c r="AJ79" s="175">
        <f>IF($C79="",0,IF(AND($E79&lt;&gt;"",$E79&lt;=AI$37),0,IF(OR($D79="",$D79&gt;AI$37),$C79,IF((YEAR(AI$37)-$G79)=0,$C79*(1-$F79*$H79),$C79*(1-$F79*$H79)*(1-$F79)^(YEAR(AI$37)-$G79)))))</f>
        <v/>
      </c>
      <c r="AK79" s="175">
        <f>IF(OR($C79="",$D79=""),0,IF(AND($E79&lt;&gt;"",$E79&lt;=AK$37),0,IF((YEAR(AK$37)-$G79)&lt;0,0,IF((YEAR(AK$37)-$G79)=0,$C79*$F79*$H79,$C79*(1-$F79*$H79)*(1-$F79)^((YEAR(AK$37)-$G79)-1)*$F79))))</f>
        <v/>
      </c>
      <c r="AL79" s="175">
        <f>IF($C79="",0,IF(AND($E79&lt;&gt;"",$E79&lt;=AK$37),0,IF(OR($D79="",$D79&gt;AK$37),$C79,IF((YEAR(AK$37)-$G79)=0,$C79*(1-$F79*$H79),$C79*(1-$F79*$H79)*(1-$F79)^(YEAR(AK$37)-$G79)))))</f>
        <v/>
      </c>
      <c r="AM79" s="175">
        <f>IF(OR($C79="",$D79=""),0,IF(AND($E79&lt;&gt;"",$E79&lt;=AM$37),0,IF((YEAR(AM$37)-$G79)&lt;0,0,IF((YEAR(AM$37)-$G79)=0,$C79*$F79*$H79,$C79*(1-$F79*$H79)*(1-$F79)^((YEAR(AM$37)-$G79)-1)*$F79))))</f>
        <v/>
      </c>
      <c r="AN79" s="175">
        <f>IF($C79="",0,IF(AND($E79&lt;&gt;"",$E79&lt;=AM$37),0,IF(OR($D79="",$D79&gt;AM$37),$C79,IF((YEAR(AM$37)-$G79)=0,$C79*(1-$F79*$H79),$C79*(1-$F79*$H79)*(1-$F79)^(YEAR(AM$37)-$G79)))))</f>
        <v/>
      </c>
    </row>
    <row r="80">
      <c r="B80" s="126">
        <f>IF(FAR!K47="","",FAR!B47)</f>
        <v/>
      </c>
      <c r="C80" s="63">
        <f>IF(FAR!K47="","",FAR!K47)</f>
        <v/>
      </c>
      <c r="D80" s="128">
        <f>IF(FAR!H47="","",FAR!H47)</f>
        <v/>
      </c>
      <c r="E80" s="130">
        <f>IF(FAR!I47="","",FAR!I47)</f>
        <v/>
      </c>
      <c r="F80" s="169">
        <f>IF(FAR!C47="",0,IFERROR(VLOOKUP(FAR!C47,ScheduleIITable,6,FALSE),0))</f>
        <v/>
      </c>
      <c r="G80" s="129">
        <f>IF($D80="","",YEAR($D80)+IF(MONTH($D80)&gt;=4,1,0))</f>
        <v/>
      </c>
      <c r="H80" s="170">
        <f>IF($D80="","",IF((DATE($G80,3,31)-$D80+1)&gt;=180,1,0.5))</f>
        <v/>
      </c>
      <c r="I80" s="171">
        <f>IF(OR($C80="",$D80=""),0,IF(AND($E80&lt;&gt;"",$E80&lt;=I$37),0,IF((YEAR(I$37)-$G80)&lt;0,0,IF((YEAR(I$37)-$G80)=0,$C80*$F80*$H80,$C80*(1-$F80*$H80)*(1-$F80)^((YEAR(I$37)-$G80)-1)*$F80))))</f>
        <v/>
      </c>
      <c r="J80" s="172">
        <f>IF($C80="",0,IF(AND($E80&lt;&gt;"",$E80&lt;=I$37),0,IF(OR($D80="",$D80&gt;I$37),$C80,IF((YEAR(I$37)-$G80)=0,$C80*(1-$F80*$H80),$C80*(1-$F80*$H80)*(1-$F80)^(YEAR(I$37)-$G80)))))</f>
        <v/>
      </c>
      <c r="K80" s="171">
        <f>IF(OR($C80="",$D80=""),0,IF(AND($E80&lt;&gt;"",$E80&lt;=K$37),0,IF((YEAR(K$37)-$G80)&lt;0,0,IF((YEAR(K$37)-$G80)=0,$C80*$F80*$H80,$C80*(1-$F80*$H80)*(1-$F80)^((YEAR(K$37)-$G80)-1)*$F80))))</f>
        <v/>
      </c>
      <c r="L80" s="172">
        <f>IF($C80="",0,IF(AND($E80&lt;&gt;"",$E80&lt;=K$37),0,IF(OR($D80="",$D80&gt;K$37),$C80,IF((YEAR(K$37)-$G80)=0,$C80*(1-$F80*$H80),$C80*(1-$F80*$H80)*(1-$F80)^(YEAR(K$37)-$G80)))))</f>
        <v/>
      </c>
      <c r="M80" s="171">
        <f>IF(OR($C80="",$D80=""),0,IF(AND($E80&lt;&gt;"",$E80&lt;=M$37),0,IF((YEAR(M$37)-$G80)&lt;0,0,IF((YEAR(M$37)-$G80)=0,$C80*$F80*$H80,$C80*(1-$F80*$H80)*(1-$F80)^((YEAR(M$37)-$G80)-1)*$F80))))</f>
        <v/>
      </c>
      <c r="N80" s="172">
        <f>IF($C80="",0,IF(AND($E80&lt;&gt;"",$E80&lt;=M$37),0,IF(OR($D80="",$D80&gt;M$37),$C80,IF((YEAR(M$37)-$G80)=0,$C80*(1-$F80*$H80),$C80*(1-$F80*$H80)*(1-$F80)^(YEAR(M$37)-$G80)))))</f>
        <v/>
      </c>
      <c r="O80" s="171">
        <f>IF(OR($C80="",$D80=""),0,IF(AND($E80&lt;&gt;"",$E80&lt;=O$37),0,IF((YEAR(O$37)-$G80)&lt;0,0,IF((YEAR(O$37)-$G80)=0,$C80*$F80*$H80,$C80*(1-$F80*$H80)*(1-$F80)^((YEAR(O$37)-$G80)-1)*$F80))))</f>
        <v/>
      </c>
      <c r="P80" s="172">
        <f>IF($C80="",0,IF(AND($E80&lt;&gt;"",$E80&lt;=O$37),0,IF(OR($D80="",$D80&gt;O$37),$C80,IF((YEAR(O$37)-$G80)=0,$C80*(1-$F80*$H80),$C80*(1-$F80*$H80)*(1-$F80)^(YEAR(O$37)-$G80)))))</f>
        <v/>
      </c>
      <c r="Q80" s="171">
        <f>IF(OR($C80="",$D80=""),0,IF(AND($E80&lt;&gt;"",$E80&lt;=Q$37),0,IF((YEAR(Q$37)-$G80)&lt;0,0,IF((YEAR(Q$37)-$G80)=0,$C80*$F80*$H80,$C80*(1-$F80*$H80)*(1-$F80)^((YEAR(Q$37)-$G80)-1)*$F80))))</f>
        <v/>
      </c>
      <c r="R80" s="172">
        <f>IF($C80="",0,IF(AND($E80&lt;&gt;"",$E80&lt;=Q$37),0,IF(OR($D80="",$D80&gt;Q$37),$C80,IF((YEAR(Q$37)-$G80)=0,$C80*(1-$F80*$H80),$C80*(1-$F80*$H80)*(1-$F80)^(YEAR(Q$37)-$G80)))))</f>
        <v/>
      </c>
      <c r="S80" s="171">
        <f>IF(OR($C80="",$D80=""),0,IF(AND($E80&lt;&gt;"",$E80&lt;=S$37),0,IF((YEAR(S$37)-$G80)&lt;0,0,IF((YEAR(S$37)-$G80)=0,$C80*$F80*$H80,$C80*(1-$F80*$H80)*(1-$F80)^((YEAR(S$37)-$G80)-1)*$F80))))</f>
        <v/>
      </c>
      <c r="T80" s="172">
        <f>IF($C80="",0,IF(AND($E80&lt;&gt;"",$E80&lt;=S$37),0,IF(OR($D80="",$D80&gt;S$37),$C80,IF((YEAR(S$37)-$G80)=0,$C80*(1-$F80*$H80),$C80*(1-$F80*$H80)*(1-$F80)^(YEAR(S$37)-$G80)))))</f>
        <v/>
      </c>
      <c r="U80" s="171">
        <f>IF(OR($C80="",$D80=""),0,IF(AND($E80&lt;&gt;"",$E80&lt;=U$37),0,IF((YEAR(U$37)-$G80)&lt;0,0,IF((YEAR(U$37)-$G80)=0,$C80*$F80*$H80,$C80*(1-$F80*$H80)*(1-$F80)^((YEAR(U$37)-$G80)-1)*$F80))))</f>
        <v/>
      </c>
      <c r="V80" s="172">
        <f>IF($C80="",0,IF(AND($E80&lt;&gt;"",$E80&lt;=U$37),0,IF(OR($D80="",$D80&gt;U$37),$C80,IF((YEAR(U$37)-$G80)=0,$C80*(1-$F80*$H80),$C80*(1-$F80*$H80)*(1-$F80)^(YEAR(U$37)-$G80)))))</f>
        <v/>
      </c>
      <c r="W80" s="171">
        <f>IF(OR($C80="",$D80=""),0,IF(AND($E80&lt;&gt;"",$E80&lt;=W$37),0,IF((YEAR(W$37)-$G80)&lt;0,0,IF((YEAR(W$37)-$G80)=0,$C80*$F80*$H80,$C80*(1-$F80*$H80)*(1-$F80)^((YEAR(W$37)-$G80)-1)*$F80))))</f>
        <v/>
      </c>
      <c r="X80" s="172">
        <f>IF($C80="",0,IF(AND($E80&lt;&gt;"",$E80&lt;=W$37),0,IF(OR($D80="",$D80&gt;W$37),$C80,IF((YEAR(W$37)-$G80)=0,$C80*(1-$F80*$H80),$C80*(1-$F80*$H80)*(1-$F80)^(YEAR(W$37)-$G80)))))</f>
        <v/>
      </c>
      <c r="Y80" s="171">
        <f>IF(OR($C80="",$D80=""),0,IF(AND($E80&lt;&gt;"",$E80&lt;=Y$37),0,IF((YEAR(Y$37)-$G80)&lt;0,0,IF((YEAR(Y$37)-$G80)=0,$C80*$F80*$H80,$C80*(1-$F80*$H80)*(1-$F80)^((YEAR(Y$37)-$G80)-1)*$F80))))</f>
        <v/>
      </c>
      <c r="Z80" s="172">
        <f>IF($C80="",0,IF(AND($E80&lt;&gt;"",$E80&lt;=Y$37),0,IF(OR($D80="",$D80&gt;Y$37),$C80,IF((YEAR(Y$37)-$G80)=0,$C80*(1-$F80*$H80),$C80*(1-$F80*$H80)*(1-$F80)^(YEAR(Y$37)-$G80)))))</f>
        <v/>
      </c>
      <c r="AA80" s="171">
        <f>IF(OR($C80="",$D80=""),0,IF(AND($E80&lt;&gt;"",$E80&lt;=AA$37),0,IF((YEAR(AA$37)-$G80)&lt;0,0,IF((YEAR(AA$37)-$G80)=0,$C80*$F80*$H80,$C80*(1-$F80*$H80)*(1-$F80)^((YEAR(AA$37)-$G80)-1)*$F80))))</f>
        <v/>
      </c>
      <c r="AB80" s="172">
        <f>IF($C80="",0,IF(AND($E80&lt;&gt;"",$E80&lt;=AA$37),0,IF(OR($D80="",$D80&gt;AA$37),$C80,IF((YEAR(AA$37)-$G80)=0,$C80*(1-$F80*$H80),$C80*(1-$F80*$H80)*(1-$F80)^(YEAR(AA$37)-$G80)))))</f>
        <v/>
      </c>
      <c r="AC80" s="171">
        <f>IF(OR($C80="",$D80=""),0,IF(AND($E80&lt;&gt;"",$E80&lt;=AC$37),0,IF((YEAR(AC$37)-$G80)&lt;0,0,IF((YEAR(AC$37)-$G80)=0,$C80*$F80*$H80,$C80*(1-$F80*$H80)*(1-$F80)^((YEAR(AC$37)-$G80)-1)*$F80))))</f>
        <v/>
      </c>
      <c r="AD80" s="172">
        <f>IF($C80="",0,IF(AND($E80&lt;&gt;"",$E80&lt;=AC$37),0,IF(OR($D80="",$D80&gt;AC$37),$C80,IF((YEAR(AC$37)-$G80)=0,$C80*(1-$F80*$H80),$C80*(1-$F80*$H80)*(1-$F80)^(YEAR(AC$37)-$G80)))))</f>
        <v/>
      </c>
      <c r="AE80" s="171">
        <f>IF(OR($C80="",$D80=""),0,IF(AND($E80&lt;&gt;"",$E80&lt;=AE$37),0,IF((YEAR(AE$37)-$G80)&lt;0,0,IF((YEAR(AE$37)-$G80)=0,$C80*$F80*$H80,$C80*(1-$F80*$H80)*(1-$F80)^((YEAR(AE$37)-$G80)-1)*$F80))))</f>
        <v/>
      </c>
      <c r="AF80" s="172">
        <f>IF($C80="",0,IF(AND($E80&lt;&gt;"",$E80&lt;=AE$37),0,IF(OR($D80="",$D80&gt;AE$37),$C80,IF((YEAR(AE$37)-$G80)=0,$C80*(1-$F80*$H80),$C80*(1-$F80*$H80)*(1-$F80)^(YEAR(AE$37)-$G80)))))</f>
        <v/>
      </c>
      <c r="AG80" s="171">
        <f>IF(OR($C80="",$D80=""),0,IF(AND($E80&lt;&gt;"",$E80&lt;=AG$37),0,IF((YEAR(AG$37)-$G80)&lt;0,0,IF((YEAR(AG$37)-$G80)=0,$C80*$F80*$H80,$C80*(1-$F80*$H80)*(1-$F80)^((YEAR(AG$37)-$G80)-1)*$F80))))</f>
        <v/>
      </c>
      <c r="AH80" s="172">
        <f>IF($C80="",0,IF(AND($E80&lt;&gt;"",$E80&lt;=AG$37),0,IF(OR($D80="",$D80&gt;AG$37),$C80,IF((YEAR(AG$37)-$G80)=0,$C80*(1-$F80*$H80),$C80*(1-$F80*$H80)*(1-$F80)^(YEAR(AG$37)-$G80)))))</f>
        <v/>
      </c>
      <c r="AI80" s="171">
        <f>IF(OR($C80="",$D80=""),0,IF(AND($E80&lt;&gt;"",$E80&lt;=AI$37),0,IF((YEAR(AI$37)-$G80)&lt;0,0,IF((YEAR(AI$37)-$G80)=0,$C80*$F80*$H80,$C80*(1-$F80*$H80)*(1-$F80)^((YEAR(AI$37)-$G80)-1)*$F80))))</f>
        <v/>
      </c>
      <c r="AJ80" s="172">
        <f>IF($C80="",0,IF(AND($E80&lt;&gt;"",$E80&lt;=AI$37),0,IF(OR($D80="",$D80&gt;AI$37),$C80,IF((YEAR(AI$37)-$G80)=0,$C80*(1-$F80*$H80),$C80*(1-$F80*$H80)*(1-$F80)^(YEAR(AI$37)-$G80)))))</f>
        <v/>
      </c>
      <c r="AK80" s="171">
        <f>IF(OR($C80="",$D80=""),0,IF(AND($E80&lt;&gt;"",$E80&lt;=AK$37),0,IF((YEAR(AK$37)-$G80)&lt;0,0,IF((YEAR(AK$37)-$G80)=0,$C80*$F80*$H80,$C80*(1-$F80*$H80)*(1-$F80)^((YEAR(AK$37)-$G80)-1)*$F80))))</f>
        <v/>
      </c>
      <c r="AL80" s="172">
        <f>IF($C80="",0,IF(AND($E80&lt;&gt;"",$E80&lt;=AK$37),0,IF(OR($D80="",$D80&gt;AK$37),$C80,IF((YEAR(AK$37)-$G80)=0,$C80*(1-$F80*$H80),$C80*(1-$F80*$H80)*(1-$F80)^(YEAR(AK$37)-$G80)))))</f>
        <v/>
      </c>
      <c r="AM80" s="171">
        <f>IF(OR($C80="",$D80=""),0,IF(AND($E80&lt;&gt;"",$E80&lt;=AM$37),0,IF((YEAR(AM$37)-$G80)&lt;0,0,IF((YEAR(AM$37)-$G80)=0,$C80*$F80*$H80,$C80*(1-$F80*$H80)*(1-$F80)^((YEAR(AM$37)-$G80)-1)*$F80))))</f>
        <v/>
      </c>
      <c r="AN80" s="172">
        <f>IF($C80="",0,IF(AND($E80&lt;&gt;"",$E80&lt;=AM$37),0,IF(OR($D80="",$D80&gt;AM$37),$C80,IF((YEAR(AM$37)-$G80)=0,$C80*(1-$F80*$H80),$C80*(1-$F80*$H80)*(1-$F80)^(YEAR(AM$37)-$G80)))))</f>
        <v/>
      </c>
    </row>
    <row r="81">
      <c r="B81" s="132">
        <f>IF(FAR!K48="","",FAR!B48)</f>
        <v/>
      </c>
      <c r="C81" s="81">
        <f>IF(FAR!K48="","",FAR!K48)</f>
        <v/>
      </c>
      <c r="D81" s="134">
        <f>IF(FAR!H48="","",FAR!H48)</f>
        <v/>
      </c>
      <c r="E81" s="136">
        <f>IF(FAR!I48="","",FAR!I48)</f>
        <v/>
      </c>
      <c r="F81" s="173">
        <f>IF(FAR!C48="",0,IFERROR(VLOOKUP(FAR!C48,ScheduleIITable,6,FALSE),0))</f>
        <v/>
      </c>
      <c r="G81" s="135">
        <f>IF($D81="","",YEAR($D81)+IF(MONTH($D81)&gt;=4,1,0))</f>
        <v/>
      </c>
      <c r="H81" s="174">
        <f>IF($D81="","",IF((DATE($G81,3,31)-$D81+1)&gt;=180,1,0.5))</f>
        <v/>
      </c>
      <c r="I81" s="175">
        <f>IF(OR($C81="",$D81=""),0,IF(AND($E81&lt;&gt;"",$E81&lt;=I$37),0,IF((YEAR(I$37)-$G81)&lt;0,0,IF((YEAR(I$37)-$G81)=0,$C81*$F81*$H81,$C81*(1-$F81*$H81)*(1-$F81)^((YEAR(I$37)-$G81)-1)*$F81))))</f>
        <v/>
      </c>
      <c r="J81" s="175">
        <f>IF($C81="",0,IF(AND($E81&lt;&gt;"",$E81&lt;=I$37),0,IF(OR($D81="",$D81&gt;I$37),$C81,IF((YEAR(I$37)-$G81)=0,$C81*(1-$F81*$H81),$C81*(1-$F81*$H81)*(1-$F81)^(YEAR(I$37)-$G81)))))</f>
        <v/>
      </c>
      <c r="K81" s="175">
        <f>IF(OR($C81="",$D81=""),0,IF(AND($E81&lt;&gt;"",$E81&lt;=K$37),0,IF((YEAR(K$37)-$G81)&lt;0,0,IF((YEAR(K$37)-$G81)=0,$C81*$F81*$H81,$C81*(1-$F81*$H81)*(1-$F81)^((YEAR(K$37)-$G81)-1)*$F81))))</f>
        <v/>
      </c>
      <c r="L81" s="175">
        <f>IF($C81="",0,IF(AND($E81&lt;&gt;"",$E81&lt;=K$37),0,IF(OR($D81="",$D81&gt;K$37),$C81,IF((YEAR(K$37)-$G81)=0,$C81*(1-$F81*$H81),$C81*(1-$F81*$H81)*(1-$F81)^(YEAR(K$37)-$G81)))))</f>
        <v/>
      </c>
      <c r="M81" s="175">
        <f>IF(OR($C81="",$D81=""),0,IF(AND($E81&lt;&gt;"",$E81&lt;=M$37),0,IF((YEAR(M$37)-$G81)&lt;0,0,IF((YEAR(M$37)-$G81)=0,$C81*$F81*$H81,$C81*(1-$F81*$H81)*(1-$F81)^((YEAR(M$37)-$G81)-1)*$F81))))</f>
        <v/>
      </c>
      <c r="N81" s="175">
        <f>IF($C81="",0,IF(AND($E81&lt;&gt;"",$E81&lt;=M$37),0,IF(OR($D81="",$D81&gt;M$37),$C81,IF((YEAR(M$37)-$G81)=0,$C81*(1-$F81*$H81),$C81*(1-$F81*$H81)*(1-$F81)^(YEAR(M$37)-$G81)))))</f>
        <v/>
      </c>
      <c r="O81" s="175">
        <f>IF(OR($C81="",$D81=""),0,IF(AND($E81&lt;&gt;"",$E81&lt;=O$37),0,IF((YEAR(O$37)-$G81)&lt;0,0,IF((YEAR(O$37)-$G81)=0,$C81*$F81*$H81,$C81*(1-$F81*$H81)*(1-$F81)^((YEAR(O$37)-$G81)-1)*$F81))))</f>
        <v/>
      </c>
      <c r="P81" s="175">
        <f>IF($C81="",0,IF(AND($E81&lt;&gt;"",$E81&lt;=O$37),0,IF(OR($D81="",$D81&gt;O$37),$C81,IF((YEAR(O$37)-$G81)=0,$C81*(1-$F81*$H81),$C81*(1-$F81*$H81)*(1-$F81)^(YEAR(O$37)-$G81)))))</f>
        <v/>
      </c>
      <c r="Q81" s="175">
        <f>IF(OR($C81="",$D81=""),0,IF(AND($E81&lt;&gt;"",$E81&lt;=Q$37),0,IF((YEAR(Q$37)-$G81)&lt;0,0,IF((YEAR(Q$37)-$G81)=0,$C81*$F81*$H81,$C81*(1-$F81*$H81)*(1-$F81)^((YEAR(Q$37)-$G81)-1)*$F81))))</f>
        <v/>
      </c>
      <c r="R81" s="175">
        <f>IF($C81="",0,IF(AND($E81&lt;&gt;"",$E81&lt;=Q$37),0,IF(OR($D81="",$D81&gt;Q$37),$C81,IF((YEAR(Q$37)-$G81)=0,$C81*(1-$F81*$H81),$C81*(1-$F81*$H81)*(1-$F81)^(YEAR(Q$37)-$G81)))))</f>
        <v/>
      </c>
      <c r="S81" s="175">
        <f>IF(OR($C81="",$D81=""),0,IF(AND($E81&lt;&gt;"",$E81&lt;=S$37),0,IF((YEAR(S$37)-$G81)&lt;0,0,IF((YEAR(S$37)-$G81)=0,$C81*$F81*$H81,$C81*(1-$F81*$H81)*(1-$F81)^((YEAR(S$37)-$G81)-1)*$F81))))</f>
        <v/>
      </c>
      <c r="T81" s="175">
        <f>IF($C81="",0,IF(AND($E81&lt;&gt;"",$E81&lt;=S$37),0,IF(OR($D81="",$D81&gt;S$37),$C81,IF((YEAR(S$37)-$G81)=0,$C81*(1-$F81*$H81),$C81*(1-$F81*$H81)*(1-$F81)^(YEAR(S$37)-$G81)))))</f>
        <v/>
      </c>
      <c r="U81" s="175">
        <f>IF(OR($C81="",$D81=""),0,IF(AND($E81&lt;&gt;"",$E81&lt;=U$37),0,IF((YEAR(U$37)-$G81)&lt;0,0,IF((YEAR(U$37)-$G81)=0,$C81*$F81*$H81,$C81*(1-$F81*$H81)*(1-$F81)^((YEAR(U$37)-$G81)-1)*$F81))))</f>
        <v/>
      </c>
      <c r="V81" s="175">
        <f>IF($C81="",0,IF(AND($E81&lt;&gt;"",$E81&lt;=U$37),0,IF(OR($D81="",$D81&gt;U$37),$C81,IF((YEAR(U$37)-$G81)=0,$C81*(1-$F81*$H81),$C81*(1-$F81*$H81)*(1-$F81)^(YEAR(U$37)-$G81)))))</f>
        <v/>
      </c>
      <c r="W81" s="175">
        <f>IF(OR($C81="",$D81=""),0,IF(AND($E81&lt;&gt;"",$E81&lt;=W$37),0,IF((YEAR(W$37)-$G81)&lt;0,0,IF((YEAR(W$37)-$G81)=0,$C81*$F81*$H81,$C81*(1-$F81*$H81)*(1-$F81)^((YEAR(W$37)-$G81)-1)*$F81))))</f>
        <v/>
      </c>
      <c r="X81" s="175">
        <f>IF($C81="",0,IF(AND($E81&lt;&gt;"",$E81&lt;=W$37),0,IF(OR($D81="",$D81&gt;W$37),$C81,IF((YEAR(W$37)-$G81)=0,$C81*(1-$F81*$H81),$C81*(1-$F81*$H81)*(1-$F81)^(YEAR(W$37)-$G81)))))</f>
        <v/>
      </c>
      <c r="Y81" s="175">
        <f>IF(OR($C81="",$D81=""),0,IF(AND($E81&lt;&gt;"",$E81&lt;=Y$37),0,IF((YEAR(Y$37)-$G81)&lt;0,0,IF((YEAR(Y$37)-$G81)=0,$C81*$F81*$H81,$C81*(1-$F81*$H81)*(1-$F81)^((YEAR(Y$37)-$G81)-1)*$F81))))</f>
        <v/>
      </c>
      <c r="Z81" s="175">
        <f>IF($C81="",0,IF(AND($E81&lt;&gt;"",$E81&lt;=Y$37),0,IF(OR($D81="",$D81&gt;Y$37),$C81,IF((YEAR(Y$37)-$G81)=0,$C81*(1-$F81*$H81),$C81*(1-$F81*$H81)*(1-$F81)^(YEAR(Y$37)-$G81)))))</f>
        <v/>
      </c>
      <c r="AA81" s="175">
        <f>IF(OR($C81="",$D81=""),0,IF(AND($E81&lt;&gt;"",$E81&lt;=AA$37),0,IF((YEAR(AA$37)-$G81)&lt;0,0,IF((YEAR(AA$37)-$G81)=0,$C81*$F81*$H81,$C81*(1-$F81*$H81)*(1-$F81)^((YEAR(AA$37)-$G81)-1)*$F81))))</f>
        <v/>
      </c>
      <c r="AB81" s="175">
        <f>IF($C81="",0,IF(AND($E81&lt;&gt;"",$E81&lt;=AA$37),0,IF(OR($D81="",$D81&gt;AA$37),$C81,IF((YEAR(AA$37)-$G81)=0,$C81*(1-$F81*$H81),$C81*(1-$F81*$H81)*(1-$F81)^(YEAR(AA$37)-$G81)))))</f>
        <v/>
      </c>
      <c r="AC81" s="175">
        <f>IF(OR($C81="",$D81=""),0,IF(AND($E81&lt;&gt;"",$E81&lt;=AC$37),0,IF((YEAR(AC$37)-$G81)&lt;0,0,IF((YEAR(AC$37)-$G81)=0,$C81*$F81*$H81,$C81*(1-$F81*$H81)*(1-$F81)^((YEAR(AC$37)-$G81)-1)*$F81))))</f>
        <v/>
      </c>
      <c r="AD81" s="175">
        <f>IF($C81="",0,IF(AND($E81&lt;&gt;"",$E81&lt;=AC$37),0,IF(OR($D81="",$D81&gt;AC$37),$C81,IF((YEAR(AC$37)-$G81)=0,$C81*(1-$F81*$H81),$C81*(1-$F81*$H81)*(1-$F81)^(YEAR(AC$37)-$G81)))))</f>
        <v/>
      </c>
      <c r="AE81" s="175">
        <f>IF(OR($C81="",$D81=""),0,IF(AND($E81&lt;&gt;"",$E81&lt;=AE$37),0,IF((YEAR(AE$37)-$G81)&lt;0,0,IF((YEAR(AE$37)-$G81)=0,$C81*$F81*$H81,$C81*(1-$F81*$H81)*(1-$F81)^((YEAR(AE$37)-$G81)-1)*$F81))))</f>
        <v/>
      </c>
      <c r="AF81" s="175">
        <f>IF($C81="",0,IF(AND($E81&lt;&gt;"",$E81&lt;=AE$37),0,IF(OR($D81="",$D81&gt;AE$37),$C81,IF((YEAR(AE$37)-$G81)=0,$C81*(1-$F81*$H81),$C81*(1-$F81*$H81)*(1-$F81)^(YEAR(AE$37)-$G81)))))</f>
        <v/>
      </c>
      <c r="AG81" s="175">
        <f>IF(OR($C81="",$D81=""),0,IF(AND($E81&lt;&gt;"",$E81&lt;=AG$37),0,IF((YEAR(AG$37)-$G81)&lt;0,0,IF((YEAR(AG$37)-$G81)=0,$C81*$F81*$H81,$C81*(1-$F81*$H81)*(1-$F81)^((YEAR(AG$37)-$G81)-1)*$F81))))</f>
        <v/>
      </c>
      <c r="AH81" s="175">
        <f>IF($C81="",0,IF(AND($E81&lt;&gt;"",$E81&lt;=AG$37),0,IF(OR($D81="",$D81&gt;AG$37),$C81,IF((YEAR(AG$37)-$G81)=0,$C81*(1-$F81*$H81),$C81*(1-$F81*$H81)*(1-$F81)^(YEAR(AG$37)-$G81)))))</f>
        <v/>
      </c>
      <c r="AI81" s="175">
        <f>IF(OR($C81="",$D81=""),0,IF(AND($E81&lt;&gt;"",$E81&lt;=AI$37),0,IF((YEAR(AI$37)-$G81)&lt;0,0,IF((YEAR(AI$37)-$G81)=0,$C81*$F81*$H81,$C81*(1-$F81*$H81)*(1-$F81)^((YEAR(AI$37)-$G81)-1)*$F81))))</f>
        <v/>
      </c>
      <c r="AJ81" s="175">
        <f>IF($C81="",0,IF(AND($E81&lt;&gt;"",$E81&lt;=AI$37),0,IF(OR($D81="",$D81&gt;AI$37),$C81,IF((YEAR(AI$37)-$G81)=0,$C81*(1-$F81*$H81),$C81*(1-$F81*$H81)*(1-$F81)^(YEAR(AI$37)-$G81)))))</f>
        <v/>
      </c>
      <c r="AK81" s="175">
        <f>IF(OR($C81="",$D81=""),0,IF(AND($E81&lt;&gt;"",$E81&lt;=AK$37),0,IF((YEAR(AK$37)-$G81)&lt;0,0,IF((YEAR(AK$37)-$G81)=0,$C81*$F81*$H81,$C81*(1-$F81*$H81)*(1-$F81)^((YEAR(AK$37)-$G81)-1)*$F81))))</f>
        <v/>
      </c>
      <c r="AL81" s="175">
        <f>IF($C81="",0,IF(AND($E81&lt;&gt;"",$E81&lt;=AK$37),0,IF(OR($D81="",$D81&gt;AK$37),$C81,IF((YEAR(AK$37)-$G81)=0,$C81*(1-$F81*$H81),$C81*(1-$F81*$H81)*(1-$F81)^(YEAR(AK$37)-$G81)))))</f>
        <v/>
      </c>
      <c r="AM81" s="175">
        <f>IF(OR($C81="",$D81=""),0,IF(AND($E81&lt;&gt;"",$E81&lt;=AM$37),0,IF((YEAR(AM$37)-$G81)&lt;0,0,IF((YEAR(AM$37)-$G81)=0,$C81*$F81*$H81,$C81*(1-$F81*$H81)*(1-$F81)^((YEAR(AM$37)-$G81)-1)*$F81))))</f>
        <v/>
      </c>
      <c r="AN81" s="175">
        <f>IF($C81="",0,IF(AND($E81&lt;&gt;"",$E81&lt;=AM$37),0,IF(OR($D81="",$D81&gt;AM$37),$C81,IF((YEAR(AM$37)-$G81)=0,$C81*(1-$F81*$H81),$C81*(1-$F81*$H81)*(1-$F81)^(YEAR(AM$37)-$G81)))))</f>
        <v/>
      </c>
    </row>
    <row r="82">
      <c r="B82" s="126">
        <f>IF(FAR!K49="","",FAR!B49)</f>
        <v/>
      </c>
      <c r="C82" s="63">
        <f>IF(FAR!K49="","",FAR!K49)</f>
        <v/>
      </c>
      <c r="D82" s="128">
        <f>IF(FAR!H49="","",FAR!H49)</f>
        <v/>
      </c>
      <c r="E82" s="130">
        <f>IF(FAR!I49="","",FAR!I49)</f>
        <v/>
      </c>
      <c r="F82" s="169">
        <f>IF(FAR!C49="",0,IFERROR(VLOOKUP(FAR!C49,ScheduleIITable,6,FALSE),0))</f>
        <v/>
      </c>
      <c r="G82" s="129">
        <f>IF($D82="","",YEAR($D82)+IF(MONTH($D82)&gt;=4,1,0))</f>
        <v/>
      </c>
      <c r="H82" s="170">
        <f>IF($D82="","",IF((DATE($G82,3,31)-$D82+1)&gt;=180,1,0.5))</f>
        <v/>
      </c>
      <c r="I82" s="171">
        <f>IF(OR($C82="",$D82=""),0,IF(AND($E82&lt;&gt;"",$E82&lt;=I$37),0,IF((YEAR(I$37)-$G82)&lt;0,0,IF((YEAR(I$37)-$G82)=0,$C82*$F82*$H82,$C82*(1-$F82*$H82)*(1-$F82)^((YEAR(I$37)-$G82)-1)*$F82))))</f>
        <v/>
      </c>
      <c r="J82" s="172">
        <f>IF($C82="",0,IF(AND($E82&lt;&gt;"",$E82&lt;=I$37),0,IF(OR($D82="",$D82&gt;I$37),$C82,IF((YEAR(I$37)-$G82)=0,$C82*(1-$F82*$H82),$C82*(1-$F82*$H82)*(1-$F82)^(YEAR(I$37)-$G82)))))</f>
        <v/>
      </c>
      <c r="K82" s="171">
        <f>IF(OR($C82="",$D82=""),0,IF(AND($E82&lt;&gt;"",$E82&lt;=K$37),0,IF((YEAR(K$37)-$G82)&lt;0,0,IF((YEAR(K$37)-$G82)=0,$C82*$F82*$H82,$C82*(1-$F82*$H82)*(1-$F82)^((YEAR(K$37)-$G82)-1)*$F82))))</f>
        <v/>
      </c>
      <c r="L82" s="172">
        <f>IF($C82="",0,IF(AND($E82&lt;&gt;"",$E82&lt;=K$37),0,IF(OR($D82="",$D82&gt;K$37),$C82,IF((YEAR(K$37)-$G82)=0,$C82*(1-$F82*$H82),$C82*(1-$F82*$H82)*(1-$F82)^(YEAR(K$37)-$G82)))))</f>
        <v/>
      </c>
      <c r="M82" s="171">
        <f>IF(OR($C82="",$D82=""),0,IF(AND($E82&lt;&gt;"",$E82&lt;=M$37),0,IF((YEAR(M$37)-$G82)&lt;0,0,IF((YEAR(M$37)-$G82)=0,$C82*$F82*$H82,$C82*(1-$F82*$H82)*(1-$F82)^((YEAR(M$37)-$G82)-1)*$F82))))</f>
        <v/>
      </c>
      <c r="N82" s="172">
        <f>IF($C82="",0,IF(AND($E82&lt;&gt;"",$E82&lt;=M$37),0,IF(OR($D82="",$D82&gt;M$37),$C82,IF((YEAR(M$37)-$G82)=0,$C82*(1-$F82*$H82),$C82*(1-$F82*$H82)*(1-$F82)^(YEAR(M$37)-$G82)))))</f>
        <v/>
      </c>
      <c r="O82" s="171">
        <f>IF(OR($C82="",$D82=""),0,IF(AND($E82&lt;&gt;"",$E82&lt;=O$37),0,IF((YEAR(O$37)-$G82)&lt;0,0,IF((YEAR(O$37)-$G82)=0,$C82*$F82*$H82,$C82*(1-$F82*$H82)*(1-$F82)^((YEAR(O$37)-$G82)-1)*$F82))))</f>
        <v/>
      </c>
      <c r="P82" s="172">
        <f>IF($C82="",0,IF(AND($E82&lt;&gt;"",$E82&lt;=O$37),0,IF(OR($D82="",$D82&gt;O$37),$C82,IF((YEAR(O$37)-$G82)=0,$C82*(1-$F82*$H82),$C82*(1-$F82*$H82)*(1-$F82)^(YEAR(O$37)-$G82)))))</f>
        <v/>
      </c>
      <c r="Q82" s="171">
        <f>IF(OR($C82="",$D82=""),0,IF(AND($E82&lt;&gt;"",$E82&lt;=Q$37),0,IF((YEAR(Q$37)-$G82)&lt;0,0,IF((YEAR(Q$37)-$G82)=0,$C82*$F82*$H82,$C82*(1-$F82*$H82)*(1-$F82)^((YEAR(Q$37)-$G82)-1)*$F82))))</f>
        <v/>
      </c>
      <c r="R82" s="172">
        <f>IF($C82="",0,IF(AND($E82&lt;&gt;"",$E82&lt;=Q$37),0,IF(OR($D82="",$D82&gt;Q$37),$C82,IF((YEAR(Q$37)-$G82)=0,$C82*(1-$F82*$H82),$C82*(1-$F82*$H82)*(1-$F82)^(YEAR(Q$37)-$G82)))))</f>
        <v/>
      </c>
      <c r="S82" s="171">
        <f>IF(OR($C82="",$D82=""),0,IF(AND($E82&lt;&gt;"",$E82&lt;=S$37),0,IF((YEAR(S$37)-$G82)&lt;0,0,IF((YEAR(S$37)-$G82)=0,$C82*$F82*$H82,$C82*(1-$F82*$H82)*(1-$F82)^((YEAR(S$37)-$G82)-1)*$F82))))</f>
        <v/>
      </c>
      <c r="T82" s="172">
        <f>IF($C82="",0,IF(AND($E82&lt;&gt;"",$E82&lt;=S$37),0,IF(OR($D82="",$D82&gt;S$37),$C82,IF((YEAR(S$37)-$G82)=0,$C82*(1-$F82*$H82),$C82*(1-$F82*$H82)*(1-$F82)^(YEAR(S$37)-$G82)))))</f>
        <v/>
      </c>
      <c r="U82" s="171">
        <f>IF(OR($C82="",$D82=""),0,IF(AND($E82&lt;&gt;"",$E82&lt;=U$37),0,IF((YEAR(U$37)-$G82)&lt;0,0,IF((YEAR(U$37)-$G82)=0,$C82*$F82*$H82,$C82*(1-$F82*$H82)*(1-$F82)^((YEAR(U$37)-$G82)-1)*$F82))))</f>
        <v/>
      </c>
      <c r="V82" s="172">
        <f>IF($C82="",0,IF(AND($E82&lt;&gt;"",$E82&lt;=U$37),0,IF(OR($D82="",$D82&gt;U$37),$C82,IF((YEAR(U$37)-$G82)=0,$C82*(1-$F82*$H82),$C82*(1-$F82*$H82)*(1-$F82)^(YEAR(U$37)-$G82)))))</f>
        <v/>
      </c>
      <c r="W82" s="171">
        <f>IF(OR($C82="",$D82=""),0,IF(AND($E82&lt;&gt;"",$E82&lt;=W$37),0,IF((YEAR(W$37)-$G82)&lt;0,0,IF((YEAR(W$37)-$G82)=0,$C82*$F82*$H82,$C82*(1-$F82*$H82)*(1-$F82)^((YEAR(W$37)-$G82)-1)*$F82))))</f>
        <v/>
      </c>
      <c r="X82" s="172">
        <f>IF($C82="",0,IF(AND($E82&lt;&gt;"",$E82&lt;=W$37),0,IF(OR($D82="",$D82&gt;W$37),$C82,IF((YEAR(W$37)-$G82)=0,$C82*(1-$F82*$H82),$C82*(1-$F82*$H82)*(1-$F82)^(YEAR(W$37)-$G82)))))</f>
        <v/>
      </c>
      <c r="Y82" s="171">
        <f>IF(OR($C82="",$D82=""),0,IF(AND($E82&lt;&gt;"",$E82&lt;=Y$37),0,IF((YEAR(Y$37)-$G82)&lt;0,0,IF((YEAR(Y$37)-$G82)=0,$C82*$F82*$H82,$C82*(1-$F82*$H82)*(1-$F82)^((YEAR(Y$37)-$G82)-1)*$F82))))</f>
        <v/>
      </c>
      <c r="Z82" s="172">
        <f>IF($C82="",0,IF(AND($E82&lt;&gt;"",$E82&lt;=Y$37),0,IF(OR($D82="",$D82&gt;Y$37),$C82,IF((YEAR(Y$37)-$G82)=0,$C82*(1-$F82*$H82),$C82*(1-$F82*$H82)*(1-$F82)^(YEAR(Y$37)-$G82)))))</f>
        <v/>
      </c>
      <c r="AA82" s="171">
        <f>IF(OR($C82="",$D82=""),0,IF(AND($E82&lt;&gt;"",$E82&lt;=AA$37),0,IF((YEAR(AA$37)-$G82)&lt;0,0,IF((YEAR(AA$37)-$G82)=0,$C82*$F82*$H82,$C82*(1-$F82*$H82)*(1-$F82)^((YEAR(AA$37)-$G82)-1)*$F82))))</f>
        <v/>
      </c>
      <c r="AB82" s="172">
        <f>IF($C82="",0,IF(AND($E82&lt;&gt;"",$E82&lt;=AA$37),0,IF(OR($D82="",$D82&gt;AA$37),$C82,IF((YEAR(AA$37)-$G82)=0,$C82*(1-$F82*$H82),$C82*(1-$F82*$H82)*(1-$F82)^(YEAR(AA$37)-$G82)))))</f>
        <v/>
      </c>
      <c r="AC82" s="171">
        <f>IF(OR($C82="",$D82=""),0,IF(AND($E82&lt;&gt;"",$E82&lt;=AC$37),0,IF((YEAR(AC$37)-$G82)&lt;0,0,IF((YEAR(AC$37)-$G82)=0,$C82*$F82*$H82,$C82*(1-$F82*$H82)*(1-$F82)^((YEAR(AC$37)-$G82)-1)*$F82))))</f>
        <v/>
      </c>
      <c r="AD82" s="172">
        <f>IF($C82="",0,IF(AND($E82&lt;&gt;"",$E82&lt;=AC$37),0,IF(OR($D82="",$D82&gt;AC$37),$C82,IF((YEAR(AC$37)-$G82)=0,$C82*(1-$F82*$H82),$C82*(1-$F82*$H82)*(1-$F82)^(YEAR(AC$37)-$G82)))))</f>
        <v/>
      </c>
      <c r="AE82" s="171">
        <f>IF(OR($C82="",$D82=""),0,IF(AND($E82&lt;&gt;"",$E82&lt;=AE$37),0,IF((YEAR(AE$37)-$G82)&lt;0,0,IF((YEAR(AE$37)-$G82)=0,$C82*$F82*$H82,$C82*(1-$F82*$H82)*(1-$F82)^((YEAR(AE$37)-$G82)-1)*$F82))))</f>
        <v/>
      </c>
      <c r="AF82" s="172">
        <f>IF($C82="",0,IF(AND($E82&lt;&gt;"",$E82&lt;=AE$37),0,IF(OR($D82="",$D82&gt;AE$37),$C82,IF((YEAR(AE$37)-$G82)=0,$C82*(1-$F82*$H82),$C82*(1-$F82*$H82)*(1-$F82)^(YEAR(AE$37)-$G82)))))</f>
        <v/>
      </c>
      <c r="AG82" s="171">
        <f>IF(OR($C82="",$D82=""),0,IF(AND($E82&lt;&gt;"",$E82&lt;=AG$37),0,IF((YEAR(AG$37)-$G82)&lt;0,0,IF((YEAR(AG$37)-$G82)=0,$C82*$F82*$H82,$C82*(1-$F82*$H82)*(1-$F82)^((YEAR(AG$37)-$G82)-1)*$F82))))</f>
        <v/>
      </c>
      <c r="AH82" s="172">
        <f>IF($C82="",0,IF(AND($E82&lt;&gt;"",$E82&lt;=AG$37),0,IF(OR($D82="",$D82&gt;AG$37),$C82,IF((YEAR(AG$37)-$G82)=0,$C82*(1-$F82*$H82),$C82*(1-$F82*$H82)*(1-$F82)^(YEAR(AG$37)-$G82)))))</f>
        <v/>
      </c>
      <c r="AI82" s="171">
        <f>IF(OR($C82="",$D82=""),0,IF(AND($E82&lt;&gt;"",$E82&lt;=AI$37),0,IF((YEAR(AI$37)-$G82)&lt;0,0,IF((YEAR(AI$37)-$G82)=0,$C82*$F82*$H82,$C82*(1-$F82*$H82)*(1-$F82)^((YEAR(AI$37)-$G82)-1)*$F82))))</f>
        <v/>
      </c>
      <c r="AJ82" s="172">
        <f>IF($C82="",0,IF(AND($E82&lt;&gt;"",$E82&lt;=AI$37),0,IF(OR($D82="",$D82&gt;AI$37),$C82,IF((YEAR(AI$37)-$G82)=0,$C82*(1-$F82*$H82),$C82*(1-$F82*$H82)*(1-$F82)^(YEAR(AI$37)-$G82)))))</f>
        <v/>
      </c>
      <c r="AK82" s="171">
        <f>IF(OR($C82="",$D82=""),0,IF(AND($E82&lt;&gt;"",$E82&lt;=AK$37),0,IF((YEAR(AK$37)-$G82)&lt;0,0,IF((YEAR(AK$37)-$G82)=0,$C82*$F82*$H82,$C82*(1-$F82*$H82)*(1-$F82)^((YEAR(AK$37)-$G82)-1)*$F82))))</f>
        <v/>
      </c>
      <c r="AL82" s="172">
        <f>IF($C82="",0,IF(AND($E82&lt;&gt;"",$E82&lt;=AK$37),0,IF(OR($D82="",$D82&gt;AK$37),$C82,IF((YEAR(AK$37)-$G82)=0,$C82*(1-$F82*$H82),$C82*(1-$F82*$H82)*(1-$F82)^(YEAR(AK$37)-$G82)))))</f>
        <v/>
      </c>
      <c r="AM82" s="171">
        <f>IF(OR($C82="",$D82=""),0,IF(AND($E82&lt;&gt;"",$E82&lt;=AM$37),0,IF((YEAR(AM$37)-$G82)&lt;0,0,IF((YEAR(AM$37)-$G82)=0,$C82*$F82*$H82,$C82*(1-$F82*$H82)*(1-$F82)^((YEAR(AM$37)-$G82)-1)*$F82))))</f>
        <v/>
      </c>
      <c r="AN82" s="172">
        <f>IF($C82="",0,IF(AND($E82&lt;&gt;"",$E82&lt;=AM$37),0,IF(OR($D82="",$D82&gt;AM$37),$C82,IF((YEAR(AM$37)-$G82)=0,$C82*(1-$F82*$H82),$C82*(1-$F82*$H82)*(1-$F82)^(YEAR(AM$37)-$G82)))))</f>
        <v/>
      </c>
    </row>
    <row r="83">
      <c r="B83" s="132">
        <f>IF(FAR!K50="","",FAR!B50)</f>
        <v/>
      </c>
      <c r="C83" s="81">
        <f>IF(FAR!K50="","",FAR!K50)</f>
        <v/>
      </c>
      <c r="D83" s="134">
        <f>IF(FAR!H50="","",FAR!H50)</f>
        <v/>
      </c>
      <c r="E83" s="136">
        <f>IF(FAR!I50="","",FAR!I50)</f>
        <v/>
      </c>
      <c r="F83" s="173">
        <f>IF(FAR!C50="",0,IFERROR(VLOOKUP(FAR!C50,ScheduleIITable,6,FALSE),0))</f>
        <v/>
      </c>
      <c r="G83" s="135">
        <f>IF($D83="","",YEAR($D83)+IF(MONTH($D83)&gt;=4,1,0))</f>
        <v/>
      </c>
      <c r="H83" s="174">
        <f>IF($D83="","",IF((DATE($G83,3,31)-$D83+1)&gt;=180,1,0.5))</f>
        <v/>
      </c>
      <c r="I83" s="175">
        <f>IF(OR($C83="",$D83=""),0,IF(AND($E83&lt;&gt;"",$E83&lt;=I$37),0,IF((YEAR(I$37)-$G83)&lt;0,0,IF((YEAR(I$37)-$G83)=0,$C83*$F83*$H83,$C83*(1-$F83*$H83)*(1-$F83)^((YEAR(I$37)-$G83)-1)*$F83))))</f>
        <v/>
      </c>
      <c r="J83" s="175">
        <f>IF($C83="",0,IF(AND($E83&lt;&gt;"",$E83&lt;=I$37),0,IF(OR($D83="",$D83&gt;I$37),$C83,IF((YEAR(I$37)-$G83)=0,$C83*(1-$F83*$H83),$C83*(1-$F83*$H83)*(1-$F83)^(YEAR(I$37)-$G83)))))</f>
        <v/>
      </c>
      <c r="K83" s="175">
        <f>IF(OR($C83="",$D83=""),0,IF(AND($E83&lt;&gt;"",$E83&lt;=K$37),0,IF((YEAR(K$37)-$G83)&lt;0,0,IF((YEAR(K$37)-$G83)=0,$C83*$F83*$H83,$C83*(1-$F83*$H83)*(1-$F83)^((YEAR(K$37)-$G83)-1)*$F83))))</f>
        <v/>
      </c>
      <c r="L83" s="175">
        <f>IF($C83="",0,IF(AND($E83&lt;&gt;"",$E83&lt;=K$37),0,IF(OR($D83="",$D83&gt;K$37),$C83,IF((YEAR(K$37)-$G83)=0,$C83*(1-$F83*$H83),$C83*(1-$F83*$H83)*(1-$F83)^(YEAR(K$37)-$G83)))))</f>
        <v/>
      </c>
      <c r="M83" s="175">
        <f>IF(OR($C83="",$D83=""),0,IF(AND($E83&lt;&gt;"",$E83&lt;=M$37),0,IF((YEAR(M$37)-$G83)&lt;0,0,IF((YEAR(M$37)-$G83)=0,$C83*$F83*$H83,$C83*(1-$F83*$H83)*(1-$F83)^((YEAR(M$37)-$G83)-1)*$F83))))</f>
        <v/>
      </c>
      <c r="N83" s="175">
        <f>IF($C83="",0,IF(AND($E83&lt;&gt;"",$E83&lt;=M$37),0,IF(OR($D83="",$D83&gt;M$37),$C83,IF((YEAR(M$37)-$G83)=0,$C83*(1-$F83*$H83),$C83*(1-$F83*$H83)*(1-$F83)^(YEAR(M$37)-$G83)))))</f>
        <v/>
      </c>
      <c r="O83" s="175">
        <f>IF(OR($C83="",$D83=""),0,IF(AND($E83&lt;&gt;"",$E83&lt;=O$37),0,IF((YEAR(O$37)-$G83)&lt;0,0,IF((YEAR(O$37)-$G83)=0,$C83*$F83*$H83,$C83*(1-$F83*$H83)*(1-$F83)^((YEAR(O$37)-$G83)-1)*$F83))))</f>
        <v/>
      </c>
      <c r="P83" s="175">
        <f>IF($C83="",0,IF(AND($E83&lt;&gt;"",$E83&lt;=O$37),0,IF(OR($D83="",$D83&gt;O$37),$C83,IF((YEAR(O$37)-$G83)=0,$C83*(1-$F83*$H83),$C83*(1-$F83*$H83)*(1-$F83)^(YEAR(O$37)-$G83)))))</f>
        <v/>
      </c>
      <c r="Q83" s="175">
        <f>IF(OR($C83="",$D83=""),0,IF(AND($E83&lt;&gt;"",$E83&lt;=Q$37),0,IF((YEAR(Q$37)-$G83)&lt;0,0,IF((YEAR(Q$37)-$G83)=0,$C83*$F83*$H83,$C83*(1-$F83*$H83)*(1-$F83)^((YEAR(Q$37)-$G83)-1)*$F83))))</f>
        <v/>
      </c>
      <c r="R83" s="175">
        <f>IF($C83="",0,IF(AND($E83&lt;&gt;"",$E83&lt;=Q$37),0,IF(OR($D83="",$D83&gt;Q$37),$C83,IF((YEAR(Q$37)-$G83)=0,$C83*(1-$F83*$H83),$C83*(1-$F83*$H83)*(1-$F83)^(YEAR(Q$37)-$G83)))))</f>
        <v/>
      </c>
      <c r="S83" s="175">
        <f>IF(OR($C83="",$D83=""),0,IF(AND($E83&lt;&gt;"",$E83&lt;=S$37),0,IF((YEAR(S$37)-$G83)&lt;0,0,IF((YEAR(S$37)-$G83)=0,$C83*$F83*$H83,$C83*(1-$F83*$H83)*(1-$F83)^((YEAR(S$37)-$G83)-1)*$F83))))</f>
        <v/>
      </c>
      <c r="T83" s="175">
        <f>IF($C83="",0,IF(AND($E83&lt;&gt;"",$E83&lt;=S$37),0,IF(OR($D83="",$D83&gt;S$37),$C83,IF((YEAR(S$37)-$G83)=0,$C83*(1-$F83*$H83),$C83*(1-$F83*$H83)*(1-$F83)^(YEAR(S$37)-$G83)))))</f>
        <v/>
      </c>
      <c r="U83" s="175">
        <f>IF(OR($C83="",$D83=""),0,IF(AND($E83&lt;&gt;"",$E83&lt;=U$37),0,IF((YEAR(U$37)-$G83)&lt;0,0,IF((YEAR(U$37)-$G83)=0,$C83*$F83*$H83,$C83*(1-$F83*$H83)*(1-$F83)^((YEAR(U$37)-$G83)-1)*$F83))))</f>
        <v/>
      </c>
      <c r="V83" s="175">
        <f>IF($C83="",0,IF(AND($E83&lt;&gt;"",$E83&lt;=U$37),0,IF(OR($D83="",$D83&gt;U$37),$C83,IF((YEAR(U$37)-$G83)=0,$C83*(1-$F83*$H83),$C83*(1-$F83*$H83)*(1-$F83)^(YEAR(U$37)-$G83)))))</f>
        <v/>
      </c>
      <c r="W83" s="175">
        <f>IF(OR($C83="",$D83=""),0,IF(AND($E83&lt;&gt;"",$E83&lt;=W$37),0,IF((YEAR(W$37)-$G83)&lt;0,0,IF((YEAR(W$37)-$G83)=0,$C83*$F83*$H83,$C83*(1-$F83*$H83)*(1-$F83)^((YEAR(W$37)-$G83)-1)*$F83))))</f>
        <v/>
      </c>
      <c r="X83" s="175">
        <f>IF($C83="",0,IF(AND($E83&lt;&gt;"",$E83&lt;=W$37),0,IF(OR($D83="",$D83&gt;W$37),$C83,IF((YEAR(W$37)-$G83)=0,$C83*(1-$F83*$H83),$C83*(1-$F83*$H83)*(1-$F83)^(YEAR(W$37)-$G83)))))</f>
        <v/>
      </c>
      <c r="Y83" s="175">
        <f>IF(OR($C83="",$D83=""),0,IF(AND($E83&lt;&gt;"",$E83&lt;=Y$37),0,IF((YEAR(Y$37)-$G83)&lt;0,0,IF((YEAR(Y$37)-$G83)=0,$C83*$F83*$H83,$C83*(1-$F83*$H83)*(1-$F83)^((YEAR(Y$37)-$G83)-1)*$F83))))</f>
        <v/>
      </c>
      <c r="Z83" s="175">
        <f>IF($C83="",0,IF(AND($E83&lt;&gt;"",$E83&lt;=Y$37),0,IF(OR($D83="",$D83&gt;Y$37),$C83,IF((YEAR(Y$37)-$G83)=0,$C83*(1-$F83*$H83),$C83*(1-$F83*$H83)*(1-$F83)^(YEAR(Y$37)-$G83)))))</f>
        <v/>
      </c>
      <c r="AA83" s="175">
        <f>IF(OR($C83="",$D83=""),0,IF(AND($E83&lt;&gt;"",$E83&lt;=AA$37),0,IF((YEAR(AA$37)-$G83)&lt;0,0,IF((YEAR(AA$37)-$G83)=0,$C83*$F83*$H83,$C83*(1-$F83*$H83)*(1-$F83)^((YEAR(AA$37)-$G83)-1)*$F83))))</f>
        <v/>
      </c>
      <c r="AB83" s="175">
        <f>IF($C83="",0,IF(AND($E83&lt;&gt;"",$E83&lt;=AA$37),0,IF(OR($D83="",$D83&gt;AA$37),$C83,IF((YEAR(AA$37)-$G83)=0,$C83*(1-$F83*$H83),$C83*(1-$F83*$H83)*(1-$F83)^(YEAR(AA$37)-$G83)))))</f>
        <v/>
      </c>
      <c r="AC83" s="175">
        <f>IF(OR($C83="",$D83=""),0,IF(AND($E83&lt;&gt;"",$E83&lt;=AC$37),0,IF((YEAR(AC$37)-$G83)&lt;0,0,IF((YEAR(AC$37)-$G83)=0,$C83*$F83*$H83,$C83*(1-$F83*$H83)*(1-$F83)^((YEAR(AC$37)-$G83)-1)*$F83))))</f>
        <v/>
      </c>
      <c r="AD83" s="175">
        <f>IF($C83="",0,IF(AND($E83&lt;&gt;"",$E83&lt;=AC$37),0,IF(OR($D83="",$D83&gt;AC$37),$C83,IF((YEAR(AC$37)-$G83)=0,$C83*(1-$F83*$H83),$C83*(1-$F83*$H83)*(1-$F83)^(YEAR(AC$37)-$G83)))))</f>
        <v/>
      </c>
      <c r="AE83" s="175">
        <f>IF(OR($C83="",$D83=""),0,IF(AND($E83&lt;&gt;"",$E83&lt;=AE$37),0,IF((YEAR(AE$37)-$G83)&lt;0,0,IF((YEAR(AE$37)-$G83)=0,$C83*$F83*$H83,$C83*(1-$F83*$H83)*(1-$F83)^((YEAR(AE$37)-$G83)-1)*$F83))))</f>
        <v/>
      </c>
      <c r="AF83" s="175">
        <f>IF($C83="",0,IF(AND($E83&lt;&gt;"",$E83&lt;=AE$37),0,IF(OR($D83="",$D83&gt;AE$37),$C83,IF((YEAR(AE$37)-$G83)=0,$C83*(1-$F83*$H83),$C83*(1-$F83*$H83)*(1-$F83)^(YEAR(AE$37)-$G83)))))</f>
        <v/>
      </c>
      <c r="AG83" s="175">
        <f>IF(OR($C83="",$D83=""),0,IF(AND($E83&lt;&gt;"",$E83&lt;=AG$37),0,IF((YEAR(AG$37)-$G83)&lt;0,0,IF((YEAR(AG$37)-$G83)=0,$C83*$F83*$H83,$C83*(1-$F83*$H83)*(1-$F83)^((YEAR(AG$37)-$G83)-1)*$F83))))</f>
        <v/>
      </c>
      <c r="AH83" s="175">
        <f>IF($C83="",0,IF(AND($E83&lt;&gt;"",$E83&lt;=AG$37),0,IF(OR($D83="",$D83&gt;AG$37),$C83,IF((YEAR(AG$37)-$G83)=0,$C83*(1-$F83*$H83),$C83*(1-$F83*$H83)*(1-$F83)^(YEAR(AG$37)-$G83)))))</f>
        <v/>
      </c>
      <c r="AI83" s="175">
        <f>IF(OR($C83="",$D83=""),0,IF(AND($E83&lt;&gt;"",$E83&lt;=AI$37),0,IF((YEAR(AI$37)-$G83)&lt;0,0,IF((YEAR(AI$37)-$G83)=0,$C83*$F83*$H83,$C83*(1-$F83*$H83)*(1-$F83)^((YEAR(AI$37)-$G83)-1)*$F83))))</f>
        <v/>
      </c>
      <c r="AJ83" s="175">
        <f>IF($C83="",0,IF(AND($E83&lt;&gt;"",$E83&lt;=AI$37),0,IF(OR($D83="",$D83&gt;AI$37),$C83,IF((YEAR(AI$37)-$G83)=0,$C83*(1-$F83*$H83),$C83*(1-$F83*$H83)*(1-$F83)^(YEAR(AI$37)-$G83)))))</f>
        <v/>
      </c>
      <c r="AK83" s="175">
        <f>IF(OR($C83="",$D83=""),0,IF(AND($E83&lt;&gt;"",$E83&lt;=AK$37),0,IF((YEAR(AK$37)-$G83)&lt;0,0,IF((YEAR(AK$37)-$G83)=0,$C83*$F83*$H83,$C83*(1-$F83*$H83)*(1-$F83)^((YEAR(AK$37)-$G83)-1)*$F83))))</f>
        <v/>
      </c>
      <c r="AL83" s="175">
        <f>IF($C83="",0,IF(AND($E83&lt;&gt;"",$E83&lt;=AK$37),0,IF(OR($D83="",$D83&gt;AK$37),$C83,IF((YEAR(AK$37)-$G83)=0,$C83*(1-$F83*$H83),$C83*(1-$F83*$H83)*(1-$F83)^(YEAR(AK$37)-$G83)))))</f>
        <v/>
      </c>
      <c r="AM83" s="175">
        <f>IF(OR($C83="",$D83=""),0,IF(AND($E83&lt;&gt;"",$E83&lt;=AM$37),0,IF((YEAR(AM$37)-$G83)&lt;0,0,IF((YEAR(AM$37)-$G83)=0,$C83*$F83*$H83,$C83*(1-$F83*$H83)*(1-$F83)^((YEAR(AM$37)-$G83)-1)*$F83))))</f>
        <v/>
      </c>
      <c r="AN83" s="175">
        <f>IF($C83="",0,IF(AND($E83&lt;&gt;"",$E83&lt;=AM$37),0,IF(OR($D83="",$D83&gt;AM$37),$C83,IF((YEAR(AM$37)-$G83)=0,$C83*(1-$F83*$H83),$C83*(1-$F83*$H83)*(1-$F83)^(YEAR(AM$37)-$G83)))))</f>
        <v/>
      </c>
    </row>
    <row r="84">
      <c r="B84" s="126">
        <f>IF(FAR!K51="","",FAR!B51)</f>
        <v/>
      </c>
      <c r="C84" s="63">
        <f>IF(FAR!K51="","",FAR!K51)</f>
        <v/>
      </c>
      <c r="D84" s="128">
        <f>IF(FAR!H51="","",FAR!H51)</f>
        <v/>
      </c>
      <c r="E84" s="130">
        <f>IF(FAR!I51="","",FAR!I51)</f>
        <v/>
      </c>
      <c r="F84" s="169">
        <f>IF(FAR!C51="",0,IFERROR(VLOOKUP(FAR!C51,ScheduleIITable,6,FALSE),0))</f>
        <v/>
      </c>
      <c r="G84" s="129">
        <f>IF($D84="","",YEAR($D84)+IF(MONTH($D84)&gt;=4,1,0))</f>
        <v/>
      </c>
      <c r="H84" s="170">
        <f>IF($D84="","",IF((DATE($G84,3,31)-$D84+1)&gt;=180,1,0.5))</f>
        <v/>
      </c>
      <c r="I84" s="171">
        <f>IF(OR($C84="",$D84=""),0,IF(AND($E84&lt;&gt;"",$E84&lt;=I$37),0,IF((YEAR(I$37)-$G84)&lt;0,0,IF((YEAR(I$37)-$G84)=0,$C84*$F84*$H84,$C84*(1-$F84*$H84)*(1-$F84)^((YEAR(I$37)-$G84)-1)*$F84))))</f>
        <v/>
      </c>
      <c r="J84" s="172">
        <f>IF($C84="",0,IF(AND($E84&lt;&gt;"",$E84&lt;=I$37),0,IF(OR($D84="",$D84&gt;I$37),$C84,IF((YEAR(I$37)-$G84)=0,$C84*(1-$F84*$H84),$C84*(1-$F84*$H84)*(1-$F84)^(YEAR(I$37)-$G84)))))</f>
        <v/>
      </c>
      <c r="K84" s="171">
        <f>IF(OR($C84="",$D84=""),0,IF(AND($E84&lt;&gt;"",$E84&lt;=K$37),0,IF((YEAR(K$37)-$G84)&lt;0,0,IF((YEAR(K$37)-$G84)=0,$C84*$F84*$H84,$C84*(1-$F84*$H84)*(1-$F84)^((YEAR(K$37)-$G84)-1)*$F84))))</f>
        <v/>
      </c>
      <c r="L84" s="172">
        <f>IF($C84="",0,IF(AND($E84&lt;&gt;"",$E84&lt;=K$37),0,IF(OR($D84="",$D84&gt;K$37),$C84,IF((YEAR(K$37)-$G84)=0,$C84*(1-$F84*$H84),$C84*(1-$F84*$H84)*(1-$F84)^(YEAR(K$37)-$G84)))))</f>
        <v/>
      </c>
      <c r="M84" s="171">
        <f>IF(OR($C84="",$D84=""),0,IF(AND($E84&lt;&gt;"",$E84&lt;=M$37),0,IF((YEAR(M$37)-$G84)&lt;0,0,IF((YEAR(M$37)-$G84)=0,$C84*$F84*$H84,$C84*(1-$F84*$H84)*(1-$F84)^((YEAR(M$37)-$G84)-1)*$F84))))</f>
        <v/>
      </c>
      <c r="N84" s="172">
        <f>IF($C84="",0,IF(AND($E84&lt;&gt;"",$E84&lt;=M$37),0,IF(OR($D84="",$D84&gt;M$37),$C84,IF((YEAR(M$37)-$G84)=0,$C84*(1-$F84*$H84),$C84*(1-$F84*$H84)*(1-$F84)^(YEAR(M$37)-$G84)))))</f>
        <v/>
      </c>
      <c r="O84" s="171">
        <f>IF(OR($C84="",$D84=""),0,IF(AND($E84&lt;&gt;"",$E84&lt;=O$37),0,IF((YEAR(O$37)-$G84)&lt;0,0,IF((YEAR(O$37)-$G84)=0,$C84*$F84*$H84,$C84*(1-$F84*$H84)*(1-$F84)^((YEAR(O$37)-$G84)-1)*$F84))))</f>
        <v/>
      </c>
      <c r="P84" s="172">
        <f>IF($C84="",0,IF(AND($E84&lt;&gt;"",$E84&lt;=O$37),0,IF(OR($D84="",$D84&gt;O$37),$C84,IF((YEAR(O$37)-$G84)=0,$C84*(1-$F84*$H84),$C84*(1-$F84*$H84)*(1-$F84)^(YEAR(O$37)-$G84)))))</f>
        <v/>
      </c>
      <c r="Q84" s="171">
        <f>IF(OR($C84="",$D84=""),0,IF(AND($E84&lt;&gt;"",$E84&lt;=Q$37),0,IF((YEAR(Q$37)-$G84)&lt;0,0,IF((YEAR(Q$37)-$G84)=0,$C84*$F84*$H84,$C84*(1-$F84*$H84)*(1-$F84)^((YEAR(Q$37)-$G84)-1)*$F84))))</f>
        <v/>
      </c>
      <c r="R84" s="172">
        <f>IF($C84="",0,IF(AND($E84&lt;&gt;"",$E84&lt;=Q$37),0,IF(OR($D84="",$D84&gt;Q$37),$C84,IF((YEAR(Q$37)-$G84)=0,$C84*(1-$F84*$H84),$C84*(1-$F84*$H84)*(1-$F84)^(YEAR(Q$37)-$G84)))))</f>
        <v/>
      </c>
      <c r="S84" s="171">
        <f>IF(OR($C84="",$D84=""),0,IF(AND($E84&lt;&gt;"",$E84&lt;=S$37),0,IF((YEAR(S$37)-$G84)&lt;0,0,IF((YEAR(S$37)-$G84)=0,$C84*$F84*$H84,$C84*(1-$F84*$H84)*(1-$F84)^((YEAR(S$37)-$G84)-1)*$F84))))</f>
        <v/>
      </c>
      <c r="T84" s="172">
        <f>IF($C84="",0,IF(AND($E84&lt;&gt;"",$E84&lt;=S$37),0,IF(OR($D84="",$D84&gt;S$37),$C84,IF((YEAR(S$37)-$G84)=0,$C84*(1-$F84*$H84),$C84*(1-$F84*$H84)*(1-$F84)^(YEAR(S$37)-$G84)))))</f>
        <v/>
      </c>
      <c r="U84" s="171">
        <f>IF(OR($C84="",$D84=""),0,IF(AND($E84&lt;&gt;"",$E84&lt;=U$37),0,IF((YEAR(U$37)-$G84)&lt;0,0,IF((YEAR(U$37)-$G84)=0,$C84*$F84*$H84,$C84*(1-$F84*$H84)*(1-$F84)^((YEAR(U$37)-$G84)-1)*$F84))))</f>
        <v/>
      </c>
      <c r="V84" s="172">
        <f>IF($C84="",0,IF(AND($E84&lt;&gt;"",$E84&lt;=U$37),0,IF(OR($D84="",$D84&gt;U$37),$C84,IF((YEAR(U$37)-$G84)=0,$C84*(1-$F84*$H84),$C84*(1-$F84*$H84)*(1-$F84)^(YEAR(U$37)-$G84)))))</f>
        <v/>
      </c>
      <c r="W84" s="171">
        <f>IF(OR($C84="",$D84=""),0,IF(AND($E84&lt;&gt;"",$E84&lt;=W$37),0,IF((YEAR(W$37)-$G84)&lt;0,0,IF((YEAR(W$37)-$G84)=0,$C84*$F84*$H84,$C84*(1-$F84*$H84)*(1-$F84)^((YEAR(W$37)-$G84)-1)*$F84))))</f>
        <v/>
      </c>
      <c r="X84" s="172">
        <f>IF($C84="",0,IF(AND($E84&lt;&gt;"",$E84&lt;=W$37),0,IF(OR($D84="",$D84&gt;W$37),$C84,IF((YEAR(W$37)-$G84)=0,$C84*(1-$F84*$H84),$C84*(1-$F84*$H84)*(1-$F84)^(YEAR(W$37)-$G84)))))</f>
        <v/>
      </c>
      <c r="Y84" s="171">
        <f>IF(OR($C84="",$D84=""),0,IF(AND($E84&lt;&gt;"",$E84&lt;=Y$37),0,IF((YEAR(Y$37)-$G84)&lt;0,0,IF((YEAR(Y$37)-$G84)=0,$C84*$F84*$H84,$C84*(1-$F84*$H84)*(1-$F84)^((YEAR(Y$37)-$G84)-1)*$F84))))</f>
        <v/>
      </c>
      <c r="Z84" s="172">
        <f>IF($C84="",0,IF(AND($E84&lt;&gt;"",$E84&lt;=Y$37),0,IF(OR($D84="",$D84&gt;Y$37),$C84,IF((YEAR(Y$37)-$G84)=0,$C84*(1-$F84*$H84),$C84*(1-$F84*$H84)*(1-$F84)^(YEAR(Y$37)-$G84)))))</f>
        <v/>
      </c>
      <c r="AA84" s="171">
        <f>IF(OR($C84="",$D84=""),0,IF(AND($E84&lt;&gt;"",$E84&lt;=AA$37),0,IF((YEAR(AA$37)-$G84)&lt;0,0,IF((YEAR(AA$37)-$G84)=0,$C84*$F84*$H84,$C84*(1-$F84*$H84)*(1-$F84)^((YEAR(AA$37)-$G84)-1)*$F84))))</f>
        <v/>
      </c>
      <c r="AB84" s="172">
        <f>IF($C84="",0,IF(AND($E84&lt;&gt;"",$E84&lt;=AA$37),0,IF(OR($D84="",$D84&gt;AA$37),$C84,IF((YEAR(AA$37)-$G84)=0,$C84*(1-$F84*$H84),$C84*(1-$F84*$H84)*(1-$F84)^(YEAR(AA$37)-$G84)))))</f>
        <v/>
      </c>
      <c r="AC84" s="171">
        <f>IF(OR($C84="",$D84=""),0,IF(AND($E84&lt;&gt;"",$E84&lt;=AC$37),0,IF((YEAR(AC$37)-$G84)&lt;0,0,IF((YEAR(AC$37)-$G84)=0,$C84*$F84*$H84,$C84*(1-$F84*$H84)*(1-$F84)^((YEAR(AC$37)-$G84)-1)*$F84))))</f>
        <v/>
      </c>
      <c r="AD84" s="172">
        <f>IF($C84="",0,IF(AND($E84&lt;&gt;"",$E84&lt;=AC$37),0,IF(OR($D84="",$D84&gt;AC$37),$C84,IF((YEAR(AC$37)-$G84)=0,$C84*(1-$F84*$H84),$C84*(1-$F84*$H84)*(1-$F84)^(YEAR(AC$37)-$G84)))))</f>
        <v/>
      </c>
      <c r="AE84" s="171">
        <f>IF(OR($C84="",$D84=""),0,IF(AND($E84&lt;&gt;"",$E84&lt;=AE$37),0,IF((YEAR(AE$37)-$G84)&lt;0,0,IF((YEAR(AE$37)-$G84)=0,$C84*$F84*$H84,$C84*(1-$F84*$H84)*(1-$F84)^((YEAR(AE$37)-$G84)-1)*$F84))))</f>
        <v/>
      </c>
      <c r="AF84" s="172">
        <f>IF($C84="",0,IF(AND($E84&lt;&gt;"",$E84&lt;=AE$37),0,IF(OR($D84="",$D84&gt;AE$37),$C84,IF((YEAR(AE$37)-$G84)=0,$C84*(1-$F84*$H84),$C84*(1-$F84*$H84)*(1-$F84)^(YEAR(AE$37)-$G84)))))</f>
        <v/>
      </c>
      <c r="AG84" s="171">
        <f>IF(OR($C84="",$D84=""),0,IF(AND($E84&lt;&gt;"",$E84&lt;=AG$37),0,IF((YEAR(AG$37)-$G84)&lt;0,0,IF((YEAR(AG$37)-$G84)=0,$C84*$F84*$H84,$C84*(1-$F84*$H84)*(1-$F84)^((YEAR(AG$37)-$G84)-1)*$F84))))</f>
        <v/>
      </c>
      <c r="AH84" s="172">
        <f>IF($C84="",0,IF(AND($E84&lt;&gt;"",$E84&lt;=AG$37),0,IF(OR($D84="",$D84&gt;AG$37),$C84,IF((YEAR(AG$37)-$G84)=0,$C84*(1-$F84*$H84),$C84*(1-$F84*$H84)*(1-$F84)^(YEAR(AG$37)-$G84)))))</f>
        <v/>
      </c>
      <c r="AI84" s="171">
        <f>IF(OR($C84="",$D84=""),0,IF(AND($E84&lt;&gt;"",$E84&lt;=AI$37),0,IF((YEAR(AI$37)-$G84)&lt;0,0,IF((YEAR(AI$37)-$G84)=0,$C84*$F84*$H84,$C84*(1-$F84*$H84)*(1-$F84)^((YEAR(AI$37)-$G84)-1)*$F84))))</f>
        <v/>
      </c>
      <c r="AJ84" s="172">
        <f>IF($C84="",0,IF(AND($E84&lt;&gt;"",$E84&lt;=AI$37),0,IF(OR($D84="",$D84&gt;AI$37),$C84,IF((YEAR(AI$37)-$G84)=0,$C84*(1-$F84*$H84),$C84*(1-$F84*$H84)*(1-$F84)^(YEAR(AI$37)-$G84)))))</f>
        <v/>
      </c>
      <c r="AK84" s="171">
        <f>IF(OR($C84="",$D84=""),0,IF(AND($E84&lt;&gt;"",$E84&lt;=AK$37),0,IF((YEAR(AK$37)-$G84)&lt;0,0,IF((YEAR(AK$37)-$G84)=0,$C84*$F84*$H84,$C84*(1-$F84*$H84)*(1-$F84)^((YEAR(AK$37)-$G84)-1)*$F84))))</f>
        <v/>
      </c>
      <c r="AL84" s="172">
        <f>IF($C84="",0,IF(AND($E84&lt;&gt;"",$E84&lt;=AK$37),0,IF(OR($D84="",$D84&gt;AK$37),$C84,IF((YEAR(AK$37)-$G84)=0,$C84*(1-$F84*$H84),$C84*(1-$F84*$H84)*(1-$F84)^(YEAR(AK$37)-$G84)))))</f>
        <v/>
      </c>
      <c r="AM84" s="171">
        <f>IF(OR($C84="",$D84=""),0,IF(AND($E84&lt;&gt;"",$E84&lt;=AM$37),0,IF((YEAR(AM$37)-$G84)&lt;0,0,IF((YEAR(AM$37)-$G84)=0,$C84*$F84*$H84,$C84*(1-$F84*$H84)*(1-$F84)^((YEAR(AM$37)-$G84)-1)*$F84))))</f>
        <v/>
      </c>
      <c r="AN84" s="172">
        <f>IF($C84="",0,IF(AND($E84&lt;&gt;"",$E84&lt;=AM$37),0,IF(OR($D84="",$D84&gt;AM$37),$C84,IF((YEAR(AM$37)-$G84)=0,$C84*(1-$F84*$H84),$C84*(1-$F84*$H84)*(1-$F84)^(YEAR(AM$37)-$G84)))))</f>
        <v/>
      </c>
    </row>
    <row r="85">
      <c r="B85" s="132">
        <f>IF(FAR!K52="","",FAR!B52)</f>
        <v/>
      </c>
      <c r="C85" s="81">
        <f>IF(FAR!K52="","",FAR!K52)</f>
        <v/>
      </c>
      <c r="D85" s="134">
        <f>IF(FAR!H52="","",FAR!H52)</f>
        <v/>
      </c>
      <c r="E85" s="136">
        <f>IF(FAR!I52="","",FAR!I52)</f>
        <v/>
      </c>
      <c r="F85" s="173">
        <f>IF(FAR!C52="",0,IFERROR(VLOOKUP(FAR!C52,ScheduleIITable,6,FALSE),0))</f>
        <v/>
      </c>
      <c r="G85" s="135">
        <f>IF($D85="","",YEAR($D85)+IF(MONTH($D85)&gt;=4,1,0))</f>
        <v/>
      </c>
      <c r="H85" s="174">
        <f>IF($D85="","",IF((DATE($G85,3,31)-$D85+1)&gt;=180,1,0.5))</f>
        <v/>
      </c>
      <c r="I85" s="175">
        <f>IF(OR($C85="",$D85=""),0,IF(AND($E85&lt;&gt;"",$E85&lt;=I$37),0,IF((YEAR(I$37)-$G85)&lt;0,0,IF((YEAR(I$37)-$G85)=0,$C85*$F85*$H85,$C85*(1-$F85*$H85)*(1-$F85)^((YEAR(I$37)-$G85)-1)*$F85))))</f>
        <v/>
      </c>
      <c r="J85" s="175">
        <f>IF($C85="",0,IF(AND($E85&lt;&gt;"",$E85&lt;=I$37),0,IF(OR($D85="",$D85&gt;I$37),$C85,IF((YEAR(I$37)-$G85)=0,$C85*(1-$F85*$H85),$C85*(1-$F85*$H85)*(1-$F85)^(YEAR(I$37)-$G85)))))</f>
        <v/>
      </c>
      <c r="K85" s="175">
        <f>IF(OR($C85="",$D85=""),0,IF(AND($E85&lt;&gt;"",$E85&lt;=K$37),0,IF((YEAR(K$37)-$G85)&lt;0,0,IF((YEAR(K$37)-$G85)=0,$C85*$F85*$H85,$C85*(1-$F85*$H85)*(1-$F85)^((YEAR(K$37)-$G85)-1)*$F85))))</f>
        <v/>
      </c>
      <c r="L85" s="175">
        <f>IF($C85="",0,IF(AND($E85&lt;&gt;"",$E85&lt;=K$37),0,IF(OR($D85="",$D85&gt;K$37),$C85,IF((YEAR(K$37)-$G85)=0,$C85*(1-$F85*$H85),$C85*(1-$F85*$H85)*(1-$F85)^(YEAR(K$37)-$G85)))))</f>
        <v/>
      </c>
      <c r="M85" s="175">
        <f>IF(OR($C85="",$D85=""),0,IF(AND($E85&lt;&gt;"",$E85&lt;=M$37),0,IF((YEAR(M$37)-$G85)&lt;0,0,IF((YEAR(M$37)-$G85)=0,$C85*$F85*$H85,$C85*(1-$F85*$H85)*(1-$F85)^((YEAR(M$37)-$G85)-1)*$F85))))</f>
        <v/>
      </c>
      <c r="N85" s="175">
        <f>IF($C85="",0,IF(AND($E85&lt;&gt;"",$E85&lt;=M$37),0,IF(OR($D85="",$D85&gt;M$37),$C85,IF((YEAR(M$37)-$G85)=0,$C85*(1-$F85*$H85),$C85*(1-$F85*$H85)*(1-$F85)^(YEAR(M$37)-$G85)))))</f>
        <v/>
      </c>
      <c r="O85" s="175">
        <f>IF(OR($C85="",$D85=""),0,IF(AND($E85&lt;&gt;"",$E85&lt;=O$37),0,IF((YEAR(O$37)-$G85)&lt;0,0,IF((YEAR(O$37)-$G85)=0,$C85*$F85*$H85,$C85*(1-$F85*$H85)*(1-$F85)^((YEAR(O$37)-$G85)-1)*$F85))))</f>
        <v/>
      </c>
      <c r="P85" s="175">
        <f>IF($C85="",0,IF(AND($E85&lt;&gt;"",$E85&lt;=O$37),0,IF(OR($D85="",$D85&gt;O$37),$C85,IF((YEAR(O$37)-$G85)=0,$C85*(1-$F85*$H85),$C85*(1-$F85*$H85)*(1-$F85)^(YEAR(O$37)-$G85)))))</f>
        <v/>
      </c>
      <c r="Q85" s="175">
        <f>IF(OR($C85="",$D85=""),0,IF(AND($E85&lt;&gt;"",$E85&lt;=Q$37),0,IF((YEAR(Q$37)-$G85)&lt;0,0,IF((YEAR(Q$37)-$G85)=0,$C85*$F85*$H85,$C85*(1-$F85*$H85)*(1-$F85)^((YEAR(Q$37)-$G85)-1)*$F85))))</f>
        <v/>
      </c>
      <c r="R85" s="175">
        <f>IF($C85="",0,IF(AND($E85&lt;&gt;"",$E85&lt;=Q$37),0,IF(OR($D85="",$D85&gt;Q$37),$C85,IF((YEAR(Q$37)-$G85)=0,$C85*(1-$F85*$H85),$C85*(1-$F85*$H85)*(1-$F85)^(YEAR(Q$37)-$G85)))))</f>
        <v/>
      </c>
      <c r="S85" s="175">
        <f>IF(OR($C85="",$D85=""),0,IF(AND($E85&lt;&gt;"",$E85&lt;=S$37),0,IF((YEAR(S$37)-$G85)&lt;0,0,IF((YEAR(S$37)-$G85)=0,$C85*$F85*$H85,$C85*(1-$F85*$H85)*(1-$F85)^((YEAR(S$37)-$G85)-1)*$F85))))</f>
        <v/>
      </c>
      <c r="T85" s="175">
        <f>IF($C85="",0,IF(AND($E85&lt;&gt;"",$E85&lt;=S$37),0,IF(OR($D85="",$D85&gt;S$37),$C85,IF((YEAR(S$37)-$G85)=0,$C85*(1-$F85*$H85),$C85*(1-$F85*$H85)*(1-$F85)^(YEAR(S$37)-$G85)))))</f>
        <v/>
      </c>
      <c r="U85" s="175">
        <f>IF(OR($C85="",$D85=""),0,IF(AND($E85&lt;&gt;"",$E85&lt;=U$37),0,IF((YEAR(U$37)-$G85)&lt;0,0,IF((YEAR(U$37)-$G85)=0,$C85*$F85*$H85,$C85*(1-$F85*$H85)*(1-$F85)^((YEAR(U$37)-$G85)-1)*$F85))))</f>
        <v/>
      </c>
      <c r="V85" s="175">
        <f>IF($C85="",0,IF(AND($E85&lt;&gt;"",$E85&lt;=U$37),0,IF(OR($D85="",$D85&gt;U$37),$C85,IF((YEAR(U$37)-$G85)=0,$C85*(1-$F85*$H85),$C85*(1-$F85*$H85)*(1-$F85)^(YEAR(U$37)-$G85)))))</f>
        <v/>
      </c>
      <c r="W85" s="175">
        <f>IF(OR($C85="",$D85=""),0,IF(AND($E85&lt;&gt;"",$E85&lt;=W$37),0,IF((YEAR(W$37)-$G85)&lt;0,0,IF((YEAR(W$37)-$G85)=0,$C85*$F85*$H85,$C85*(1-$F85*$H85)*(1-$F85)^((YEAR(W$37)-$G85)-1)*$F85))))</f>
        <v/>
      </c>
      <c r="X85" s="175">
        <f>IF($C85="",0,IF(AND($E85&lt;&gt;"",$E85&lt;=W$37),0,IF(OR($D85="",$D85&gt;W$37),$C85,IF((YEAR(W$37)-$G85)=0,$C85*(1-$F85*$H85),$C85*(1-$F85*$H85)*(1-$F85)^(YEAR(W$37)-$G85)))))</f>
        <v/>
      </c>
      <c r="Y85" s="175">
        <f>IF(OR($C85="",$D85=""),0,IF(AND($E85&lt;&gt;"",$E85&lt;=Y$37),0,IF((YEAR(Y$37)-$G85)&lt;0,0,IF((YEAR(Y$37)-$G85)=0,$C85*$F85*$H85,$C85*(1-$F85*$H85)*(1-$F85)^((YEAR(Y$37)-$G85)-1)*$F85))))</f>
        <v/>
      </c>
      <c r="Z85" s="175">
        <f>IF($C85="",0,IF(AND($E85&lt;&gt;"",$E85&lt;=Y$37),0,IF(OR($D85="",$D85&gt;Y$37),$C85,IF((YEAR(Y$37)-$G85)=0,$C85*(1-$F85*$H85),$C85*(1-$F85*$H85)*(1-$F85)^(YEAR(Y$37)-$G85)))))</f>
        <v/>
      </c>
      <c r="AA85" s="175">
        <f>IF(OR($C85="",$D85=""),0,IF(AND($E85&lt;&gt;"",$E85&lt;=AA$37),0,IF((YEAR(AA$37)-$G85)&lt;0,0,IF((YEAR(AA$37)-$G85)=0,$C85*$F85*$H85,$C85*(1-$F85*$H85)*(1-$F85)^((YEAR(AA$37)-$G85)-1)*$F85))))</f>
        <v/>
      </c>
      <c r="AB85" s="175">
        <f>IF($C85="",0,IF(AND($E85&lt;&gt;"",$E85&lt;=AA$37),0,IF(OR($D85="",$D85&gt;AA$37),$C85,IF((YEAR(AA$37)-$G85)=0,$C85*(1-$F85*$H85),$C85*(1-$F85*$H85)*(1-$F85)^(YEAR(AA$37)-$G85)))))</f>
        <v/>
      </c>
      <c r="AC85" s="175">
        <f>IF(OR($C85="",$D85=""),0,IF(AND($E85&lt;&gt;"",$E85&lt;=AC$37),0,IF((YEAR(AC$37)-$G85)&lt;0,0,IF((YEAR(AC$37)-$G85)=0,$C85*$F85*$H85,$C85*(1-$F85*$H85)*(1-$F85)^((YEAR(AC$37)-$G85)-1)*$F85))))</f>
        <v/>
      </c>
      <c r="AD85" s="175">
        <f>IF($C85="",0,IF(AND($E85&lt;&gt;"",$E85&lt;=AC$37),0,IF(OR($D85="",$D85&gt;AC$37),$C85,IF((YEAR(AC$37)-$G85)=0,$C85*(1-$F85*$H85),$C85*(1-$F85*$H85)*(1-$F85)^(YEAR(AC$37)-$G85)))))</f>
        <v/>
      </c>
      <c r="AE85" s="175">
        <f>IF(OR($C85="",$D85=""),0,IF(AND($E85&lt;&gt;"",$E85&lt;=AE$37),0,IF((YEAR(AE$37)-$G85)&lt;0,0,IF((YEAR(AE$37)-$G85)=0,$C85*$F85*$H85,$C85*(1-$F85*$H85)*(1-$F85)^((YEAR(AE$37)-$G85)-1)*$F85))))</f>
        <v/>
      </c>
      <c r="AF85" s="175">
        <f>IF($C85="",0,IF(AND($E85&lt;&gt;"",$E85&lt;=AE$37),0,IF(OR($D85="",$D85&gt;AE$37),$C85,IF((YEAR(AE$37)-$G85)=0,$C85*(1-$F85*$H85),$C85*(1-$F85*$H85)*(1-$F85)^(YEAR(AE$37)-$G85)))))</f>
        <v/>
      </c>
      <c r="AG85" s="175">
        <f>IF(OR($C85="",$D85=""),0,IF(AND($E85&lt;&gt;"",$E85&lt;=AG$37),0,IF((YEAR(AG$37)-$G85)&lt;0,0,IF((YEAR(AG$37)-$G85)=0,$C85*$F85*$H85,$C85*(1-$F85*$H85)*(1-$F85)^((YEAR(AG$37)-$G85)-1)*$F85))))</f>
        <v/>
      </c>
      <c r="AH85" s="175">
        <f>IF($C85="",0,IF(AND($E85&lt;&gt;"",$E85&lt;=AG$37),0,IF(OR($D85="",$D85&gt;AG$37),$C85,IF((YEAR(AG$37)-$G85)=0,$C85*(1-$F85*$H85),$C85*(1-$F85*$H85)*(1-$F85)^(YEAR(AG$37)-$G85)))))</f>
        <v/>
      </c>
      <c r="AI85" s="175">
        <f>IF(OR($C85="",$D85=""),0,IF(AND($E85&lt;&gt;"",$E85&lt;=AI$37),0,IF((YEAR(AI$37)-$G85)&lt;0,0,IF((YEAR(AI$37)-$G85)=0,$C85*$F85*$H85,$C85*(1-$F85*$H85)*(1-$F85)^((YEAR(AI$37)-$G85)-1)*$F85))))</f>
        <v/>
      </c>
      <c r="AJ85" s="175">
        <f>IF($C85="",0,IF(AND($E85&lt;&gt;"",$E85&lt;=AI$37),0,IF(OR($D85="",$D85&gt;AI$37),$C85,IF((YEAR(AI$37)-$G85)=0,$C85*(1-$F85*$H85),$C85*(1-$F85*$H85)*(1-$F85)^(YEAR(AI$37)-$G85)))))</f>
        <v/>
      </c>
      <c r="AK85" s="175">
        <f>IF(OR($C85="",$D85=""),0,IF(AND($E85&lt;&gt;"",$E85&lt;=AK$37),0,IF((YEAR(AK$37)-$G85)&lt;0,0,IF((YEAR(AK$37)-$G85)=0,$C85*$F85*$H85,$C85*(1-$F85*$H85)*(1-$F85)^((YEAR(AK$37)-$G85)-1)*$F85))))</f>
        <v/>
      </c>
      <c r="AL85" s="175">
        <f>IF($C85="",0,IF(AND($E85&lt;&gt;"",$E85&lt;=AK$37),0,IF(OR($D85="",$D85&gt;AK$37),$C85,IF((YEAR(AK$37)-$G85)=0,$C85*(1-$F85*$H85),$C85*(1-$F85*$H85)*(1-$F85)^(YEAR(AK$37)-$G85)))))</f>
        <v/>
      </c>
      <c r="AM85" s="175">
        <f>IF(OR($C85="",$D85=""),0,IF(AND($E85&lt;&gt;"",$E85&lt;=AM$37),0,IF((YEAR(AM$37)-$G85)&lt;0,0,IF((YEAR(AM$37)-$G85)=0,$C85*$F85*$H85,$C85*(1-$F85*$H85)*(1-$F85)^((YEAR(AM$37)-$G85)-1)*$F85))))</f>
        <v/>
      </c>
      <c r="AN85" s="175">
        <f>IF($C85="",0,IF(AND($E85&lt;&gt;"",$E85&lt;=AM$37),0,IF(OR($D85="",$D85&gt;AM$37),$C85,IF((YEAR(AM$37)-$G85)=0,$C85*(1-$F85*$H85),$C85*(1-$F85*$H85)*(1-$F85)^(YEAR(AM$37)-$G85)))))</f>
        <v/>
      </c>
    </row>
    <row r="86">
      <c r="B86" s="126">
        <f>IF(FAR!K53="","",FAR!B53)</f>
        <v/>
      </c>
      <c r="C86" s="63">
        <f>IF(FAR!K53="","",FAR!K53)</f>
        <v/>
      </c>
      <c r="D86" s="128">
        <f>IF(FAR!H53="","",FAR!H53)</f>
        <v/>
      </c>
      <c r="E86" s="130">
        <f>IF(FAR!I53="","",FAR!I53)</f>
        <v/>
      </c>
      <c r="F86" s="169">
        <f>IF(FAR!C53="",0,IFERROR(VLOOKUP(FAR!C53,ScheduleIITable,6,FALSE),0))</f>
        <v/>
      </c>
      <c r="G86" s="129">
        <f>IF($D86="","",YEAR($D86)+IF(MONTH($D86)&gt;=4,1,0))</f>
        <v/>
      </c>
      <c r="H86" s="170">
        <f>IF($D86="","",IF((DATE($G86,3,31)-$D86+1)&gt;=180,1,0.5))</f>
        <v/>
      </c>
      <c r="I86" s="171">
        <f>IF(OR($C86="",$D86=""),0,IF(AND($E86&lt;&gt;"",$E86&lt;=I$37),0,IF((YEAR(I$37)-$G86)&lt;0,0,IF((YEAR(I$37)-$G86)=0,$C86*$F86*$H86,$C86*(1-$F86*$H86)*(1-$F86)^((YEAR(I$37)-$G86)-1)*$F86))))</f>
        <v/>
      </c>
      <c r="J86" s="172">
        <f>IF($C86="",0,IF(AND($E86&lt;&gt;"",$E86&lt;=I$37),0,IF(OR($D86="",$D86&gt;I$37),$C86,IF((YEAR(I$37)-$G86)=0,$C86*(1-$F86*$H86),$C86*(1-$F86*$H86)*(1-$F86)^(YEAR(I$37)-$G86)))))</f>
        <v/>
      </c>
      <c r="K86" s="171">
        <f>IF(OR($C86="",$D86=""),0,IF(AND($E86&lt;&gt;"",$E86&lt;=K$37),0,IF((YEAR(K$37)-$G86)&lt;0,0,IF((YEAR(K$37)-$G86)=0,$C86*$F86*$H86,$C86*(1-$F86*$H86)*(1-$F86)^((YEAR(K$37)-$G86)-1)*$F86))))</f>
        <v/>
      </c>
      <c r="L86" s="172">
        <f>IF($C86="",0,IF(AND($E86&lt;&gt;"",$E86&lt;=K$37),0,IF(OR($D86="",$D86&gt;K$37),$C86,IF((YEAR(K$37)-$G86)=0,$C86*(1-$F86*$H86),$C86*(1-$F86*$H86)*(1-$F86)^(YEAR(K$37)-$G86)))))</f>
        <v/>
      </c>
      <c r="M86" s="171">
        <f>IF(OR($C86="",$D86=""),0,IF(AND($E86&lt;&gt;"",$E86&lt;=M$37),0,IF((YEAR(M$37)-$G86)&lt;0,0,IF((YEAR(M$37)-$G86)=0,$C86*$F86*$H86,$C86*(1-$F86*$H86)*(1-$F86)^((YEAR(M$37)-$G86)-1)*$F86))))</f>
        <v/>
      </c>
      <c r="N86" s="172">
        <f>IF($C86="",0,IF(AND($E86&lt;&gt;"",$E86&lt;=M$37),0,IF(OR($D86="",$D86&gt;M$37),$C86,IF((YEAR(M$37)-$G86)=0,$C86*(1-$F86*$H86),$C86*(1-$F86*$H86)*(1-$F86)^(YEAR(M$37)-$G86)))))</f>
        <v/>
      </c>
      <c r="O86" s="171">
        <f>IF(OR($C86="",$D86=""),0,IF(AND($E86&lt;&gt;"",$E86&lt;=O$37),0,IF((YEAR(O$37)-$G86)&lt;0,0,IF((YEAR(O$37)-$G86)=0,$C86*$F86*$H86,$C86*(1-$F86*$H86)*(1-$F86)^((YEAR(O$37)-$G86)-1)*$F86))))</f>
        <v/>
      </c>
      <c r="P86" s="172">
        <f>IF($C86="",0,IF(AND($E86&lt;&gt;"",$E86&lt;=O$37),0,IF(OR($D86="",$D86&gt;O$37),$C86,IF((YEAR(O$37)-$G86)=0,$C86*(1-$F86*$H86),$C86*(1-$F86*$H86)*(1-$F86)^(YEAR(O$37)-$G86)))))</f>
        <v/>
      </c>
      <c r="Q86" s="171">
        <f>IF(OR($C86="",$D86=""),0,IF(AND($E86&lt;&gt;"",$E86&lt;=Q$37),0,IF((YEAR(Q$37)-$G86)&lt;0,0,IF((YEAR(Q$37)-$G86)=0,$C86*$F86*$H86,$C86*(1-$F86*$H86)*(1-$F86)^((YEAR(Q$37)-$G86)-1)*$F86))))</f>
        <v/>
      </c>
      <c r="R86" s="172">
        <f>IF($C86="",0,IF(AND($E86&lt;&gt;"",$E86&lt;=Q$37),0,IF(OR($D86="",$D86&gt;Q$37),$C86,IF((YEAR(Q$37)-$G86)=0,$C86*(1-$F86*$H86),$C86*(1-$F86*$H86)*(1-$F86)^(YEAR(Q$37)-$G86)))))</f>
        <v/>
      </c>
      <c r="S86" s="171">
        <f>IF(OR($C86="",$D86=""),0,IF(AND($E86&lt;&gt;"",$E86&lt;=S$37),0,IF((YEAR(S$37)-$G86)&lt;0,0,IF((YEAR(S$37)-$G86)=0,$C86*$F86*$H86,$C86*(1-$F86*$H86)*(1-$F86)^((YEAR(S$37)-$G86)-1)*$F86))))</f>
        <v/>
      </c>
      <c r="T86" s="172">
        <f>IF($C86="",0,IF(AND($E86&lt;&gt;"",$E86&lt;=S$37),0,IF(OR($D86="",$D86&gt;S$37),$C86,IF((YEAR(S$37)-$G86)=0,$C86*(1-$F86*$H86),$C86*(1-$F86*$H86)*(1-$F86)^(YEAR(S$37)-$G86)))))</f>
        <v/>
      </c>
      <c r="U86" s="171">
        <f>IF(OR($C86="",$D86=""),0,IF(AND($E86&lt;&gt;"",$E86&lt;=U$37),0,IF((YEAR(U$37)-$G86)&lt;0,0,IF((YEAR(U$37)-$G86)=0,$C86*$F86*$H86,$C86*(1-$F86*$H86)*(1-$F86)^((YEAR(U$37)-$G86)-1)*$F86))))</f>
        <v/>
      </c>
      <c r="V86" s="172">
        <f>IF($C86="",0,IF(AND($E86&lt;&gt;"",$E86&lt;=U$37),0,IF(OR($D86="",$D86&gt;U$37),$C86,IF((YEAR(U$37)-$G86)=0,$C86*(1-$F86*$H86),$C86*(1-$F86*$H86)*(1-$F86)^(YEAR(U$37)-$G86)))))</f>
        <v/>
      </c>
      <c r="W86" s="171">
        <f>IF(OR($C86="",$D86=""),0,IF(AND($E86&lt;&gt;"",$E86&lt;=W$37),0,IF((YEAR(W$37)-$G86)&lt;0,0,IF((YEAR(W$37)-$G86)=0,$C86*$F86*$H86,$C86*(1-$F86*$H86)*(1-$F86)^((YEAR(W$37)-$G86)-1)*$F86))))</f>
        <v/>
      </c>
      <c r="X86" s="172">
        <f>IF($C86="",0,IF(AND($E86&lt;&gt;"",$E86&lt;=W$37),0,IF(OR($D86="",$D86&gt;W$37),$C86,IF((YEAR(W$37)-$G86)=0,$C86*(1-$F86*$H86),$C86*(1-$F86*$H86)*(1-$F86)^(YEAR(W$37)-$G86)))))</f>
        <v/>
      </c>
      <c r="Y86" s="171">
        <f>IF(OR($C86="",$D86=""),0,IF(AND($E86&lt;&gt;"",$E86&lt;=Y$37),0,IF((YEAR(Y$37)-$G86)&lt;0,0,IF((YEAR(Y$37)-$G86)=0,$C86*$F86*$H86,$C86*(1-$F86*$H86)*(1-$F86)^((YEAR(Y$37)-$G86)-1)*$F86))))</f>
        <v/>
      </c>
      <c r="Z86" s="172">
        <f>IF($C86="",0,IF(AND($E86&lt;&gt;"",$E86&lt;=Y$37),0,IF(OR($D86="",$D86&gt;Y$37),$C86,IF((YEAR(Y$37)-$G86)=0,$C86*(1-$F86*$H86),$C86*(1-$F86*$H86)*(1-$F86)^(YEAR(Y$37)-$G86)))))</f>
        <v/>
      </c>
      <c r="AA86" s="171">
        <f>IF(OR($C86="",$D86=""),0,IF(AND($E86&lt;&gt;"",$E86&lt;=AA$37),0,IF((YEAR(AA$37)-$G86)&lt;0,0,IF((YEAR(AA$37)-$G86)=0,$C86*$F86*$H86,$C86*(1-$F86*$H86)*(1-$F86)^((YEAR(AA$37)-$G86)-1)*$F86))))</f>
        <v/>
      </c>
      <c r="AB86" s="172">
        <f>IF($C86="",0,IF(AND($E86&lt;&gt;"",$E86&lt;=AA$37),0,IF(OR($D86="",$D86&gt;AA$37),$C86,IF((YEAR(AA$37)-$G86)=0,$C86*(1-$F86*$H86),$C86*(1-$F86*$H86)*(1-$F86)^(YEAR(AA$37)-$G86)))))</f>
        <v/>
      </c>
      <c r="AC86" s="171">
        <f>IF(OR($C86="",$D86=""),0,IF(AND($E86&lt;&gt;"",$E86&lt;=AC$37),0,IF((YEAR(AC$37)-$G86)&lt;0,0,IF((YEAR(AC$37)-$G86)=0,$C86*$F86*$H86,$C86*(1-$F86*$H86)*(1-$F86)^((YEAR(AC$37)-$G86)-1)*$F86))))</f>
        <v/>
      </c>
      <c r="AD86" s="172">
        <f>IF($C86="",0,IF(AND($E86&lt;&gt;"",$E86&lt;=AC$37),0,IF(OR($D86="",$D86&gt;AC$37),$C86,IF((YEAR(AC$37)-$G86)=0,$C86*(1-$F86*$H86),$C86*(1-$F86*$H86)*(1-$F86)^(YEAR(AC$37)-$G86)))))</f>
        <v/>
      </c>
      <c r="AE86" s="171">
        <f>IF(OR($C86="",$D86=""),0,IF(AND($E86&lt;&gt;"",$E86&lt;=AE$37),0,IF((YEAR(AE$37)-$G86)&lt;0,0,IF((YEAR(AE$37)-$G86)=0,$C86*$F86*$H86,$C86*(1-$F86*$H86)*(1-$F86)^((YEAR(AE$37)-$G86)-1)*$F86))))</f>
        <v/>
      </c>
      <c r="AF86" s="172">
        <f>IF($C86="",0,IF(AND($E86&lt;&gt;"",$E86&lt;=AE$37),0,IF(OR($D86="",$D86&gt;AE$37),$C86,IF((YEAR(AE$37)-$G86)=0,$C86*(1-$F86*$H86),$C86*(1-$F86*$H86)*(1-$F86)^(YEAR(AE$37)-$G86)))))</f>
        <v/>
      </c>
      <c r="AG86" s="171">
        <f>IF(OR($C86="",$D86=""),0,IF(AND($E86&lt;&gt;"",$E86&lt;=AG$37),0,IF((YEAR(AG$37)-$G86)&lt;0,0,IF((YEAR(AG$37)-$G86)=0,$C86*$F86*$H86,$C86*(1-$F86*$H86)*(1-$F86)^((YEAR(AG$37)-$G86)-1)*$F86))))</f>
        <v/>
      </c>
      <c r="AH86" s="172">
        <f>IF($C86="",0,IF(AND($E86&lt;&gt;"",$E86&lt;=AG$37),0,IF(OR($D86="",$D86&gt;AG$37),$C86,IF((YEAR(AG$37)-$G86)=0,$C86*(1-$F86*$H86),$C86*(1-$F86*$H86)*(1-$F86)^(YEAR(AG$37)-$G86)))))</f>
        <v/>
      </c>
      <c r="AI86" s="171">
        <f>IF(OR($C86="",$D86=""),0,IF(AND($E86&lt;&gt;"",$E86&lt;=AI$37),0,IF((YEAR(AI$37)-$G86)&lt;0,0,IF((YEAR(AI$37)-$G86)=0,$C86*$F86*$H86,$C86*(1-$F86*$H86)*(1-$F86)^((YEAR(AI$37)-$G86)-1)*$F86))))</f>
        <v/>
      </c>
      <c r="AJ86" s="172">
        <f>IF($C86="",0,IF(AND($E86&lt;&gt;"",$E86&lt;=AI$37),0,IF(OR($D86="",$D86&gt;AI$37),$C86,IF((YEAR(AI$37)-$G86)=0,$C86*(1-$F86*$H86),$C86*(1-$F86*$H86)*(1-$F86)^(YEAR(AI$37)-$G86)))))</f>
        <v/>
      </c>
      <c r="AK86" s="171">
        <f>IF(OR($C86="",$D86=""),0,IF(AND($E86&lt;&gt;"",$E86&lt;=AK$37),0,IF((YEAR(AK$37)-$G86)&lt;0,0,IF((YEAR(AK$37)-$G86)=0,$C86*$F86*$H86,$C86*(1-$F86*$H86)*(1-$F86)^((YEAR(AK$37)-$G86)-1)*$F86))))</f>
        <v/>
      </c>
      <c r="AL86" s="172">
        <f>IF($C86="",0,IF(AND($E86&lt;&gt;"",$E86&lt;=AK$37),0,IF(OR($D86="",$D86&gt;AK$37),$C86,IF((YEAR(AK$37)-$G86)=0,$C86*(1-$F86*$H86),$C86*(1-$F86*$H86)*(1-$F86)^(YEAR(AK$37)-$G86)))))</f>
        <v/>
      </c>
      <c r="AM86" s="171">
        <f>IF(OR($C86="",$D86=""),0,IF(AND($E86&lt;&gt;"",$E86&lt;=AM$37),0,IF((YEAR(AM$37)-$G86)&lt;0,0,IF((YEAR(AM$37)-$G86)=0,$C86*$F86*$H86,$C86*(1-$F86*$H86)*(1-$F86)^((YEAR(AM$37)-$G86)-1)*$F86))))</f>
        <v/>
      </c>
      <c r="AN86" s="172">
        <f>IF($C86="",0,IF(AND($E86&lt;&gt;"",$E86&lt;=AM$37),0,IF(OR($D86="",$D86&gt;AM$37),$C86,IF((YEAR(AM$37)-$G86)=0,$C86*(1-$F86*$H86),$C86*(1-$F86*$H86)*(1-$F86)^(YEAR(AM$37)-$G86)))))</f>
        <v/>
      </c>
    </row>
    <row r="87">
      <c r="B87" s="132">
        <f>IF(FAR!K54="","",FAR!B54)</f>
        <v/>
      </c>
      <c r="C87" s="81">
        <f>IF(FAR!K54="","",FAR!K54)</f>
        <v/>
      </c>
      <c r="D87" s="134">
        <f>IF(FAR!H54="","",FAR!H54)</f>
        <v/>
      </c>
      <c r="E87" s="136">
        <f>IF(FAR!I54="","",FAR!I54)</f>
        <v/>
      </c>
      <c r="F87" s="173">
        <f>IF(FAR!C54="",0,IFERROR(VLOOKUP(FAR!C54,ScheduleIITable,6,FALSE),0))</f>
        <v/>
      </c>
      <c r="G87" s="135">
        <f>IF($D87="","",YEAR($D87)+IF(MONTH($D87)&gt;=4,1,0))</f>
        <v/>
      </c>
      <c r="H87" s="174">
        <f>IF($D87="","",IF((DATE($G87,3,31)-$D87+1)&gt;=180,1,0.5))</f>
        <v/>
      </c>
      <c r="I87" s="175">
        <f>IF(OR($C87="",$D87=""),0,IF(AND($E87&lt;&gt;"",$E87&lt;=I$37),0,IF((YEAR(I$37)-$G87)&lt;0,0,IF((YEAR(I$37)-$G87)=0,$C87*$F87*$H87,$C87*(1-$F87*$H87)*(1-$F87)^((YEAR(I$37)-$G87)-1)*$F87))))</f>
        <v/>
      </c>
      <c r="J87" s="175">
        <f>IF($C87="",0,IF(AND($E87&lt;&gt;"",$E87&lt;=I$37),0,IF(OR($D87="",$D87&gt;I$37),$C87,IF((YEAR(I$37)-$G87)=0,$C87*(1-$F87*$H87),$C87*(1-$F87*$H87)*(1-$F87)^(YEAR(I$37)-$G87)))))</f>
        <v/>
      </c>
      <c r="K87" s="175">
        <f>IF(OR($C87="",$D87=""),0,IF(AND($E87&lt;&gt;"",$E87&lt;=K$37),0,IF((YEAR(K$37)-$G87)&lt;0,0,IF((YEAR(K$37)-$G87)=0,$C87*$F87*$H87,$C87*(1-$F87*$H87)*(1-$F87)^((YEAR(K$37)-$G87)-1)*$F87))))</f>
        <v/>
      </c>
      <c r="L87" s="175">
        <f>IF($C87="",0,IF(AND($E87&lt;&gt;"",$E87&lt;=K$37),0,IF(OR($D87="",$D87&gt;K$37),$C87,IF((YEAR(K$37)-$G87)=0,$C87*(1-$F87*$H87),$C87*(1-$F87*$H87)*(1-$F87)^(YEAR(K$37)-$G87)))))</f>
        <v/>
      </c>
      <c r="M87" s="175">
        <f>IF(OR($C87="",$D87=""),0,IF(AND($E87&lt;&gt;"",$E87&lt;=M$37),0,IF((YEAR(M$37)-$G87)&lt;0,0,IF((YEAR(M$37)-$G87)=0,$C87*$F87*$H87,$C87*(1-$F87*$H87)*(1-$F87)^((YEAR(M$37)-$G87)-1)*$F87))))</f>
        <v/>
      </c>
      <c r="N87" s="175">
        <f>IF($C87="",0,IF(AND($E87&lt;&gt;"",$E87&lt;=M$37),0,IF(OR($D87="",$D87&gt;M$37),$C87,IF((YEAR(M$37)-$G87)=0,$C87*(1-$F87*$H87),$C87*(1-$F87*$H87)*(1-$F87)^(YEAR(M$37)-$G87)))))</f>
        <v/>
      </c>
      <c r="O87" s="175">
        <f>IF(OR($C87="",$D87=""),0,IF(AND($E87&lt;&gt;"",$E87&lt;=O$37),0,IF((YEAR(O$37)-$G87)&lt;0,0,IF((YEAR(O$37)-$G87)=0,$C87*$F87*$H87,$C87*(1-$F87*$H87)*(1-$F87)^((YEAR(O$37)-$G87)-1)*$F87))))</f>
        <v/>
      </c>
      <c r="P87" s="175">
        <f>IF($C87="",0,IF(AND($E87&lt;&gt;"",$E87&lt;=O$37),0,IF(OR($D87="",$D87&gt;O$37),$C87,IF((YEAR(O$37)-$G87)=0,$C87*(1-$F87*$H87),$C87*(1-$F87*$H87)*(1-$F87)^(YEAR(O$37)-$G87)))))</f>
        <v/>
      </c>
      <c r="Q87" s="175">
        <f>IF(OR($C87="",$D87=""),0,IF(AND($E87&lt;&gt;"",$E87&lt;=Q$37),0,IF((YEAR(Q$37)-$G87)&lt;0,0,IF((YEAR(Q$37)-$G87)=0,$C87*$F87*$H87,$C87*(1-$F87*$H87)*(1-$F87)^((YEAR(Q$37)-$G87)-1)*$F87))))</f>
        <v/>
      </c>
      <c r="R87" s="175">
        <f>IF($C87="",0,IF(AND($E87&lt;&gt;"",$E87&lt;=Q$37),0,IF(OR($D87="",$D87&gt;Q$37),$C87,IF((YEAR(Q$37)-$G87)=0,$C87*(1-$F87*$H87),$C87*(1-$F87*$H87)*(1-$F87)^(YEAR(Q$37)-$G87)))))</f>
        <v/>
      </c>
      <c r="S87" s="175">
        <f>IF(OR($C87="",$D87=""),0,IF(AND($E87&lt;&gt;"",$E87&lt;=S$37),0,IF((YEAR(S$37)-$G87)&lt;0,0,IF((YEAR(S$37)-$G87)=0,$C87*$F87*$H87,$C87*(1-$F87*$H87)*(1-$F87)^((YEAR(S$37)-$G87)-1)*$F87))))</f>
        <v/>
      </c>
      <c r="T87" s="175">
        <f>IF($C87="",0,IF(AND($E87&lt;&gt;"",$E87&lt;=S$37),0,IF(OR($D87="",$D87&gt;S$37),$C87,IF((YEAR(S$37)-$G87)=0,$C87*(1-$F87*$H87),$C87*(1-$F87*$H87)*(1-$F87)^(YEAR(S$37)-$G87)))))</f>
        <v/>
      </c>
      <c r="U87" s="175">
        <f>IF(OR($C87="",$D87=""),0,IF(AND($E87&lt;&gt;"",$E87&lt;=U$37),0,IF((YEAR(U$37)-$G87)&lt;0,0,IF((YEAR(U$37)-$G87)=0,$C87*$F87*$H87,$C87*(1-$F87*$H87)*(1-$F87)^((YEAR(U$37)-$G87)-1)*$F87))))</f>
        <v/>
      </c>
      <c r="V87" s="175">
        <f>IF($C87="",0,IF(AND($E87&lt;&gt;"",$E87&lt;=U$37),0,IF(OR($D87="",$D87&gt;U$37),$C87,IF((YEAR(U$37)-$G87)=0,$C87*(1-$F87*$H87),$C87*(1-$F87*$H87)*(1-$F87)^(YEAR(U$37)-$G87)))))</f>
        <v/>
      </c>
      <c r="W87" s="175">
        <f>IF(OR($C87="",$D87=""),0,IF(AND($E87&lt;&gt;"",$E87&lt;=W$37),0,IF((YEAR(W$37)-$G87)&lt;0,0,IF((YEAR(W$37)-$G87)=0,$C87*$F87*$H87,$C87*(1-$F87*$H87)*(1-$F87)^((YEAR(W$37)-$G87)-1)*$F87))))</f>
        <v/>
      </c>
      <c r="X87" s="175">
        <f>IF($C87="",0,IF(AND($E87&lt;&gt;"",$E87&lt;=W$37),0,IF(OR($D87="",$D87&gt;W$37),$C87,IF((YEAR(W$37)-$G87)=0,$C87*(1-$F87*$H87),$C87*(1-$F87*$H87)*(1-$F87)^(YEAR(W$37)-$G87)))))</f>
        <v/>
      </c>
      <c r="Y87" s="175">
        <f>IF(OR($C87="",$D87=""),0,IF(AND($E87&lt;&gt;"",$E87&lt;=Y$37),0,IF((YEAR(Y$37)-$G87)&lt;0,0,IF((YEAR(Y$37)-$G87)=0,$C87*$F87*$H87,$C87*(1-$F87*$H87)*(1-$F87)^((YEAR(Y$37)-$G87)-1)*$F87))))</f>
        <v/>
      </c>
      <c r="Z87" s="175">
        <f>IF($C87="",0,IF(AND($E87&lt;&gt;"",$E87&lt;=Y$37),0,IF(OR($D87="",$D87&gt;Y$37),$C87,IF((YEAR(Y$37)-$G87)=0,$C87*(1-$F87*$H87),$C87*(1-$F87*$H87)*(1-$F87)^(YEAR(Y$37)-$G87)))))</f>
        <v/>
      </c>
      <c r="AA87" s="175">
        <f>IF(OR($C87="",$D87=""),0,IF(AND($E87&lt;&gt;"",$E87&lt;=AA$37),0,IF((YEAR(AA$37)-$G87)&lt;0,0,IF((YEAR(AA$37)-$G87)=0,$C87*$F87*$H87,$C87*(1-$F87*$H87)*(1-$F87)^((YEAR(AA$37)-$G87)-1)*$F87))))</f>
        <v/>
      </c>
      <c r="AB87" s="175">
        <f>IF($C87="",0,IF(AND($E87&lt;&gt;"",$E87&lt;=AA$37),0,IF(OR($D87="",$D87&gt;AA$37),$C87,IF((YEAR(AA$37)-$G87)=0,$C87*(1-$F87*$H87),$C87*(1-$F87*$H87)*(1-$F87)^(YEAR(AA$37)-$G87)))))</f>
        <v/>
      </c>
      <c r="AC87" s="175">
        <f>IF(OR($C87="",$D87=""),0,IF(AND($E87&lt;&gt;"",$E87&lt;=AC$37),0,IF((YEAR(AC$37)-$G87)&lt;0,0,IF((YEAR(AC$37)-$G87)=0,$C87*$F87*$H87,$C87*(1-$F87*$H87)*(1-$F87)^((YEAR(AC$37)-$G87)-1)*$F87))))</f>
        <v/>
      </c>
      <c r="AD87" s="175">
        <f>IF($C87="",0,IF(AND($E87&lt;&gt;"",$E87&lt;=AC$37),0,IF(OR($D87="",$D87&gt;AC$37),$C87,IF((YEAR(AC$37)-$G87)=0,$C87*(1-$F87*$H87),$C87*(1-$F87*$H87)*(1-$F87)^(YEAR(AC$37)-$G87)))))</f>
        <v/>
      </c>
      <c r="AE87" s="175">
        <f>IF(OR($C87="",$D87=""),0,IF(AND($E87&lt;&gt;"",$E87&lt;=AE$37),0,IF((YEAR(AE$37)-$G87)&lt;0,0,IF((YEAR(AE$37)-$G87)=0,$C87*$F87*$H87,$C87*(1-$F87*$H87)*(1-$F87)^((YEAR(AE$37)-$G87)-1)*$F87))))</f>
        <v/>
      </c>
      <c r="AF87" s="175">
        <f>IF($C87="",0,IF(AND($E87&lt;&gt;"",$E87&lt;=AE$37),0,IF(OR($D87="",$D87&gt;AE$37),$C87,IF((YEAR(AE$37)-$G87)=0,$C87*(1-$F87*$H87),$C87*(1-$F87*$H87)*(1-$F87)^(YEAR(AE$37)-$G87)))))</f>
        <v/>
      </c>
      <c r="AG87" s="175">
        <f>IF(OR($C87="",$D87=""),0,IF(AND($E87&lt;&gt;"",$E87&lt;=AG$37),0,IF((YEAR(AG$37)-$G87)&lt;0,0,IF((YEAR(AG$37)-$G87)=0,$C87*$F87*$H87,$C87*(1-$F87*$H87)*(1-$F87)^((YEAR(AG$37)-$G87)-1)*$F87))))</f>
        <v/>
      </c>
      <c r="AH87" s="175">
        <f>IF($C87="",0,IF(AND($E87&lt;&gt;"",$E87&lt;=AG$37),0,IF(OR($D87="",$D87&gt;AG$37),$C87,IF((YEAR(AG$37)-$G87)=0,$C87*(1-$F87*$H87),$C87*(1-$F87*$H87)*(1-$F87)^(YEAR(AG$37)-$G87)))))</f>
        <v/>
      </c>
      <c r="AI87" s="175">
        <f>IF(OR($C87="",$D87=""),0,IF(AND($E87&lt;&gt;"",$E87&lt;=AI$37),0,IF((YEAR(AI$37)-$G87)&lt;0,0,IF((YEAR(AI$37)-$G87)=0,$C87*$F87*$H87,$C87*(1-$F87*$H87)*(1-$F87)^((YEAR(AI$37)-$G87)-1)*$F87))))</f>
        <v/>
      </c>
      <c r="AJ87" s="175">
        <f>IF($C87="",0,IF(AND($E87&lt;&gt;"",$E87&lt;=AI$37),0,IF(OR($D87="",$D87&gt;AI$37),$C87,IF((YEAR(AI$37)-$G87)=0,$C87*(1-$F87*$H87),$C87*(1-$F87*$H87)*(1-$F87)^(YEAR(AI$37)-$G87)))))</f>
        <v/>
      </c>
      <c r="AK87" s="175">
        <f>IF(OR($C87="",$D87=""),0,IF(AND($E87&lt;&gt;"",$E87&lt;=AK$37),0,IF((YEAR(AK$37)-$G87)&lt;0,0,IF((YEAR(AK$37)-$G87)=0,$C87*$F87*$H87,$C87*(1-$F87*$H87)*(1-$F87)^((YEAR(AK$37)-$G87)-1)*$F87))))</f>
        <v/>
      </c>
      <c r="AL87" s="175">
        <f>IF($C87="",0,IF(AND($E87&lt;&gt;"",$E87&lt;=AK$37),0,IF(OR($D87="",$D87&gt;AK$37),$C87,IF((YEAR(AK$37)-$G87)=0,$C87*(1-$F87*$H87),$C87*(1-$F87*$H87)*(1-$F87)^(YEAR(AK$37)-$G87)))))</f>
        <v/>
      </c>
      <c r="AM87" s="175">
        <f>IF(OR($C87="",$D87=""),0,IF(AND($E87&lt;&gt;"",$E87&lt;=AM$37),0,IF((YEAR(AM$37)-$G87)&lt;0,0,IF((YEAR(AM$37)-$G87)=0,$C87*$F87*$H87,$C87*(1-$F87*$H87)*(1-$F87)^((YEAR(AM$37)-$G87)-1)*$F87))))</f>
        <v/>
      </c>
      <c r="AN87" s="175">
        <f>IF($C87="",0,IF(AND($E87&lt;&gt;"",$E87&lt;=AM$37),0,IF(OR($D87="",$D87&gt;AM$37),$C87,IF((YEAR(AM$37)-$G87)=0,$C87*(1-$F87*$H87),$C87*(1-$F87*$H87)*(1-$F87)^(YEAR(AM$37)-$G87)))))</f>
        <v/>
      </c>
    </row>
    <row r="88">
      <c r="B88" s="126">
        <f>IF(FAR!K55="","",FAR!B55)</f>
        <v/>
      </c>
      <c r="C88" s="63">
        <f>IF(FAR!K55="","",FAR!K55)</f>
        <v/>
      </c>
      <c r="D88" s="128">
        <f>IF(FAR!H55="","",FAR!H55)</f>
        <v/>
      </c>
      <c r="E88" s="130">
        <f>IF(FAR!I55="","",FAR!I55)</f>
        <v/>
      </c>
      <c r="F88" s="169">
        <f>IF(FAR!C55="",0,IFERROR(VLOOKUP(FAR!C55,ScheduleIITable,6,FALSE),0))</f>
        <v/>
      </c>
      <c r="G88" s="129">
        <f>IF($D88="","",YEAR($D88)+IF(MONTH($D88)&gt;=4,1,0))</f>
        <v/>
      </c>
      <c r="H88" s="170">
        <f>IF($D88="","",IF((DATE($G88,3,31)-$D88+1)&gt;=180,1,0.5))</f>
        <v/>
      </c>
      <c r="I88" s="171">
        <f>IF(OR($C88="",$D88=""),0,IF(AND($E88&lt;&gt;"",$E88&lt;=I$37),0,IF((YEAR(I$37)-$G88)&lt;0,0,IF((YEAR(I$37)-$G88)=0,$C88*$F88*$H88,$C88*(1-$F88*$H88)*(1-$F88)^((YEAR(I$37)-$G88)-1)*$F88))))</f>
        <v/>
      </c>
      <c r="J88" s="172">
        <f>IF($C88="",0,IF(AND($E88&lt;&gt;"",$E88&lt;=I$37),0,IF(OR($D88="",$D88&gt;I$37),$C88,IF((YEAR(I$37)-$G88)=0,$C88*(1-$F88*$H88),$C88*(1-$F88*$H88)*(1-$F88)^(YEAR(I$37)-$G88)))))</f>
        <v/>
      </c>
      <c r="K88" s="171">
        <f>IF(OR($C88="",$D88=""),0,IF(AND($E88&lt;&gt;"",$E88&lt;=K$37),0,IF((YEAR(K$37)-$G88)&lt;0,0,IF((YEAR(K$37)-$G88)=0,$C88*$F88*$H88,$C88*(1-$F88*$H88)*(1-$F88)^((YEAR(K$37)-$G88)-1)*$F88))))</f>
        <v/>
      </c>
      <c r="L88" s="172">
        <f>IF($C88="",0,IF(AND($E88&lt;&gt;"",$E88&lt;=K$37),0,IF(OR($D88="",$D88&gt;K$37),$C88,IF((YEAR(K$37)-$G88)=0,$C88*(1-$F88*$H88),$C88*(1-$F88*$H88)*(1-$F88)^(YEAR(K$37)-$G88)))))</f>
        <v/>
      </c>
      <c r="M88" s="171">
        <f>IF(OR($C88="",$D88=""),0,IF(AND($E88&lt;&gt;"",$E88&lt;=M$37),0,IF((YEAR(M$37)-$G88)&lt;0,0,IF((YEAR(M$37)-$G88)=0,$C88*$F88*$H88,$C88*(1-$F88*$H88)*(1-$F88)^((YEAR(M$37)-$G88)-1)*$F88))))</f>
        <v/>
      </c>
      <c r="N88" s="172">
        <f>IF($C88="",0,IF(AND($E88&lt;&gt;"",$E88&lt;=M$37),0,IF(OR($D88="",$D88&gt;M$37),$C88,IF((YEAR(M$37)-$G88)=0,$C88*(1-$F88*$H88),$C88*(1-$F88*$H88)*(1-$F88)^(YEAR(M$37)-$G88)))))</f>
        <v/>
      </c>
      <c r="O88" s="171">
        <f>IF(OR($C88="",$D88=""),0,IF(AND($E88&lt;&gt;"",$E88&lt;=O$37),0,IF((YEAR(O$37)-$G88)&lt;0,0,IF((YEAR(O$37)-$G88)=0,$C88*$F88*$H88,$C88*(1-$F88*$H88)*(1-$F88)^((YEAR(O$37)-$G88)-1)*$F88))))</f>
        <v/>
      </c>
      <c r="P88" s="172">
        <f>IF($C88="",0,IF(AND($E88&lt;&gt;"",$E88&lt;=O$37),0,IF(OR($D88="",$D88&gt;O$37),$C88,IF((YEAR(O$37)-$G88)=0,$C88*(1-$F88*$H88),$C88*(1-$F88*$H88)*(1-$F88)^(YEAR(O$37)-$G88)))))</f>
        <v/>
      </c>
      <c r="Q88" s="171">
        <f>IF(OR($C88="",$D88=""),0,IF(AND($E88&lt;&gt;"",$E88&lt;=Q$37),0,IF((YEAR(Q$37)-$G88)&lt;0,0,IF((YEAR(Q$37)-$G88)=0,$C88*$F88*$H88,$C88*(1-$F88*$H88)*(1-$F88)^((YEAR(Q$37)-$G88)-1)*$F88))))</f>
        <v/>
      </c>
      <c r="R88" s="172">
        <f>IF($C88="",0,IF(AND($E88&lt;&gt;"",$E88&lt;=Q$37),0,IF(OR($D88="",$D88&gt;Q$37),$C88,IF((YEAR(Q$37)-$G88)=0,$C88*(1-$F88*$H88),$C88*(1-$F88*$H88)*(1-$F88)^(YEAR(Q$37)-$G88)))))</f>
        <v/>
      </c>
      <c r="S88" s="171">
        <f>IF(OR($C88="",$D88=""),0,IF(AND($E88&lt;&gt;"",$E88&lt;=S$37),0,IF((YEAR(S$37)-$G88)&lt;0,0,IF((YEAR(S$37)-$G88)=0,$C88*$F88*$H88,$C88*(1-$F88*$H88)*(1-$F88)^((YEAR(S$37)-$G88)-1)*$F88))))</f>
        <v/>
      </c>
      <c r="T88" s="172">
        <f>IF($C88="",0,IF(AND($E88&lt;&gt;"",$E88&lt;=S$37),0,IF(OR($D88="",$D88&gt;S$37),$C88,IF((YEAR(S$37)-$G88)=0,$C88*(1-$F88*$H88),$C88*(1-$F88*$H88)*(1-$F88)^(YEAR(S$37)-$G88)))))</f>
        <v/>
      </c>
      <c r="U88" s="171">
        <f>IF(OR($C88="",$D88=""),0,IF(AND($E88&lt;&gt;"",$E88&lt;=U$37),0,IF((YEAR(U$37)-$G88)&lt;0,0,IF((YEAR(U$37)-$G88)=0,$C88*$F88*$H88,$C88*(1-$F88*$H88)*(1-$F88)^((YEAR(U$37)-$G88)-1)*$F88))))</f>
        <v/>
      </c>
      <c r="V88" s="172">
        <f>IF($C88="",0,IF(AND($E88&lt;&gt;"",$E88&lt;=U$37),0,IF(OR($D88="",$D88&gt;U$37),$C88,IF((YEAR(U$37)-$G88)=0,$C88*(1-$F88*$H88),$C88*(1-$F88*$H88)*(1-$F88)^(YEAR(U$37)-$G88)))))</f>
        <v/>
      </c>
      <c r="W88" s="171">
        <f>IF(OR($C88="",$D88=""),0,IF(AND($E88&lt;&gt;"",$E88&lt;=W$37),0,IF((YEAR(W$37)-$G88)&lt;0,0,IF((YEAR(W$37)-$G88)=0,$C88*$F88*$H88,$C88*(1-$F88*$H88)*(1-$F88)^((YEAR(W$37)-$G88)-1)*$F88))))</f>
        <v/>
      </c>
      <c r="X88" s="172">
        <f>IF($C88="",0,IF(AND($E88&lt;&gt;"",$E88&lt;=W$37),0,IF(OR($D88="",$D88&gt;W$37),$C88,IF((YEAR(W$37)-$G88)=0,$C88*(1-$F88*$H88),$C88*(1-$F88*$H88)*(1-$F88)^(YEAR(W$37)-$G88)))))</f>
        <v/>
      </c>
      <c r="Y88" s="171">
        <f>IF(OR($C88="",$D88=""),0,IF(AND($E88&lt;&gt;"",$E88&lt;=Y$37),0,IF((YEAR(Y$37)-$G88)&lt;0,0,IF((YEAR(Y$37)-$G88)=0,$C88*$F88*$H88,$C88*(1-$F88*$H88)*(1-$F88)^((YEAR(Y$37)-$G88)-1)*$F88))))</f>
        <v/>
      </c>
      <c r="Z88" s="172">
        <f>IF($C88="",0,IF(AND($E88&lt;&gt;"",$E88&lt;=Y$37),0,IF(OR($D88="",$D88&gt;Y$37),$C88,IF((YEAR(Y$37)-$G88)=0,$C88*(1-$F88*$H88),$C88*(1-$F88*$H88)*(1-$F88)^(YEAR(Y$37)-$G88)))))</f>
        <v/>
      </c>
      <c r="AA88" s="171">
        <f>IF(OR($C88="",$D88=""),0,IF(AND($E88&lt;&gt;"",$E88&lt;=AA$37),0,IF((YEAR(AA$37)-$G88)&lt;0,0,IF((YEAR(AA$37)-$G88)=0,$C88*$F88*$H88,$C88*(1-$F88*$H88)*(1-$F88)^((YEAR(AA$37)-$G88)-1)*$F88))))</f>
        <v/>
      </c>
      <c r="AB88" s="172">
        <f>IF($C88="",0,IF(AND($E88&lt;&gt;"",$E88&lt;=AA$37),0,IF(OR($D88="",$D88&gt;AA$37),$C88,IF((YEAR(AA$37)-$G88)=0,$C88*(1-$F88*$H88),$C88*(1-$F88*$H88)*(1-$F88)^(YEAR(AA$37)-$G88)))))</f>
        <v/>
      </c>
      <c r="AC88" s="171">
        <f>IF(OR($C88="",$D88=""),0,IF(AND($E88&lt;&gt;"",$E88&lt;=AC$37),0,IF((YEAR(AC$37)-$G88)&lt;0,0,IF((YEAR(AC$37)-$G88)=0,$C88*$F88*$H88,$C88*(1-$F88*$H88)*(1-$F88)^((YEAR(AC$37)-$G88)-1)*$F88))))</f>
        <v/>
      </c>
      <c r="AD88" s="172">
        <f>IF($C88="",0,IF(AND($E88&lt;&gt;"",$E88&lt;=AC$37),0,IF(OR($D88="",$D88&gt;AC$37),$C88,IF((YEAR(AC$37)-$G88)=0,$C88*(1-$F88*$H88),$C88*(1-$F88*$H88)*(1-$F88)^(YEAR(AC$37)-$G88)))))</f>
        <v/>
      </c>
      <c r="AE88" s="171">
        <f>IF(OR($C88="",$D88=""),0,IF(AND($E88&lt;&gt;"",$E88&lt;=AE$37),0,IF((YEAR(AE$37)-$G88)&lt;0,0,IF((YEAR(AE$37)-$G88)=0,$C88*$F88*$H88,$C88*(1-$F88*$H88)*(1-$F88)^((YEAR(AE$37)-$G88)-1)*$F88))))</f>
        <v/>
      </c>
      <c r="AF88" s="172">
        <f>IF($C88="",0,IF(AND($E88&lt;&gt;"",$E88&lt;=AE$37),0,IF(OR($D88="",$D88&gt;AE$37),$C88,IF((YEAR(AE$37)-$G88)=0,$C88*(1-$F88*$H88),$C88*(1-$F88*$H88)*(1-$F88)^(YEAR(AE$37)-$G88)))))</f>
        <v/>
      </c>
      <c r="AG88" s="171">
        <f>IF(OR($C88="",$D88=""),0,IF(AND($E88&lt;&gt;"",$E88&lt;=AG$37),0,IF((YEAR(AG$37)-$G88)&lt;0,0,IF((YEAR(AG$37)-$G88)=0,$C88*$F88*$H88,$C88*(1-$F88*$H88)*(1-$F88)^((YEAR(AG$37)-$G88)-1)*$F88))))</f>
        <v/>
      </c>
      <c r="AH88" s="172">
        <f>IF($C88="",0,IF(AND($E88&lt;&gt;"",$E88&lt;=AG$37),0,IF(OR($D88="",$D88&gt;AG$37),$C88,IF((YEAR(AG$37)-$G88)=0,$C88*(1-$F88*$H88),$C88*(1-$F88*$H88)*(1-$F88)^(YEAR(AG$37)-$G88)))))</f>
        <v/>
      </c>
      <c r="AI88" s="171">
        <f>IF(OR($C88="",$D88=""),0,IF(AND($E88&lt;&gt;"",$E88&lt;=AI$37),0,IF((YEAR(AI$37)-$G88)&lt;0,0,IF((YEAR(AI$37)-$G88)=0,$C88*$F88*$H88,$C88*(1-$F88*$H88)*(1-$F88)^((YEAR(AI$37)-$G88)-1)*$F88))))</f>
        <v/>
      </c>
      <c r="AJ88" s="172">
        <f>IF($C88="",0,IF(AND($E88&lt;&gt;"",$E88&lt;=AI$37),0,IF(OR($D88="",$D88&gt;AI$37),$C88,IF((YEAR(AI$37)-$G88)=0,$C88*(1-$F88*$H88),$C88*(1-$F88*$H88)*(1-$F88)^(YEAR(AI$37)-$G88)))))</f>
        <v/>
      </c>
      <c r="AK88" s="171">
        <f>IF(OR($C88="",$D88=""),0,IF(AND($E88&lt;&gt;"",$E88&lt;=AK$37),0,IF((YEAR(AK$37)-$G88)&lt;0,0,IF((YEAR(AK$37)-$G88)=0,$C88*$F88*$H88,$C88*(1-$F88*$H88)*(1-$F88)^((YEAR(AK$37)-$G88)-1)*$F88))))</f>
        <v/>
      </c>
      <c r="AL88" s="172">
        <f>IF($C88="",0,IF(AND($E88&lt;&gt;"",$E88&lt;=AK$37),0,IF(OR($D88="",$D88&gt;AK$37),$C88,IF((YEAR(AK$37)-$G88)=0,$C88*(1-$F88*$H88),$C88*(1-$F88*$H88)*(1-$F88)^(YEAR(AK$37)-$G88)))))</f>
        <v/>
      </c>
      <c r="AM88" s="171">
        <f>IF(OR($C88="",$D88=""),0,IF(AND($E88&lt;&gt;"",$E88&lt;=AM$37),0,IF((YEAR(AM$37)-$G88)&lt;0,0,IF((YEAR(AM$37)-$G88)=0,$C88*$F88*$H88,$C88*(1-$F88*$H88)*(1-$F88)^((YEAR(AM$37)-$G88)-1)*$F88))))</f>
        <v/>
      </c>
      <c r="AN88" s="172">
        <f>IF($C88="",0,IF(AND($E88&lt;&gt;"",$E88&lt;=AM$37),0,IF(OR($D88="",$D88&gt;AM$37),$C88,IF((YEAR(AM$37)-$G88)=0,$C88*(1-$F88*$H88),$C88*(1-$F88*$H88)*(1-$F88)^(YEAR(AM$37)-$G88)))))</f>
        <v/>
      </c>
    </row>
    <row r="89">
      <c r="B89" s="132">
        <f>IF(FAR!K56="","",FAR!B56)</f>
        <v/>
      </c>
      <c r="C89" s="81">
        <f>IF(FAR!K56="","",FAR!K56)</f>
        <v/>
      </c>
      <c r="D89" s="134">
        <f>IF(FAR!H56="","",FAR!H56)</f>
        <v/>
      </c>
      <c r="E89" s="136">
        <f>IF(FAR!I56="","",FAR!I56)</f>
        <v/>
      </c>
      <c r="F89" s="173">
        <f>IF(FAR!C56="",0,IFERROR(VLOOKUP(FAR!C56,ScheduleIITable,6,FALSE),0))</f>
        <v/>
      </c>
      <c r="G89" s="135">
        <f>IF($D89="","",YEAR($D89)+IF(MONTH($D89)&gt;=4,1,0))</f>
        <v/>
      </c>
      <c r="H89" s="174">
        <f>IF($D89="","",IF((DATE($G89,3,31)-$D89+1)&gt;=180,1,0.5))</f>
        <v/>
      </c>
      <c r="I89" s="175">
        <f>IF(OR($C89="",$D89=""),0,IF(AND($E89&lt;&gt;"",$E89&lt;=I$37),0,IF((YEAR(I$37)-$G89)&lt;0,0,IF((YEAR(I$37)-$G89)=0,$C89*$F89*$H89,$C89*(1-$F89*$H89)*(1-$F89)^((YEAR(I$37)-$G89)-1)*$F89))))</f>
        <v/>
      </c>
      <c r="J89" s="175">
        <f>IF($C89="",0,IF(AND($E89&lt;&gt;"",$E89&lt;=I$37),0,IF(OR($D89="",$D89&gt;I$37),$C89,IF((YEAR(I$37)-$G89)=0,$C89*(1-$F89*$H89),$C89*(1-$F89*$H89)*(1-$F89)^(YEAR(I$37)-$G89)))))</f>
        <v/>
      </c>
      <c r="K89" s="175">
        <f>IF(OR($C89="",$D89=""),0,IF(AND($E89&lt;&gt;"",$E89&lt;=K$37),0,IF((YEAR(K$37)-$G89)&lt;0,0,IF((YEAR(K$37)-$G89)=0,$C89*$F89*$H89,$C89*(1-$F89*$H89)*(1-$F89)^((YEAR(K$37)-$G89)-1)*$F89))))</f>
        <v/>
      </c>
      <c r="L89" s="175">
        <f>IF($C89="",0,IF(AND($E89&lt;&gt;"",$E89&lt;=K$37),0,IF(OR($D89="",$D89&gt;K$37),$C89,IF((YEAR(K$37)-$G89)=0,$C89*(1-$F89*$H89),$C89*(1-$F89*$H89)*(1-$F89)^(YEAR(K$37)-$G89)))))</f>
        <v/>
      </c>
      <c r="M89" s="175">
        <f>IF(OR($C89="",$D89=""),0,IF(AND($E89&lt;&gt;"",$E89&lt;=M$37),0,IF((YEAR(M$37)-$G89)&lt;0,0,IF((YEAR(M$37)-$G89)=0,$C89*$F89*$H89,$C89*(1-$F89*$H89)*(1-$F89)^((YEAR(M$37)-$G89)-1)*$F89))))</f>
        <v/>
      </c>
      <c r="N89" s="175">
        <f>IF($C89="",0,IF(AND($E89&lt;&gt;"",$E89&lt;=M$37),0,IF(OR($D89="",$D89&gt;M$37),$C89,IF((YEAR(M$37)-$G89)=0,$C89*(1-$F89*$H89),$C89*(1-$F89*$H89)*(1-$F89)^(YEAR(M$37)-$G89)))))</f>
        <v/>
      </c>
      <c r="O89" s="175">
        <f>IF(OR($C89="",$D89=""),0,IF(AND($E89&lt;&gt;"",$E89&lt;=O$37),0,IF((YEAR(O$37)-$G89)&lt;0,0,IF((YEAR(O$37)-$G89)=0,$C89*$F89*$H89,$C89*(1-$F89*$H89)*(1-$F89)^((YEAR(O$37)-$G89)-1)*$F89))))</f>
        <v/>
      </c>
      <c r="P89" s="175">
        <f>IF($C89="",0,IF(AND($E89&lt;&gt;"",$E89&lt;=O$37),0,IF(OR($D89="",$D89&gt;O$37),$C89,IF((YEAR(O$37)-$G89)=0,$C89*(1-$F89*$H89),$C89*(1-$F89*$H89)*(1-$F89)^(YEAR(O$37)-$G89)))))</f>
        <v/>
      </c>
      <c r="Q89" s="175">
        <f>IF(OR($C89="",$D89=""),0,IF(AND($E89&lt;&gt;"",$E89&lt;=Q$37),0,IF((YEAR(Q$37)-$G89)&lt;0,0,IF((YEAR(Q$37)-$G89)=0,$C89*$F89*$H89,$C89*(1-$F89*$H89)*(1-$F89)^((YEAR(Q$37)-$G89)-1)*$F89))))</f>
        <v/>
      </c>
      <c r="R89" s="175">
        <f>IF($C89="",0,IF(AND($E89&lt;&gt;"",$E89&lt;=Q$37),0,IF(OR($D89="",$D89&gt;Q$37),$C89,IF((YEAR(Q$37)-$G89)=0,$C89*(1-$F89*$H89),$C89*(1-$F89*$H89)*(1-$F89)^(YEAR(Q$37)-$G89)))))</f>
        <v/>
      </c>
      <c r="S89" s="175">
        <f>IF(OR($C89="",$D89=""),0,IF(AND($E89&lt;&gt;"",$E89&lt;=S$37),0,IF((YEAR(S$37)-$G89)&lt;0,0,IF((YEAR(S$37)-$G89)=0,$C89*$F89*$H89,$C89*(1-$F89*$H89)*(1-$F89)^((YEAR(S$37)-$G89)-1)*$F89))))</f>
        <v/>
      </c>
      <c r="T89" s="175">
        <f>IF($C89="",0,IF(AND($E89&lt;&gt;"",$E89&lt;=S$37),0,IF(OR($D89="",$D89&gt;S$37),$C89,IF((YEAR(S$37)-$G89)=0,$C89*(1-$F89*$H89),$C89*(1-$F89*$H89)*(1-$F89)^(YEAR(S$37)-$G89)))))</f>
        <v/>
      </c>
      <c r="U89" s="175">
        <f>IF(OR($C89="",$D89=""),0,IF(AND($E89&lt;&gt;"",$E89&lt;=U$37),0,IF((YEAR(U$37)-$G89)&lt;0,0,IF((YEAR(U$37)-$G89)=0,$C89*$F89*$H89,$C89*(1-$F89*$H89)*(1-$F89)^((YEAR(U$37)-$G89)-1)*$F89))))</f>
        <v/>
      </c>
      <c r="V89" s="175">
        <f>IF($C89="",0,IF(AND($E89&lt;&gt;"",$E89&lt;=U$37),0,IF(OR($D89="",$D89&gt;U$37),$C89,IF((YEAR(U$37)-$G89)=0,$C89*(1-$F89*$H89),$C89*(1-$F89*$H89)*(1-$F89)^(YEAR(U$37)-$G89)))))</f>
        <v/>
      </c>
      <c r="W89" s="175">
        <f>IF(OR($C89="",$D89=""),0,IF(AND($E89&lt;&gt;"",$E89&lt;=W$37),0,IF((YEAR(W$37)-$G89)&lt;0,0,IF((YEAR(W$37)-$G89)=0,$C89*$F89*$H89,$C89*(1-$F89*$H89)*(1-$F89)^((YEAR(W$37)-$G89)-1)*$F89))))</f>
        <v/>
      </c>
      <c r="X89" s="175">
        <f>IF($C89="",0,IF(AND($E89&lt;&gt;"",$E89&lt;=W$37),0,IF(OR($D89="",$D89&gt;W$37),$C89,IF((YEAR(W$37)-$G89)=0,$C89*(1-$F89*$H89),$C89*(1-$F89*$H89)*(1-$F89)^(YEAR(W$37)-$G89)))))</f>
        <v/>
      </c>
      <c r="Y89" s="175">
        <f>IF(OR($C89="",$D89=""),0,IF(AND($E89&lt;&gt;"",$E89&lt;=Y$37),0,IF((YEAR(Y$37)-$G89)&lt;0,0,IF((YEAR(Y$37)-$G89)=0,$C89*$F89*$H89,$C89*(1-$F89*$H89)*(1-$F89)^((YEAR(Y$37)-$G89)-1)*$F89))))</f>
        <v/>
      </c>
      <c r="Z89" s="175">
        <f>IF($C89="",0,IF(AND($E89&lt;&gt;"",$E89&lt;=Y$37),0,IF(OR($D89="",$D89&gt;Y$37),$C89,IF((YEAR(Y$37)-$G89)=0,$C89*(1-$F89*$H89),$C89*(1-$F89*$H89)*(1-$F89)^(YEAR(Y$37)-$G89)))))</f>
        <v/>
      </c>
      <c r="AA89" s="175">
        <f>IF(OR($C89="",$D89=""),0,IF(AND($E89&lt;&gt;"",$E89&lt;=AA$37),0,IF((YEAR(AA$37)-$G89)&lt;0,0,IF((YEAR(AA$37)-$G89)=0,$C89*$F89*$H89,$C89*(1-$F89*$H89)*(1-$F89)^((YEAR(AA$37)-$G89)-1)*$F89))))</f>
        <v/>
      </c>
      <c r="AB89" s="175">
        <f>IF($C89="",0,IF(AND($E89&lt;&gt;"",$E89&lt;=AA$37),0,IF(OR($D89="",$D89&gt;AA$37),$C89,IF((YEAR(AA$37)-$G89)=0,$C89*(1-$F89*$H89),$C89*(1-$F89*$H89)*(1-$F89)^(YEAR(AA$37)-$G89)))))</f>
        <v/>
      </c>
      <c r="AC89" s="175">
        <f>IF(OR($C89="",$D89=""),0,IF(AND($E89&lt;&gt;"",$E89&lt;=AC$37),0,IF((YEAR(AC$37)-$G89)&lt;0,0,IF((YEAR(AC$37)-$G89)=0,$C89*$F89*$H89,$C89*(1-$F89*$H89)*(1-$F89)^((YEAR(AC$37)-$G89)-1)*$F89))))</f>
        <v/>
      </c>
      <c r="AD89" s="175">
        <f>IF($C89="",0,IF(AND($E89&lt;&gt;"",$E89&lt;=AC$37),0,IF(OR($D89="",$D89&gt;AC$37),$C89,IF((YEAR(AC$37)-$G89)=0,$C89*(1-$F89*$H89),$C89*(1-$F89*$H89)*(1-$F89)^(YEAR(AC$37)-$G89)))))</f>
        <v/>
      </c>
      <c r="AE89" s="175">
        <f>IF(OR($C89="",$D89=""),0,IF(AND($E89&lt;&gt;"",$E89&lt;=AE$37),0,IF((YEAR(AE$37)-$G89)&lt;0,0,IF((YEAR(AE$37)-$G89)=0,$C89*$F89*$H89,$C89*(1-$F89*$H89)*(1-$F89)^((YEAR(AE$37)-$G89)-1)*$F89))))</f>
        <v/>
      </c>
      <c r="AF89" s="175">
        <f>IF($C89="",0,IF(AND($E89&lt;&gt;"",$E89&lt;=AE$37),0,IF(OR($D89="",$D89&gt;AE$37),$C89,IF((YEAR(AE$37)-$G89)=0,$C89*(1-$F89*$H89),$C89*(1-$F89*$H89)*(1-$F89)^(YEAR(AE$37)-$G89)))))</f>
        <v/>
      </c>
      <c r="AG89" s="175">
        <f>IF(OR($C89="",$D89=""),0,IF(AND($E89&lt;&gt;"",$E89&lt;=AG$37),0,IF((YEAR(AG$37)-$G89)&lt;0,0,IF((YEAR(AG$37)-$G89)=0,$C89*$F89*$H89,$C89*(1-$F89*$H89)*(1-$F89)^((YEAR(AG$37)-$G89)-1)*$F89))))</f>
        <v/>
      </c>
      <c r="AH89" s="175">
        <f>IF($C89="",0,IF(AND($E89&lt;&gt;"",$E89&lt;=AG$37),0,IF(OR($D89="",$D89&gt;AG$37),$C89,IF((YEAR(AG$37)-$G89)=0,$C89*(1-$F89*$H89),$C89*(1-$F89*$H89)*(1-$F89)^(YEAR(AG$37)-$G89)))))</f>
        <v/>
      </c>
      <c r="AI89" s="175">
        <f>IF(OR($C89="",$D89=""),0,IF(AND($E89&lt;&gt;"",$E89&lt;=AI$37),0,IF((YEAR(AI$37)-$G89)&lt;0,0,IF((YEAR(AI$37)-$G89)=0,$C89*$F89*$H89,$C89*(1-$F89*$H89)*(1-$F89)^((YEAR(AI$37)-$G89)-1)*$F89))))</f>
        <v/>
      </c>
      <c r="AJ89" s="175">
        <f>IF($C89="",0,IF(AND($E89&lt;&gt;"",$E89&lt;=AI$37),0,IF(OR($D89="",$D89&gt;AI$37),$C89,IF((YEAR(AI$37)-$G89)=0,$C89*(1-$F89*$H89),$C89*(1-$F89*$H89)*(1-$F89)^(YEAR(AI$37)-$G89)))))</f>
        <v/>
      </c>
      <c r="AK89" s="175">
        <f>IF(OR($C89="",$D89=""),0,IF(AND($E89&lt;&gt;"",$E89&lt;=AK$37),0,IF((YEAR(AK$37)-$G89)&lt;0,0,IF((YEAR(AK$37)-$G89)=0,$C89*$F89*$H89,$C89*(1-$F89*$H89)*(1-$F89)^((YEAR(AK$37)-$G89)-1)*$F89))))</f>
        <v/>
      </c>
      <c r="AL89" s="175">
        <f>IF($C89="",0,IF(AND($E89&lt;&gt;"",$E89&lt;=AK$37),0,IF(OR($D89="",$D89&gt;AK$37),$C89,IF((YEAR(AK$37)-$G89)=0,$C89*(1-$F89*$H89),$C89*(1-$F89*$H89)*(1-$F89)^(YEAR(AK$37)-$G89)))))</f>
        <v/>
      </c>
      <c r="AM89" s="175">
        <f>IF(OR($C89="",$D89=""),0,IF(AND($E89&lt;&gt;"",$E89&lt;=AM$37),0,IF((YEAR(AM$37)-$G89)&lt;0,0,IF((YEAR(AM$37)-$G89)=0,$C89*$F89*$H89,$C89*(1-$F89*$H89)*(1-$F89)^((YEAR(AM$37)-$G89)-1)*$F89))))</f>
        <v/>
      </c>
      <c r="AN89" s="175">
        <f>IF($C89="",0,IF(AND($E89&lt;&gt;"",$E89&lt;=AM$37),0,IF(OR($D89="",$D89&gt;AM$37),$C89,IF((YEAR(AM$37)-$G89)=0,$C89*(1-$F89*$H89),$C89*(1-$F89*$H89)*(1-$F89)^(YEAR(AM$37)-$G89)))))</f>
        <v/>
      </c>
    </row>
    <row r="90">
      <c r="B90" s="126">
        <f>IF(FAR!K57="","",FAR!B57)</f>
        <v/>
      </c>
      <c r="C90" s="63">
        <f>IF(FAR!K57="","",FAR!K57)</f>
        <v/>
      </c>
      <c r="D90" s="128">
        <f>IF(FAR!H57="","",FAR!H57)</f>
        <v/>
      </c>
      <c r="E90" s="130">
        <f>IF(FAR!I57="","",FAR!I57)</f>
        <v/>
      </c>
      <c r="F90" s="169">
        <f>IF(FAR!C57="",0,IFERROR(VLOOKUP(FAR!C57,ScheduleIITable,6,FALSE),0))</f>
        <v/>
      </c>
      <c r="G90" s="129">
        <f>IF($D90="","",YEAR($D90)+IF(MONTH($D90)&gt;=4,1,0))</f>
        <v/>
      </c>
      <c r="H90" s="170">
        <f>IF($D90="","",IF((DATE($G90,3,31)-$D90+1)&gt;=180,1,0.5))</f>
        <v/>
      </c>
      <c r="I90" s="171">
        <f>IF(OR($C90="",$D90=""),0,IF(AND($E90&lt;&gt;"",$E90&lt;=I$37),0,IF((YEAR(I$37)-$G90)&lt;0,0,IF((YEAR(I$37)-$G90)=0,$C90*$F90*$H90,$C90*(1-$F90*$H90)*(1-$F90)^((YEAR(I$37)-$G90)-1)*$F90))))</f>
        <v/>
      </c>
      <c r="J90" s="172">
        <f>IF($C90="",0,IF(AND($E90&lt;&gt;"",$E90&lt;=I$37),0,IF(OR($D90="",$D90&gt;I$37),$C90,IF((YEAR(I$37)-$G90)=0,$C90*(1-$F90*$H90),$C90*(1-$F90*$H90)*(1-$F90)^(YEAR(I$37)-$G90)))))</f>
        <v/>
      </c>
      <c r="K90" s="171">
        <f>IF(OR($C90="",$D90=""),0,IF(AND($E90&lt;&gt;"",$E90&lt;=K$37),0,IF((YEAR(K$37)-$G90)&lt;0,0,IF((YEAR(K$37)-$G90)=0,$C90*$F90*$H90,$C90*(1-$F90*$H90)*(1-$F90)^((YEAR(K$37)-$G90)-1)*$F90))))</f>
        <v/>
      </c>
      <c r="L90" s="172">
        <f>IF($C90="",0,IF(AND($E90&lt;&gt;"",$E90&lt;=K$37),0,IF(OR($D90="",$D90&gt;K$37),$C90,IF((YEAR(K$37)-$G90)=0,$C90*(1-$F90*$H90),$C90*(1-$F90*$H90)*(1-$F90)^(YEAR(K$37)-$G90)))))</f>
        <v/>
      </c>
      <c r="M90" s="171">
        <f>IF(OR($C90="",$D90=""),0,IF(AND($E90&lt;&gt;"",$E90&lt;=M$37),0,IF((YEAR(M$37)-$G90)&lt;0,0,IF((YEAR(M$37)-$G90)=0,$C90*$F90*$H90,$C90*(1-$F90*$H90)*(1-$F90)^((YEAR(M$37)-$G90)-1)*$F90))))</f>
        <v/>
      </c>
      <c r="N90" s="172">
        <f>IF($C90="",0,IF(AND($E90&lt;&gt;"",$E90&lt;=M$37),0,IF(OR($D90="",$D90&gt;M$37),$C90,IF((YEAR(M$37)-$G90)=0,$C90*(1-$F90*$H90),$C90*(1-$F90*$H90)*(1-$F90)^(YEAR(M$37)-$G90)))))</f>
        <v/>
      </c>
      <c r="O90" s="171">
        <f>IF(OR($C90="",$D90=""),0,IF(AND($E90&lt;&gt;"",$E90&lt;=O$37),0,IF((YEAR(O$37)-$G90)&lt;0,0,IF((YEAR(O$37)-$G90)=0,$C90*$F90*$H90,$C90*(1-$F90*$H90)*(1-$F90)^((YEAR(O$37)-$G90)-1)*$F90))))</f>
        <v/>
      </c>
      <c r="P90" s="172">
        <f>IF($C90="",0,IF(AND($E90&lt;&gt;"",$E90&lt;=O$37),0,IF(OR($D90="",$D90&gt;O$37),$C90,IF((YEAR(O$37)-$G90)=0,$C90*(1-$F90*$H90),$C90*(1-$F90*$H90)*(1-$F90)^(YEAR(O$37)-$G90)))))</f>
        <v/>
      </c>
      <c r="Q90" s="171">
        <f>IF(OR($C90="",$D90=""),0,IF(AND($E90&lt;&gt;"",$E90&lt;=Q$37),0,IF((YEAR(Q$37)-$G90)&lt;0,0,IF((YEAR(Q$37)-$G90)=0,$C90*$F90*$H90,$C90*(1-$F90*$H90)*(1-$F90)^((YEAR(Q$37)-$G90)-1)*$F90))))</f>
        <v/>
      </c>
      <c r="R90" s="172">
        <f>IF($C90="",0,IF(AND($E90&lt;&gt;"",$E90&lt;=Q$37),0,IF(OR($D90="",$D90&gt;Q$37),$C90,IF((YEAR(Q$37)-$G90)=0,$C90*(1-$F90*$H90),$C90*(1-$F90*$H90)*(1-$F90)^(YEAR(Q$37)-$G90)))))</f>
        <v/>
      </c>
      <c r="S90" s="171">
        <f>IF(OR($C90="",$D90=""),0,IF(AND($E90&lt;&gt;"",$E90&lt;=S$37),0,IF((YEAR(S$37)-$G90)&lt;0,0,IF((YEAR(S$37)-$G90)=0,$C90*$F90*$H90,$C90*(1-$F90*$H90)*(1-$F90)^((YEAR(S$37)-$G90)-1)*$F90))))</f>
        <v/>
      </c>
      <c r="T90" s="172">
        <f>IF($C90="",0,IF(AND($E90&lt;&gt;"",$E90&lt;=S$37),0,IF(OR($D90="",$D90&gt;S$37),$C90,IF((YEAR(S$37)-$G90)=0,$C90*(1-$F90*$H90),$C90*(1-$F90*$H90)*(1-$F90)^(YEAR(S$37)-$G90)))))</f>
        <v/>
      </c>
      <c r="U90" s="171">
        <f>IF(OR($C90="",$D90=""),0,IF(AND($E90&lt;&gt;"",$E90&lt;=U$37),0,IF((YEAR(U$37)-$G90)&lt;0,0,IF((YEAR(U$37)-$G90)=0,$C90*$F90*$H90,$C90*(1-$F90*$H90)*(1-$F90)^((YEAR(U$37)-$G90)-1)*$F90))))</f>
        <v/>
      </c>
      <c r="V90" s="172">
        <f>IF($C90="",0,IF(AND($E90&lt;&gt;"",$E90&lt;=U$37),0,IF(OR($D90="",$D90&gt;U$37),$C90,IF((YEAR(U$37)-$G90)=0,$C90*(1-$F90*$H90),$C90*(1-$F90*$H90)*(1-$F90)^(YEAR(U$37)-$G90)))))</f>
        <v/>
      </c>
      <c r="W90" s="171">
        <f>IF(OR($C90="",$D90=""),0,IF(AND($E90&lt;&gt;"",$E90&lt;=W$37),0,IF((YEAR(W$37)-$G90)&lt;0,0,IF((YEAR(W$37)-$G90)=0,$C90*$F90*$H90,$C90*(1-$F90*$H90)*(1-$F90)^((YEAR(W$37)-$G90)-1)*$F90))))</f>
        <v/>
      </c>
      <c r="X90" s="172">
        <f>IF($C90="",0,IF(AND($E90&lt;&gt;"",$E90&lt;=W$37),0,IF(OR($D90="",$D90&gt;W$37),$C90,IF((YEAR(W$37)-$G90)=0,$C90*(1-$F90*$H90),$C90*(1-$F90*$H90)*(1-$F90)^(YEAR(W$37)-$G90)))))</f>
        <v/>
      </c>
      <c r="Y90" s="171">
        <f>IF(OR($C90="",$D90=""),0,IF(AND($E90&lt;&gt;"",$E90&lt;=Y$37),0,IF((YEAR(Y$37)-$G90)&lt;0,0,IF((YEAR(Y$37)-$G90)=0,$C90*$F90*$H90,$C90*(1-$F90*$H90)*(1-$F90)^((YEAR(Y$37)-$G90)-1)*$F90))))</f>
        <v/>
      </c>
      <c r="Z90" s="172">
        <f>IF($C90="",0,IF(AND($E90&lt;&gt;"",$E90&lt;=Y$37),0,IF(OR($D90="",$D90&gt;Y$37),$C90,IF((YEAR(Y$37)-$G90)=0,$C90*(1-$F90*$H90),$C90*(1-$F90*$H90)*(1-$F90)^(YEAR(Y$37)-$G90)))))</f>
        <v/>
      </c>
      <c r="AA90" s="171">
        <f>IF(OR($C90="",$D90=""),0,IF(AND($E90&lt;&gt;"",$E90&lt;=AA$37),0,IF((YEAR(AA$37)-$G90)&lt;0,0,IF((YEAR(AA$37)-$G90)=0,$C90*$F90*$H90,$C90*(1-$F90*$H90)*(1-$F90)^((YEAR(AA$37)-$G90)-1)*$F90))))</f>
        <v/>
      </c>
      <c r="AB90" s="172">
        <f>IF($C90="",0,IF(AND($E90&lt;&gt;"",$E90&lt;=AA$37),0,IF(OR($D90="",$D90&gt;AA$37),$C90,IF((YEAR(AA$37)-$G90)=0,$C90*(1-$F90*$H90),$C90*(1-$F90*$H90)*(1-$F90)^(YEAR(AA$37)-$G90)))))</f>
        <v/>
      </c>
      <c r="AC90" s="171">
        <f>IF(OR($C90="",$D90=""),0,IF(AND($E90&lt;&gt;"",$E90&lt;=AC$37),0,IF((YEAR(AC$37)-$G90)&lt;0,0,IF((YEAR(AC$37)-$G90)=0,$C90*$F90*$H90,$C90*(1-$F90*$H90)*(1-$F90)^((YEAR(AC$37)-$G90)-1)*$F90))))</f>
        <v/>
      </c>
      <c r="AD90" s="172">
        <f>IF($C90="",0,IF(AND($E90&lt;&gt;"",$E90&lt;=AC$37),0,IF(OR($D90="",$D90&gt;AC$37),$C90,IF((YEAR(AC$37)-$G90)=0,$C90*(1-$F90*$H90),$C90*(1-$F90*$H90)*(1-$F90)^(YEAR(AC$37)-$G90)))))</f>
        <v/>
      </c>
      <c r="AE90" s="171">
        <f>IF(OR($C90="",$D90=""),0,IF(AND($E90&lt;&gt;"",$E90&lt;=AE$37),0,IF((YEAR(AE$37)-$G90)&lt;0,0,IF((YEAR(AE$37)-$G90)=0,$C90*$F90*$H90,$C90*(1-$F90*$H90)*(1-$F90)^((YEAR(AE$37)-$G90)-1)*$F90))))</f>
        <v/>
      </c>
      <c r="AF90" s="172">
        <f>IF($C90="",0,IF(AND($E90&lt;&gt;"",$E90&lt;=AE$37),0,IF(OR($D90="",$D90&gt;AE$37),$C90,IF((YEAR(AE$37)-$G90)=0,$C90*(1-$F90*$H90),$C90*(1-$F90*$H90)*(1-$F90)^(YEAR(AE$37)-$G90)))))</f>
        <v/>
      </c>
      <c r="AG90" s="171">
        <f>IF(OR($C90="",$D90=""),0,IF(AND($E90&lt;&gt;"",$E90&lt;=AG$37),0,IF((YEAR(AG$37)-$G90)&lt;0,0,IF((YEAR(AG$37)-$G90)=0,$C90*$F90*$H90,$C90*(1-$F90*$H90)*(1-$F90)^((YEAR(AG$37)-$G90)-1)*$F90))))</f>
        <v/>
      </c>
      <c r="AH90" s="172">
        <f>IF($C90="",0,IF(AND($E90&lt;&gt;"",$E90&lt;=AG$37),0,IF(OR($D90="",$D90&gt;AG$37),$C90,IF((YEAR(AG$37)-$G90)=0,$C90*(1-$F90*$H90),$C90*(1-$F90*$H90)*(1-$F90)^(YEAR(AG$37)-$G90)))))</f>
        <v/>
      </c>
      <c r="AI90" s="171">
        <f>IF(OR($C90="",$D90=""),0,IF(AND($E90&lt;&gt;"",$E90&lt;=AI$37),0,IF((YEAR(AI$37)-$G90)&lt;0,0,IF((YEAR(AI$37)-$G90)=0,$C90*$F90*$H90,$C90*(1-$F90*$H90)*(1-$F90)^((YEAR(AI$37)-$G90)-1)*$F90))))</f>
        <v/>
      </c>
      <c r="AJ90" s="172">
        <f>IF($C90="",0,IF(AND($E90&lt;&gt;"",$E90&lt;=AI$37),0,IF(OR($D90="",$D90&gt;AI$37),$C90,IF((YEAR(AI$37)-$G90)=0,$C90*(1-$F90*$H90),$C90*(1-$F90*$H90)*(1-$F90)^(YEAR(AI$37)-$G90)))))</f>
        <v/>
      </c>
      <c r="AK90" s="171">
        <f>IF(OR($C90="",$D90=""),0,IF(AND($E90&lt;&gt;"",$E90&lt;=AK$37),0,IF((YEAR(AK$37)-$G90)&lt;0,0,IF((YEAR(AK$37)-$G90)=0,$C90*$F90*$H90,$C90*(1-$F90*$H90)*(1-$F90)^((YEAR(AK$37)-$G90)-1)*$F90))))</f>
        <v/>
      </c>
      <c r="AL90" s="172">
        <f>IF($C90="",0,IF(AND($E90&lt;&gt;"",$E90&lt;=AK$37),0,IF(OR($D90="",$D90&gt;AK$37),$C90,IF((YEAR(AK$37)-$G90)=0,$C90*(1-$F90*$H90),$C90*(1-$F90*$H90)*(1-$F90)^(YEAR(AK$37)-$G90)))))</f>
        <v/>
      </c>
      <c r="AM90" s="171">
        <f>IF(OR($C90="",$D90=""),0,IF(AND($E90&lt;&gt;"",$E90&lt;=AM$37),0,IF((YEAR(AM$37)-$G90)&lt;0,0,IF((YEAR(AM$37)-$G90)=0,$C90*$F90*$H90,$C90*(1-$F90*$H90)*(1-$F90)^((YEAR(AM$37)-$G90)-1)*$F90))))</f>
        <v/>
      </c>
      <c r="AN90" s="172">
        <f>IF($C90="",0,IF(AND($E90&lt;&gt;"",$E90&lt;=AM$37),0,IF(OR($D90="",$D90&gt;AM$37),$C90,IF((YEAR(AM$37)-$G90)=0,$C90*(1-$F90*$H90),$C90*(1-$F90*$H90)*(1-$F90)^(YEAR(AM$37)-$G90)))))</f>
        <v/>
      </c>
    </row>
    <row r="91">
      <c r="B91" s="132">
        <f>IF(FAR!K58="","",FAR!B58)</f>
        <v/>
      </c>
      <c r="C91" s="81">
        <f>IF(FAR!K58="","",FAR!K58)</f>
        <v/>
      </c>
      <c r="D91" s="134">
        <f>IF(FAR!H58="","",FAR!H58)</f>
        <v/>
      </c>
      <c r="E91" s="136">
        <f>IF(FAR!I58="","",FAR!I58)</f>
        <v/>
      </c>
      <c r="F91" s="173">
        <f>IF(FAR!C58="",0,IFERROR(VLOOKUP(FAR!C58,ScheduleIITable,6,FALSE),0))</f>
        <v/>
      </c>
      <c r="G91" s="135">
        <f>IF($D91="","",YEAR($D91)+IF(MONTH($D91)&gt;=4,1,0))</f>
        <v/>
      </c>
      <c r="H91" s="174">
        <f>IF($D91="","",IF((DATE($G91,3,31)-$D91+1)&gt;=180,1,0.5))</f>
        <v/>
      </c>
      <c r="I91" s="175">
        <f>IF(OR($C91="",$D91=""),0,IF(AND($E91&lt;&gt;"",$E91&lt;=I$37),0,IF((YEAR(I$37)-$G91)&lt;0,0,IF((YEAR(I$37)-$G91)=0,$C91*$F91*$H91,$C91*(1-$F91*$H91)*(1-$F91)^((YEAR(I$37)-$G91)-1)*$F91))))</f>
        <v/>
      </c>
      <c r="J91" s="175">
        <f>IF($C91="",0,IF(AND($E91&lt;&gt;"",$E91&lt;=I$37),0,IF(OR($D91="",$D91&gt;I$37),$C91,IF((YEAR(I$37)-$G91)=0,$C91*(1-$F91*$H91),$C91*(1-$F91*$H91)*(1-$F91)^(YEAR(I$37)-$G91)))))</f>
        <v/>
      </c>
      <c r="K91" s="175">
        <f>IF(OR($C91="",$D91=""),0,IF(AND($E91&lt;&gt;"",$E91&lt;=K$37),0,IF((YEAR(K$37)-$G91)&lt;0,0,IF((YEAR(K$37)-$G91)=0,$C91*$F91*$H91,$C91*(1-$F91*$H91)*(1-$F91)^((YEAR(K$37)-$G91)-1)*$F91))))</f>
        <v/>
      </c>
      <c r="L91" s="175">
        <f>IF($C91="",0,IF(AND($E91&lt;&gt;"",$E91&lt;=K$37),0,IF(OR($D91="",$D91&gt;K$37),$C91,IF((YEAR(K$37)-$G91)=0,$C91*(1-$F91*$H91),$C91*(1-$F91*$H91)*(1-$F91)^(YEAR(K$37)-$G91)))))</f>
        <v/>
      </c>
      <c r="M91" s="175">
        <f>IF(OR($C91="",$D91=""),0,IF(AND($E91&lt;&gt;"",$E91&lt;=M$37),0,IF((YEAR(M$37)-$G91)&lt;0,0,IF((YEAR(M$37)-$G91)=0,$C91*$F91*$H91,$C91*(1-$F91*$H91)*(1-$F91)^((YEAR(M$37)-$G91)-1)*$F91))))</f>
        <v/>
      </c>
      <c r="N91" s="175">
        <f>IF($C91="",0,IF(AND($E91&lt;&gt;"",$E91&lt;=M$37),0,IF(OR($D91="",$D91&gt;M$37),$C91,IF((YEAR(M$37)-$G91)=0,$C91*(1-$F91*$H91),$C91*(1-$F91*$H91)*(1-$F91)^(YEAR(M$37)-$G91)))))</f>
        <v/>
      </c>
      <c r="O91" s="175">
        <f>IF(OR($C91="",$D91=""),0,IF(AND($E91&lt;&gt;"",$E91&lt;=O$37),0,IF((YEAR(O$37)-$G91)&lt;0,0,IF((YEAR(O$37)-$G91)=0,$C91*$F91*$H91,$C91*(1-$F91*$H91)*(1-$F91)^((YEAR(O$37)-$G91)-1)*$F91))))</f>
        <v/>
      </c>
      <c r="P91" s="175">
        <f>IF($C91="",0,IF(AND($E91&lt;&gt;"",$E91&lt;=O$37),0,IF(OR($D91="",$D91&gt;O$37),$C91,IF((YEAR(O$37)-$G91)=0,$C91*(1-$F91*$H91),$C91*(1-$F91*$H91)*(1-$F91)^(YEAR(O$37)-$G91)))))</f>
        <v/>
      </c>
      <c r="Q91" s="175">
        <f>IF(OR($C91="",$D91=""),0,IF(AND($E91&lt;&gt;"",$E91&lt;=Q$37),0,IF((YEAR(Q$37)-$G91)&lt;0,0,IF((YEAR(Q$37)-$G91)=0,$C91*$F91*$H91,$C91*(1-$F91*$H91)*(1-$F91)^((YEAR(Q$37)-$G91)-1)*$F91))))</f>
        <v/>
      </c>
      <c r="R91" s="175">
        <f>IF($C91="",0,IF(AND($E91&lt;&gt;"",$E91&lt;=Q$37),0,IF(OR($D91="",$D91&gt;Q$37),$C91,IF((YEAR(Q$37)-$G91)=0,$C91*(1-$F91*$H91),$C91*(1-$F91*$H91)*(1-$F91)^(YEAR(Q$37)-$G91)))))</f>
        <v/>
      </c>
      <c r="S91" s="175">
        <f>IF(OR($C91="",$D91=""),0,IF(AND($E91&lt;&gt;"",$E91&lt;=S$37),0,IF((YEAR(S$37)-$G91)&lt;0,0,IF((YEAR(S$37)-$G91)=0,$C91*$F91*$H91,$C91*(1-$F91*$H91)*(1-$F91)^((YEAR(S$37)-$G91)-1)*$F91))))</f>
        <v/>
      </c>
      <c r="T91" s="175">
        <f>IF($C91="",0,IF(AND($E91&lt;&gt;"",$E91&lt;=S$37),0,IF(OR($D91="",$D91&gt;S$37),$C91,IF((YEAR(S$37)-$G91)=0,$C91*(1-$F91*$H91),$C91*(1-$F91*$H91)*(1-$F91)^(YEAR(S$37)-$G91)))))</f>
        <v/>
      </c>
      <c r="U91" s="175">
        <f>IF(OR($C91="",$D91=""),0,IF(AND($E91&lt;&gt;"",$E91&lt;=U$37),0,IF((YEAR(U$37)-$G91)&lt;0,0,IF((YEAR(U$37)-$G91)=0,$C91*$F91*$H91,$C91*(1-$F91*$H91)*(1-$F91)^((YEAR(U$37)-$G91)-1)*$F91))))</f>
        <v/>
      </c>
      <c r="V91" s="175">
        <f>IF($C91="",0,IF(AND($E91&lt;&gt;"",$E91&lt;=U$37),0,IF(OR($D91="",$D91&gt;U$37),$C91,IF((YEAR(U$37)-$G91)=0,$C91*(1-$F91*$H91),$C91*(1-$F91*$H91)*(1-$F91)^(YEAR(U$37)-$G91)))))</f>
        <v/>
      </c>
      <c r="W91" s="175">
        <f>IF(OR($C91="",$D91=""),0,IF(AND($E91&lt;&gt;"",$E91&lt;=W$37),0,IF((YEAR(W$37)-$G91)&lt;0,0,IF((YEAR(W$37)-$G91)=0,$C91*$F91*$H91,$C91*(1-$F91*$H91)*(1-$F91)^((YEAR(W$37)-$G91)-1)*$F91))))</f>
        <v/>
      </c>
      <c r="X91" s="175">
        <f>IF($C91="",0,IF(AND($E91&lt;&gt;"",$E91&lt;=W$37),0,IF(OR($D91="",$D91&gt;W$37),$C91,IF((YEAR(W$37)-$G91)=0,$C91*(1-$F91*$H91),$C91*(1-$F91*$H91)*(1-$F91)^(YEAR(W$37)-$G91)))))</f>
        <v/>
      </c>
      <c r="Y91" s="175">
        <f>IF(OR($C91="",$D91=""),0,IF(AND($E91&lt;&gt;"",$E91&lt;=Y$37),0,IF((YEAR(Y$37)-$G91)&lt;0,0,IF((YEAR(Y$37)-$G91)=0,$C91*$F91*$H91,$C91*(1-$F91*$H91)*(1-$F91)^((YEAR(Y$37)-$G91)-1)*$F91))))</f>
        <v/>
      </c>
      <c r="Z91" s="175">
        <f>IF($C91="",0,IF(AND($E91&lt;&gt;"",$E91&lt;=Y$37),0,IF(OR($D91="",$D91&gt;Y$37),$C91,IF((YEAR(Y$37)-$G91)=0,$C91*(1-$F91*$H91),$C91*(1-$F91*$H91)*(1-$F91)^(YEAR(Y$37)-$G91)))))</f>
        <v/>
      </c>
      <c r="AA91" s="175">
        <f>IF(OR($C91="",$D91=""),0,IF(AND($E91&lt;&gt;"",$E91&lt;=AA$37),0,IF((YEAR(AA$37)-$G91)&lt;0,0,IF((YEAR(AA$37)-$G91)=0,$C91*$F91*$H91,$C91*(1-$F91*$H91)*(1-$F91)^((YEAR(AA$37)-$G91)-1)*$F91))))</f>
        <v/>
      </c>
      <c r="AB91" s="175">
        <f>IF($C91="",0,IF(AND($E91&lt;&gt;"",$E91&lt;=AA$37),0,IF(OR($D91="",$D91&gt;AA$37),$C91,IF((YEAR(AA$37)-$G91)=0,$C91*(1-$F91*$H91),$C91*(1-$F91*$H91)*(1-$F91)^(YEAR(AA$37)-$G91)))))</f>
        <v/>
      </c>
      <c r="AC91" s="175">
        <f>IF(OR($C91="",$D91=""),0,IF(AND($E91&lt;&gt;"",$E91&lt;=AC$37),0,IF((YEAR(AC$37)-$G91)&lt;0,0,IF((YEAR(AC$37)-$G91)=0,$C91*$F91*$H91,$C91*(1-$F91*$H91)*(1-$F91)^((YEAR(AC$37)-$G91)-1)*$F91))))</f>
        <v/>
      </c>
      <c r="AD91" s="175">
        <f>IF($C91="",0,IF(AND($E91&lt;&gt;"",$E91&lt;=AC$37),0,IF(OR($D91="",$D91&gt;AC$37),$C91,IF((YEAR(AC$37)-$G91)=0,$C91*(1-$F91*$H91),$C91*(1-$F91*$H91)*(1-$F91)^(YEAR(AC$37)-$G91)))))</f>
        <v/>
      </c>
      <c r="AE91" s="175">
        <f>IF(OR($C91="",$D91=""),0,IF(AND($E91&lt;&gt;"",$E91&lt;=AE$37),0,IF((YEAR(AE$37)-$G91)&lt;0,0,IF((YEAR(AE$37)-$G91)=0,$C91*$F91*$H91,$C91*(1-$F91*$H91)*(1-$F91)^((YEAR(AE$37)-$G91)-1)*$F91))))</f>
        <v/>
      </c>
      <c r="AF91" s="175">
        <f>IF($C91="",0,IF(AND($E91&lt;&gt;"",$E91&lt;=AE$37),0,IF(OR($D91="",$D91&gt;AE$37),$C91,IF((YEAR(AE$37)-$G91)=0,$C91*(1-$F91*$H91),$C91*(1-$F91*$H91)*(1-$F91)^(YEAR(AE$37)-$G91)))))</f>
        <v/>
      </c>
      <c r="AG91" s="175">
        <f>IF(OR($C91="",$D91=""),0,IF(AND($E91&lt;&gt;"",$E91&lt;=AG$37),0,IF((YEAR(AG$37)-$G91)&lt;0,0,IF((YEAR(AG$37)-$G91)=0,$C91*$F91*$H91,$C91*(1-$F91*$H91)*(1-$F91)^((YEAR(AG$37)-$G91)-1)*$F91))))</f>
        <v/>
      </c>
      <c r="AH91" s="175">
        <f>IF($C91="",0,IF(AND($E91&lt;&gt;"",$E91&lt;=AG$37),0,IF(OR($D91="",$D91&gt;AG$37),$C91,IF((YEAR(AG$37)-$G91)=0,$C91*(1-$F91*$H91),$C91*(1-$F91*$H91)*(1-$F91)^(YEAR(AG$37)-$G91)))))</f>
        <v/>
      </c>
      <c r="AI91" s="175">
        <f>IF(OR($C91="",$D91=""),0,IF(AND($E91&lt;&gt;"",$E91&lt;=AI$37),0,IF((YEAR(AI$37)-$G91)&lt;0,0,IF((YEAR(AI$37)-$G91)=0,$C91*$F91*$H91,$C91*(1-$F91*$H91)*(1-$F91)^((YEAR(AI$37)-$G91)-1)*$F91))))</f>
        <v/>
      </c>
      <c r="AJ91" s="175">
        <f>IF($C91="",0,IF(AND($E91&lt;&gt;"",$E91&lt;=AI$37),0,IF(OR($D91="",$D91&gt;AI$37),$C91,IF((YEAR(AI$37)-$G91)=0,$C91*(1-$F91*$H91),$C91*(1-$F91*$H91)*(1-$F91)^(YEAR(AI$37)-$G91)))))</f>
        <v/>
      </c>
      <c r="AK91" s="175">
        <f>IF(OR($C91="",$D91=""),0,IF(AND($E91&lt;&gt;"",$E91&lt;=AK$37),0,IF((YEAR(AK$37)-$G91)&lt;0,0,IF((YEAR(AK$37)-$G91)=0,$C91*$F91*$H91,$C91*(1-$F91*$H91)*(1-$F91)^((YEAR(AK$37)-$G91)-1)*$F91))))</f>
        <v/>
      </c>
      <c r="AL91" s="175">
        <f>IF($C91="",0,IF(AND($E91&lt;&gt;"",$E91&lt;=AK$37),0,IF(OR($D91="",$D91&gt;AK$37),$C91,IF((YEAR(AK$37)-$G91)=0,$C91*(1-$F91*$H91),$C91*(1-$F91*$H91)*(1-$F91)^(YEAR(AK$37)-$G91)))))</f>
        <v/>
      </c>
      <c r="AM91" s="175">
        <f>IF(OR($C91="",$D91=""),0,IF(AND($E91&lt;&gt;"",$E91&lt;=AM$37),0,IF((YEAR(AM$37)-$G91)&lt;0,0,IF((YEAR(AM$37)-$G91)=0,$C91*$F91*$H91,$C91*(1-$F91*$H91)*(1-$F91)^((YEAR(AM$37)-$G91)-1)*$F91))))</f>
        <v/>
      </c>
      <c r="AN91" s="175">
        <f>IF($C91="",0,IF(AND($E91&lt;&gt;"",$E91&lt;=AM$37),0,IF(OR($D91="",$D91&gt;AM$37),$C91,IF((YEAR(AM$37)-$G91)=0,$C91*(1-$F91*$H91),$C91*(1-$F91*$H91)*(1-$F91)^(YEAR(AM$37)-$G91)))))</f>
        <v/>
      </c>
    </row>
    <row r="92">
      <c r="B92" s="126">
        <f>IF(FAR!K59="","",FAR!B59)</f>
        <v/>
      </c>
      <c r="C92" s="63">
        <f>IF(FAR!K59="","",FAR!K59)</f>
        <v/>
      </c>
      <c r="D92" s="128">
        <f>IF(FAR!H59="","",FAR!H59)</f>
        <v/>
      </c>
      <c r="E92" s="130">
        <f>IF(FAR!I59="","",FAR!I59)</f>
        <v/>
      </c>
      <c r="F92" s="169">
        <f>IF(FAR!C59="",0,IFERROR(VLOOKUP(FAR!C59,ScheduleIITable,6,FALSE),0))</f>
        <v/>
      </c>
      <c r="G92" s="129">
        <f>IF($D92="","",YEAR($D92)+IF(MONTH($D92)&gt;=4,1,0))</f>
        <v/>
      </c>
      <c r="H92" s="170">
        <f>IF($D92="","",IF((DATE($G92,3,31)-$D92+1)&gt;=180,1,0.5))</f>
        <v/>
      </c>
      <c r="I92" s="171">
        <f>IF(OR($C92="",$D92=""),0,IF(AND($E92&lt;&gt;"",$E92&lt;=I$37),0,IF((YEAR(I$37)-$G92)&lt;0,0,IF((YEAR(I$37)-$G92)=0,$C92*$F92*$H92,$C92*(1-$F92*$H92)*(1-$F92)^((YEAR(I$37)-$G92)-1)*$F92))))</f>
        <v/>
      </c>
      <c r="J92" s="172">
        <f>IF($C92="",0,IF(AND($E92&lt;&gt;"",$E92&lt;=I$37),0,IF(OR($D92="",$D92&gt;I$37),$C92,IF((YEAR(I$37)-$G92)=0,$C92*(1-$F92*$H92),$C92*(1-$F92*$H92)*(1-$F92)^(YEAR(I$37)-$G92)))))</f>
        <v/>
      </c>
      <c r="K92" s="171">
        <f>IF(OR($C92="",$D92=""),0,IF(AND($E92&lt;&gt;"",$E92&lt;=K$37),0,IF((YEAR(K$37)-$G92)&lt;0,0,IF((YEAR(K$37)-$G92)=0,$C92*$F92*$H92,$C92*(1-$F92*$H92)*(1-$F92)^((YEAR(K$37)-$G92)-1)*$F92))))</f>
        <v/>
      </c>
      <c r="L92" s="172">
        <f>IF($C92="",0,IF(AND($E92&lt;&gt;"",$E92&lt;=K$37),0,IF(OR($D92="",$D92&gt;K$37),$C92,IF((YEAR(K$37)-$G92)=0,$C92*(1-$F92*$H92),$C92*(1-$F92*$H92)*(1-$F92)^(YEAR(K$37)-$G92)))))</f>
        <v/>
      </c>
      <c r="M92" s="171">
        <f>IF(OR($C92="",$D92=""),0,IF(AND($E92&lt;&gt;"",$E92&lt;=M$37),0,IF((YEAR(M$37)-$G92)&lt;0,0,IF((YEAR(M$37)-$G92)=0,$C92*$F92*$H92,$C92*(1-$F92*$H92)*(1-$F92)^((YEAR(M$37)-$G92)-1)*$F92))))</f>
        <v/>
      </c>
      <c r="N92" s="172">
        <f>IF($C92="",0,IF(AND($E92&lt;&gt;"",$E92&lt;=M$37),0,IF(OR($D92="",$D92&gt;M$37),$C92,IF((YEAR(M$37)-$G92)=0,$C92*(1-$F92*$H92),$C92*(1-$F92*$H92)*(1-$F92)^(YEAR(M$37)-$G92)))))</f>
        <v/>
      </c>
      <c r="O92" s="171">
        <f>IF(OR($C92="",$D92=""),0,IF(AND($E92&lt;&gt;"",$E92&lt;=O$37),0,IF((YEAR(O$37)-$G92)&lt;0,0,IF((YEAR(O$37)-$G92)=0,$C92*$F92*$H92,$C92*(1-$F92*$H92)*(1-$F92)^((YEAR(O$37)-$G92)-1)*$F92))))</f>
        <v/>
      </c>
      <c r="P92" s="172">
        <f>IF($C92="",0,IF(AND($E92&lt;&gt;"",$E92&lt;=O$37),0,IF(OR($D92="",$D92&gt;O$37),$C92,IF((YEAR(O$37)-$G92)=0,$C92*(1-$F92*$H92),$C92*(1-$F92*$H92)*(1-$F92)^(YEAR(O$37)-$G92)))))</f>
        <v/>
      </c>
      <c r="Q92" s="171">
        <f>IF(OR($C92="",$D92=""),0,IF(AND($E92&lt;&gt;"",$E92&lt;=Q$37),0,IF((YEAR(Q$37)-$G92)&lt;0,0,IF((YEAR(Q$37)-$G92)=0,$C92*$F92*$H92,$C92*(1-$F92*$H92)*(1-$F92)^((YEAR(Q$37)-$G92)-1)*$F92))))</f>
        <v/>
      </c>
      <c r="R92" s="172">
        <f>IF($C92="",0,IF(AND($E92&lt;&gt;"",$E92&lt;=Q$37),0,IF(OR($D92="",$D92&gt;Q$37),$C92,IF((YEAR(Q$37)-$G92)=0,$C92*(1-$F92*$H92),$C92*(1-$F92*$H92)*(1-$F92)^(YEAR(Q$37)-$G92)))))</f>
        <v/>
      </c>
      <c r="S92" s="171">
        <f>IF(OR($C92="",$D92=""),0,IF(AND($E92&lt;&gt;"",$E92&lt;=S$37),0,IF((YEAR(S$37)-$G92)&lt;0,0,IF((YEAR(S$37)-$G92)=0,$C92*$F92*$H92,$C92*(1-$F92*$H92)*(1-$F92)^((YEAR(S$37)-$G92)-1)*$F92))))</f>
        <v/>
      </c>
      <c r="T92" s="172">
        <f>IF($C92="",0,IF(AND($E92&lt;&gt;"",$E92&lt;=S$37),0,IF(OR($D92="",$D92&gt;S$37),$C92,IF((YEAR(S$37)-$G92)=0,$C92*(1-$F92*$H92),$C92*(1-$F92*$H92)*(1-$F92)^(YEAR(S$37)-$G92)))))</f>
        <v/>
      </c>
      <c r="U92" s="171">
        <f>IF(OR($C92="",$D92=""),0,IF(AND($E92&lt;&gt;"",$E92&lt;=U$37),0,IF((YEAR(U$37)-$G92)&lt;0,0,IF((YEAR(U$37)-$G92)=0,$C92*$F92*$H92,$C92*(1-$F92*$H92)*(1-$F92)^((YEAR(U$37)-$G92)-1)*$F92))))</f>
        <v/>
      </c>
      <c r="V92" s="172">
        <f>IF($C92="",0,IF(AND($E92&lt;&gt;"",$E92&lt;=U$37),0,IF(OR($D92="",$D92&gt;U$37),$C92,IF((YEAR(U$37)-$G92)=0,$C92*(1-$F92*$H92),$C92*(1-$F92*$H92)*(1-$F92)^(YEAR(U$37)-$G92)))))</f>
        <v/>
      </c>
      <c r="W92" s="171">
        <f>IF(OR($C92="",$D92=""),0,IF(AND($E92&lt;&gt;"",$E92&lt;=W$37),0,IF((YEAR(W$37)-$G92)&lt;0,0,IF((YEAR(W$37)-$G92)=0,$C92*$F92*$H92,$C92*(1-$F92*$H92)*(1-$F92)^((YEAR(W$37)-$G92)-1)*$F92))))</f>
        <v/>
      </c>
      <c r="X92" s="172">
        <f>IF($C92="",0,IF(AND($E92&lt;&gt;"",$E92&lt;=W$37),0,IF(OR($D92="",$D92&gt;W$37),$C92,IF((YEAR(W$37)-$G92)=0,$C92*(1-$F92*$H92),$C92*(1-$F92*$H92)*(1-$F92)^(YEAR(W$37)-$G92)))))</f>
        <v/>
      </c>
      <c r="Y92" s="171">
        <f>IF(OR($C92="",$D92=""),0,IF(AND($E92&lt;&gt;"",$E92&lt;=Y$37),0,IF((YEAR(Y$37)-$G92)&lt;0,0,IF((YEAR(Y$37)-$G92)=0,$C92*$F92*$H92,$C92*(1-$F92*$H92)*(1-$F92)^((YEAR(Y$37)-$G92)-1)*$F92))))</f>
        <v/>
      </c>
      <c r="Z92" s="172">
        <f>IF($C92="",0,IF(AND($E92&lt;&gt;"",$E92&lt;=Y$37),0,IF(OR($D92="",$D92&gt;Y$37),$C92,IF((YEAR(Y$37)-$G92)=0,$C92*(1-$F92*$H92),$C92*(1-$F92*$H92)*(1-$F92)^(YEAR(Y$37)-$G92)))))</f>
        <v/>
      </c>
      <c r="AA92" s="171">
        <f>IF(OR($C92="",$D92=""),0,IF(AND($E92&lt;&gt;"",$E92&lt;=AA$37),0,IF((YEAR(AA$37)-$G92)&lt;0,0,IF((YEAR(AA$37)-$G92)=0,$C92*$F92*$H92,$C92*(1-$F92*$H92)*(1-$F92)^((YEAR(AA$37)-$G92)-1)*$F92))))</f>
        <v/>
      </c>
      <c r="AB92" s="172">
        <f>IF($C92="",0,IF(AND($E92&lt;&gt;"",$E92&lt;=AA$37),0,IF(OR($D92="",$D92&gt;AA$37),$C92,IF((YEAR(AA$37)-$G92)=0,$C92*(1-$F92*$H92),$C92*(1-$F92*$H92)*(1-$F92)^(YEAR(AA$37)-$G92)))))</f>
        <v/>
      </c>
      <c r="AC92" s="171">
        <f>IF(OR($C92="",$D92=""),0,IF(AND($E92&lt;&gt;"",$E92&lt;=AC$37),0,IF((YEAR(AC$37)-$G92)&lt;0,0,IF((YEAR(AC$37)-$G92)=0,$C92*$F92*$H92,$C92*(1-$F92*$H92)*(1-$F92)^((YEAR(AC$37)-$G92)-1)*$F92))))</f>
        <v/>
      </c>
      <c r="AD92" s="172">
        <f>IF($C92="",0,IF(AND($E92&lt;&gt;"",$E92&lt;=AC$37),0,IF(OR($D92="",$D92&gt;AC$37),$C92,IF((YEAR(AC$37)-$G92)=0,$C92*(1-$F92*$H92),$C92*(1-$F92*$H92)*(1-$F92)^(YEAR(AC$37)-$G92)))))</f>
        <v/>
      </c>
      <c r="AE92" s="171">
        <f>IF(OR($C92="",$D92=""),0,IF(AND($E92&lt;&gt;"",$E92&lt;=AE$37),0,IF((YEAR(AE$37)-$G92)&lt;0,0,IF((YEAR(AE$37)-$G92)=0,$C92*$F92*$H92,$C92*(1-$F92*$H92)*(1-$F92)^((YEAR(AE$37)-$G92)-1)*$F92))))</f>
        <v/>
      </c>
      <c r="AF92" s="172">
        <f>IF($C92="",0,IF(AND($E92&lt;&gt;"",$E92&lt;=AE$37),0,IF(OR($D92="",$D92&gt;AE$37),$C92,IF((YEAR(AE$37)-$G92)=0,$C92*(1-$F92*$H92),$C92*(1-$F92*$H92)*(1-$F92)^(YEAR(AE$37)-$G92)))))</f>
        <v/>
      </c>
      <c r="AG92" s="171">
        <f>IF(OR($C92="",$D92=""),0,IF(AND($E92&lt;&gt;"",$E92&lt;=AG$37),0,IF((YEAR(AG$37)-$G92)&lt;0,0,IF((YEAR(AG$37)-$G92)=0,$C92*$F92*$H92,$C92*(1-$F92*$H92)*(1-$F92)^((YEAR(AG$37)-$G92)-1)*$F92))))</f>
        <v/>
      </c>
      <c r="AH92" s="172">
        <f>IF($C92="",0,IF(AND($E92&lt;&gt;"",$E92&lt;=AG$37),0,IF(OR($D92="",$D92&gt;AG$37),$C92,IF((YEAR(AG$37)-$G92)=0,$C92*(1-$F92*$H92),$C92*(1-$F92*$H92)*(1-$F92)^(YEAR(AG$37)-$G92)))))</f>
        <v/>
      </c>
      <c r="AI92" s="171">
        <f>IF(OR($C92="",$D92=""),0,IF(AND($E92&lt;&gt;"",$E92&lt;=AI$37),0,IF((YEAR(AI$37)-$G92)&lt;0,0,IF((YEAR(AI$37)-$G92)=0,$C92*$F92*$H92,$C92*(1-$F92*$H92)*(1-$F92)^((YEAR(AI$37)-$G92)-1)*$F92))))</f>
        <v/>
      </c>
      <c r="AJ92" s="172">
        <f>IF($C92="",0,IF(AND($E92&lt;&gt;"",$E92&lt;=AI$37),0,IF(OR($D92="",$D92&gt;AI$37),$C92,IF((YEAR(AI$37)-$G92)=0,$C92*(1-$F92*$H92),$C92*(1-$F92*$H92)*(1-$F92)^(YEAR(AI$37)-$G92)))))</f>
        <v/>
      </c>
      <c r="AK92" s="171">
        <f>IF(OR($C92="",$D92=""),0,IF(AND($E92&lt;&gt;"",$E92&lt;=AK$37),0,IF((YEAR(AK$37)-$G92)&lt;0,0,IF((YEAR(AK$37)-$G92)=0,$C92*$F92*$H92,$C92*(1-$F92*$H92)*(1-$F92)^((YEAR(AK$37)-$G92)-1)*$F92))))</f>
        <v/>
      </c>
      <c r="AL92" s="172">
        <f>IF($C92="",0,IF(AND($E92&lt;&gt;"",$E92&lt;=AK$37),0,IF(OR($D92="",$D92&gt;AK$37),$C92,IF((YEAR(AK$37)-$G92)=0,$C92*(1-$F92*$H92),$C92*(1-$F92*$H92)*(1-$F92)^(YEAR(AK$37)-$G92)))))</f>
        <v/>
      </c>
      <c r="AM92" s="171">
        <f>IF(OR($C92="",$D92=""),0,IF(AND($E92&lt;&gt;"",$E92&lt;=AM$37),0,IF((YEAR(AM$37)-$G92)&lt;0,0,IF((YEAR(AM$37)-$G92)=0,$C92*$F92*$H92,$C92*(1-$F92*$H92)*(1-$F92)^((YEAR(AM$37)-$G92)-1)*$F92))))</f>
        <v/>
      </c>
      <c r="AN92" s="172">
        <f>IF($C92="",0,IF(AND($E92&lt;&gt;"",$E92&lt;=AM$37),0,IF(OR($D92="",$D92&gt;AM$37),$C92,IF((YEAR(AM$37)-$G92)=0,$C92*(1-$F92*$H92),$C92*(1-$F92*$H92)*(1-$F92)^(YEAR(AM$37)-$G92)))))</f>
        <v/>
      </c>
    </row>
    <row r="93">
      <c r="B93" s="132">
        <f>IF(FAR!K60="","",FAR!B60)</f>
        <v/>
      </c>
      <c r="C93" s="81">
        <f>IF(FAR!K60="","",FAR!K60)</f>
        <v/>
      </c>
      <c r="D93" s="134">
        <f>IF(FAR!H60="","",FAR!H60)</f>
        <v/>
      </c>
      <c r="E93" s="136">
        <f>IF(FAR!I60="","",FAR!I60)</f>
        <v/>
      </c>
      <c r="F93" s="173">
        <f>IF(FAR!C60="",0,IFERROR(VLOOKUP(FAR!C60,ScheduleIITable,6,FALSE),0))</f>
        <v/>
      </c>
      <c r="G93" s="135">
        <f>IF($D93="","",YEAR($D93)+IF(MONTH($D93)&gt;=4,1,0))</f>
        <v/>
      </c>
      <c r="H93" s="174">
        <f>IF($D93="","",IF((DATE($G93,3,31)-$D93+1)&gt;=180,1,0.5))</f>
        <v/>
      </c>
      <c r="I93" s="175">
        <f>IF(OR($C93="",$D93=""),0,IF(AND($E93&lt;&gt;"",$E93&lt;=I$37),0,IF((YEAR(I$37)-$G93)&lt;0,0,IF((YEAR(I$37)-$G93)=0,$C93*$F93*$H93,$C93*(1-$F93*$H93)*(1-$F93)^((YEAR(I$37)-$G93)-1)*$F93))))</f>
        <v/>
      </c>
      <c r="J93" s="175">
        <f>IF($C93="",0,IF(AND($E93&lt;&gt;"",$E93&lt;=I$37),0,IF(OR($D93="",$D93&gt;I$37),$C93,IF((YEAR(I$37)-$G93)=0,$C93*(1-$F93*$H93),$C93*(1-$F93*$H93)*(1-$F93)^(YEAR(I$37)-$G93)))))</f>
        <v/>
      </c>
      <c r="K93" s="175">
        <f>IF(OR($C93="",$D93=""),0,IF(AND($E93&lt;&gt;"",$E93&lt;=K$37),0,IF((YEAR(K$37)-$G93)&lt;0,0,IF((YEAR(K$37)-$G93)=0,$C93*$F93*$H93,$C93*(1-$F93*$H93)*(1-$F93)^((YEAR(K$37)-$G93)-1)*$F93))))</f>
        <v/>
      </c>
      <c r="L93" s="175">
        <f>IF($C93="",0,IF(AND($E93&lt;&gt;"",$E93&lt;=K$37),0,IF(OR($D93="",$D93&gt;K$37),$C93,IF((YEAR(K$37)-$G93)=0,$C93*(1-$F93*$H93),$C93*(1-$F93*$H93)*(1-$F93)^(YEAR(K$37)-$G93)))))</f>
        <v/>
      </c>
      <c r="M93" s="175">
        <f>IF(OR($C93="",$D93=""),0,IF(AND($E93&lt;&gt;"",$E93&lt;=M$37),0,IF((YEAR(M$37)-$G93)&lt;0,0,IF((YEAR(M$37)-$G93)=0,$C93*$F93*$H93,$C93*(1-$F93*$H93)*(1-$F93)^((YEAR(M$37)-$G93)-1)*$F93))))</f>
        <v/>
      </c>
      <c r="N93" s="175">
        <f>IF($C93="",0,IF(AND($E93&lt;&gt;"",$E93&lt;=M$37),0,IF(OR($D93="",$D93&gt;M$37),$C93,IF((YEAR(M$37)-$G93)=0,$C93*(1-$F93*$H93),$C93*(1-$F93*$H93)*(1-$F93)^(YEAR(M$37)-$G93)))))</f>
        <v/>
      </c>
      <c r="O93" s="175">
        <f>IF(OR($C93="",$D93=""),0,IF(AND($E93&lt;&gt;"",$E93&lt;=O$37),0,IF((YEAR(O$37)-$G93)&lt;0,0,IF((YEAR(O$37)-$G93)=0,$C93*$F93*$H93,$C93*(1-$F93*$H93)*(1-$F93)^((YEAR(O$37)-$G93)-1)*$F93))))</f>
        <v/>
      </c>
      <c r="P93" s="175">
        <f>IF($C93="",0,IF(AND($E93&lt;&gt;"",$E93&lt;=O$37),0,IF(OR($D93="",$D93&gt;O$37),$C93,IF((YEAR(O$37)-$G93)=0,$C93*(1-$F93*$H93),$C93*(1-$F93*$H93)*(1-$F93)^(YEAR(O$37)-$G93)))))</f>
        <v/>
      </c>
      <c r="Q93" s="175">
        <f>IF(OR($C93="",$D93=""),0,IF(AND($E93&lt;&gt;"",$E93&lt;=Q$37),0,IF((YEAR(Q$37)-$G93)&lt;0,0,IF((YEAR(Q$37)-$G93)=0,$C93*$F93*$H93,$C93*(1-$F93*$H93)*(1-$F93)^((YEAR(Q$37)-$G93)-1)*$F93))))</f>
        <v/>
      </c>
      <c r="R93" s="175">
        <f>IF($C93="",0,IF(AND($E93&lt;&gt;"",$E93&lt;=Q$37),0,IF(OR($D93="",$D93&gt;Q$37),$C93,IF((YEAR(Q$37)-$G93)=0,$C93*(1-$F93*$H93),$C93*(1-$F93*$H93)*(1-$F93)^(YEAR(Q$37)-$G93)))))</f>
        <v/>
      </c>
      <c r="S93" s="175">
        <f>IF(OR($C93="",$D93=""),0,IF(AND($E93&lt;&gt;"",$E93&lt;=S$37),0,IF((YEAR(S$37)-$G93)&lt;0,0,IF((YEAR(S$37)-$G93)=0,$C93*$F93*$H93,$C93*(1-$F93*$H93)*(1-$F93)^((YEAR(S$37)-$G93)-1)*$F93))))</f>
        <v/>
      </c>
      <c r="T93" s="175">
        <f>IF($C93="",0,IF(AND($E93&lt;&gt;"",$E93&lt;=S$37),0,IF(OR($D93="",$D93&gt;S$37),$C93,IF((YEAR(S$37)-$G93)=0,$C93*(1-$F93*$H93),$C93*(1-$F93*$H93)*(1-$F93)^(YEAR(S$37)-$G93)))))</f>
        <v/>
      </c>
      <c r="U93" s="175">
        <f>IF(OR($C93="",$D93=""),0,IF(AND($E93&lt;&gt;"",$E93&lt;=U$37),0,IF((YEAR(U$37)-$G93)&lt;0,0,IF((YEAR(U$37)-$G93)=0,$C93*$F93*$H93,$C93*(1-$F93*$H93)*(1-$F93)^((YEAR(U$37)-$G93)-1)*$F93))))</f>
        <v/>
      </c>
      <c r="V93" s="175">
        <f>IF($C93="",0,IF(AND($E93&lt;&gt;"",$E93&lt;=U$37),0,IF(OR($D93="",$D93&gt;U$37),$C93,IF((YEAR(U$37)-$G93)=0,$C93*(1-$F93*$H93),$C93*(1-$F93*$H93)*(1-$F93)^(YEAR(U$37)-$G93)))))</f>
        <v/>
      </c>
      <c r="W93" s="175">
        <f>IF(OR($C93="",$D93=""),0,IF(AND($E93&lt;&gt;"",$E93&lt;=W$37),0,IF((YEAR(W$37)-$G93)&lt;0,0,IF((YEAR(W$37)-$G93)=0,$C93*$F93*$H93,$C93*(1-$F93*$H93)*(1-$F93)^((YEAR(W$37)-$G93)-1)*$F93))))</f>
        <v/>
      </c>
      <c r="X93" s="175">
        <f>IF($C93="",0,IF(AND($E93&lt;&gt;"",$E93&lt;=W$37),0,IF(OR($D93="",$D93&gt;W$37),$C93,IF((YEAR(W$37)-$G93)=0,$C93*(1-$F93*$H93),$C93*(1-$F93*$H93)*(1-$F93)^(YEAR(W$37)-$G93)))))</f>
        <v/>
      </c>
      <c r="Y93" s="175">
        <f>IF(OR($C93="",$D93=""),0,IF(AND($E93&lt;&gt;"",$E93&lt;=Y$37),0,IF((YEAR(Y$37)-$G93)&lt;0,0,IF((YEAR(Y$37)-$G93)=0,$C93*$F93*$H93,$C93*(1-$F93*$H93)*(1-$F93)^((YEAR(Y$37)-$G93)-1)*$F93))))</f>
        <v/>
      </c>
      <c r="Z93" s="175">
        <f>IF($C93="",0,IF(AND($E93&lt;&gt;"",$E93&lt;=Y$37),0,IF(OR($D93="",$D93&gt;Y$37),$C93,IF((YEAR(Y$37)-$G93)=0,$C93*(1-$F93*$H93),$C93*(1-$F93*$H93)*(1-$F93)^(YEAR(Y$37)-$G93)))))</f>
        <v/>
      </c>
      <c r="AA93" s="175">
        <f>IF(OR($C93="",$D93=""),0,IF(AND($E93&lt;&gt;"",$E93&lt;=AA$37),0,IF((YEAR(AA$37)-$G93)&lt;0,0,IF((YEAR(AA$37)-$G93)=0,$C93*$F93*$H93,$C93*(1-$F93*$H93)*(1-$F93)^((YEAR(AA$37)-$G93)-1)*$F93))))</f>
        <v/>
      </c>
      <c r="AB93" s="175">
        <f>IF($C93="",0,IF(AND($E93&lt;&gt;"",$E93&lt;=AA$37),0,IF(OR($D93="",$D93&gt;AA$37),$C93,IF((YEAR(AA$37)-$G93)=0,$C93*(1-$F93*$H93),$C93*(1-$F93*$H93)*(1-$F93)^(YEAR(AA$37)-$G93)))))</f>
        <v/>
      </c>
      <c r="AC93" s="175">
        <f>IF(OR($C93="",$D93=""),0,IF(AND($E93&lt;&gt;"",$E93&lt;=AC$37),0,IF((YEAR(AC$37)-$G93)&lt;0,0,IF((YEAR(AC$37)-$G93)=0,$C93*$F93*$H93,$C93*(1-$F93*$H93)*(1-$F93)^((YEAR(AC$37)-$G93)-1)*$F93))))</f>
        <v/>
      </c>
      <c r="AD93" s="175">
        <f>IF($C93="",0,IF(AND($E93&lt;&gt;"",$E93&lt;=AC$37),0,IF(OR($D93="",$D93&gt;AC$37),$C93,IF((YEAR(AC$37)-$G93)=0,$C93*(1-$F93*$H93),$C93*(1-$F93*$H93)*(1-$F93)^(YEAR(AC$37)-$G93)))))</f>
        <v/>
      </c>
      <c r="AE93" s="175">
        <f>IF(OR($C93="",$D93=""),0,IF(AND($E93&lt;&gt;"",$E93&lt;=AE$37),0,IF((YEAR(AE$37)-$G93)&lt;0,0,IF((YEAR(AE$37)-$G93)=0,$C93*$F93*$H93,$C93*(1-$F93*$H93)*(1-$F93)^((YEAR(AE$37)-$G93)-1)*$F93))))</f>
        <v/>
      </c>
      <c r="AF93" s="175">
        <f>IF($C93="",0,IF(AND($E93&lt;&gt;"",$E93&lt;=AE$37),0,IF(OR($D93="",$D93&gt;AE$37),$C93,IF((YEAR(AE$37)-$G93)=0,$C93*(1-$F93*$H93),$C93*(1-$F93*$H93)*(1-$F93)^(YEAR(AE$37)-$G93)))))</f>
        <v/>
      </c>
      <c r="AG93" s="175">
        <f>IF(OR($C93="",$D93=""),0,IF(AND($E93&lt;&gt;"",$E93&lt;=AG$37),0,IF((YEAR(AG$37)-$G93)&lt;0,0,IF((YEAR(AG$37)-$G93)=0,$C93*$F93*$H93,$C93*(1-$F93*$H93)*(1-$F93)^((YEAR(AG$37)-$G93)-1)*$F93))))</f>
        <v/>
      </c>
      <c r="AH93" s="175">
        <f>IF($C93="",0,IF(AND($E93&lt;&gt;"",$E93&lt;=AG$37),0,IF(OR($D93="",$D93&gt;AG$37),$C93,IF((YEAR(AG$37)-$G93)=0,$C93*(1-$F93*$H93),$C93*(1-$F93*$H93)*(1-$F93)^(YEAR(AG$37)-$G93)))))</f>
        <v/>
      </c>
      <c r="AI93" s="175">
        <f>IF(OR($C93="",$D93=""),0,IF(AND($E93&lt;&gt;"",$E93&lt;=AI$37),0,IF((YEAR(AI$37)-$G93)&lt;0,0,IF((YEAR(AI$37)-$G93)=0,$C93*$F93*$H93,$C93*(1-$F93*$H93)*(1-$F93)^((YEAR(AI$37)-$G93)-1)*$F93))))</f>
        <v/>
      </c>
      <c r="AJ93" s="175">
        <f>IF($C93="",0,IF(AND($E93&lt;&gt;"",$E93&lt;=AI$37),0,IF(OR($D93="",$D93&gt;AI$37),$C93,IF((YEAR(AI$37)-$G93)=0,$C93*(1-$F93*$H93),$C93*(1-$F93*$H93)*(1-$F93)^(YEAR(AI$37)-$G93)))))</f>
        <v/>
      </c>
      <c r="AK93" s="175">
        <f>IF(OR($C93="",$D93=""),0,IF(AND($E93&lt;&gt;"",$E93&lt;=AK$37),0,IF((YEAR(AK$37)-$G93)&lt;0,0,IF((YEAR(AK$37)-$G93)=0,$C93*$F93*$H93,$C93*(1-$F93*$H93)*(1-$F93)^((YEAR(AK$37)-$G93)-1)*$F93))))</f>
        <v/>
      </c>
      <c r="AL93" s="175">
        <f>IF($C93="",0,IF(AND($E93&lt;&gt;"",$E93&lt;=AK$37),0,IF(OR($D93="",$D93&gt;AK$37),$C93,IF((YEAR(AK$37)-$G93)=0,$C93*(1-$F93*$H93),$C93*(1-$F93*$H93)*(1-$F93)^(YEAR(AK$37)-$G93)))))</f>
        <v/>
      </c>
      <c r="AM93" s="175">
        <f>IF(OR($C93="",$D93=""),0,IF(AND($E93&lt;&gt;"",$E93&lt;=AM$37),0,IF((YEAR(AM$37)-$G93)&lt;0,0,IF((YEAR(AM$37)-$G93)=0,$C93*$F93*$H93,$C93*(1-$F93*$H93)*(1-$F93)^((YEAR(AM$37)-$G93)-1)*$F93))))</f>
        <v/>
      </c>
      <c r="AN93" s="175">
        <f>IF($C93="",0,IF(AND($E93&lt;&gt;"",$E93&lt;=AM$37),0,IF(OR($D93="",$D93&gt;AM$37),$C93,IF((YEAR(AM$37)-$G93)=0,$C93*(1-$F93*$H93),$C93*(1-$F93*$H93)*(1-$F93)^(YEAR(AM$37)-$G93)))))</f>
        <v/>
      </c>
    </row>
    <row r="94">
      <c r="B94" s="126">
        <f>IF(FAR!K61="","",FAR!B61)</f>
        <v/>
      </c>
      <c r="C94" s="63">
        <f>IF(FAR!K61="","",FAR!K61)</f>
        <v/>
      </c>
      <c r="D94" s="128">
        <f>IF(FAR!H61="","",FAR!H61)</f>
        <v/>
      </c>
      <c r="E94" s="130">
        <f>IF(FAR!I61="","",FAR!I61)</f>
        <v/>
      </c>
      <c r="F94" s="169">
        <f>IF(FAR!C61="",0,IFERROR(VLOOKUP(FAR!C61,ScheduleIITable,6,FALSE),0))</f>
        <v/>
      </c>
      <c r="G94" s="129">
        <f>IF($D94="","",YEAR($D94)+IF(MONTH($D94)&gt;=4,1,0))</f>
        <v/>
      </c>
      <c r="H94" s="170">
        <f>IF($D94="","",IF((DATE($G94,3,31)-$D94+1)&gt;=180,1,0.5))</f>
        <v/>
      </c>
      <c r="I94" s="171">
        <f>IF(OR($C94="",$D94=""),0,IF(AND($E94&lt;&gt;"",$E94&lt;=I$37),0,IF((YEAR(I$37)-$G94)&lt;0,0,IF((YEAR(I$37)-$G94)=0,$C94*$F94*$H94,$C94*(1-$F94*$H94)*(1-$F94)^((YEAR(I$37)-$G94)-1)*$F94))))</f>
        <v/>
      </c>
      <c r="J94" s="172">
        <f>IF($C94="",0,IF(AND($E94&lt;&gt;"",$E94&lt;=I$37),0,IF(OR($D94="",$D94&gt;I$37),$C94,IF((YEAR(I$37)-$G94)=0,$C94*(1-$F94*$H94),$C94*(1-$F94*$H94)*(1-$F94)^(YEAR(I$37)-$G94)))))</f>
        <v/>
      </c>
      <c r="K94" s="171">
        <f>IF(OR($C94="",$D94=""),0,IF(AND($E94&lt;&gt;"",$E94&lt;=K$37),0,IF((YEAR(K$37)-$G94)&lt;0,0,IF((YEAR(K$37)-$G94)=0,$C94*$F94*$H94,$C94*(1-$F94*$H94)*(1-$F94)^((YEAR(K$37)-$G94)-1)*$F94))))</f>
        <v/>
      </c>
      <c r="L94" s="172">
        <f>IF($C94="",0,IF(AND($E94&lt;&gt;"",$E94&lt;=K$37),0,IF(OR($D94="",$D94&gt;K$37),$C94,IF((YEAR(K$37)-$G94)=0,$C94*(1-$F94*$H94),$C94*(1-$F94*$H94)*(1-$F94)^(YEAR(K$37)-$G94)))))</f>
        <v/>
      </c>
      <c r="M94" s="171">
        <f>IF(OR($C94="",$D94=""),0,IF(AND($E94&lt;&gt;"",$E94&lt;=M$37),0,IF((YEAR(M$37)-$G94)&lt;0,0,IF((YEAR(M$37)-$G94)=0,$C94*$F94*$H94,$C94*(1-$F94*$H94)*(1-$F94)^((YEAR(M$37)-$G94)-1)*$F94))))</f>
        <v/>
      </c>
      <c r="N94" s="172">
        <f>IF($C94="",0,IF(AND($E94&lt;&gt;"",$E94&lt;=M$37),0,IF(OR($D94="",$D94&gt;M$37),$C94,IF((YEAR(M$37)-$G94)=0,$C94*(1-$F94*$H94),$C94*(1-$F94*$H94)*(1-$F94)^(YEAR(M$37)-$G94)))))</f>
        <v/>
      </c>
      <c r="O94" s="171">
        <f>IF(OR($C94="",$D94=""),0,IF(AND($E94&lt;&gt;"",$E94&lt;=O$37),0,IF((YEAR(O$37)-$G94)&lt;0,0,IF((YEAR(O$37)-$G94)=0,$C94*$F94*$H94,$C94*(1-$F94*$H94)*(1-$F94)^((YEAR(O$37)-$G94)-1)*$F94))))</f>
        <v/>
      </c>
      <c r="P94" s="172">
        <f>IF($C94="",0,IF(AND($E94&lt;&gt;"",$E94&lt;=O$37),0,IF(OR($D94="",$D94&gt;O$37),$C94,IF((YEAR(O$37)-$G94)=0,$C94*(1-$F94*$H94),$C94*(1-$F94*$H94)*(1-$F94)^(YEAR(O$37)-$G94)))))</f>
        <v/>
      </c>
      <c r="Q94" s="171">
        <f>IF(OR($C94="",$D94=""),0,IF(AND($E94&lt;&gt;"",$E94&lt;=Q$37),0,IF((YEAR(Q$37)-$G94)&lt;0,0,IF((YEAR(Q$37)-$G94)=0,$C94*$F94*$H94,$C94*(1-$F94*$H94)*(1-$F94)^((YEAR(Q$37)-$G94)-1)*$F94))))</f>
        <v/>
      </c>
      <c r="R94" s="172">
        <f>IF($C94="",0,IF(AND($E94&lt;&gt;"",$E94&lt;=Q$37),0,IF(OR($D94="",$D94&gt;Q$37),$C94,IF((YEAR(Q$37)-$G94)=0,$C94*(1-$F94*$H94),$C94*(1-$F94*$H94)*(1-$F94)^(YEAR(Q$37)-$G94)))))</f>
        <v/>
      </c>
      <c r="S94" s="171">
        <f>IF(OR($C94="",$D94=""),0,IF(AND($E94&lt;&gt;"",$E94&lt;=S$37),0,IF((YEAR(S$37)-$G94)&lt;0,0,IF((YEAR(S$37)-$G94)=0,$C94*$F94*$H94,$C94*(1-$F94*$H94)*(1-$F94)^((YEAR(S$37)-$G94)-1)*$F94))))</f>
        <v/>
      </c>
      <c r="T94" s="172">
        <f>IF($C94="",0,IF(AND($E94&lt;&gt;"",$E94&lt;=S$37),0,IF(OR($D94="",$D94&gt;S$37),$C94,IF((YEAR(S$37)-$G94)=0,$C94*(1-$F94*$H94),$C94*(1-$F94*$H94)*(1-$F94)^(YEAR(S$37)-$G94)))))</f>
        <v/>
      </c>
      <c r="U94" s="171">
        <f>IF(OR($C94="",$D94=""),0,IF(AND($E94&lt;&gt;"",$E94&lt;=U$37),0,IF((YEAR(U$37)-$G94)&lt;0,0,IF((YEAR(U$37)-$G94)=0,$C94*$F94*$H94,$C94*(1-$F94*$H94)*(1-$F94)^((YEAR(U$37)-$G94)-1)*$F94))))</f>
        <v/>
      </c>
      <c r="V94" s="172">
        <f>IF($C94="",0,IF(AND($E94&lt;&gt;"",$E94&lt;=U$37),0,IF(OR($D94="",$D94&gt;U$37),$C94,IF((YEAR(U$37)-$G94)=0,$C94*(1-$F94*$H94),$C94*(1-$F94*$H94)*(1-$F94)^(YEAR(U$37)-$G94)))))</f>
        <v/>
      </c>
      <c r="W94" s="171">
        <f>IF(OR($C94="",$D94=""),0,IF(AND($E94&lt;&gt;"",$E94&lt;=W$37),0,IF((YEAR(W$37)-$G94)&lt;0,0,IF((YEAR(W$37)-$G94)=0,$C94*$F94*$H94,$C94*(1-$F94*$H94)*(1-$F94)^((YEAR(W$37)-$G94)-1)*$F94))))</f>
        <v/>
      </c>
      <c r="X94" s="172">
        <f>IF($C94="",0,IF(AND($E94&lt;&gt;"",$E94&lt;=W$37),0,IF(OR($D94="",$D94&gt;W$37),$C94,IF((YEAR(W$37)-$G94)=0,$C94*(1-$F94*$H94),$C94*(1-$F94*$H94)*(1-$F94)^(YEAR(W$37)-$G94)))))</f>
        <v/>
      </c>
      <c r="Y94" s="171">
        <f>IF(OR($C94="",$D94=""),0,IF(AND($E94&lt;&gt;"",$E94&lt;=Y$37),0,IF((YEAR(Y$37)-$G94)&lt;0,0,IF((YEAR(Y$37)-$G94)=0,$C94*$F94*$H94,$C94*(1-$F94*$H94)*(1-$F94)^((YEAR(Y$37)-$G94)-1)*$F94))))</f>
        <v/>
      </c>
      <c r="Z94" s="172">
        <f>IF($C94="",0,IF(AND($E94&lt;&gt;"",$E94&lt;=Y$37),0,IF(OR($D94="",$D94&gt;Y$37),$C94,IF((YEAR(Y$37)-$G94)=0,$C94*(1-$F94*$H94),$C94*(1-$F94*$H94)*(1-$F94)^(YEAR(Y$37)-$G94)))))</f>
        <v/>
      </c>
      <c r="AA94" s="171">
        <f>IF(OR($C94="",$D94=""),0,IF(AND($E94&lt;&gt;"",$E94&lt;=AA$37),0,IF((YEAR(AA$37)-$G94)&lt;0,0,IF((YEAR(AA$37)-$G94)=0,$C94*$F94*$H94,$C94*(1-$F94*$H94)*(1-$F94)^((YEAR(AA$37)-$G94)-1)*$F94))))</f>
        <v/>
      </c>
      <c r="AB94" s="172">
        <f>IF($C94="",0,IF(AND($E94&lt;&gt;"",$E94&lt;=AA$37),0,IF(OR($D94="",$D94&gt;AA$37),$C94,IF((YEAR(AA$37)-$G94)=0,$C94*(1-$F94*$H94),$C94*(1-$F94*$H94)*(1-$F94)^(YEAR(AA$37)-$G94)))))</f>
        <v/>
      </c>
      <c r="AC94" s="171">
        <f>IF(OR($C94="",$D94=""),0,IF(AND($E94&lt;&gt;"",$E94&lt;=AC$37),0,IF((YEAR(AC$37)-$G94)&lt;0,0,IF((YEAR(AC$37)-$G94)=0,$C94*$F94*$H94,$C94*(1-$F94*$H94)*(1-$F94)^((YEAR(AC$37)-$G94)-1)*$F94))))</f>
        <v/>
      </c>
      <c r="AD94" s="172">
        <f>IF($C94="",0,IF(AND($E94&lt;&gt;"",$E94&lt;=AC$37),0,IF(OR($D94="",$D94&gt;AC$37),$C94,IF((YEAR(AC$37)-$G94)=0,$C94*(1-$F94*$H94),$C94*(1-$F94*$H94)*(1-$F94)^(YEAR(AC$37)-$G94)))))</f>
        <v/>
      </c>
      <c r="AE94" s="171">
        <f>IF(OR($C94="",$D94=""),0,IF(AND($E94&lt;&gt;"",$E94&lt;=AE$37),0,IF((YEAR(AE$37)-$G94)&lt;0,0,IF((YEAR(AE$37)-$G94)=0,$C94*$F94*$H94,$C94*(1-$F94*$H94)*(1-$F94)^((YEAR(AE$37)-$G94)-1)*$F94))))</f>
        <v/>
      </c>
      <c r="AF94" s="172">
        <f>IF($C94="",0,IF(AND($E94&lt;&gt;"",$E94&lt;=AE$37),0,IF(OR($D94="",$D94&gt;AE$37),$C94,IF((YEAR(AE$37)-$G94)=0,$C94*(1-$F94*$H94),$C94*(1-$F94*$H94)*(1-$F94)^(YEAR(AE$37)-$G94)))))</f>
        <v/>
      </c>
      <c r="AG94" s="171">
        <f>IF(OR($C94="",$D94=""),0,IF(AND($E94&lt;&gt;"",$E94&lt;=AG$37),0,IF((YEAR(AG$37)-$G94)&lt;0,0,IF((YEAR(AG$37)-$G94)=0,$C94*$F94*$H94,$C94*(1-$F94*$H94)*(1-$F94)^((YEAR(AG$37)-$G94)-1)*$F94))))</f>
        <v/>
      </c>
      <c r="AH94" s="172">
        <f>IF($C94="",0,IF(AND($E94&lt;&gt;"",$E94&lt;=AG$37),0,IF(OR($D94="",$D94&gt;AG$37),$C94,IF((YEAR(AG$37)-$G94)=0,$C94*(1-$F94*$H94),$C94*(1-$F94*$H94)*(1-$F94)^(YEAR(AG$37)-$G94)))))</f>
        <v/>
      </c>
      <c r="AI94" s="171">
        <f>IF(OR($C94="",$D94=""),0,IF(AND($E94&lt;&gt;"",$E94&lt;=AI$37),0,IF((YEAR(AI$37)-$G94)&lt;0,0,IF((YEAR(AI$37)-$G94)=0,$C94*$F94*$H94,$C94*(1-$F94*$H94)*(1-$F94)^((YEAR(AI$37)-$G94)-1)*$F94))))</f>
        <v/>
      </c>
      <c r="AJ94" s="172">
        <f>IF($C94="",0,IF(AND($E94&lt;&gt;"",$E94&lt;=AI$37),0,IF(OR($D94="",$D94&gt;AI$37),$C94,IF((YEAR(AI$37)-$G94)=0,$C94*(1-$F94*$H94),$C94*(1-$F94*$H94)*(1-$F94)^(YEAR(AI$37)-$G94)))))</f>
        <v/>
      </c>
      <c r="AK94" s="171">
        <f>IF(OR($C94="",$D94=""),0,IF(AND($E94&lt;&gt;"",$E94&lt;=AK$37),0,IF((YEAR(AK$37)-$G94)&lt;0,0,IF((YEAR(AK$37)-$G94)=0,$C94*$F94*$H94,$C94*(1-$F94*$H94)*(1-$F94)^((YEAR(AK$37)-$G94)-1)*$F94))))</f>
        <v/>
      </c>
      <c r="AL94" s="172">
        <f>IF($C94="",0,IF(AND($E94&lt;&gt;"",$E94&lt;=AK$37),0,IF(OR($D94="",$D94&gt;AK$37),$C94,IF((YEAR(AK$37)-$G94)=0,$C94*(1-$F94*$H94),$C94*(1-$F94*$H94)*(1-$F94)^(YEAR(AK$37)-$G94)))))</f>
        <v/>
      </c>
      <c r="AM94" s="171">
        <f>IF(OR($C94="",$D94=""),0,IF(AND($E94&lt;&gt;"",$E94&lt;=AM$37),0,IF((YEAR(AM$37)-$G94)&lt;0,0,IF((YEAR(AM$37)-$G94)=0,$C94*$F94*$H94,$C94*(1-$F94*$H94)*(1-$F94)^((YEAR(AM$37)-$G94)-1)*$F94))))</f>
        <v/>
      </c>
      <c r="AN94" s="172">
        <f>IF($C94="",0,IF(AND($E94&lt;&gt;"",$E94&lt;=AM$37),0,IF(OR($D94="",$D94&gt;AM$37),$C94,IF((YEAR(AM$37)-$G94)=0,$C94*(1-$F94*$H94),$C94*(1-$F94*$H94)*(1-$F94)^(YEAR(AM$37)-$G94)))))</f>
        <v/>
      </c>
    </row>
    <row r="95">
      <c r="B95" s="132">
        <f>IF(FAR!K62="","",FAR!B62)</f>
        <v/>
      </c>
      <c r="C95" s="81">
        <f>IF(FAR!K62="","",FAR!K62)</f>
        <v/>
      </c>
      <c r="D95" s="134">
        <f>IF(FAR!H62="","",FAR!H62)</f>
        <v/>
      </c>
      <c r="E95" s="136">
        <f>IF(FAR!I62="","",FAR!I62)</f>
        <v/>
      </c>
      <c r="F95" s="173">
        <f>IF(FAR!C62="",0,IFERROR(VLOOKUP(FAR!C62,ScheduleIITable,6,FALSE),0))</f>
        <v/>
      </c>
      <c r="G95" s="135">
        <f>IF($D95="","",YEAR($D95)+IF(MONTH($D95)&gt;=4,1,0))</f>
        <v/>
      </c>
      <c r="H95" s="174">
        <f>IF($D95="","",IF((DATE($G95,3,31)-$D95+1)&gt;=180,1,0.5))</f>
        <v/>
      </c>
      <c r="I95" s="175">
        <f>IF(OR($C95="",$D95=""),0,IF(AND($E95&lt;&gt;"",$E95&lt;=I$37),0,IF((YEAR(I$37)-$G95)&lt;0,0,IF((YEAR(I$37)-$G95)=0,$C95*$F95*$H95,$C95*(1-$F95*$H95)*(1-$F95)^((YEAR(I$37)-$G95)-1)*$F95))))</f>
        <v/>
      </c>
      <c r="J95" s="175">
        <f>IF($C95="",0,IF(AND($E95&lt;&gt;"",$E95&lt;=I$37),0,IF(OR($D95="",$D95&gt;I$37),$C95,IF((YEAR(I$37)-$G95)=0,$C95*(1-$F95*$H95),$C95*(1-$F95*$H95)*(1-$F95)^(YEAR(I$37)-$G95)))))</f>
        <v/>
      </c>
      <c r="K95" s="175">
        <f>IF(OR($C95="",$D95=""),0,IF(AND($E95&lt;&gt;"",$E95&lt;=K$37),0,IF((YEAR(K$37)-$G95)&lt;0,0,IF((YEAR(K$37)-$G95)=0,$C95*$F95*$H95,$C95*(1-$F95*$H95)*(1-$F95)^((YEAR(K$37)-$G95)-1)*$F95))))</f>
        <v/>
      </c>
      <c r="L95" s="175">
        <f>IF($C95="",0,IF(AND($E95&lt;&gt;"",$E95&lt;=K$37),0,IF(OR($D95="",$D95&gt;K$37),$C95,IF((YEAR(K$37)-$G95)=0,$C95*(1-$F95*$H95),$C95*(1-$F95*$H95)*(1-$F95)^(YEAR(K$37)-$G95)))))</f>
        <v/>
      </c>
      <c r="M95" s="175">
        <f>IF(OR($C95="",$D95=""),0,IF(AND($E95&lt;&gt;"",$E95&lt;=M$37),0,IF((YEAR(M$37)-$G95)&lt;0,0,IF((YEAR(M$37)-$G95)=0,$C95*$F95*$H95,$C95*(1-$F95*$H95)*(1-$F95)^((YEAR(M$37)-$G95)-1)*$F95))))</f>
        <v/>
      </c>
      <c r="N95" s="175">
        <f>IF($C95="",0,IF(AND($E95&lt;&gt;"",$E95&lt;=M$37),0,IF(OR($D95="",$D95&gt;M$37),$C95,IF((YEAR(M$37)-$G95)=0,$C95*(1-$F95*$H95),$C95*(1-$F95*$H95)*(1-$F95)^(YEAR(M$37)-$G95)))))</f>
        <v/>
      </c>
      <c r="O95" s="175">
        <f>IF(OR($C95="",$D95=""),0,IF(AND($E95&lt;&gt;"",$E95&lt;=O$37),0,IF((YEAR(O$37)-$G95)&lt;0,0,IF((YEAR(O$37)-$G95)=0,$C95*$F95*$H95,$C95*(1-$F95*$H95)*(1-$F95)^((YEAR(O$37)-$G95)-1)*$F95))))</f>
        <v/>
      </c>
      <c r="P95" s="175">
        <f>IF($C95="",0,IF(AND($E95&lt;&gt;"",$E95&lt;=O$37),0,IF(OR($D95="",$D95&gt;O$37),$C95,IF((YEAR(O$37)-$G95)=0,$C95*(1-$F95*$H95),$C95*(1-$F95*$H95)*(1-$F95)^(YEAR(O$37)-$G95)))))</f>
        <v/>
      </c>
      <c r="Q95" s="175">
        <f>IF(OR($C95="",$D95=""),0,IF(AND($E95&lt;&gt;"",$E95&lt;=Q$37),0,IF((YEAR(Q$37)-$G95)&lt;0,0,IF((YEAR(Q$37)-$G95)=0,$C95*$F95*$H95,$C95*(1-$F95*$H95)*(1-$F95)^((YEAR(Q$37)-$G95)-1)*$F95))))</f>
        <v/>
      </c>
      <c r="R95" s="175">
        <f>IF($C95="",0,IF(AND($E95&lt;&gt;"",$E95&lt;=Q$37),0,IF(OR($D95="",$D95&gt;Q$37),$C95,IF((YEAR(Q$37)-$G95)=0,$C95*(1-$F95*$H95),$C95*(1-$F95*$H95)*(1-$F95)^(YEAR(Q$37)-$G95)))))</f>
        <v/>
      </c>
      <c r="S95" s="175">
        <f>IF(OR($C95="",$D95=""),0,IF(AND($E95&lt;&gt;"",$E95&lt;=S$37),0,IF((YEAR(S$37)-$G95)&lt;0,0,IF((YEAR(S$37)-$G95)=0,$C95*$F95*$H95,$C95*(1-$F95*$H95)*(1-$F95)^((YEAR(S$37)-$G95)-1)*$F95))))</f>
        <v/>
      </c>
      <c r="T95" s="175">
        <f>IF($C95="",0,IF(AND($E95&lt;&gt;"",$E95&lt;=S$37),0,IF(OR($D95="",$D95&gt;S$37),$C95,IF((YEAR(S$37)-$G95)=0,$C95*(1-$F95*$H95),$C95*(1-$F95*$H95)*(1-$F95)^(YEAR(S$37)-$G95)))))</f>
        <v/>
      </c>
      <c r="U95" s="175">
        <f>IF(OR($C95="",$D95=""),0,IF(AND($E95&lt;&gt;"",$E95&lt;=U$37),0,IF((YEAR(U$37)-$G95)&lt;0,0,IF((YEAR(U$37)-$G95)=0,$C95*$F95*$H95,$C95*(1-$F95*$H95)*(1-$F95)^((YEAR(U$37)-$G95)-1)*$F95))))</f>
        <v/>
      </c>
      <c r="V95" s="175">
        <f>IF($C95="",0,IF(AND($E95&lt;&gt;"",$E95&lt;=U$37),0,IF(OR($D95="",$D95&gt;U$37),$C95,IF((YEAR(U$37)-$G95)=0,$C95*(1-$F95*$H95),$C95*(1-$F95*$H95)*(1-$F95)^(YEAR(U$37)-$G95)))))</f>
        <v/>
      </c>
      <c r="W95" s="175">
        <f>IF(OR($C95="",$D95=""),0,IF(AND($E95&lt;&gt;"",$E95&lt;=W$37),0,IF((YEAR(W$37)-$G95)&lt;0,0,IF((YEAR(W$37)-$G95)=0,$C95*$F95*$H95,$C95*(1-$F95*$H95)*(1-$F95)^((YEAR(W$37)-$G95)-1)*$F95))))</f>
        <v/>
      </c>
      <c r="X95" s="175">
        <f>IF($C95="",0,IF(AND($E95&lt;&gt;"",$E95&lt;=W$37),0,IF(OR($D95="",$D95&gt;W$37),$C95,IF((YEAR(W$37)-$G95)=0,$C95*(1-$F95*$H95),$C95*(1-$F95*$H95)*(1-$F95)^(YEAR(W$37)-$G95)))))</f>
        <v/>
      </c>
      <c r="Y95" s="175">
        <f>IF(OR($C95="",$D95=""),0,IF(AND($E95&lt;&gt;"",$E95&lt;=Y$37),0,IF((YEAR(Y$37)-$G95)&lt;0,0,IF((YEAR(Y$37)-$G95)=0,$C95*$F95*$H95,$C95*(1-$F95*$H95)*(1-$F95)^((YEAR(Y$37)-$G95)-1)*$F95))))</f>
        <v/>
      </c>
      <c r="Z95" s="175">
        <f>IF($C95="",0,IF(AND($E95&lt;&gt;"",$E95&lt;=Y$37),0,IF(OR($D95="",$D95&gt;Y$37),$C95,IF((YEAR(Y$37)-$G95)=0,$C95*(1-$F95*$H95),$C95*(1-$F95*$H95)*(1-$F95)^(YEAR(Y$37)-$G95)))))</f>
        <v/>
      </c>
      <c r="AA95" s="175">
        <f>IF(OR($C95="",$D95=""),0,IF(AND($E95&lt;&gt;"",$E95&lt;=AA$37),0,IF((YEAR(AA$37)-$G95)&lt;0,0,IF((YEAR(AA$37)-$G95)=0,$C95*$F95*$H95,$C95*(1-$F95*$H95)*(1-$F95)^((YEAR(AA$37)-$G95)-1)*$F95))))</f>
        <v/>
      </c>
      <c r="AB95" s="175">
        <f>IF($C95="",0,IF(AND($E95&lt;&gt;"",$E95&lt;=AA$37),0,IF(OR($D95="",$D95&gt;AA$37),$C95,IF((YEAR(AA$37)-$G95)=0,$C95*(1-$F95*$H95),$C95*(1-$F95*$H95)*(1-$F95)^(YEAR(AA$37)-$G95)))))</f>
        <v/>
      </c>
      <c r="AC95" s="175">
        <f>IF(OR($C95="",$D95=""),0,IF(AND($E95&lt;&gt;"",$E95&lt;=AC$37),0,IF((YEAR(AC$37)-$G95)&lt;0,0,IF((YEAR(AC$37)-$G95)=0,$C95*$F95*$H95,$C95*(1-$F95*$H95)*(1-$F95)^((YEAR(AC$37)-$G95)-1)*$F95))))</f>
        <v/>
      </c>
      <c r="AD95" s="175">
        <f>IF($C95="",0,IF(AND($E95&lt;&gt;"",$E95&lt;=AC$37),0,IF(OR($D95="",$D95&gt;AC$37),$C95,IF((YEAR(AC$37)-$G95)=0,$C95*(1-$F95*$H95),$C95*(1-$F95*$H95)*(1-$F95)^(YEAR(AC$37)-$G95)))))</f>
        <v/>
      </c>
      <c r="AE95" s="175">
        <f>IF(OR($C95="",$D95=""),0,IF(AND($E95&lt;&gt;"",$E95&lt;=AE$37),0,IF((YEAR(AE$37)-$G95)&lt;0,0,IF((YEAR(AE$37)-$G95)=0,$C95*$F95*$H95,$C95*(1-$F95*$H95)*(1-$F95)^((YEAR(AE$37)-$G95)-1)*$F95))))</f>
        <v/>
      </c>
      <c r="AF95" s="175">
        <f>IF($C95="",0,IF(AND($E95&lt;&gt;"",$E95&lt;=AE$37),0,IF(OR($D95="",$D95&gt;AE$37),$C95,IF((YEAR(AE$37)-$G95)=0,$C95*(1-$F95*$H95),$C95*(1-$F95*$H95)*(1-$F95)^(YEAR(AE$37)-$G95)))))</f>
        <v/>
      </c>
      <c r="AG95" s="175">
        <f>IF(OR($C95="",$D95=""),0,IF(AND($E95&lt;&gt;"",$E95&lt;=AG$37),0,IF((YEAR(AG$37)-$G95)&lt;0,0,IF((YEAR(AG$37)-$G95)=0,$C95*$F95*$H95,$C95*(1-$F95*$H95)*(1-$F95)^((YEAR(AG$37)-$G95)-1)*$F95))))</f>
        <v/>
      </c>
      <c r="AH95" s="175">
        <f>IF($C95="",0,IF(AND($E95&lt;&gt;"",$E95&lt;=AG$37),0,IF(OR($D95="",$D95&gt;AG$37),$C95,IF((YEAR(AG$37)-$G95)=0,$C95*(1-$F95*$H95),$C95*(1-$F95*$H95)*(1-$F95)^(YEAR(AG$37)-$G95)))))</f>
        <v/>
      </c>
      <c r="AI95" s="175">
        <f>IF(OR($C95="",$D95=""),0,IF(AND($E95&lt;&gt;"",$E95&lt;=AI$37),0,IF((YEAR(AI$37)-$G95)&lt;0,0,IF((YEAR(AI$37)-$G95)=0,$C95*$F95*$H95,$C95*(1-$F95*$H95)*(1-$F95)^((YEAR(AI$37)-$G95)-1)*$F95))))</f>
        <v/>
      </c>
      <c r="AJ95" s="175">
        <f>IF($C95="",0,IF(AND($E95&lt;&gt;"",$E95&lt;=AI$37),0,IF(OR($D95="",$D95&gt;AI$37),$C95,IF((YEAR(AI$37)-$G95)=0,$C95*(1-$F95*$H95),$C95*(1-$F95*$H95)*(1-$F95)^(YEAR(AI$37)-$G95)))))</f>
        <v/>
      </c>
      <c r="AK95" s="175">
        <f>IF(OR($C95="",$D95=""),0,IF(AND($E95&lt;&gt;"",$E95&lt;=AK$37),0,IF((YEAR(AK$37)-$G95)&lt;0,0,IF((YEAR(AK$37)-$G95)=0,$C95*$F95*$H95,$C95*(1-$F95*$H95)*(1-$F95)^((YEAR(AK$37)-$G95)-1)*$F95))))</f>
        <v/>
      </c>
      <c r="AL95" s="175">
        <f>IF($C95="",0,IF(AND($E95&lt;&gt;"",$E95&lt;=AK$37),0,IF(OR($D95="",$D95&gt;AK$37),$C95,IF((YEAR(AK$37)-$G95)=0,$C95*(1-$F95*$H95),$C95*(1-$F95*$H95)*(1-$F95)^(YEAR(AK$37)-$G95)))))</f>
        <v/>
      </c>
      <c r="AM95" s="175">
        <f>IF(OR($C95="",$D95=""),0,IF(AND($E95&lt;&gt;"",$E95&lt;=AM$37),0,IF((YEAR(AM$37)-$G95)&lt;0,0,IF((YEAR(AM$37)-$G95)=0,$C95*$F95*$H95,$C95*(1-$F95*$H95)*(1-$F95)^((YEAR(AM$37)-$G95)-1)*$F95))))</f>
        <v/>
      </c>
      <c r="AN95" s="175">
        <f>IF($C95="",0,IF(AND($E95&lt;&gt;"",$E95&lt;=AM$37),0,IF(OR($D95="",$D95&gt;AM$37),$C95,IF((YEAR(AM$37)-$G95)=0,$C95*(1-$F95*$H95),$C95*(1-$F95*$H95)*(1-$F95)^(YEAR(AM$37)-$G95)))))</f>
        <v/>
      </c>
    </row>
    <row r="96">
      <c r="B96" s="126">
        <f>IF(FAR!K63="","",FAR!B63)</f>
        <v/>
      </c>
      <c r="C96" s="63">
        <f>IF(FAR!K63="","",FAR!K63)</f>
        <v/>
      </c>
      <c r="D96" s="128">
        <f>IF(FAR!H63="","",FAR!H63)</f>
        <v/>
      </c>
      <c r="E96" s="130">
        <f>IF(FAR!I63="","",FAR!I63)</f>
        <v/>
      </c>
      <c r="F96" s="169">
        <f>IF(FAR!C63="",0,IFERROR(VLOOKUP(FAR!C63,ScheduleIITable,6,FALSE),0))</f>
        <v/>
      </c>
      <c r="G96" s="129">
        <f>IF($D96="","",YEAR($D96)+IF(MONTH($D96)&gt;=4,1,0))</f>
        <v/>
      </c>
      <c r="H96" s="170">
        <f>IF($D96="","",IF((DATE($G96,3,31)-$D96+1)&gt;=180,1,0.5))</f>
        <v/>
      </c>
      <c r="I96" s="171">
        <f>IF(OR($C96="",$D96=""),0,IF(AND($E96&lt;&gt;"",$E96&lt;=I$37),0,IF((YEAR(I$37)-$G96)&lt;0,0,IF((YEAR(I$37)-$G96)=0,$C96*$F96*$H96,$C96*(1-$F96*$H96)*(1-$F96)^((YEAR(I$37)-$G96)-1)*$F96))))</f>
        <v/>
      </c>
      <c r="J96" s="172">
        <f>IF($C96="",0,IF(AND($E96&lt;&gt;"",$E96&lt;=I$37),0,IF(OR($D96="",$D96&gt;I$37),$C96,IF((YEAR(I$37)-$G96)=0,$C96*(1-$F96*$H96),$C96*(1-$F96*$H96)*(1-$F96)^(YEAR(I$37)-$G96)))))</f>
        <v/>
      </c>
      <c r="K96" s="171">
        <f>IF(OR($C96="",$D96=""),0,IF(AND($E96&lt;&gt;"",$E96&lt;=K$37),0,IF((YEAR(K$37)-$G96)&lt;0,0,IF((YEAR(K$37)-$G96)=0,$C96*$F96*$H96,$C96*(1-$F96*$H96)*(1-$F96)^((YEAR(K$37)-$G96)-1)*$F96))))</f>
        <v/>
      </c>
      <c r="L96" s="172">
        <f>IF($C96="",0,IF(AND($E96&lt;&gt;"",$E96&lt;=K$37),0,IF(OR($D96="",$D96&gt;K$37),$C96,IF((YEAR(K$37)-$G96)=0,$C96*(1-$F96*$H96),$C96*(1-$F96*$H96)*(1-$F96)^(YEAR(K$37)-$G96)))))</f>
        <v/>
      </c>
      <c r="M96" s="171">
        <f>IF(OR($C96="",$D96=""),0,IF(AND($E96&lt;&gt;"",$E96&lt;=M$37),0,IF((YEAR(M$37)-$G96)&lt;0,0,IF((YEAR(M$37)-$G96)=0,$C96*$F96*$H96,$C96*(1-$F96*$H96)*(1-$F96)^((YEAR(M$37)-$G96)-1)*$F96))))</f>
        <v/>
      </c>
      <c r="N96" s="172">
        <f>IF($C96="",0,IF(AND($E96&lt;&gt;"",$E96&lt;=M$37),0,IF(OR($D96="",$D96&gt;M$37),$C96,IF((YEAR(M$37)-$G96)=0,$C96*(1-$F96*$H96),$C96*(1-$F96*$H96)*(1-$F96)^(YEAR(M$37)-$G96)))))</f>
        <v/>
      </c>
      <c r="O96" s="171">
        <f>IF(OR($C96="",$D96=""),0,IF(AND($E96&lt;&gt;"",$E96&lt;=O$37),0,IF((YEAR(O$37)-$G96)&lt;0,0,IF((YEAR(O$37)-$G96)=0,$C96*$F96*$H96,$C96*(1-$F96*$H96)*(1-$F96)^((YEAR(O$37)-$G96)-1)*$F96))))</f>
        <v/>
      </c>
      <c r="P96" s="172">
        <f>IF($C96="",0,IF(AND($E96&lt;&gt;"",$E96&lt;=O$37),0,IF(OR($D96="",$D96&gt;O$37),$C96,IF((YEAR(O$37)-$G96)=0,$C96*(1-$F96*$H96),$C96*(1-$F96*$H96)*(1-$F96)^(YEAR(O$37)-$G96)))))</f>
        <v/>
      </c>
      <c r="Q96" s="171">
        <f>IF(OR($C96="",$D96=""),0,IF(AND($E96&lt;&gt;"",$E96&lt;=Q$37),0,IF((YEAR(Q$37)-$G96)&lt;0,0,IF((YEAR(Q$37)-$G96)=0,$C96*$F96*$H96,$C96*(1-$F96*$H96)*(1-$F96)^((YEAR(Q$37)-$G96)-1)*$F96))))</f>
        <v/>
      </c>
      <c r="R96" s="172">
        <f>IF($C96="",0,IF(AND($E96&lt;&gt;"",$E96&lt;=Q$37),0,IF(OR($D96="",$D96&gt;Q$37),$C96,IF((YEAR(Q$37)-$G96)=0,$C96*(1-$F96*$H96),$C96*(1-$F96*$H96)*(1-$F96)^(YEAR(Q$37)-$G96)))))</f>
        <v/>
      </c>
      <c r="S96" s="171">
        <f>IF(OR($C96="",$D96=""),0,IF(AND($E96&lt;&gt;"",$E96&lt;=S$37),0,IF((YEAR(S$37)-$G96)&lt;0,0,IF((YEAR(S$37)-$G96)=0,$C96*$F96*$H96,$C96*(1-$F96*$H96)*(1-$F96)^((YEAR(S$37)-$G96)-1)*$F96))))</f>
        <v/>
      </c>
      <c r="T96" s="172">
        <f>IF($C96="",0,IF(AND($E96&lt;&gt;"",$E96&lt;=S$37),0,IF(OR($D96="",$D96&gt;S$37),$C96,IF((YEAR(S$37)-$G96)=0,$C96*(1-$F96*$H96),$C96*(1-$F96*$H96)*(1-$F96)^(YEAR(S$37)-$G96)))))</f>
        <v/>
      </c>
      <c r="U96" s="171">
        <f>IF(OR($C96="",$D96=""),0,IF(AND($E96&lt;&gt;"",$E96&lt;=U$37),0,IF((YEAR(U$37)-$G96)&lt;0,0,IF((YEAR(U$37)-$G96)=0,$C96*$F96*$H96,$C96*(1-$F96*$H96)*(1-$F96)^((YEAR(U$37)-$G96)-1)*$F96))))</f>
        <v/>
      </c>
      <c r="V96" s="172">
        <f>IF($C96="",0,IF(AND($E96&lt;&gt;"",$E96&lt;=U$37),0,IF(OR($D96="",$D96&gt;U$37),$C96,IF((YEAR(U$37)-$G96)=0,$C96*(1-$F96*$H96),$C96*(1-$F96*$H96)*(1-$F96)^(YEAR(U$37)-$G96)))))</f>
        <v/>
      </c>
      <c r="W96" s="171">
        <f>IF(OR($C96="",$D96=""),0,IF(AND($E96&lt;&gt;"",$E96&lt;=W$37),0,IF((YEAR(W$37)-$G96)&lt;0,0,IF((YEAR(W$37)-$G96)=0,$C96*$F96*$H96,$C96*(1-$F96*$H96)*(1-$F96)^((YEAR(W$37)-$G96)-1)*$F96))))</f>
        <v/>
      </c>
      <c r="X96" s="172">
        <f>IF($C96="",0,IF(AND($E96&lt;&gt;"",$E96&lt;=W$37),0,IF(OR($D96="",$D96&gt;W$37),$C96,IF((YEAR(W$37)-$G96)=0,$C96*(1-$F96*$H96),$C96*(1-$F96*$H96)*(1-$F96)^(YEAR(W$37)-$G96)))))</f>
        <v/>
      </c>
      <c r="Y96" s="171">
        <f>IF(OR($C96="",$D96=""),0,IF(AND($E96&lt;&gt;"",$E96&lt;=Y$37),0,IF((YEAR(Y$37)-$G96)&lt;0,0,IF((YEAR(Y$37)-$G96)=0,$C96*$F96*$H96,$C96*(1-$F96*$H96)*(1-$F96)^((YEAR(Y$37)-$G96)-1)*$F96))))</f>
        <v/>
      </c>
      <c r="Z96" s="172">
        <f>IF($C96="",0,IF(AND($E96&lt;&gt;"",$E96&lt;=Y$37),0,IF(OR($D96="",$D96&gt;Y$37),$C96,IF((YEAR(Y$37)-$G96)=0,$C96*(1-$F96*$H96),$C96*(1-$F96*$H96)*(1-$F96)^(YEAR(Y$37)-$G96)))))</f>
        <v/>
      </c>
      <c r="AA96" s="171">
        <f>IF(OR($C96="",$D96=""),0,IF(AND($E96&lt;&gt;"",$E96&lt;=AA$37),0,IF((YEAR(AA$37)-$G96)&lt;0,0,IF((YEAR(AA$37)-$G96)=0,$C96*$F96*$H96,$C96*(1-$F96*$H96)*(1-$F96)^((YEAR(AA$37)-$G96)-1)*$F96))))</f>
        <v/>
      </c>
      <c r="AB96" s="172">
        <f>IF($C96="",0,IF(AND($E96&lt;&gt;"",$E96&lt;=AA$37),0,IF(OR($D96="",$D96&gt;AA$37),$C96,IF((YEAR(AA$37)-$G96)=0,$C96*(1-$F96*$H96),$C96*(1-$F96*$H96)*(1-$F96)^(YEAR(AA$37)-$G96)))))</f>
        <v/>
      </c>
      <c r="AC96" s="171">
        <f>IF(OR($C96="",$D96=""),0,IF(AND($E96&lt;&gt;"",$E96&lt;=AC$37),0,IF((YEAR(AC$37)-$G96)&lt;0,0,IF((YEAR(AC$37)-$G96)=0,$C96*$F96*$H96,$C96*(1-$F96*$H96)*(1-$F96)^((YEAR(AC$37)-$G96)-1)*$F96))))</f>
        <v/>
      </c>
      <c r="AD96" s="172">
        <f>IF($C96="",0,IF(AND($E96&lt;&gt;"",$E96&lt;=AC$37),0,IF(OR($D96="",$D96&gt;AC$37),$C96,IF((YEAR(AC$37)-$G96)=0,$C96*(1-$F96*$H96),$C96*(1-$F96*$H96)*(1-$F96)^(YEAR(AC$37)-$G96)))))</f>
        <v/>
      </c>
      <c r="AE96" s="171">
        <f>IF(OR($C96="",$D96=""),0,IF(AND($E96&lt;&gt;"",$E96&lt;=AE$37),0,IF((YEAR(AE$37)-$G96)&lt;0,0,IF((YEAR(AE$37)-$G96)=0,$C96*$F96*$H96,$C96*(1-$F96*$H96)*(1-$F96)^((YEAR(AE$37)-$G96)-1)*$F96))))</f>
        <v/>
      </c>
      <c r="AF96" s="172">
        <f>IF($C96="",0,IF(AND($E96&lt;&gt;"",$E96&lt;=AE$37),0,IF(OR($D96="",$D96&gt;AE$37),$C96,IF((YEAR(AE$37)-$G96)=0,$C96*(1-$F96*$H96),$C96*(1-$F96*$H96)*(1-$F96)^(YEAR(AE$37)-$G96)))))</f>
        <v/>
      </c>
      <c r="AG96" s="171">
        <f>IF(OR($C96="",$D96=""),0,IF(AND($E96&lt;&gt;"",$E96&lt;=AG$37),0,IF((YEAR(AG$37)-$G96)&lt;0,0,IF((YEAR(AG$37)-$G96)=0,$C96*$F96*$H96,$C96*(1-$F96*$H96)*(1-$F96)^((YEAR(AG$37)-$G96)-1)*$F96))))</f>
        <v/>
      </c>
      <c r="AH96" s="172">
        <f>IF($C96="",0,IF(AND($E96&lt;&gt;"",$E96&lt;=AG$37),0,IF(OR($D96="",$D96&gt;AG$37),$C96,IF((YEAR(AG$37)-$G96)=0,$C96*(1-$F96*$H96),$C96*(1-$F96*$H96)*(1-$F96)^(YEAR(AG$37)-$G96)))))</f>
        <v/>
      </c>
      <c r="AI96" s="171">
        <f>IF(OR($C96="",$D96=""),0,IF(AND($E96&lt;&gt;"",$E96&lt;=AI$37),0,IF((YEAR(AI$37)-$G96)&lt;0,0,IF((YEAR(AI$37)-$G96)=0,$C96*$F96*$H96,$C96*(1-$F96*$H96)*(1-$F96)^((YEAR(AI$37)-$G96)-1)*$F96))))</f>
        <v/>
      </c>
      <c r="AJ96" s="172">
        <f>IF($C96="",0,IF(AND($E96&lt;&gt;"",$E96&lt;=AI$37),0,IF(OR($D96="",$D96&gt;AI$37),$C96,IF((YEAR(AI$37)-$G96)=0,$C96*(1-$F96*$H96),$C96*(1-$F96*$H96)*(1-$F96)^(YEAR(AI$37)-$G96)))))</f>
        <v/>
      </c>
      <c r="AK96" s="171">
        <f>IF(OR($C96="",$D96=""),0,IF(AND($E96&lt;&gt;"",$E96&lt;=AK$37),0,IF((YEAR(AK$37)-$G96)&lt;0,0,IF((YEAR(AK$37)-$G96)=0,$C96*$F96*$H96,$C96*(1-$F96*$H96)*(1-$F96)^((YEAR(AK$37)-$G96)-1)*$F96))))</f>
        <v/>
      </c>
      <c r="AL96" s="172">
        <f>IF($C96="",0,IF(AND($E96&lt;&gt;"",$E96&lt;=AK$37),0,IF(OR($D96="",$D96&gt;AK$37),$C96,IF((YEAR(AK$37)-$G96)=0,$C96*(1-$F96*$H96),$C96*(1-$F96*$H96)*(1-$F96)^(YEAR(AK$37)-$G96)))))</f>
        <v/>
      </c>
      <c r="AM96" s="171">
        <f>IF(OR($C96="",$D96=""),0,IF(AND($E96&lt;&gt;"",$E96&lt;=AM$37),0,IF((YEAR(AM$37)-$G96)&lt;0,0,IF((YEAR(AM$37)-$G96)=0,$C96*$F96*$H96,$C96*(1-$F96*$H96)*(1-$F96)^((YEAR(AM$37)-$G96)-1)*$F96))))</f>
        <v/>
      </c>
      <c r="AN96" s="172">
        <f>IF($C96="",0,IF(AND($E96&lt;&gt;"",$E96&lt;=AM$37),0,IF(OR($D96="",$D96&gt;AM$37),$C96,IF((YEAR(AM$37)-$G96)=0,$C96*(1-$F96*$H96),$C96*(1-$F96*$H96)*(1-$F96)^(YEAR(AM$37)-$G96)))))</f>
        <v/>
      </c>
    </row>
    <row r="97">
      <c r="B97" s="132">
        <f>IF(FAR!K64="","",FAR!B64)</f>
        <v/>
      </c>
      <c r="C97" s="81">
        <f>IF(FAR!K64="","",FAR!K64)</f>
        <v/>
      </c>
      <c r="D97" s="134">
        <f>IF(FAR!H64="","",FAR!H64)</f>
        <v/>
      </c>
      <c r="E97" s="136">
        <f>IF(FAR!I64="","",FAR!I64)</f>
        <v/>
      </c>
      <c r="F97" s="173">
        <f>IF(FAR!C64="",0,IFERROR(VLOOKUP(FAR!C64,ScheduleIITable,6,FALSE),0))</f>
        <v/>
      </c>
      <c r="G97" s="135">
        <f>IF($D97="","",YEAR($D97)+IF(MONTH($D97)&gt;=4,1,0))</f>
        <v/>
      </c>
      <c r="H97" s="174">
        <f>IF($D97="","",IF((DATE($G97,3,31)-$D97+1)&gt;=180,1,0.5))</f>
        <v/>
      </c>
      <c r="I97" s="175">
        <f>IF(OR($C97="",$D97=""),0,IF(AND($E97&lt;&gt;"",$E97&lt;=I$37),0,IF((YEAR(I$37)-$G97)&lt;0,0,IF((YEAR(I$37)-$G97)=0,$C97*$F97*$H97,$C97*(1-$F97*$H97)*(1-$F97)^((YEAR(I$37)-$G97)-1)*$F97))))</f>
        <v/>
      </c>
      <c r="J97" s="175">
        <f>IF($C97="",0,IF(AND($E97&lt;&gt;"",$E97&lt;=I$37),0,IF(OR($D97="",$D97&gt;I$37),$C97,IF((YEAR(I$37)-$G97)=0,$C97*(1-$F97*$H97),$C97*(1-$F97*$H97)*(1-$F97)^(YEAR(I$37)-$G97)))))</f>
        <v/>
      </c>
      <c r="K97" s="175">
        <f>IF(OR($C97="",$D97=""),0,IF(AND($E97&lt;&gt;"",$E97&lt;=K$37),0,IF((YEAR(K$37)-$G97)&lt;0,0,IF((YEAR(K$37)-$G97)=0,$C97*$F97*$H97,$C97*(1-$F97*$H97)*(1-$F97)^((YEAR(K$37)-$G97)-1)*$F97))))</f>
        <v/>
      </c>
      <c r="L97" s="175">
        <f>IF($C97="",0,IF(AND($E97&lt;&gt;"",$E97&lt;=K$37),0,IF(OR($D97="",$D97&gt;K$37),$C97,IF((YEAR(K$37)-$G97)=0,$C97*(1-$F97*$H97),$C97*(1-$F97*$H97)*(1-$F97)^(YEAR(K$37)-$G97)))))</f>
        <v/>
      </c>
      <c r="M97" s="175">
        <f>IF(OR($C97="",$D97=""),0,IF(AND($E97&lt;&gt;"",$E97&lt;=M$37),0,IF((YEAR(M$37)-$G97)&lt;0,0,IF((YEAR(M$37)-$G97)=0,$C97*$F97*$H97,$C97*(1-$F97*$H97)*(1-$F97)^((YEAR(M$37)-$G97)-1)*$F97))))</f>
        <v/>
      </c>
      <c r="N97" s="175">
        <f>IF($C97="",0,IF(AND($E97&lt;&gt;"",$E97&lt;=M$37),0,IF(OR($D97="",$D97&gt;M$37),$C97,IF((YEAR(M$37)-$G97)=0,$C97*(1-$F97*$H97),$C97*(1-$F97*$H97)*(1-$F97)^(YEAR(M$37)-$G97)))))</f>
        <v/>
      </c>
      <c r="O97" s="175">
        <f>IF(OR($C97="",$D97=""),0,IF(AND($E97&lt;&gt;"",$E97&lt;=O$37),0,IF((YEAR(O$37)-$G97)&lt;0,0,IF((YEAR(O$37)-$G97)=0,$C97*$F97*$H97,$C97*(1-$F97*$H97)*(1-$F97)^((YEAR(O$37)-$G97)-1)*$F97))))</f>
        <v/>
      </c>
      <c r="P97" s="175">
        <f>IF($C97="",0,IF(AND($E97&lt;&gt;"",$E97&lt;=O$37),0,IF(OR($D97="",$D97&gt;O$37),$C97,IF((YEAR(O$37)-$G97)=0,$C97*(1-$F97*$H97),$C97*(1-$F97*$H97)*(1-$F97)^(YEAR(O$37)-$G97)))))</f>
        <v/>
      </c>
      <c r="Q97" s="175">
        <f>IF(OR($C97="",$D97=""),0,IF(AND($E97&lt;&gt;"",$E97&lt;=Q$37),0,IF((YEAR(Q$37)-$G97)&lt;0,0,IF((YEAR(Q$37)-$G97)=0,$C97*$F97*$H97,$C97*(1-$F97*$H97)*(1-$F97)^((YEAR(Q$37)-$G97)-1)*$F97))))</f>
        <v/>
      </c>
      <c r="R97" s="175">
        <f>IF($C97="",0,IF(AND($E97&lt;&gt;"",$E97&lt;=Q$37),0,IF(OR($D97="",$D97&gt;Q$37),$C97,IF((YEAR(Q$37)-$G97)=0,$C97*(1-$F97*$H97),$C97*(1-$F97*$H97)*(1-$F97)^(YEAR(Q$37)-$G97)))))</f>
        <v/>
      </c>
      <c r="S97" s="175">
        <f>IF(OR($C97="",$D97=""),0,IF(AND($E97&lt;&gt;"",$E97&lt;=S$37),0,IF((YEAR(S$37)-$G97)&lt;0,0,IF((YEAR(S$37)-$G97)=0,$C97*$F97*$H97,$C97*(1-$F97*$H97)*(1-$F97)^((YEAR(S$37)-$G97)-1)*$F97))))</f>
        <v/>
      </c>
      <c r="T97" s="175">
        <f>IF($C97="",0,IF(AND($E97&lt;&gt;"",$E97&lt;=S$37),0,IF(OR($D97="",$D97&gt;S$37),$C97,IF((YEAR(S$37)-$G97)=0,$C97*(1-$F97*$H97),$C97*(1-$F97*$H97)*(1-$F97)^(YEAR(S$37)-$G97)))))</f>
        <v/>
      </c>
      <c r="U97" s="175">
        <f>IF(OR($C97="",$D97=""),0,IF(AND($E97&lt;&gt;"",$E97&lt;=U$37),0,IF((YEAR(U$37)-$G97)&lt;0,0,IF((YEAR(U$37)-$G97)=0,$C97*$F97*$H97,$C97*(1-$F97*$H97)*(1-$F97)^((YEAR(U$37)-$G97)-1)*$F97))))</f>
        <v/>
      </c>
      <c r="V97" s="175">
        <f>IF($C97="",0,IF(AND($E97&lt;&gt;"",$E97&lt;=U$37),0,IF(OR($D97="",$D97&gt;U$37),$C97,IF((YEAR(U$37)-$G97)=0,$C97*(1-$F97*$H97),$C97*(1-$F97*$H97)*(1-$F97)^(YEAR(U$37)-$G97)))))</f>
        <v/>
      </c>
      <c r="W97" s="175">
        <f>IF(OR($C97="",$D97=""),0,IF(AND($E97&lt;&gt;"",$E97&lt;=W$37),0,IF((YEAR(W$37)-$G97)&lt;0,0,IF((YEAR(W$37)-$G97)=0,$C97*$F97*$H97,$C97*(1-$F97*$H97)*(1-$F97)^((YEAR(W$37)-$G97)-1)*$F97))))</f>
        <v/>
      </c>
      <c r="X97" s="175">
        <f>IF($C97="",0,IF(AND($E97&lt;&gt;"",$E97&lt;=W$37),0,IF(OR($D97="",$D97&gt;W$37),$C97,IF((YEAR(W$37)-$G97)=0,$C97*(1-$F97*$H97),$C97*(1-$F97*$H97)*(1-$F97)^(YEAR(W$37)-$G97)))))</f>
        <v/>
      </c>
      <c r="Y97" s="175">
        <f>IF(OR($C97="",$D97=""),0,IF(AND($E97&lt;&gt;"",$E97&lt;=Y$37),0,IF((YEAR(Y$37)-$G97)&lt;0,0,IF((YEAR(Y$37)-$G97)=0,$C97*$F97*$H97,$C97*(1-$F97*$H97)*(1-$F97)^((YEAR(Y$37)-$G97)-1)*$F97))))</f>
        <v/>
      </c>
      <c r="Z97" s="175">
        <f>IF($C97="",0,IF(AND($E97&lt;&gt;"",$E97&lt;=Y$37),0,IF(OR($D97="",$D97&gt;Y$37),$C97,IF((YEAR(Y$37)-$G97)=0,$C97*(1-$F97*$H97),$C97*(1-$F97*$H97)*(1-$F97)^(YEAR(Y$37)-$G97)))))</f>
        <v/>
      </c>
      <c r="AA97" s="175">
        <f>IF(OR($C97="",$D97=""),0,IF(AND($E97&lt;&gt;"",$E97&lt;=AA$37),0,IF((YEAR(AA$37)-$G97)&lt;0,0,IF((YEAR(AA$37)-$G97)=0,$C97*$F97*$H97,$C97*(1-$F97*$H97)*(1-$F97)^((YEAR(AA$37)-$G97)-1)*$F97))))</f>
        <v/>
      </c>
      <c r="AB97" s="175">
        <f>IF($C97="",0,IF(AND($E97&lt;&gt;"",$E97&lt;=AA$37),0,IF(OR($D97="",$D97&gt;AA$37),$C97,IF((YEAR(AA$37)-$G97)=0,$C97*(1-$F97*$H97),$C97*(1-$F97*$H97)*(1-$F97)^(YEAR(AA$37)-$G97)))))</f>
        <v/>
      </c>
      <c r="AC97" s="175">
        <f>IF(OR($C97="",$D97=""),0,IF(AND($E97&lt;&gt;"",$E97&lt;=AC$37),0,IF((YEAR(AC$37)-$G97)&lt;0,0,IF((YEAR(AC$37)-$G97)=0,$C97*$F97*$H97,$C97*(1-$F97*$H97)*(1-$F97)^((YEAR(AC$37)-$G97)-1)*$F97))))</f>
        <v/>
      </c>
      <c r="AD97" s="175">
        <f>IF($C97="",0,IF(AND($E97&lt;&gt;"",$E97&lt;=AC$37),0,IF(OR($D97="",$D97&gt;AC$37),$C97,IF((YEAR(AC$37)-$G97)=0,$C97*(1-$F97*$H97),$C97*(1-$F97*$H97)*(1-$F97)^(YEAR(AC$37)-$G97)))))</f>
        <v/>
      </c>
      <c r="AE97" s="175">
        <f>IF(OR($C97="",$D97=""),0,IF(AND($E97&lt;&gt;"",$E97&lt;=AE$37),0,IF((YEAR(AE$37)-$G97)&lt;0,0,IF((YEAR(AE$37)-$G97)=0,$C97*$F97*$H97,$C97*(1-$F97*$H97)*(1-$F97)^((YEAR(AE$37)-$G97)-1)*$F97))))</f>
        <v/>
      </c>
      <c r="AF97" s="175">
        <f>IF($C97="",0,IF(AND($E97&lt;&gt;"",$E97&lt;=AE$37),0,IF(OR($D97="",$D97&gt;AE$37),$C97,IF((YEAR(AE$37)-$G97)=0,$C97*(1-$F97*$H97),$C97*(1-$F97*$H97)*(1-$F97)^(YEAR(AE$37)-$G97)))))</f>
        <v/>
      </c>
      <c r="AG97" s="175">
        <f>IF(OR($C97="",$D97=""),0,IF(AND($E97&lt;&gt;"",$E97&lt;=AG$37),0,IF((YEAR(AG$37)-$G97)&lt;0,0,IF((YEAR(AG$37)-$G97)=0,$C97*$F97*$H97,$C97*(1-$F97*$H97)*(1-$F97)^((YEAR(AG$37)-$G97)-1)*$F97))))</f>
        <v/>
      </c>
      <c r="AH97" s="175">
        <f>IF($C97="",0,IF(AND($E97&lt;&gt;"",$E97&lt;=AG$37),0,IF(OR($D97="",$D97&gt;AG$37),$C97,IF((YEAR(AG$37)-$G97)=0,$C97*(1-$F97*$H97),$C97*(1-$F97*$H97)*(1-$F97)^(YEAR(AG$37)-$G97)))))</f>
        <v/>
      </c>
      <c r="AI97" s="175">
        <f>IF(OR($C97="",$D97=""),0,IF(AND($E97&lt;&gt;"",$E97&lt;=AI$37),0,IF((YEAR(AI$37)-$G97)&lt;0,0,IF((YEAR(AI$37)-$G97)=0,$C97*$F97*$H97,$C97*(1-$F97*$H97)*(1-$F97)^((YEAR(AI$37)-$G97)-1)*$F97))))</f>
        <v/>
      </c>
      <c r="AJ97" s="175">
        <f>IF($C97="",0,IF(AND($E97&lt;&gt;"",$E97&lt;=AI$37),0,IF(OR($D97="",$D97&gt;AI$37),$C97,IF((YEAR(AI$37)-$G97)=0,$C97*(1-$F97*$H97),$C97*(1-$F97*$H97)*(1-$F97)^(YEAR(AI$37)-$G97)))))</f>
        <v/>
      </c>
      <c r="AK97" s="175">
        <f>IF(OR($C97="",$D97=""),0,IF(AND($E97&lt;&gt;"",$E97&lt;=AK$37),0,IF((YEAR(AK$37)-$G97)&lt;0,0,IF((YEAR(AK$37)-$G97)=0,$C97*$F97*$H97,$C97*(1-$F97*$H97)*(1-$F97)^((YEAR(AK$37)-$G97)-1)*$F97))))</f>
        <v/>
      </c>
      <c r="AL97" s="175">
        <f>IF($C97="",0,IF(AND($E97&lt;&gt;"",$E97&lt;=AK$37),0,IF(OR($D97="",$D97&gt;AK$37),$C97,IF((YEAR(AK$37)-$G97)=0,$C97*(1-$F97*$H97),$C97*(1-$F97*$H97)*(1-$F97)^(YEAR(AK$37)-$G97)))))</f>
        <v/>
      </c>
      <c r="AM97" s="175">
        <f>IF(OR($C97="",$D97=""),0,IF(AND($E97&lt;&gt;"",$E97&lt;=AM$37),0,IF((YEAR(AM$37)-$G97)&lt;0,0,IF((YEAR(AM$37)-$G97)=0,$C97*$F97*$H97,$C97*(1-$F97*$H97)*(1-$F97)^((YEAR(AM$37)-$G97)-1)*$F97))))</f>
        <v/>
      </c>
      <c r="AN97" s="175">
        <f>IF($C97="",0,IF(AND($E97&lt;&gt;"",$E97&lt;=AM$37),0,IF(OR($D97="",$D97&gt;AM$37),$C97,IF((YEAR(AM$37)-$G97)=0,$C97*(1-$F97*$H97),$C97*(1-$F97*$H97)*(1-$F97)^(YEAR(AM$37)-$G97)))))</f>
        <v/>
      </c>
    </row>
    <row r="98">
      <c r="B98" s="40" t="inlineStr">
        <is>
          <t>TOTAL</t>
        </is>
      </c>
      <c r="C98" s="83" t="inlineStr"/>
      <c r="D98" s="83" t="inlineStr"/>
      <c r="E98" s="83" t="inlineStr"/>
      <c r="F98" s="83" t="inlineStr"/>
      <c r="G98" s="83" t="inlineStr"/>
      <c r="H98" s="83" t="inlineStr"/>
      <c r="I98" s="176">
        <f>SUM(I38:I97)</f>
        <v/>
      </c>
      <c r="J98" s="176">
        <f>SUM(J38:J97)</f>
        <v/>
      </c>
      <c r="K98" s="176">
        <f>SUM(K38:K97)</f>
        <v/>
      </c>
      <c r="L98" s="176">
        <f>SUM(L38:L97)</f>
        <v/>
      </c>
      <c r="M98" s="176">
        <f>SUM(M38:M97)</f>
        <v/>
      </c>
      <c r="N98" s="176">
        <f>SUM(N38:N97)</f>
        <v/>
      </c>
      <c r="O98" s="176">
        <f>SUM(O38:O97)</f>
        <v/>
      </c>
      <c r="P98" s="176">
        <f>SUM(P38:P97)</f>
        <v/>
      </c>
      <c r="Q98" s="176">
        <f>SUM(Q38:Q97)</f>
        <v/>
      </c>
      <c r="R98" s="176">
        <f>SUM(R38:R97)</f>
        <v/>
      </c>
      <c r="S98" s="176">
        <f>SUM(S38:S97)</f>
        <v/>
      </c>
      <c r="T98" s="176">
        <f>SUM(T38:T97)</f>
        <v/>
      </c>
      <c r="U98" s="176">
        <f>SUM(U38:U97)</f>
        <v/>
      </c>
      <c r="V98" s="176">
        <f>SUM(V38:V97)</f>
        <v/>
      </c>
      <c r="W98" s="176">
        <f>SUM(W38:W97)</f>
        <v/>
      </c>
      <c r="X98" s="176">
        <f>SUM(X38:X97)</f>
        <v/>
      </c>
      <c r="Y98" s="176">
        <f>SUM(Y38:Y97)</f>
        <v/>
      </c>
      <c r="Z98" s="176">
        <f>SUM(Z38:Z97)</f>
        <v/>
      </c>
      <c r="AA98" s="176">
        <f>SUM(AA38:AA97)</f>
        <v/>
      </c>
      <c r="AB98" s="176">
        <f>SUM(AB38:AB97)</f>
        <v/>
      </c>
      <c r="AC98" s="176">
        <f>SUM(AC38:AC97)</f>
        <v/>
      </c>
      <c r="AD98" s="176">
        <f>SUM(AD38:AD97)</f>
        <v/>
      </c>
      <c r="AE98" s="176">
        <f>SUM(AE38:AE97)</f>
        <v/>
      </c>
      <c r="AF98" s="176">
        <f>SUM(AF38:AF97)</f>
        <v/>
      </c>
      <c r="AG98" s="176">
        <f>SUM(AG38:AG97)</f>
        <v/>
      </c>
      <c r="AH98" s="176">
        <f>SUM(AH38:AH97)</f>
        <v/>
      </c>
      <c r="AI98" s="176">
        <f>SUM(AI38:AI97)</f>
        <v/>
      </c>
      <c r="AJ98" s="176">
        <f>SUM(AJ38:AJ97)</f>
        <v/>
      </c>
      <c r="AK98" s="176">
        <f>SUM(AK38:AK97)</f>
        <v/>
      </c>
      <c r="AL98" s="176">
        <f>SUM(AL38:AL97)</f>
        <v/>
      </c>
      <c r="AM98" s="176">
        <f>SUM(AM38:AM97)</f>
        <v/>
      </c>
      <c r="AN98" s="176">
        <f>SUM(AN38:AN97)</f>
        <v/>
      </c>
    </row>
    <row r="100" ht="28" customHeight="1">
      <c r="B100" s="177" t="inlineStr">
        <is>
          <t>• Deferred tax = timing difference between book (Schedule II) and tax (Section 32) depreciation × applicable tax rate (AS 22 / Ind AS 12).</t>
        </is>
      </c>
    </row>
    <row r="101" ht="42" customHeight="1">
      <c r="B101" s="177" t="inlineStr">
        <is>
          <t>• Tax depreciation here uses an asset-level WDV roll-forward at Appendix I rates (50% in the year of acquisition if used &lt; 180 days). For the formal block computation, additional depreciation and disposals/STCG, see the 'Income-Tax Dep Chart' sheet.</t>
        </is>
      </c>
    </row>
    <row r="102" ht="28" customHeight="1">
      <c r="B102" s="177" t="inlineStr">
        <is>
          <t>• Where book carrying value exceeds the tax WDV, a Deferred Tax LIABILITY arises; the reverse gives a Deferred Tax ASSET (recognise only where reasonable / virtual certainty of future taxable income exists).</t>
        </is>
      </c>
    </row>
  </sheetData>
  <mergeCells count="11">
    <mergeCell ref="B36:N36"/>
    <mergeCell ref="B101:N101"/>
    <mergeCell ref="B7:F7"/>
    <mergeCell ref="B102:N102"/>
    <mergeCell ref="B15:K15"/>
    <mergeCell ref="D13:K13"/>
    <mergeCell ref="G5:K5"/>
    <mergeCell ref="B100:N100"/>
    <mergeCell ref="B5:E5"/>
    <mergeCell ref="B2:K2"/>
    <mergeCell ref="B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2026-06-26T02:09:16Z</dcterms:created>
  <dcterms:modified xsi:type="dcterms:W3CDTF">2026-06-26T02:09:16Z</dcterms:modified>
</cp:coreProperties>
</file>