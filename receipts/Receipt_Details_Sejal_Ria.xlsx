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 Details" sheetId="1" state="visible" r:id="rId1"/>
    <sheet name="Summary" sheetId="2" state="visible" r:id="rId2"/>
    <sheet name="Notes" sheetId="3" state="visible" r:id="rId3"/>
  </sheets>
  <definedNames>
    <definedName name="_xlnm._FilterDatabase" localSheetId="0" hidden="1">'Receipt Details'!$A$4:$K$63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C00000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C"/>
      </patternFill>
    </fill>
    <fill>
      <patternFill patternType="solid">
        <fgColor rgb="00E3F2FD"/>
      </patternFill>
    </fill>
    <fill>
      <patternFill patternType="solid">
        <fgColor rgb="00FFF2CC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double"/>
      <bottom style="double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5" fillId="5" borderId="2" pivotButton="0" quotePrefix="0" xfId="0"/>
    <xf numFmtId="164" fontId="5" fillId="5" borderId="2" applyAlignment="1" pivotButton="0" quotePrefix="0" xfId="0">
      <alignment horizontal="right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1" fontId="4" fillId="0" borderId="1" applyAlignment="1" pivotButton="0" quotePrefix="0" xfId="0">
      <alignment horizontal="right"/>
    </xf>
    <xf numFmtId="0" fontId="5" fillId="0" borderId="1" pivotButton="0" quotePrefix="0" xfId="0"/>
    <xf numFmtId="164" fontId="5" fillId="5" borderId="1" applyAlignment="1" pivotButton="0" quotePrefix="0" xfId="0">
      <alignment horizontal="right"/>
    </xf>
    <xf numFmtId="1" fontId="5" fillId="5" borderId="1" applyAlignment="1" pivotButton="0" quotePrefix="0" xfId="0">
      <alignment horizontal="right"/>
    </xf>
    <xf numFmtId="0" fontId="5" fillId="0" borderId="0" pivotButton="0" quotePrefix="0" xfId="0"/>
    <xf numFmtId="164" fontId="4" fillId="3" borderId="1" pivotButton="0" quotePrefix="0" xfId="0"/>
    <xf numFmtId="164" fontId="4" fillId="4" borderId="1" pivotButton="0" quotePrefix="0" xfId="0"/>
    <xf numFmtId="164" fontId="4" fillId="0" borderId="1" pivotButton="0" quotePrefix="0" xfId="0"/>
    <xf numFmtId="164" fontId="5" fillId="0" borderId="1" pivotButton="0" quotePrefix="0" xfId="0"/>
    <xf numFmtId="0" fontId="6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0" customWidth="1" min="4" max="4"/>
    <col width="6" customWidth="1" min="5" max="5"/>
    <col width="13" customWidth="1" min="6" max="6"/>
    <col width="13" customWidth="1" min="7" max="7"/>
    <col width="22" customWidth="1" min="8" max="8"/>
    <col width="13" customWidth="1" min="9" max="9"/>
    <col width="9" customWidth="1" min="10" max="10"/>
    <col width="46" customWidth="1" min="11" max="11"/>
  </cols>
  <sheetData>
    <row r="1">
      <c r="A1" s="1" t="inlineStr">
        <is>
          <t>Ria &amp; Sejal — Birthday Party Receipt Register</t>
        </is>
      </c>
    </row>
    <row r="2">
      <c r="A2" s="2" t="inlineStr">
        <is>
          <t>Date of party: 23-08-2026 · transcribed from the handwritten register (2 pages) · all amounts in ₹</t>
        </is>
      </c>
    </row>
    <row r="4">
      <c r="A4" s="3" t="inlineStr">
        <is>
          <t>Sr. No.</t>
        </is>
      </c>
      <c r="B4" s="3" t="inlineStr">
        <is>
          <t>Name of giver</t>
        </is>
      </c>
      <c r="C4" s="3" t="inlineStr">
        <is>
          <t>Name (as written)</t>
        </is>
      </c>
      <c r="D4" s="3" t="inlineStr">
        <is>
          <t>Place / reference</t>
        </is>
      </c>
      <c r="E4" s="3" t="inlineStr">
        <is>
          <t>Page</t>
        </is>
      </c>
      <c r="F4" s="3" t="inlineStr">
        <is>
          <t>Sejal (₹)</t>
        </is>
      </c>
      <c r="G4" s="3" t="inlineStr">
        <is>
          <t>Ria (₹)</t>
        </is>
      </c>
      <c r="H4" s="3" t="inlineStr">
        <is>
          <t>Common / not specified (₹)</t>
        </is>
      </c>
      <c r="I4" s="3" t="inlineStr">
        <is>
          <t>Total (₹)</t>
        </is>
      </c>
      <c r="J4" s="3" t="inlineStr">
        <is>
          <t>Verify?</t>
        </is>
      </c>
      <c r="K4" s="3" t="inlineStr">
        <is>
          <t>Remarks</t>
        </is>
      </c>
    </row>
    <row r="5">
      <c r="A5" s="4" t="n">
        <v>1</v>
      </c>
      <c r="B5" s="5" t="inlineStr">
        <is>
          <t>Kiran Somabhai Vyas</t>
        </is>
      </c>
      <c r="C5" s="5" t="inlineStr">
        <is>
          <t>કિરણ સોમાભાઈ વ્યાસ</t>
        </is>
      </c>
      <c r="D5" s="5" t="inlineStr">
        <is>
          <t>—</t>
        </is>
      </c>
      <c r="E5" s="4" t="n">
        <v>1</v>
      </c>
      <c r="F5" s="6" t="n"/>
      <c r="G5" s="7" t="n"/>
      <c r="H5" s="8" t="n"/>
      <c r="I5" s="9">
        <f>SUM(F5:H5)</f>
        <v>0</v>
        <v/>
      </c>
      <c r="J5" s="4" t="inlineStr">
        <is>
          <t>No</t>
        </is>
      </c>
      <c r="K5" s="5" t="inlineStr">
        <is>
          <t>Casserole set given to Sejal — gift in kind, no cash amount</t>
        </is>
      </c>
    </row>
    <row r="6">
      <c r="A6" s="4" t="n">
        <v>2</v>
      </c>
      <c r="B6" s="5" t="inlineStr">
        <is>
          <t>Kishorbhai Hiralal Patel</t>
        </is>
      </c>
      <c r="C6" s="5" t="inlineStr">
        <is>
          <t>કિશોરભાઈ હીરાલાલ પટેલ</t>
        </is>
      </c>
      <c r="D6" s="5" t="inlineStr">
        <is>
          <t>Andhavas / sankada</t>
        </is>
      </c>
      <c r="E6" s="4" t="n">
        <v>1</v>
      </c>
      <c r="F6" s="6" t="n"/>
      <c r="G6" s="7" t="n">
        <v>5100</v>
      </c>
      <c r="H6" s="8" t="n"/>
      <c r="I6" s="9">
        <f>SUM(F6:H6)</f>
        <v>5100</v>
        <v/>
      </c>
      <c r="J6" s="4" t="inlineStr">
        <is>
          <t>No</t>
        </is>
      </c>
      <c r="K6" s="5" t="inlineStr">
        <is>
          <t>Marked 'રાયુ' (Ria)</t>
        </is>
      </c>
    </row>
    <row r="7">
      <c r="A7" s="4" t="n">
        <v>3</v>
      </c>
      <c r="B7" s="5" t="inlineStr">
        <is>
          <t>Jinal Prajapati</t>
        </is>
      </c>
      <c r="C7" s="5" t="inlineStr">
        <is>
          <t>જીનલ પ્રજાપતિ</t>
        </is>
      </c>
      <c r="D7" s="5" t="inlineStr">
        <is>
          <t>—</t>
        </is>
      </c>
      <c r="E7" s="4" t="n">
        <v>1</v>
      </c>
      <c r="F7" s="6" t="n">
        <v>500</v>
      </c>
      <c r="G7" s="7" t="n"/>
      <c r="H7" s="8" t="n"/>
      <c r="I7" s="9">
        <f>SUM(F7:H7)</f>
        <v>500</v>
        <v/>
      </c>
      <c r="J7" s="4" t="inlineStr">
        <is>
          <t>No</t>
        </is>
      </c>
      <c r="K7" s="5" t="inlineStr">
        <is>
          <t>Marked 'સેજલને'</t>
        </is>
      </c>
    </row>
    <row r="8">
      <c r="A8" s="4" t="n">
        <v>4</v>
      </c>
      <c r="B8" s="5" t="inlineStr">
        <is>
          <t>Aman Shah / Manasi Soni</t>
        </is>
      </c>
      <c r="C8" s="5" t="inlineStr">
        <is>
          <t>અમન શાહ, માનસી સોની</t>
        </is>
      </c>
      <c r="D8" s="5" t="inlineStr">
        <is>
          <t>—</t>
        </is>
      </c>
      <c r="E8" s="4" t="n">
        <v>1</v>
      </c>
      <c r="F8" s="6" t="n"/>
      <c r="G8" s="7" t="n"/>
      <c r="H8" s="8" t="n">
        <v>1000</v>
      </c>
      <c r="I8" s="9">
        <f>SUM(F8:H8)</f>
        <v>1000</v>
        <v/>
      </c>
      <c r="J8" s="10" t="inlineStr">
        <is>
          <t>Yes</t>
        </is>
      </c>
      <c r="K8" s="5" t="inlineStr">
        <is>
          <t>First name unclear</t>
        </is>
      </c>
    </row>
    <row r="9">
      <c r="A9" s="4" t="n">
        <v>5</v>
      </c>
      <c r="B9" s="5" t="inlineStr">
        <is>
          <t>Dhaval Mukeshbhai Jadhav</t>
        </is>
      </c>
      <c r="C9" s="5" t="inlineStr">
        <is>
          <t>ધવલ મુકેશભાઈ જાધવ</t>
        </is>
      </c>
      <c r="D9" s="5" t="inlineStr">
        <is>
          <t>40 Sugandha row, Maravad</t>
        </is>
      </c>
      <c r="E9" s="4" t="n">
        <v>1</v>
      </c>
      <c r="F9" s="6" t="n"/>
      <c r="G9" s="7" t="n"/>
      <c r="H9" s="8" t="n">
        <v>501</v>
      </c>
      <c r="I9" s="9">
        <f>SUM(F9:H9)</f>
        <v>501</v>
        <v/>
      </c>
      <c r="J9" s="10" t="inlineStr">
        <is>
          <t>Yes</t>
        </is>
      </c>
      <c r="K9" s="5" t="inlineStr"/>
    </row>
    <row r="10">
      <c r="A10" s="4" t="n">
        <v>6</v>
      </c>
      <c r="B10" s="5" t="inlineStr">
        <is>
          <t>Pravin Rajput (Kiran)</t>
        </is>
      </c>
      <c r="C10" s="5" t="inlineStr">
        <is>
          <t>પ્રવીણ રાજપૂત (કીરણ)</t>
        </is>
      </c>
      <c r="D10" s="5" t="inlineStr">
        <is>
          <t>Kirtan Kusela</t>
        </is>
      </c>
      <c r="E10" s="4" t="n">
        <v>1</v>
      </c>
      <c r="F10" s="6" t="n"/>
      <c r="G10" s="7" t="n"/>
      <c r="H10" s="8" t="n">
        <v>501</v>
      </c>
      <c r="I10" s="9">
        <f>SUM(F10:H10)</f>
        <v>501</v>
        <v/>
      </c>
      <c r="J10" s="10" t="inlineStr">
        <is>
          <t>Yes</t>
        </is>
      </c>
      <c r="K10" s="5" t="inlineStr"/>
    </row>
    <row r="11">
      <c r="A11" s="4" t="n">
        <v>7</v>
      </c>
      <c r="B11" s="5" t="inlineStr">
        <is>
          <t>Lakshmanbhai Agrawal</t>
        </is>
      </c>
      <c r="C11" s="5" t="inlineStr">
        <is>
          <t>લક્ષ્મણભાઈ અગ્રવાલ</t>
        </is>
      </c>
      <c r="D11" s="5" t="inlineStr">
        <is>
          <t>Sejal kaka</t>
        </is>
      </c>
      <c r="E11" s="4" t="n">
        <v>1</v>
      </c>
      <c r="F11" s="6" t="n"/>
      <c r="G11" s="7" t="n">
        <v>1100</v>
      </c>
      <c r="H11" s="8" t="n"/>
      <c r="I11" s="9">
        <f>SUM(F11:H11)</f>
        <v>1100</v>
        <v/>
      </c>
      <c r="J11" s="4" t="inlineStr">
        <is>
          <t>No</t>
        </is>
      </c>
      <c r="K11" s="5" t="inlineStr">
        <is>
          <t>Marked 'રાયુ'</t>
        </is>
      </c>
    </row>
    <row r="12">
      <c r="A12" s="4" t="n">
        <v>8</v>
      </c>
      <c r="B12" s="5" t="inlineStr">
        <is>
          <t>Lakshmanbhai Agrawal</t>
        </is>
      </c>
      <c r="C12" s="5" t="inlineStr">
        <is>
          <t>લક્ષ્મણભાઈ અગ્રવાલ</t>
        </is>
      </c>
      <c r="D12" s="5" t="inlineStr">
        <is>
          <t>Sejal kaka (ditto)</t>
        </is>
      </c>
      <c r="E12" s="4" t="n">
        <v>1</v>
      </c>
      <c r="F12" s="6" t="n">
        <v>1100</v>
      </c>
      <c r="G12" s="7" t="n"/>
      <c r="H12" s="8" t="n"/>
      <c r="I12" s="9">
        <f>SUM(F12:H12)</f>
        <v>1100</v>
        <v/>
      </c>
      <c r="J12" s="4" t="inlineStr">
        <is>
          <t>No</t>
        </is>
      </c>
      <c r="K12" s="5" t="inlineStr"/>
    </row>
    <row r="13">
      <c r="A13" s="4" t="n">
        <v>9</v>
      </c>
      <c r="B13" s="5" t="inlineStr">
        <is>
          <t>Flower bouquet (Kirti)</t>
        </is>
      </c>
      <c r="C13" s="5" t="inlineStr">
        <is>
          <t>ફૂલોના બુકે (કીર્તિ)</t>
        </is>
      </c>
      <c r="D13" s="5" t="inlineStr">
        <is>
          <t>—</t>
        </is>
      </c>
      <c r="E13" s="4" t="n">
        <v>1</v>
      </c>
      <c r="F13" s="6" t="n"/>
      <c r="G13" s="7" t="n">
        <v>500</v>
      </c>
      <c r="H13" s="8" t="n"/>
      <c r="I13" s="9">
        <f>SUM(F13:H13)</f>
        <v>500</v>
        <v/>
      </c>
      <c r="J13" s="4" t="inlineStr">
        <is>
          <t>No</t>
        </is>
      </c>
      <c r="K13" s="5" t="inlineStr"/>
    </row>
    <row r="14">
      <c r="A14" s="4" t="n">
        <v>10</v>
      </c>
      <c r="B14" s="5" t="inlineStr">
        <is>
          <t>Flower bouquet (Kirti)</t>
        </is>
      </c>
      <c r="C14" s="5" t="inlineStr">
        <is>
          <t>ફૂલોના બુકે (કીર્તિ)</t>
        </is>
      </c>
      <c r="D14" s="5" t="inlineStr">
        <is>
          <t>ditto</t>
        </is>
      </c>
      <c r="E14" s="4" t="n">
        <v>1</v>
      </c>
      <c r="F14" s="6" t="n">
        <v>500</v>
      </c>
      <c r="G14" s="7" t="n"/>
      <c r="H14" s="8" t="n"/>
      <c r="I14" s="9">
        <f>SUM(F14:H14)</f>
        <v>500</v>
        <v/>
      </c>
      <c r="J14" s="4" t="inlineStr">
        <is>
          <t>No</t>
        </is>
      </c>
      <c r="K14" s="5" t="inlineStr"/>
    </row>
    <row r="15">
      <c r="A15" s="4" t="n">
        <v>11</v>
      </c>
      <c r="B15" s="5" t="inlineStr">
        <is>
          <t>Ketan Dhaneshbhai Agrawal</t>
        </is>
      </c>
      <c r="C15" s="5" t="inlineStr">
        <is>
          <t>કેતન ધનેશભાઈ અગ્રવાલ</t>
        </is>
      </c>
      <c r="D15" s="5" t="inlineStr">
        <is>
          <t>Sangar kaka</t>
        </is>
      </c>
      <c r="E15" s="4" t="n">
        <v>1</v>
      </c>
      <c r="F15" s="6" t="n"/>
      <c r="G15" s="7" t="n">
        <v>1100</v>
      </c>
      <c r="H15" s="8" t="n"/>
      <c r="I15" s="9">
        <f>SUM(F15:H15)</f>
        <v>1100</v>
        <v/>
      </c>
      <c r="J15" s="4" t="inlineStr">
        <is>
          <t>No</t>
        </is>
      </c>
      <c r="K15" s="5" t="inlineStr"/>
    </row>
    <row r="16">
      <c r="A16" s="4" t="n">
        <v>12</v>
      </c>
      <c r="B16" s="5" t="inlineStr">
        <is>
          <t>Ketan Dhaneshbhai Agrawal</t>
        </is>
      </c>
      <c r="C16" s="5" t="inlineStr">
        <is>
          <t>કેતન ધનેશભાઈ અગ્રવાલ</t>
        </is>
      </c>
      <c r="D16" s="5" t="inlineStr">
        <is>
          <t>ditto</t>
        </is>
      </c>
      <c r="E16" s="4" t="n">
        <v>1</v>
      </c>
      <c r="F16" s="6" t="n">
        <v>1100</v>
      </c>
      <c r="G16" s="7" t="n"/>
      <c r="H16" s="8" t="n"/>
      <c r="I16" s="9">
        <f>SUM(F16:H16)</f>
        <v>1100</v>
        <v/>
      </c>
      <c r="J16" s="4" t="inlineStr">
        <is>
          <t>No</t>
        </is>
      </c>
      <c r="K16" s="5" t="inlineStr"/>
    </row>
    <row r="17">
      <c r="A17" s="4" t="n">
        <v>13</v>
      </c>
      <c r="B17" s="5" t="inlineStr">
        <is>
          <t>Salamsinh Agrawal</t>
        </is>
      </c>
      <c r="C17" s="5" t="inlineStr">
        <is>
          <t>સલમસિંહ અગ્રવાલ</t>
        </is>
      </c>
      <c r="D17" s="5" t="inlineStr">
        <is>
          <t>Sejal kaka</t>
        </is>
      </c>
      <c r="E17" s="4" t="n">
        <v>1</v>
      </c>
      <c r="F17" s="6" t="n"/>
      <c r="G17" s="7" t="n">
        <v>1100</v>
      </c>
      <c r="H17" s="8" t="n"/>
      <c r="I17" s="9">
        <f>SUM(F17:H17)</f>
        <v>1100</v>
        <v/>
      </c>
      <c r="J17" s="10" t="inlineStr">
        <is>
          <t>Yes</t>
        </is>
      </c>
      <c r="K17" s="5" t="inlineStr">
        <is>
          <t>Name reading uncertain</t>
        </is>
      </c>
    </row>
    <row r="18">
      <c r="A18" s="4" t="n">
        <v>14</v>
      </c>
      <c r="B18" s="5" t="inlineStr">
        <is>
          <t>Salamsinh Agrawal</t>
        </is>
      </c>
      <c r="C18" s="5" t="inlineStr">
        <is>
          <t>સલમસિંહ અગ્રવાલ</t>
        </is>
      </c>
      <c r="D18" s="5" t="inlineStr">
        <is>
          <t>ditto</t>
        </is>
      </c>
      <c r="E18" s="4" t="n">
        <v>1</v>
      </c>
      <c r="F18" s="6" t="n">
        <v>1100</v>
      </c>
      <c r="G18" s="7" t="n"/>
      <c r="H18" s="8" t="n"/>
      <c r="I18" s="9">
        <f>SUM(F18:H18)</f>
        <v>1100</v>
        <v/>
      </c>
      <c r="J18" s="10" t="inlineStr">
        <is>
          <t>Yes</t>
        </is>
      </c>
      <c r="K18" s="5" t="inlineStr"/>
    </row>
    <row r="19">
      <c r="A19" s="4" t="n">
        <v>15</v>
      </c>
      <c r="B19" s="5" t="inlineStr">
        <is>
          <t>Nilam Dhanendra Gupta</t>
        </is>
      </c>
      <c r="C19" s="5" t="inlineStr">
        <is>
          <t>નીલમ ધનેન્દ્ર ગુપ્તા</t>
        </is>
      </c>
      <c r="D19" s="5" t="inlineStr">
        <is>
          <t>—</t>
        </is>
      </c>
      <c r="E19" s="4" t="n">
        <v>1</v>
      </c>
      <c r="F19" s="6" t="n">
        <v>500</v>
      </c>
      <c r="G19" s="7" t="n">
        <v>500</v>
      </c>
      <c r="H19" s="8" t="n"/>
      <c r="I19" s="9">
        <f>SUM(F19:H19)</f>
        <v>1000</v>
        <v/>
      </c>
      <c r="J19" s="4" t="inlineStr">
        <is>
          <t>No</t>
        </is>
      </c>
      <c r="K19" s="5" t="inlineStr">
        <is>
          <t>Braced in the book as 500 Sejal + 500 Ria</t>
        </is>
      </c>
    </row>
    <row r="20">
      <c r="A20" s="4" t="n">
        <v>16</v>
      </c>
      <c r="B20" s="5" t="inlineStr">
        <is>
          <t>Kadri Gaurav Agrawal</t>
        </is>
      </c>
      <c r="C20" s="5" t="inlineStr">
        <is>
          <t>કાદ્રી ગૌરવ અગ્રવાલ</t>
        </is>
      </c>
      <c r="D20" s="5" t="inlineStr">
        <is>
          <t>—</t>
        </is>
      </c>
      <c r="E20" s="4" t="n">
        <v>1</v>
      </c>
      <c r="F20" s="6" t="n"/>
      <c r="G20" s="7" t="n"/>
      <c r="H20" s="8" t="n">
        <v>500</v>
      </c>
      <c r="I20" s="9">
        <f>SUM(F20:H20)</f>
        <v>500</v>
        <v/>
      </c>
      <c r="J20" s="10" t="inlineStr">
        <is>
          <t>Yes</t>
        </is>
      </c>
      <c r="K20" s="5" t="inlineStr">
        <is>
          <t>No child named against this entry</t>
        </is>
      </c>
    </row>
    <row r="21">
      <c r="A21" s="4" t="n">
        <v>17</v>
      </c>
      <c r="B21" s="5" t="inlineStr">
        <is>
          <t>Ravi Shubhamkumar Agrawal</t>
        </is>
      </c>
      <c r="C21" s="5" t="inlineStr">
        <is>
          <t>રવિ શુભમકુમાર અગ્રવાલ</t>
        </is>
      </c>
      <c r="D21" s="5" t="inlineStr">
        <is>
          <t>—</t>
        </is>
      </c>
      <c r="E21" s="4" t="n">
        <v>1</v>
      </c>
      <c r="F21" s="6" t="n">
        <v>500</v>
      </c>
      <c r="G21" s="7" t="n"/>
      <c r="H21" s="8" t="n"/>
      <c r="I21" s="9">
        <f>SUM(F21:H21)</f>
        <v>500</v>
        <v/>
      </c>
      <c r="J21" s="4" t="inlineStr">
        <is>
          <t>No</t>
        </is>
      </c>
      <c r="K21" s="5" t="inlineStr"/>
    </row>
    <row r="22">
      <c r="A22" s="4" t="n">
        <v>18</v>
      </c>
      <c r="B22" s="5" t="inlineStr">
        <is>
          <t>Neha Shubhamkumar Agrawal</t>
        </is>
      </c>
      <c r="C22" s="5" t="inlineStr">
        <is>
          <t>નેહા શુભમકુમાર અગ્રવાલ</t>
        </is>
      </c>
      <c r="D22" s="5" t="inlineStr">
        <is>
          <t>ditto</t>
        </is>
      </c>
      <c r="E22" s="4" t="n">
        <v>1</v>
      </c>
      <c r="F22" s="6" t="n"/>
      <c r="G22" s="7" t="n">
        <v>500</v>
      </c>
      <c r="H22" s="8" t="n"/>
      <c r="I22" s="9">
        <f>SUM(F22:H22)</f>
        <v>500</v>
        <v/>
      </c>
      <c r="J22" s="4" t="inlineStr">
        <is>
          <t>No</t>
        </is>
      </c>
      <c r="K22" s="5" t="inlineStr"/>
    </row>
    <row r="23">
      <c r="A23" s="4" t="n">
        <v>19</v>
      </c>
      <c r="B23" s="5" t="inlineStr">
        <is>
          <t>Niya Pritesh Agrawal</t>
        </is>
      </c>
      <c r="C23" s="5" t="inlineStr">
        <is>
          <t>નીયા પ્રીતેશ અગ્રવાલ</t>
        </is>
      </c>
      <c r="D23" s="5" t="inlineStr">
        <is>
          <t>—</t>
        </is>
      </c>
      <c r="E23" s="4" t="n">
        <v>1</v>
      </c>
      <c r="F23" s="6" t="n">
        <v>500</v>
      </c>
      <c r="G23" s="7" t="n"/>
      <c r="H23" s="8" t="n"/>
      <c r="I23" s="9">
        <f>SUM(F23:H23)</f>
        <v>500</v>
        <v/>
      </c>
      <c r="J23" s="4" t="inlineStr">
        <is>
          <t>No</t>
        </is>
      </c>
      <c r="K23" s="5" t="inlineStr"/>
    </row>
    <row r="24">
      <c r="A24" s="4" t="n">
        <v>20</v>
      </c>
      <c r="B24" s="5" t="inlineStr">
        <is>
          <t>Niya Pritesh Agrawal</t>
        </is>
      </c>
      <c r="C24" s="5" t="inlineStr">
        <is>
          <t>નીયા પ્રીતેશ અગ્રવાલ</t>
        </is>
      </c>
      <c r="D24" s="5" t="inlineStr">
        <is>
          <t>ditto</t>
        </is>
      </c>
      <c r="E24" s="4" t="n">
        <v>1</v>
      </c>
      <c r="F24" s="6" t="n"/>
      <c r="G24" s="7" t="n">
        <v>500</v>
      </c>
      <c r="H24" s="8" t="n"/>
      <c r="I24" s="9">
        <f>SUM(F24:H24)</f>
        <v>500</v>
        <v/>
      </c>
      <c r="J24" s="4" t="inlineStr">
        <is>
          <t>No</t>
        </is>
      </c>
      <c r="K24" s="5" t="inlineStr"/>
    </row>
    <row r="25">
      <c r="A25" s="4" t="n">
        <v>21</v>
      </c>
      <c r="B25" s="5" t="inlineStr">
        <is>
          <t>Keyur Agrawal</t>
        </is>
      </c>
      <c r="C25" s="5" t="inlineStr">
        <is>
          <t>કેયૂર અગ્રવાલ</t>
        </is>
      </c>
      <c r="D25" s="5" t="inlineStr">
        <is>
          <t>—</t>
        </is>
      </c>
      <c r="E25" s="4" t="n">
        <v>1</v>
      </c>
      <c r="F25" s="6" t="n">
        <v>1100</v>
      </c>
      <c r="G25" s="7" t="n"/>
      <c r="H25" s="8" t="n"/>
      <c r="I25" s="9">
        <f>SUM(F25:H25)</f>
        <v>1100</v>
        <v/>
      </c>
      <c r="J25" s="4" t="inlineStr">
        <is>
          <t>No</t>
        </is>
      </c>
      <c r="K25" s="5" t="inlineStr"/>
    </row>
    <row r="26">
      <c r="A26" s="4" t="n">
        <v>22</v>
      </c>
      <c r="B26" s="5" t="inlineStr">
        <is>
          <t>Keyur Agrawal</t>
        </is>
      </c>
      <c r="C26" s="5" t="inlineStr">
        <is>
          <t>કેયૂર અગ્રવાલ</t>
        </is>
      </c>
      <c r="D26" s="5" t="inlineStr">
        <is>
          <t>ditto</t>
        </is>
      </c>
      <c r="E26" s="4" t="n">
        <v>1</v>
      </c>
      <c r="F26" s="6" t="n"/>
      <c r="G26" s="7" t="n">
        <v>1100</v>
      </c>
      <c r="H26" s="8" t="n"/>
      <c r="I26" s="9">
        <f>SUM(F26:H26)</f>
        <v>1100</v>
        <v/>
      </c>
      <c r="J26" s="4" t="inlineStr">
        <is>
          <t>No</t>
        </is>
      </c>
      <c r="K26" s="5" t="inlineStr"/>
    </row>
    <row r="27">
      <c r="A27" s="4" t="n">
        <v>23</v>
      </c>
      <c r="B27" s="5" t="inlineStr">
        <is>
          <t>Shakeshbhai Agrawal</t>
        </is>
      </c>
      <c r="C27" s="5" t="inlineStr">
        <is>
          <t>શાકેશભાઈ અગ્રવાલ</t>
        </is>
      </c>
      <c r="D27" s="5" t="inlineStr">
        <is>
          <t>Anjali nayapa</t>
        </is>
      </c>
      <c r="E27" s="4" t="n">
        <v>1</v>
      </c>
      <c r="F27" s="6" t="n"/>
      <c r="G27" s="7" t="n"/>
      <c r="H27" s="8" t="n">
        <v>701</v>
      </c>
      <c r="I27" s="9">
        <f>SUM(F27:H27)</f>
        <v>701</v>
        <v/>
      </c>
      <c r="J27" s="10" t="inlineStr">
        <is>
          <t>Yes</t>
        </is>
      </c>
      <c r="K27" s="5" t="inlineStr"/>
    </row>
    <row r="28">
      <c r="A28" s="4" t="n">
        <v>24</v>
      </c>
      <c r="B28" s="5" t="inlineStr">
        <is>
          <t>Rahul Kanjibhai Patel</t>
        </is>
      </c>
      <c r="C28" s="5" t="inlineStr">
        <is>
          <t>રાહુલ કાનજીભાઈ પટેલ</t>
        </is>
      </c>
      <c r="D28" s="5" t="inlineStr">
        <is>
          <t>Gam Gorasa</t>
        </is>
      </c>
      <c r="E28" s="4" t="n">
        <v>1</v>
      </c>
      <c r="F28" s="6" t="n"/>
      <c r="G28" s="7" t="n"/>
      <c r="H28" s="8" t="n">
        <v>700</v>
      </c>
      <c r="I28" s="9">
        <f>SUM(F28:H28)</f>
        <v>700</v>
        <v/>
      </c>
      <c r="J28" s="10" t="inlineStr">
        <is>
          <t>Yes</t>
        </is>
      </c>
      <c r="K28" s="5" t="inlineStr"/>
    </row>
    <row r="29">
      <c r="A29" s="4" t="n">
        <v>25</v>
      </c>
      <c r="B29" s="5" t="inlineStr">
        <is>
          <t>Somaben Vyas</t>
        </is>
      </c>
      <c r="C29" s="5" t="inlineStr">
        <is>
          <t>સોમાબેન વ્યાસ</t>
        </is>
      </c>
      <c r="D29" s="5" t="inlineStr">
        <is>
          <t>Ambalkaram</t>
        </is>
      </c>
      <c r="E29" s="4" t="n">
        <v>1</v>
      </c>
      <c r="F29" s="6" t="n"/>
      <c r="G29" s="7" t="n"/>
      <c r="H29" s="8" t="n">
        <v>500</v>
      </c>
      <c r="I29" s="9">
        <f>SUM(F29:H29)</f>
        <v>500</v>
        <v/>
      </c>
      <c r="J29" s="4" t="inlineStr">
        <is>
          <t>No</t>
        </is>
      </c>
      <c r="K29" s="5" t="inlineStr"/>
    </row>
    <row r="30">
      <c r="A30" s="4" t="n">
        <v>26</v>
      </c>
      <c r="B30" s="5" t="inlineStr">
        <is>
          <t>Nilaben Lad</t>
        </is>
      </c>
      <c r="C30" s="5" t="inlineStr">
        <is>
          <t>નીલાબેન લાડ</t>
        </is>
      </c>
      <c r="D30" s="5" t="inlineStr">
        <is>
          <t>Ambalkaram</t>
        </is>
      </c>
      <c r="E30" s="4" t="n">
        <v>1</v>
      </c>
      <c r="F30" s="6" t="n"/>
      <c r="G30" s="7" t="n"/>
      <c r="H30" s="8" t="n">
        <v>500</v>
      </c>
      <c r="I30" s="9">
        <f>SUM(F30:H30)</f>
        <v>500</v>
        <v/>
      </c>
      <c r="J30" s="4" t="inlineStr">
        <is>
          <t>No</t>
        </is>
      </c>
      <c r="K30" s="5" t="inlineStr"/>
    </row>
    <row r="31">
      <c r="A31" s="4" t="n">
        <v>27</v>
      </c>
      <c r="B31" s="5" t="inlineStr">
        <is>
          <t>Pramilaben Patel</t>
        </is>
      </c>
      <c r="C31" s="5" t="inlineStr">
        <is>
          <t>પ્રમીલાબેન પટેલ</t>
        </is>
      </c>
      <c r="D31" s="5" t="inlineStr">
        <is>
          <t>Ambalkaram</t>
        </is>
      </c>
      <c r="E31" s="4" t="n">
        <v>1</v>
      </c>
      <c r="F31" s="6" t="n"/>
      <c r="G31" s="7" t="n"/>
      <c r="H31" s="8" t="n">
        <v>500</v>
      </c>
      <c r="I31" s="9">
        <f>SUM(F31:H31)</f>
        <v>500</v>
        <v/>
      </c>
      <c r="J31" s="4" t="inlineStr">
        <is>
          <t>No</t>
        </is>
      </c>
      <c r="K31" s="5" t="inlineStr"/>
    </row>
    <row r="32">
      <c r="A32" s="4" t="n">
        <v>28</v>
      </c>
      <c r="B32" s="5" t="inlineStr">
        <is>
          <t>Unnatiben Narendrakumar Patel</t>
        </is>
      </c>
      <c r="C32" s="5" t="inlineStr">
        <is>
          <t>ઉન્નતીબેન નરેન્દ્રકુમાર પટેલ</t>
        </is>
      </c>
      <c r="D32" s="5" t="inlineStr">
        <is>
          <t>Ahmedabad</t>
        </is>
      </c>
      <c r="E32" s="4" t="n">
        <v>1</v>
      </c>
      <c r="F32" s="6" t="n"/>
      <c r="G32" s="7" t="n"/>
      <c r="H32" s="8" t="n">
        <v>500</v>
      </c>
      <c r="I32" s="9">
        <f>SUM(F32:H32)</f>
        <v>500</v>
        <v/>
      </c>
      <c r="J32" s="10" t="inlineStr">
        <is>
          <t>Yes</t>
        </is>
      </c>
      <c r="K32" s="5" t="inlineStr"/>
    </row>
    <row r="33">
      <c r="A33" s="4" t="n">
        <v>29</v>
      </c>
      <c r="B33" s="5" t="inlineStr">
        <is>
          <t>Ochhiben Paragkumar Patel</t>
        </is>
      </c>
      <c r="C33" s="5" t="inlineStr">
        <is>
          <t>ઓછીબેન પરાગકુમાર પટેલ</t>
        </is>
      </c>
      <c r="D33" s="5" t="inlineStr">
        <is>
          <t>Ahmedabad</t>
        </is>
      </c>
      <c r="E33" s="4" t="n">
        <v>2</v>
      </c>
      <c r="F33" s="6" t="n"/>
      <c r="G33" s="7" t="n"/>
      <c r="H33" s="8" t="n">
        <v>500</v>
      </c>
      <c r="I33" s="9">
        <f>SUM(F33:H33)</f>
        <v>500</v>
        <v/>
      </c>
      <c r="J33" s="10" t="inlineStr">
        <is>
          <t>Yes</t>
        </is>
      </c>
      <c r="K33" s="5" t="inlineStr"/>
    </row>
    <row r="34">
      <c r="A34" s="4" t="n">
        <v>30</v>
      </c>
      <c r="B34" s="5" t="inlineStr">
        <is>
          <t>Kaushalyaben Hudiya</t>
        </is>
      </c>
      <c r="C34" s="5" t="inlineStr">
        <is>
          <t>કૌશલ્યાબેન હુડીયા</t>
        </is>
      </c>
      <c r="D34" s="5" t="inlineStr">
        <is>
          <t>Ambalkaram</t>
        </is>
      </c>
      <c r="E34" s="4" t="n">
        <v>2</v>
      </c>
      <c r="F34" s="6" t="n"/>
      <c r="G34" s="7" t="n"/>
      <c r="H34" s="8" t="n">
        <v>500</v>
      </c>
      <c r="I34" s="9">
        <f>SUM(F34:H34)</f>
        <v>500</v>
        <v/>
      </c>
      <c r="J34" s="10" t="inlineStr">
        <is>
          <t>Yes</t>
        </is>
      </c>
      <c r="K34" s="5" t="inlineStr"/>
    </row>
    <row r="35">
      <c r="A35" s="4" t="n">
        <v>31</v>
      </c>
      <c r="B35" s="5" t="inlineStr">
        <is>
          <t>Shariben Pandya</t>
        </is>
      </c>
      <c r="C35" s="5" t="inlineStr">
        <is>
          <t>શારીબેન પંડ્યા</t>
        </is>
      </c>
      <c r="D35" s="5" t="inlineStr">
        <is>
          <t>Ambalkaram</t>
        </is>
      </c>
      <c r="E35" s="4" t="n">
        <v>2</v>
      </c>
      <c r="F35" s="6" t="n"/>
      <c r="G35" s="7" t="n"/>
      <c r="H35" s="8" t="n">
        <v>500</v>
      </c>
      <c r="I35" s="9">
        <f>SUM(F35:H35)</f>
        <v>500</v>
        <v/>
      </c>
      <c r="J35" s="10" t="inlineStr">
        <is>
          <t>Yes</t>
        </is>
      </c>
      <c r="K35" s="5" t="inlineStr"/>
    </row>
    <row r="36">
      <c r="A36" s="4" t="n">
        <v>32</v>
      </c>
      <c r="B36" s="5" t="inlineStr">
        <is>
          <t>Ushaben Joshi</t>
        </is>
      </c>
      <c r="C36" s="5" t="inlineStr">
        <is>
          <t>ઉષાબેન જોષી</t>
        </is>
      </c>
      <c r="D36" s="5" t="inlineStr">
        <is>
          <t>Ambalkaram</t>
        </is>
      </c>
      <c r="E36" s="4" t="n">
        <v>2</v>
      </c>
      <c r="F36" s="6" t="n"/>
      <c r="G36" s="7" t="n"/>
      <c r="H36" s="8" t="n">
        <v>501</v>
      </c>
      <c r="I36" s="9">
        <f>SUM(F36:H36)</f>
        <v>501</v>
        <v/>
      </c>
      <c r="J36" s="4" t="inlineStr">
        <is>
          <t>No</t>
        </is>
      </c>
      <c r="K36" s="5" t="inlineStr"/>
    </row>
    <row r="37">
      <c r="A37" s="4" t="n">
        <v>33</v>
      </c>
      <c r="B37" s="5" t="inlineStr">
        <is>
          <t>Kanjibhai Darji</t>
        </is>
      </c>
      <c r="C37" s="5" t="inlineStr">
        <is>
          <t>કાનજીભાઈ દરજી</t>
        </is>
      </c>
      <c r="D37" s="5" t="inlineStr">
        <is>
          <t>Ambalkaram</t>
        </is>
      </c>
      <c r="E37" s="4" t="n">
        <v>2</v>
      </c>
      <c r="F37" s="6" t="n"/>
      <c r="G37" s="7" t="n"/>
      <c r="H37" s="8" t="n">
        <v>501</v>
      </c>
      <c r="I37" s="9">
        <f>SUM(F37:H37)</f>
        <v>501</v>
        <v/>
      </c>
      <c r="J37" s="4" t="inlineStr">
        <is>
          <t>No</t>
        </is>
      </c>
      <c r="K37" s="5" t="inlineStr"/>
    </row>
    <row r="38">
      <c r="A38" s="4" t="n">
        <v>34</v>
      </c>
      <c r="B38" s="5" t="inlineStr">
        <is>
          <t>Ashokbhai Soni</t>
        </is>
      </c>
      <c r="C38" s="5" t="inlineStr">
        <is>
          <t>અશોકભાઈ સોની</t>
        </is>
      </c>
      <c r="D38" s="5" t="inlineStr">
        <is>
          <t>Ambalkaram</t>
        </is>
      </c>
      <c r="E38" s="4" t="n">
        <v>2</v>
      </c>
      <c r="F38" s="6" t="n"/>
      <c r="G38" s="7" t="n"/>
      <c r="H38" s="8" t="n">
        <v>500</v>
      </c>
      <c r="I38" s="9">
        <f>SUM(F38:H38)</f>
        <v>500</v>
        <v/>
      </c>
      <c r="J38" s="10" t="inlineStr">
        <is>
          <t>Yes</t>
        </is>
      </c>
      <c r="K38" s="5" t="inlineStr"/>
    </row>
    <row r="39">
      <c r="A39" s="4" t="n">
        <v>35</v>
      </c>
      <c r="B39" s="5" t="inlineStr">
        <is>
          <t>Vadekabhai Panchal</t>
        </is>
      </c>
      <c r="C39" s="5" t="inlineStr">
        <is>
          <t>વાડેકાભાઈ પંચાલ</t>
        </is>
      </c>
      <c r="D39" s="5" t="inlineStr">
        <is>
          <t>Ambalkaram</t>
        </is>
      </c>
      <c r="E39" s="4" t="n">
        <v>2</v>
      </c>
      <c r="F39" s="6" t="n"/>
      <c r="G39" s="7" t="n"/>
      <c r="H39" s="8" t="n">
        <v>500</v>
      </c>
      <c r="I39" s="9">
        <f>SUM(F39:H39)</f>
        <v>500</v>
        <v/>
      </c>
      <c r="J39" s="10" t="inlineStr">
        <is>
          <t>Yes</t>
        </is>
      </c>
      <c r="K39" s="5" t="inlineStr"/>
    </row>
    <row r="40">
      <c r="A40" s="4" t="n">
        <v>36</v>
      </c>
      <c r="B40" s="5" t="inlineStr">
        <is>
          <t>Shaileshbhai Chavda</t>
        </is>
      </c>
      <c r="C40" s="5" t="inlineStr">
        <is>
          <t>શીલેશભાઈ ચાવડા</t>
        </is>
      </c>
      <c r="D40" s="5" t="inlineStr">
        <is>
          <t>Ambalkaram</t>
        </is>
      </c>
      <c r="E40" s="4" t="n">
        <v>2</v>
      </c>
      <c r="F40" s="6" t="n"/>
      <c r="G40" s="7" t="n"/>
      <c r="H40" s="8" t="n">
        <v>500</v>
      </c>
      <c r="I40" s="9">
        <f>SUM(F40:H40)</f>
        <v>500</v>
        <v/>
      </c>
      <c r="J40" s="4" t="inlineStr">
        <is>
          <t>No</t>
        </is>
      </c>
      <c r="K40" s="5" t="inlineStr"/>
    </row>
    <row r="41">
      <c r="A41" s="4" t="n">
        <v>37</v>
      </c>
      <c r="B41" s="5" t="inlineStr">
        <is>
          <t>Nilavbhai Darji</t>
        </is>
      </c>
      <c r="C41" s="5" t="inlineStr">
        <is>
          <t>નીળવભાઈ દરજી</t>
        </is>
      </c>
      <c r="D41" s="5" t="inlineStr">
        <is>
          <t>Ambalkaram</t>
        </is>
      </c>
      <c r="E41" s="4" t="n">
        <v>2</v>
      </c>
      <c r="F41" s="6" t="n"/>
      <c r="G41" s="7" t="n"/>
      <c r="H41" s="8" t="n">
        <v>1001</v>
      </c>
      <c r="I41" s="9">
        <f>SUM(F41:H41)</f>
        <v>1001</v>
        <v/>
      </c>
      <c r="J41" s="10" t="inlineStr">
        <is>
          <t>Yes</t>
        </is>
      </c>
      <c r="K41" s="5" t="inlineStr"/>
    </row>
    <row r="42">
      <c r="A42" s="4" t="n">
        <v>38</v>
      </c>
      <c r="B42" s="5" t="inlineStr">
        <is>
          <t>Dhanvanarayan Mistri</t>
        </is>
      </c>
      <c r="C42" s="5" t="inlineStr">
        <is>
          <t>ધનવનારાયણ મીસ્ત્રી</t>
        </is>
      </c>
      <c r="D42" s="5" t="inlineStr">
        <is>
          <t>Kirtan Kumar A/1</t>
        </is>
      </c>
      <c r="E42" s="4" t="n">
        <v>2</v>
      </c>
      <c r="F42" s="6" t="n"/>
      <c r="G42" s="7" t="n">
        <v>501</v>
      </c>
      <c r="H42" s="8" t="n"/>
      <c r="I42" s="9">
        <f>SUM(F42:H42)</f>
        <v>501</v>
        <v/>
      </c>
      <c r="J42" s="4" t="inlineStr">
        <is>
          <t>No</t>
        </is>
      </c>
      <c r="K42" s="5" t="inlineStr">
        <is>
          <t>Marked 'રાયા'</t>
        </is>
      </c>
    </row>
    <row r="43">
      <c r="A43" s="4" t="n">
        <v>39</v>
      </c>
      <c r="B43" s="5" t="inlineStr">
        <is>
          <t>Ajaybhai Pancholi</t>
        </is>
      </c>
      <c r="C43" s="5" t="inlineStr">
        <is>
          <t>અજયભાઈ પંચોલી</t>
        </is>
      </c>
      <c r="D43" s="5" t="inlineStr">
        <is>
          <t>Kirtan Kumesh A/2</t>
        </is>
      </c>
      <c r="E43" s="4" t="n">
        <v>2</v>
      </c>
      <c r="F43" s="6" t="n"/>
      <c r="G43" s="7" t="n">
        <v>501</v>
      </c>
      <c r="H43" s="8" t="n"/>
      <c r="I43" s="9">
        <f>SUM(F43:H43)</f>
        <v>501</v>
        <v/>
      </c>
      <c r="J43" s="4" t="inlineStr">
        <is>
          <t>No</t>
        </is>
      </c>
      <c r="K43" s="5" t="inlineStr">
        <is>
          <t>Marked 'રાયા'</t>
        </is>
      </c>
    </row>
    <row r="44">
      <c r="A44" s="4" t="n">
        <v>40</v>
      </c>
      <c r="B44" s="5" t="inlineStr">
        <is>
          <t>Gamma Thakor Dhira</t>
        </is>
      </c>
      <c r="C44" s="5" t="inlineStr">
        <is>
          <t>ગામમા ઠાકોર ધીરા</t>
        </is>
      </c>
      <c r="D44" s="5" t="inlineStr">
        <is>
          <t>Kom Dhulabh</t>
        </is>
      </c>
      <c r="E44" s="4" t="n">
        <v>2</v>
      </c>
      <c r="F44" s="6" t="n"/>
      <c r="G44" s="7" t="n"/>
      <c r="H44" s="8" t="n">
        <v>501</v>
      </c>
      <c r="I44" s="9">
        <f>SUM(F44:H44)</f>
        <v>501</v>
        <v/>
      </c>
      <c r="J44" s="10" t="inlineStr">
        <is>
          <t>Yes</t>
        </is>
      </c>
      <c r="K44" s="5" t="inlineStr">
        <is>
          <t>A struck-out name follows in the book</t>
        </is>
      </c>
    </row>
    <row r="45">
      <c r="A45" s="4" t="n">
        <v>41</v>
      </c>
      <c r="B45" s="5" t="inlineStr">
        <is>
          <t>Raman Koli</t>
        </is>
      </c>
      <c r="C45" s="5" t="inlineStr">
        <is>
          <t>રમણ કોળી</t>
        </is>
      </c>
      <c r="D45" s="5" t="inlineStr">
        <is>
          <t>A/3 Kirtan ku. Mahesh</t>
        </is>
      </c>
      <c r="E45" s="4" t="n">
        <v>2</v>
      </c>
      <c r="F45" s="6" t="n"/>
      <c r="G45" s="7" t="n"/>
      <c r="H45" s="8" t="n">
        <v>500</v>
      </c>
      <c r="I45" s="9">
        <f>SUM(F45:H45)</f>
        <v>500</v>
        <v/>
      </c>
      <c r="J45" s="10" t="inlineStr">
        <is>
          <t>Yes</t>
        </is>
      </c>
      <c r="K45" s="5" t="inlineStr"/>
    </row>
    <row r="46">
      <c r="A46" s="4" t="n">
        <v>42</v>
      </c>
      <c r="B46" s="5" t="inlineStr">
        <is>
          <t>Sanjilaben Prajapati</t>
        </is>
      </c>
      <c r="C46" s="5" t="inlineStr">
        <is>
          <t>સંજીલાબેન પ્રજાપતિ</t>
        </is>
      </c>
      <c r="D46" s="5" t="inlineStr">
        <is>
          <t>Rayanagar</t>
        </is>
      </c>
      <c r="E46" s="4" t="n">
        <v>2</v>
      </c>
      <c r="F46" s="6" t="n"/>
      <c r="G46" s="7" t="n"/>
      <c r="H46" s="8" t="n">
        <v>501</v>
      </c>
      <c r="I46" s="9">
        <f>SUM(F46:H46)</f>
        <v>501</v>
        <v/>
      </c>
      <c r="J46" s="10" t="inlineStr">
        <is>
          <t>Yes</t>
        </is>
      </c>
      <c r="K46" s="5" t="inlineStr"/>
    </row>
    <row r="47">
      <c r="A47" s="4" t="n">
        <v>43</v>
      </c>
      <c r="B47" s="5" t="inlineStr">
        <is>
          <t>Anubhai Bhaichandbhai</t>
        </is>
      </c>
      <c r="C47" s="5" t="inlineStr">
        <is>
          <t>અનુભાઈ ભાઈચંદભાઈ</t>
        </is>
      </c>
      <c r="D47" s="5" t="inlineStr">
        <is>
          <t>Davaliphali</t>
        </is>
      </c>
      <c r="E47" s="4" t="n">
        <v>2</v>
      </c>
      <c r="F47" s="6" t="n">
        <v>1251</v>
      </c>
      <c r="G47" s="7" t="n"/>
      <c r="H47" s="8" t="n"/>
      <c r="I47" s="9">
        <f>SUM(F47:H47)</f>
        <v>1251</v>
        <v/>
      </c>
      <c r="J47" s="10" t="inlineStr">
        <is>
          <t>Yes</t>
        </is>
      </c>
      <c r="K47" s="5" t="inlineStr">
        <is>
          <t>Marked 'સેજલ'</t>
        </is>
      </c>
    </row>
    <row r="48">
      <c r="A48" s="4" t="n">
        <v>44</v>
      </c>
      <c r="B48" s="5" t="inlineStr">
        <is>
          <t>Anandkumar</t>
        </is>
      </c>
      <c r="C48" s="5" t="inlineStr">
        <is>
          <t>અનંદકુમાર</t>
        </is>
      </c>
      <c r="D48" s="5" t="inlineStr">
        <is>
          <t>—</t>
        </is>
      </c>
      <c r="E48" s="4" t="n">
        <v>2</v>
      </c>
      <c r="F48" s="6" t="n"/>
      <c r="G48" s="7" t="n"/>
      <c r="H48" s="8" t="n">
        <v>751</v>
      </c>
      <c r="I48" s="9">
        <f>SUM(F48:H48)</f>
        <v>751</v>
        <v/>
      </c>
      <c r="J48" s="10" t="inlineStr">
        <is>
          <t>Yes</t>
        </is>
      </c>
      <c r="K48" s="5" t="inlineStr">
        <is>
          <t>Name and marking both unclear</t>
        </is>
      </c>
    </row>
    <row r="49">
      <c r="A49" s="4" t="n">
        <v>45</v>
      </c>
      <c r="B49" s="5" t="inlineStr">
        <is>
          <t>Dileshbhai</t>
        </is>
      </c>
      <c r="C49" s="5" t="inlineStr">
        <is>
          <t>દિલેશભાઈ</t>
        </is>
      </c>
      <c r="D49" s="5" t="inlineStr">
        <is>
          <t>Ahmedabad</t>
        </is>
      </c>
      <c r="E49" s="4" t="n">
        <v>2</v>
      </c>
      <c r="F49" s="6" t="n"/>
      <c r="G49" s="7" t="n"/>
      <c r="H49" s="8" t="n">
        <v>1001</v>
      </c>
      <c r="I49" s="9">
        <f>SUM(F49:H49)</f>
        <v>1001</v>
        <v/>
      </c>
      <c r="J49" s="10" t="inlineStr">
        <is>
          <t>Yes</t>
        </is>
      </c>
      <c r="K49" s="5" t="inlineStr"/>
    </row>
    <row r="50">
      <c r="A50" s="4" t="n">
        <v>46</v>
      </c>
      <c r="B50" s="5" t="inlineStr">
        <is>
          <t>Divyesh Hiralal Patel</t>
        </is>
      </c>
      <c r="C50" s="5" t="inlineStr">
        <is>
          <t>દિવ્યેશ હીરાલાલ પટેલ</t>
        </is>
      </c>
      <c r="D50" s="5" t="inlineStr">
        <is>
          <t>Vivekanand Society, Ahmedabad</t>
        </is>
      </c>
      <c r="E50" s="4" t="n">
        <v>2</v>
      </c>
      <c r="F50" s="6" t="n"/>
      <c r="G50" s="7" t="n"/>
      <c r="H50" s="8" t="n">
        <v>1000</v>
      </c>
      <c r="I50" s="9">
        <f>SUM(F50:H50)</f>
        <v>1000</v>
        <v/>
      </c>
      <c r="J50" s="10" t="inlineStr">
        <is>
          <t>Yes</t>
        </is>
      </c>
      <c r="K50" s="5" t="inlineStr"/>
    </row>
    <row r="51">
      <c r="A51" s="4" t="n">
        <v>47</v>
      </c>
      <c r="B51" s="5" t="inlineStr">
        <is>
          <t>Divyesh Hiralal Patel</t>
        </is>
      </c>
      <c r="C51" s="5" t="inlineStr">
        <is>
          <t>દિવ્યેશ હીરાલાલ પટેલ</t>
        </is>
      </c>
      <c r="D51" s="5" t="inlineStr">
        <is>
          <t>ditto</t>
        </is>
      </c>
      <c r="E51" s="4" t="n">
        <v>2</v>
      </c>
      <c r="F51" s="6" t="n">
        <v>500</v>
      </c>
      <c r="G51" s="7" t="n"/>
      <c r="H51" s="8" t="n"/>
      <c r="I51" s="9">
        <f>SUM(F51:H51)</f>
        <v>500</v>
        <v/>
      </c>
      <c r="J51" s="10" t="inlineStr">
        <is>
          <t>Yes</t>
        </is>
      </c>
      <c r="K51" s="5" t="inlineStr">
        <is>
          <t>Marked 'સેજલ'</t>
        </is>
      </c>
    </row>
    <row r="52">
      <c r="A52" s="4" t="n">
        <v>48</v>
      </c>
      <c r="B52" s="5" t="inlineStr">
        <is>
          <t>Vave Ramgambhai</t>
        </is>
      </c>
      <c r="C52" s="5" t="inlineStr">
        <is>
          <t>વાવે રામગમભાઈ</t>
        </is>
      </c>
      <c r="D52" s="5" t="inlineStr">
        <is>
          <t>—</t>
        </is>
      </c>
      <c r="E52" s="4" t="n">
        <v>2</v>
      </c>
      <c r="F52" s="6" t="n"/>
      <c r="G52" s="7" t="n"/>
      <c r="H52" s="8" t="n">
        <v>501</v>
      </c>
      <c r="I52" s="9">
        <f>SUM(F52:H52)</f>
        <v>501</v>
        <v/>
      </c>
      <c r="J52" s="10" t="inlineStr">
        <is>
          <t>Yes</t>
        </is>
      </c>
      <c r="K52" s="5" t="inlineStr"/>
    </row>
    <row r="53">
      <c r="A53" s="4" t="n">
        <v>49</v>
      </c>
      <c r="B53" s="5" t="inlineStr">
        <is>
          <t>Rameshbhai Agrawal</t>
        </is>
      </c>
      <c r="C53" s="5" t="inlineStr">
        <is>
          <t>રમેશભાઈ અગ્રવાલ</t>
        </is>
      </c>
      <c r="D53" s="5" t="inlineStr">
        <is>
          <t>Agropalu</t>
        </is>
      </c>
      <c r="E53" s="4" t="n">
        <v>2</v>
      </c>
      <c r="F53" s="6" t="n">
        <v>2500</v>
      </c>
      <c r="G53" s="7" t="n"/>
      <c r="H53" s="8" t="n"/>
      <c r="I53" s="9">
        <f>SUM(F53:H53)</f>
        <v>2500</v>
        <v/>
      </c>
      <c r="J53" s="10" t="inlineStr">
        <is>
          <t>Yes</t>
        </is>
      </c>
      <c r="K53" s="5" t="inlineStr">
        <is>
          <t>Marked 'સેજલ'</t>
        </is>
      </c>
    </row>
    <row r="54">
      <c r="A54" s="4" t="n">
        <v>51</v>
      </c>
      <c r="B54" s="5" t="inlineStr">
        <is>
          <t>Kalpana Rakeshkumar Patel</t>
        </is>
      </c>
      <c r="C54" s="5" t="inlineStr">
        <is>
          <t>કલ્પના રાકેશકુમાર પટેલ</t>
        </is>
      </c>
      <c r="D54" s="5" t="inlineStr">
        <is>
          <t>Ahmedabad</t>
        </is>
      </c>
      <c r="E54" s="4" t="n">
        <v>2</v>
      </c>
      <c r="F54" s="6" t="n"/>
      <c r="G54" s="7" t="n">
        <v>2500</v>
      </c>
      <c r="H54" s="8" t="n"/>
      <c r="I54" s="9">
        <f>SUM(F54:H54)</f>
        <v>2500</v>
        <v/>
      </c>
      <c r="J54" s="10" t="inlineStr">
        <is>
          <t>Yes</t>
        </is>
      </c>
      <c r="K54" s="5" t="inlineStr">
        <is>
          <t>Marked 'રાયા'</t>
        </is>
      </c>
    </row>
    <row r="55">
      <c r="A55" s="4" t="n">
        <v>52</v>
      </c>
      <c r="B55" s="5" t="inlineStr">
        <is>
          <t>Kalpana Rakeshkumar Patel</t>
        </is>
      </c>
      <c r="C55" s="5" t="inlineStr">
        <is>
          <t>કલ્પના રાકેશકુમાર પટેલ</t>
        </is>
      </c>
      <c r="D55" s="5" t="inlineStr">
        <is>
          <t>Ahmedabad (ditto)</t>
        </is>
      </c>
      <c r="E55" s="4" t="n">
        <v>2</v>
      </c>
      <c r="F55" s="6" t="n">
        <v>1101</v>
      </c>
      <c r="G55" s="7" t="n"/>
      <c r="H55" s="8" t="n"/>
      <c r="I55" s="9">
        <f>SUM(F55:H55)</f>
        <v>1101</v>
        <v/>
      </c>
      <c r="J55" s="10" t="inlineStr">
        <is>
          <t>Yes</t>
        </is>
      </c>
      <c r="K55" s="5" t="inlineStr">
        <is>
          <t>Marked 'સેજલને'</t>
        </is>
      </c>
    </row>
    <row r="56">
      <c r="A56" s="4" t="n">
        <v>53</v>
      </c>
      <c r="B56" s="5" t="inlineStr">
        <is>
          <t>Neha Vrushang Patel</t>
        </is>
      </c>
      <c r="C56" s="5" t="inlineStr">
        <is>
          <t>નેહા વૃષંગ પટેલ</t>
        </is>
      </c>
      <c r="D56" s="5" t="inlineStr">
        <is>
          <t>—</t>
        </is>
      </c>
      <c r="E56" s="4" t="n">
        <v>2</v>
      </c>
      <c r="F56" s="6" t="n"/>
      <c r="G56" s="7" t="n">
        <v>1101</v>
      </c>
      <c r="H56" s="8" t="n"/>
      <c r="I56" s="9">
        <f>SUM(F56:H56)</f>
        <v>1101</v>
        <v/>
      </c>
      <c r="J56" s="10" t="inlineStr">
        <is>
          <t>Yes</t>
        </is>
      </c>
      <c r="K56" s="5" t="inlineStr">
        <is>
          <t>Marked 'રાયાને'</t>
        </is>
      </c>
    </row>
    <row r="57">
      <c r="A57" s="4" t="n">
        <v>54</v>
      </c>
      <c r="B57" s="5" t="inlineStr">
        <is>
          <t>Neha Vrushang Patel</t>
        </is>
      </c>
      <c r="C57" s="5" t="inlineStr">
        <is>
          <t>નેહા વૃષંગ પટેલ</t>
        </is>
      </c>
      <c r="D57" s="5" t="inlineStr">
        <is>
          <t>Ahmedabad</t>
        </is>
      </c>
      <c r="E57" s="4" t="n">
        <v>2</v>
      </c>
      <c r="F57" s="6" t="n">
        <v>701</v>
      </c>
      <c r="G57" s="7" t="n"/>
      <c r="H57" s="8" t="n"/>
      <c r="I57" s="9">
        <f>SUM(F57:H57)</f>
        <v>701</v>
        <v/>
      </c>
      <c r="J57" s="10" t="inlineStr">
        <is>
          <t>Yes</t>
        </is>
      </c>
      <c r="K57" s="5" t="inlineStr">
        <is>
          <t>Marked 'સેજલને'</t>
        </is>
      </c>
    </row>
    <row r="58">
      <c r="A58" s="4" t="n">
        <v>55</v>
      </c>
      <c r="B58" s="5" t="inlineStr">
        <is>
          <t>Neha Vrushang Patel</t>
        </is>
      </c>
      <c r="C58" s="5" t="inlineStr">
        <is>
          <t>નેહા વૃષંગ પટેલ</t>
        </is>
      </c>
      <c r="D58" s="5" t="inlineStr">
        <is>
          <t>Ahmedabad (ditto)</t>
        </is>
      </c>
      <c r="E58" s="4" t="n">
        <v>2</v>
      </c>
      <c r="F58" s="6" t="n"/>
      <c r="G58" s="7" t="n">
        <v>701</v>
      </c>
      <c r="H58" s="8" t="n"/>
      <c r="I58" s="9">
        <f>SUM(F58:H58)</f>
        <v>701</v>
        <v/>
      </c>
      <c r="J58" s="10" t="inlineStr">
        <is>
          <t>Yes</t>
        </is>
      </c>
      <c r="K58" s="5" t="inlineStr">
        <is>
          <t>Marked 'રાયાને'</t>
        </is>
      </c>
    </row>
    <row r="59">
      <c r="A59" s="4" t="n">
        <v>56</v>
      </c>
      <c r="B59" s="5" t="inlineStr">
        <is>
          <t>Jagadbhai Rajpam</t>
        </is>
      </c>
      <c r="C59" s="5" t="inlineStr">
        <is>
          <t>જગદભાઈ રાજપમ</t>
        </is>
      </c>
      <c r="D59" s="5" t="inlineStr">
        <is>
          <t>Kirtan ku. m.</t>
        </is>
      </c>
      <c r="E59" s="4" t="n">
        <v>2</v>
      </c>
      <c r="F59" s="6" t="n">
        <v>200</v>
      </c>
      <c r="G59" s="7" t="n"/>
      <c r="H59" s="8" t="n"/>
      <c r="I59" s="9">
        <f>SUM(F59:H59)</f>
        <v>200</v>
        <v/>
      </c>
      <c r="J59" s="10" t="inlineStr">
        <is>
          <t>Yes</t>
        </is>
      </c>
      <c r="K59" s="5" t="inlineStr">
        <is>
          <t>Marked 'સેજલને'</t>
        </is>
      </c>
    </row>
    <row r="60">
      <c r="A60" s="4" t="n">
        <v>57</v>
      </c>
      <c r="B60" s="5" t="inlineStr">
        <is>
          <t>Lagnanagar Kapar</t>
        </is>
      </c>
      <c r="C60" s="5" t="inlineStr">
        <is>
          <t>લગ્નનગર કપર</t>
        </is>
      </c>
      <c r="D60" s="5" t="inlineStr">
        <is>
          <t>—</t>
        </is>
      </c>
      <c r="E60" s="4" t="n">
        <v>2</v>
      </c>
      <c r="F60" s="6" t="n">
        <v>300</v>
      </c>
      <c r="G60" s="7" t="n"/>
      <c r="H60" s="8" t="n"/>
      <c r="I60" s="9">
        <f>SUM(F60:H60)</f>
        <v>300</v>
        <v/>
      </c>
      <c r="J60" s="10" t="inlineStr">
        <is>
          <t>Yes</t>
        </is>
      </c>
      <c r="K60" s="5" t="inlineStr">
        <is>
          <t>Marked 'સેજલને'</t>
        </is>
      </c>
    </row>
    <row r="61">
      <c r="A61" s="4" t="n">
        <v>58</v>
      </c>
      <c r="B61" s="5" t="inlineStr">
        <is>
          <t>Lagnanagar Kapar</t>
        </is>
      </c>
      <c r="C61" s="5" t="inlineStr">
        <is>
          <t>લગ્નનગર કપર</t>
        </is>
      </c>
      <c r="D61" s="5" t="inlineStr">
        <is>
          <t>ditto</t>
        </is>
      </c>
      <c r="E61" s="4" t="n">
        <v>2</v>
      </c>
      <c r="F61" s="6" t="n"/>
      <c r="G61" s="7" t="n"/>
      <c r="H61" s="8" t="n">
        <v>500</v>
      </c>
      <c r="I61" s="9">
        <f>SUM(F61:H61)</f>
        <v>500</v>
        <v/>
      </c>
      <c r="J61" s="10" t="inlineStr">
        <is>
          <t>Yes</t>
        </is>
      </c>
      <c r="K61" s="5" t="inlineStr"/>
    </row>
    <row r="62">
      <c r="A62" s="4" t="n">
        <v>59</v>
      </c>
      <c r="B62" s="5" t="inlineStr">
        <is>
          <t>Lagnanagar Kapar</t>
        </is>
      </c>
      <c r="C62" s="5" t="inlineStr">
        <is>
          <t>લગ્નનગર કપર</t>
        </is>
      </c>
      <c r="D62" s="5" t="inlineStr">
        <is>
          <t>ditto</t>
        </is>
      </c>
      <c r="E62" s="4" t="n">
        <v>2</v>
      </c>
      <c r="F62" s="6" t="n"/>
      <c r="G62" s="7" t="n"/>
      <c r="H62" s="8" t="n">
        <v>500</v>
      </c>
      <c r="I62" s="9">
        <f>SUM(F62:H62)</f>
        <v>500</v>
        <v/>
      </c>
      <c r="J62" s="10" t="inlineStr">
        <is>
          <t>Yes</t>
        </is>
      </c>
      <c r="K62" s="5" t="inlineStr"/>
    </row>
    <row r="63">
      <c r="A63" s="4" t="inlineStr"/>
      <c r="B63" s="5" t="inlineStr">
        <is>
          <t>Vishal Patel</t>
        </is>
      </c>
      <c r="C63" s="5" t="inlineStr">
        <is>
          <t>વિશાલ પટેલ</t>
        </is>
      </c>
      <c r="D63" s="5" t="inlineStr">
        <is>
          <t>Kendre — written below the last numbered entry</t>
        </is>
      </c>
      <c r="E63" s="4" t="n">
        <v>2</v>
      </c>
      <c r="F63" s="6" t="n"/>
      <c r="G63" s="7" t="n"/>
      <c r="H63" s="8" t="n">
        <v>15000</v>
      </c>
      <c r="I63" s="9">
        <f>SUM(F63:H63)</f>
        <v>15000</v>
        <v/>
      </c>
      <c r="J63" s="10" t="inlineStr">
        <is>
          <t>Yes</t>
        </is>
      </c>
      <c r="K63" s="5" t="inlineStr">
        <is>
          <t>Unnumbered line at the foot of page 2</t>
        </is>
      </c>
    </row>
    <row r="64">
      <c r="A64" s="11" t="n"/>
      <c r="B64" s="11" t="inlineStr">
        <is>
          <t>TOTAL</t>
        </is>
      </c>
      <c r="C64" s="11" t="n"/>
      <c r="D64" s="11" t="n"/>
      <c r="E64" s="11" t="n"/>
      <c r="F64" s="12">
        <f>SUM(F5:F63)</f>
        <v>13453</v>
        <v/>
      </c>
      <c r="G64" s="12">
        <f>SUM(G5:G63)</f>
        <v>16804</v>
        <v/>
      </c>
      <c r="H64" s="12">
        <f>SUM(H5:H63)</f>
        <v>31661</v>
        <v/>
      </c>
      <c r="I64" s="12">
        <f>SUM(I5:I63)</f>
        <v>61918</v>
        <v/>
      </c>
      <c r="J64" s="11" t="n"/>
      <c r="K64" s="11" t="n"/>
    </row>
    <row r="66">
      <c r="B66" s="13" t="inlineStr">
        <is>
          <t>Sejal / Ria columns follow the child named against that line in the register ('સેજલ' / 'રાયા'). Lines with no child named are put under Common. Rows flagged Verify = Yes were hard to read in the photograph — check them against the book.</t>
        </is>
      </c>
    </row>
    <row r="67"/>
    <row r="68"/>
  </sheetData>
  <autoFilter ref="A4:K63"/>
  <mergeCells count="1">
    <mergeCell ref="B66:K6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6" customWidth="1" min="3" max="3"/>
    <col width="16" customWidth="1" min="4" max="4"/>
  </cols>
  <sheetData>
    <row r="1">
      <c r="A1" s="1" t="inlineStr">
        <is>
          <t>Bifurcation Summary</t>
        </is>
      </c>
    </row>
    <row r="2">
      <c r="A2" s="2" t="inlineStr">
        <is>
          <t>Every figure below is a formula over the 'Receipt Details' sheet.</t>
        </is>
      </c>
    </row>
    <row r="4">
      <c r="A4" s="14" t="inlineStr">
        <is>
          <t>Head</t>
        </is>
      </c>
      <c r="B4" s="14" t="inlineStr">
        <is>
          <t>Amount (₹)</t>
        </is>
      </c>
      <c r="C4" s="14" t="inlineStr">
        <is>
          <t>No. of entries</t>
        </is>
      </c>
    </row>
    <row r="5">
      <c r="A5" s="15" t="inlineStr">
        <is>
          <t>Sejal</t>
        </is>
      </c>
      <c r="B5" s="6">
        <f>SUM('Receipt Details'!F5:F63)</f>
        <v>13453</v>
        <v/>
      </c>
      <c r="C5" s="16">
        <f>COUNT('Receipt Details'!F5:F63)</f>
        <v>16</v>
        <v/>
      </c>
    </row>
    <row r="6">
      <c r="A6" s="15" t="inlineStr">
        <is>
          <t>Ria</t>
        </is>
      </c>
      <c r="B6" s="7">
        <f>SUM('Receipt Details'!G5:G63)</f>
        <v>16804</v>
        <v/>
      </c>
      <c r="C6" s="16">
        <f>COUNT('Receipt Details'!G5:G63)</f>
        <v>14</v>
        <v/>
      </c>
    </row>
    <row r="7">
      <c r="A7" s="15" t="inlineStr">
        <is>
          <t>Common / not specified</t>
        </is>
      </c>
      <c r="B7" s="8">
        <f>SUM('Receipt Details'!H5:H63)</f>
        <v>31661</v>
        <v/>
      </c>
      <c r="C7" s="16">
        <f>COUNT('Receipt Details'!H5:H63)</f>
        <v>29</v>
        <v/>
      </c>
    </row>
    <row r="8">
      <c r="A8" s="17" t="inlineStr">
        <is>
          <t>Grand total</t>
        </is>
      </c>
      <c r="B8" s="18">
        <f>SUM(B5:B7)</f>
        <v>61918</v>
        <v/>
      </c>
      <c r="C8" s="19">
        <f>SUM(C5:C7)</f>
        <v>59</v>
        <v/>
      </c>
    </row>
    <row r="10">
      <c r="A10" s="20" t="inlineStr">
        <is>
          <t>If the common / unmarked amount is shared equally</t>
        </is>
      </c>
    </row>
    <row r="11">
      <c r="A11" s="15" t="inlineStr">
        <is>
          <t>Sejal (own + half of common)</t>
        </is>
      </c>
      <c r="B11" s="21">
        <f>B5+B7/2</f>
        <v>29283.5</v>
        <v/>
      </c>
    </row>
    <row r="12">
      <c r="A12" s="15" t="inlineStr">
        <is>
          <t>Ria (own + half of common)</t>
        </is>
      </c>
      <c r="B12" s="22">
        <f>B6+B7/2</f>
        <v>32634.5</v>
        <v/>
      </c>
    </row>
    <row r="14">
      <c r="A14" s="20" t="inlineStr">
        <is>
          <t>Reconciliation with the totals written in the register</t>
        </is>
      </c>
    </row>
    <row r="15">
      <c r="A15" s="15" t="inlineStr">
        <is>
          <t>Page 1 total as per this sheet</t>
        </is>
      </c>
      <c r="B15" s="23">
        <f>SUMIF('Receipt Details'!E5:E63,1,'Receipt Details'!I5:I63)</f>
        <v>24303</v>
        <v/>
      </c>
    </row>
    <row r="16">
      <c r="A16" s="15" t="inlineStr">
        <is>
          <t>Page 1 total written in the register</t>
        </is>
      </c>
      <c r="B16" s="23" t="n">
        <v>24303</v>
      </c>
    </row>
    <row r="17">
      <c r="A17" s="15" t="inlineStr">
        <is>
          <t>Difference (page 1)</t>
        </is>
      </c>
      <c r="B17" s="24">
        <f>B15-B16</f>
        <v>0</v>
        <v/>
      </c>
    </row>
    <row r="18">
      <c r="A18" s="15" t="inlineStr">
        <is>
          <t>Grand total as per this sheet</t>
        </is>
      </c>
      <c r="B18" s="23">
        <f>B8</f>
        <v>61918</v>
        <v/>
      </c>
    </row>
    <row r="19">
      <c r="A19" s="15" t="inlineStr">
        <is>
          <t>Grand total written in the register</t>
        </is>
      </c>
      <c r="B19" s="23" t="n">
        <v>61985</v>
      </c>
    </row>
    <row r="20">
      <c r="A20" s="15" t="inlineStr">
        <is>
          <t>Difference (grand total)</t>
        </is>
      </c>
      <c r="B20" s="24">
        <f>B18-B19</f>
        <v>-67</v>
        <v/>
      </c>
    </row>
    <row r="22">
      <c r="A22" s="25" t="inlineStr">
        <is>
          <t>Page 1 reconciles exactly. The grand total at the foot of page 2 is partly cut off in the photograph and was read as 61,985 — the difference above is the amount still to be traced, and the rows flagged Verify = Yes on the detail sheet are where it will be.</t>
        </is>
      </c>
    </row>
    <row r="23"/>
    <row r="24"/>
    <row r="25"/>
  </sheetData>
  <mergeCells count="1">
    <mergeCell ref="A22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How this sheet was prepared</t>
        </is>
      </c>
    </row>
    <row r="3">
      <c r="A3" s="26" t="inlineStr">
        <is>
          <t>Source: two photographs of the handwritten register for the Ria &amp; Sejal birthday party, dated 23-08-2026.</t>
        </is>
      </c>
    </row>
    <row r="4">
      <c r="A4" s="26" t="inlineStr">
        <is>
          <t>Page 1 carries entries 1 to 28 and a page total of 24,303. Page 2 carries that figure forward and runs to entry 59.</t>
        </is>
      </c>
    </row>
    <row r="5">
      <c r="A5" s="26" t="inlineStr"/>
    </row>
    <row r="6">
      <c r="A6" s="20" t="inlineStr">
        <is>
          <t>Column rules</t>
        </is>
      </c>
    </row>
    <row r="7">
      <c r="A7" s="26" t="inlineStr">
        <is>
          <t xml:space="preserve">  Sejal — the line is marked 'સેજલ' / 'સેજલને' in the register.</t>
        </is>
      </c>
    </row>
    <row r="8">
      <c r="A8" s="26" t="inlineStr">
        <is>
          <t xml:space="preserve">  Ria — the line is marked 'રાયા' / 'રાયુ' / 'રાયાને' (written as Raya; recorded here as Ria).</t>
        </is>
      </c>
    </row>
    <row r="9">
      <c r="A9" s="26" t="inlineStr">
        <is>
          <t xml:space="preserve">  Common / not specified — no child is named on that line in the register.</t>
        </is>
      </c>
    </row>
    <row r="10">
      <c r="A10" s="26" t="inlineStr">
        <is>
          <t xml:space="preserve">  Total — a formula, Sejal + Ria + Common for that row.</t>
        </is>
      </c>
    </row>
    <row r="11">
      <c r="A11" s="26" t="inlineStr"/>
    </row>
    <row r="12">
      <c r="A12" s="26" t="inlineStr">
        <is>
          <t>Entry 1 (Kiran Somabhai Vyas) is a casserole set given to Sejal — a gift in kind, so it carries no amount.</t>
        </is>
      </c>
    </row>
    <row r="13">
      <c r="A13" s="26" t="inlineStr">
        <is>
          <t>Entry 15 (Nilam Dhanendra Gupta) is written with a brace in the book: 500 to Sejal and 500 to Ria.</t>
        </is>
      </c>
    </row>
    <row r="14">
      <c r="A14" s="26" t="inlineStr">
        <is>
          <t>The register's own numbering skips 50; the numbers here follow the book exactly.</t>
        </is>
      </c>
    </row>
    <row r="15">
      <c r="A15" s="26" t="inlineStr">
        <is>
          <t>The last line of page 2 (Vishal Patel, 15,000) is unnumbered in the register.</t>
        </is>
      </c>
    </row>
    <row r="16">
      <c r="A16" s="26" t="inlineStr"/>
    </row>
    <row r="17">
      <c r="A17" s="26" t="inlineStr">
        <is>
          <t>Names are transliterated from Gujarati handwriting and the original reading is kept alongside in column C.</t>
        </is>
      </c>
    </row>
    <row r="18">
      <c r="A18" s="26" t="inlineStr">
        <is>
          <t>Rows flagged Verify = Yes could not be read with confidence — correct the name or the amount from the book.</t>
        </is>
      </c>
    </row>
    <row r="19">
      <c r="A19" s="26" t="inlineStr">
        <is>
          <t>Amounts are whole rupees; the register writes them as '500=00' style, i.e. rupees and paise.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2026-08-26T03:07:17Z</dcterms:created>
  <dcterms:modified xsi:type="dcterms:W3CDTF">2026-08-26T03:07:17Z</dcterms:modified>
</cp:coreProperties>
</file>